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openboxsoftwareweb.sharepoint.com/sites/GraingerPLC/Sales Documents/Salesforce/Homelet iFrame Replacement/"/>
    </mc:Choice>
  </mc:AlternateContent>
  <xr:revisionPtr revIDLastSave="143" documentId="8_{AECA672E-0DBF-4CB6-A7D4-3D05B9086AE5}" xr6:coauthVersionLast="47" xr6:coauthVersionMax="47" xr10:uidLastSave="{9B174AFA-B7D0-9247-85B4-B3BBA1C68EE5}"/>
  <bookViews>
    <workbookView xWindow="-120" yWindow="500" windowWidth="29040" windowHeight="15720" xr2:uid="{E57FE48E-7E14-4BBE-9A34-3ABFC090896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D12" i="1" s="1"/>
  <c r="C11" i="1"/>
  <c r="C12" i="1"/>
</calcChain>
</file>

<file path=xl/sharedStrings.xml><?xml version="1.0" encoding="utf-8"?>
<sst xmlns="http://schemas.openxmlformats.org/spreadsheetml/2006/main" count="26" uniqueCount="22">
  <si>
    <t>Change</t>
  </si>
  <si>
    <t>Lower Bound (Hours)</t>
  </si>
  <si>
    <t>Upper Bound (Hours)</t>
  </si>
  <si>
    <t>new</t>
  </si>
  <si>
    <t>Disable api callout to create referencing request when Advance Payment is made</t>
  </si>
  <si>
    <t>current - update</t>
  </si>
  <si>
    <t>Email to non-lead tenant to complete referencing</t>
  </si>
  <si>
    <t>Assuming letting portal URL remains unchanged and lettings portal will handle the logic to guide the tenant through the process. We just need to stop email being sent to lead tenant and send to non-lead tenants only</t>
  </si>
  <si>
    <t>Email to applicants to complete referencign - chases</t>
  </si>
  <si>
    <t>Assuming chaser emails don't need any changes (i.e. letting portal URL remains unchanged). Minor changes to copy.</t>
  </si>
  <si>
    <t>Additional details captured for the referencing status (approved etc) (new field to have data in)</t>
  </si>
  <si>
    <t>New field to capture additional information passed back from HomeLet via the REST API</t>
  </si>
  <si>
    <t>OCRs added manually after advance payment made, email sent to leasing portal so they can complete refrerencing</t>
  </si>
  <si>
    <t>Create new flow to trigger emails when OCR's added. Assuming that email will contain URL to letting portal. Letting portal will be responsible for orchestrating callouts to HomeLet to create new referencing request</t>
  </si>
  <si>
    <t>Remove component from lightning record page (LRP)</t>
  </si>
  <si>
    <t>Notes / Assumptions</t>
  </si>
  <si>
    <t>Total Hours</t>
  </si>
  <si>
    <t>Total Cost @ £126/hour (T&amp;M)</t>
  </si>
  <si>
    <t xml:space="preserve">Dsiable callout.  Test classes will need to be adjusted </t>
  </si>
  <si>
    <t>Remove Error component on opp - not needed anymore as errors handled on the website</t>
  </si>
  <si>
    <t>Assistance during end-to-end UAT</t>
  </si>
  <si>
    <t>Depends on what level of support is required during UAT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</si>
</sst>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809]* #,##0_-;\-[$£-809]* #,##0_-;_-[$£-809]* &quot;-&quot;??_-;_-@_-"/>
  </numFmts>
  <fonts count="3" x14ac:knownFonts="1">
    <font>
      <sz val="11"/>
      <color theme="1"/>
      <name val="Aptos Narrow"/>
      <family val="2"/>
      <scheme val="minor"/>
    </font>
    <font>
      <sz val="11"/>
      <color theme="1"/>
      <name val="Verdana"/>
      <family val="2"/>
    </font>
    <font>
      <b/>
      <sz val="11"/>
      <color theme="1"/>
      <name val="Verdana"/>
      <family val="2"/>
    </font>
  </fonts>
  <fills count="2">
    <fill>
      <patternFill patternType="none"/>
    </fill>
    <fill>
      <patternFill patternType="gray125"/>
    </fill>
  </fills>
  <borders count="4">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double">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2" xfId="0" applyFont="1" applyBorder="1"/>
    <xf numFmtId="0" fontId="2" fillId="0" borderId="2" xfId="0" applyFont="1" applyBorder="1" applyAlignment="1">
      <alignment wrapText="1"/>
    </xf>
    <xf numFmtId="0" fontId="2" fillId="0" borderId="2" xfId="0" applyFont="1" applyBorder="1"/>
    <xf numFmtId="0" fontId="1" fillId="0" borderId="2" xfId="0" applyFont="1" applyBorder="1" applyAlignment="1">
      <alignment wrapText="1"/>
    </xf>
    <xf numFmtId="0" fontId="1" fillId="0" borderId="0" xfId="0" applyFont="1"/>
    <xf numFmtId="0" fontId="1" fillId="0" borderId="0" xfId="0" applyFont="1" applyAlignment="1">
      <alignment wrapText="1"/>
    </xf>
    <xf numFmtId="0" fontId="2" fillId="0" borderId="1" xfId="0" applyFont="1" applyBorder="1" applyAlignment="1">
      <alignment horizontal="right" wrapText="1"/>
    </xf>
    <xf numFmtId="0" fontId="2" fillId="0" borderId="1" xfId="0" applyFont="1" applyBorder="1"/>
    <xf numFmtId="0" fontId="2" fillId="0" borderId="3" xfId="0" applyFont="1" applyBorder="1" applyAlignment="1">
      <alignment horizontal="right" wrapText="1"/>
    </xf>
    <xf numFmtId="166" fontId="2" fillId="0" borderId="3"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1E6B-1757-4C26-8FAD-3D0ABAFC131B}">
  <dimension ref="A1:E13"/>
  <sheetViews>
    <sheetView tabSelected="1" zoomScale="85" zoomScaleNormal="85" workbookViewId="0">
      <selection activeCell="E12" sqref="B1:E12"/>
    </sheetView>
  </sheetViews>
  <sheetFormatPr baseColWidth="10" defaultColWidth="8.83203125" defaultRowHeight="15" x14ac:dyDescent="0.2"/>
  <cols>
    <col min="1" max="1" width="15.1640625" bestFit="1" customWidth="1"/>
    <col min="2" max="2" width="47.33203125" style="1" customWidth="1"/>
    <col min="3" max="3" width="18.83203125" customWidth="1"/>
    <col min="4" max="4" width="18.83203125" bestFit="1" customWidth="1"/>
    <col min="5" max="5" width="36.5" style="1" bestFit="1" customWidth="1"/>
  </cols>
  <sheetData>
    <row r="1" spans="1:5" ht="16" x14ac:dyDescent="0.2">
      <c r="A1" s="2"/>
      <c r="B1" s="3" t="s">
        <v>0</v>
      </c>
      <c r="C1" s="4" t="s">
        <v>1</v>
      </c>
      <c r="D1" s="4" t="s">
        <v>2</v>
      </c>
      <c r="E1" s="3" t="s">
        <v>15</v>
      </c>
    </row>
    <row r="2" spans="1:5" ht="31" x14ac:dyDescent="0.2">
      <c r="A2" s="2" t="s">
        <v>3</v>
      </c>
      <c r="B2" s="5" t="s">
        <v>4</v>
      </c>
      <c r="C2" s="2">
        <v>2</v>
      </c>
      <c r="D2" s="2">
        <v>4</v>
      </c>
      <c r="E2" s="5" t="s">
        <v>18</v>
      </c>
    </row>
    <row r="3" spans="1:5" ht="106" x14ac:dyDescent="0.2">
      <c r="A3" s="2" t="s">
        <v>5</v>
      </c>
      <c r="B3" s="5" t="s">
        <v>6</v>
      </c>
      <c r="C3" s="2">
        <v>2</v>
      </c>
      <c r="D3" s="2">
        <v>4</v>
      </c>
      <c r="E3" s="5" t="s">
        <v>7</v>
      </c>
    </row>
    <row r="4" spans="1:5" ht="61" x14ac:dyDescent="0.2">
      <c r="A4" s="2" t="s">
        <v>5</v>
      </c>
      <c r="B4" s="5" t="s">
        <v>8</v>
      </c>
      <c r="C4" s="2">
        <v>2</v>
      </c>
      <c r="D4" s="2">
        <v>4</v>
      </c>
      <c r="E4" s="5" t="s">
        <v>9</v>
      </c>
    </row>
    <row r="5" spans="1:5" ht="46" x14ac:dyDescent="0.2">
      <c r="A5" s="2" t="s">
        <v>3</v>
      </c>
      <c r="B5" s="5" t="s">
        <v>10</v>
      </c>
      <c r="C5" s="2">
        <v>1</v>
      </c>
      <c r="D5" s="2">
        <v>1</v>
      </c>
      <c r="E5" s="5" t="s">
        <v>11</v>
      </c>
    </row>
    <row r="6" spans="1:5" ht="106" x14ac:dyDescent="0.2">
      <c r="A6" s="2" t="s">
        <v>3</v>
      </c>
      <c r="B6" s="5" t="s">
        <v>12</v>
      </c>
      <c r="C6" s="2">
        <v>4</v>
      </c>
      <c r="D6" s="2">
        <v>8</v>
      </c>
      <c r="E6" s="5" t="s">
        <v>13</v>
      </c>
    </row>
    <row r="7" spans="1:5" ht="31" x14ac:dyDescent="0.2">
      <c r="A7" s="2" t="s">
        <v>5</v>
      </c>
      <c r="B7" s="5" t="s">
        <v>19</v>
      </c>
      <c r="C7" s="2">
        <v>1</v>
      </c>
      <c r="D7" s="2">
        <v>1</v>
      </c>
      <c r="E7" s="5" t="s">
        <v>14</v>
      </c>
    </row>
    <row r="8" spans="1:5" ht="31" x14ac:dyDescent="0.2">
      <c r="A8" s="2"/>
      <c r="B8" s="5" t="s">
        <v>20</v>
      </c>
      <c r="C8" s="2">
        <v>0</v>
      </c>
      <c r="D8" s="2">
        <v>10</v>
      </c>
      <c r="E8" s="5" t="s">
        <v>21</v>
      </c>
    </row>
    <row r="9" spans="1:5" x14ac:dyDescent="0.2">
      <c r="A9" s="6"/>
      <c r="B9" s="7"/>
      <c r="C9" s="6"/>
      <c r="D9" s="6"/>
      <c r="E9" s="7"/>
    </row>
    <row r="10" spans="1:5" x14ac:dyDescent="0.2">
      <c r="A10" s="6"/>
      <c r="B10" s="7"/>
      <c r="C10" s="6"/>
      <c r="D10" s="6"/>
      <c r="E10" s="7"/>
    </row>
    <row r="11" spans="1:5" ht="17" thickBot="1" x14ac:dyDescent="0.25">
      <c r="A11" s="6"/>
      <c r="B11" s="8" t="s">
        <v>16</v>
      </c>
      <c r="C11" s="9">
        <f>SUM(C2:C8)</f>
        <v>12</v>
      </c>
      <c r="D11" s="9">
        <f>SUM(D2:D8)</f>
        <v>32</v>
      </c>
      <c r="E11" s="7"/>
    </row>
    <row r="12" spans="1:5" ht="17" thickBot="1" x14ac:dyDescent="0.25">
      <c r="A12" s="6"/>
      <c r="B12" s="10" t="s">
        <v>17</v>
      </c>
      <c r="C12" s="11">
        <f>C11*126</f>
        <v>1512</v>
      </c>
      <c r="D12" s="11">
        <f>D11*126</f>
        <v>4032</v>
      </c>
      <c r="E12" s="7"/>
    </row>
    <row r="13" spans="1:5" ht="16" thickTop="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0dc22cb723843c1bfbb2e8bcc9db6e4 xmlns="1ffbd5dc-7a64-4097-8396-87f6c90b212f">
      <Terms xmlns="http://schemas.microsoft.com/office/infopath/2007/PartnerControls"/>
    </f0dc22cb723843c1bfbb2e8bcc9db6e4>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TaxCatchAll xmlns="1ffbd5dc-7a64-4097-8396-87f6c90b212f">
      <Value>6</Value>
      <Value>5</Value>
      <Value>4</Value>
    </TaxCatchAll>
  </documentManagement>
</p:properties>
</file>

<file path=customXml/itemProps1.xml><?xml version="1.0" encoding="utf-8"?>
<ds:datastoreItem xmlns:ds="http://schemas.openxmlformats.org/officeDocument/2006/customXml" ds:itemID="{4FF0E49B-7C70-47C7-9657-53AFAD9DE0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78B014-44AF-4D09-BF2B-0711681CFB7B}">
  <ds:schemaRefs>
    <ds:schemaRef ds:uri="Microsoft.SharePoint.Taxonomy.ContentTypeSync"/>
  </ds:schemaRefs>
</ds:datastoreItem>
</file>

<file path=customXml/itemProps3.xml><?xml version="1.0" encoding="utf-8"?>
<ds:datastoreItem xmlns:ds="http://schemas.openxmlformats.org/officeDocument/2006/customXml" ds:itemID="{38A3FB8E-98C3-4601-B853-533139E14074}">
  <ds:schemaRefs>
    <ds:schemaRef ds:uri="http://schemas.microsoft.com/sharepoint/v3/contenttype/forms"/>
  </ds:schemaRefs>
</ds:datastoreItem>
</file>

<file path=customXml/itemProps4.xml><?xml version="1.0" encoding="utf-8"?>
<ds:datastoreItem xmlns:ds="http://schemas.openxmlformats.org/officeDocument/2006/customXml" ds:itemID="{0DA0C032-289D-451D-92A5-40C358D13C23}">
  <ds:schemaRefs>
    <ds:schemaRef ds:uri="http://www.w3.org/XML/1998/namespace"/>
    <ds:schemaRef ds:uri="http://purl.org/dc/elements/1.1/"/>
    <ds:schemaRef ds:uri="http://purl.org/dc/terms/"/>
    <ds:schemaRef ds:uri="http://purl.org/dc/dcmityp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1ffbd5dc-7a64-4097-8396-87f6c90b212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Sam Duncan</cp:lastModifiedBy>
  <cp:revision/>
  <dcterms:created xsi:type="dcterms:W3CDTF">2025-09-18T10:36:58Z</dcterms:created>
  <dcterms:modified xsi:type="dcterms:W3CDTF">2025-09-18T13:16:31Z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0x010100B16301FA1C2D5E4DB9305F31D037531D0207030047E0126EE26B68468E30FEE8ADFBCCCC</vt:lpwstr>
  </property>
  <property fmtid="{D5CDD505-2E9C-101B-9397-08002B2CF9AE}" pid="5" name="Project_x0020_Document_x0020_Type">
    <vt:lpwstr>4;#Generic Project Document|258c2ed6-b93b-4ffe-8901-a23f2dc98ec9</vt:lpwstr>
  </property>
  <property fmtid="{D5CDD505-2E9C-101B-9397-08002B2CF9AE}" pid="6" name="Division">
    <vt:lpwstr>5;#Enterprise Solutions|08c57b01-67e8-4a4f-abc6-ffb3392ace7f</vt:lpwstr>
  </property>
  <property fmtid="{D5CDD505-2E9C-101B-9397-08002B2CF9AE}" pid="7" name="Client_x0020_Project">
    <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lcf76f155ced4ddcb4097134ff3c332f">
    <vt:lpwstr/>
  </property>
</Properties>
</file>