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New Let Process &amp; Renters Rights/01. Sales/"/>
    </mc:Choice>
  </mc:AlternateContent>
  <xr:revisionPtr revIDLastSave="881" documentId="8_{1A3F7ABC-7AA7-43EB-BB8F-B4669DCBA890}" xr6:coauthVersionLast="47" xr6:coauthVersionMax="47" xr10:uidLastSave="{19A72FDF-E7BA-E940-8637-3E9FF55441F4}"/>
  <bookViews>
    <workbookView xWindow="-120" yWindow="500" windowWidth="29040" windowHeight="15720" tabRatio="699" xr2:uid="{82DBA3FB-BAAE-4513-8EBD-08C2C1522918}"/>
  </bookViews>
  <sheets>
    <sheet name="High Level Proposal" sheetId="6" r:id="rId1"/>
    <sheet name="Detail" sheetId="2" r:id="rId2"/>
    <sheet name="Burnup" sheetId="3" r:id="rId3"/>
    <sheet name="Post Sprint 0 Cost Summary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H9" i="6"/>
  <c r="I8" i="6"/>
  <c r="H8" i="6"/>
  <c r="B2" i="6"/>
  <c r="I7" i="6" s="1"/>
  <c r="H6" i="6"/>
  <c r="I6" i="6"/>
  <c r="H7" i="6" l="1"/>
  <c r="B18" i="6" l="1"/>
  <c r="B20" i="6" s="1"/>
  <c r="F11" i="6"/>
  <c r="D22" i="2"/>
  <c r="B1" i="11" s="1"/>
  <c r="G11" i="6"/>
  <c r="B4" i="11"/>
  <c r="B3" i="11"/>
  <c r="G10" i="11"/>
  <c r="F10" i="11"/>
  <c r="C26" i="2"/>
  <c r="C28" i="2"/>
  <c r="O13" i="2"/>
  <c r="J4" i="2"/>
  <c r="I4" i="2"/>
  <c r="H4" i="2"/>
  <c r="G4" i="2"/>
  <c r="F4" i="2"/>
  <c r="F7" i="2"/>
  <c r="G7" i="2"/>
  <c r="H7" i="2"/>
  <c r="I7" i="2"/>
  <c r="J7" i="2"/>
  <c r="AC4" i="2"/>
  <c r="AD4" i="2"/>
  <c r="AE4" i="2"/>
  <c r="AF4" i="2"/>
  <c r="AG4" i="2"/>
  <c r="AH4" i="2"/>
  <c r="AI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4" i="2"/>
  <c r="AK4" i="2"/>
  <c r="AL4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F13" i="2"/>
  <c r="G13" i="2"/>
  <c r="H13" i="2"/>
  <c r="I13" i="2"/>
  <c r="J13" i="2"/>
  <c r="K13" i="2"/>
  <c r="L13" i="2"/>
  <c r="M13" i="2"/>
  <c r="N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3" i="2"/>
  <c r="AD14" i="2"/>
  <c r="AE13" i="2"/>
  <c r="AF13" i="2"/>
  <c r="AG13" i="2"/>
  <c r="AH13" i="2"/>
  <c r="AI13" i="2"/>
  <c r="AJ13" i="2"/>
  <c r="AK13" i="2"/>
  <c r="AL13" i="2"/>
  <c r="AJ7" i="2"/>
  <c r="AK7" i="2"/>
  <c r="AL7" i="2"/>
  <c r="AG9" i="2"/>
  <c r="AH9" i="2"/>
  <c r="AI9" i="2"/>
  <c r="AJ9" i="2"/>
  <c r="AK9" i="2"/>
  <c r="AL9" i="2"/>
  <c r="AE14" i="2"/>
  <c r="AF14" i="2"/>
  <c r="AG14" i="2"/>
  <c r="AH14" i="2"/>
  <c r="AI14" i="2"/>
  <c r="AJ14" i="2"/>
  <c r="AK14" i="2"/>
  <c r="AL14" i="2"/>
  <c r="F14" i="2"/>
  <c r="G14" i="2"/>
  <c r="H14" i="2"/>
  <c r="I14" i="2"/>
  <c r="J14" i="2"/>
  <c r="K14" i="2"/>
  <c r="L14" i="2"/>
  <c r="M14" i="2"/>
  <c r="I10" i="6" l="1"/>
  <c r="H10" i="6"/>
  <c r="I11" i="6" l="1"/>
  <c r="H1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<sst xmlns="http://schemas.openxmlformats.org/spreadsheetml/2006/main" count="109" uniqueCount="95">
  <si>
    <t>Cost per sprint</t>
  </si>
  <si>
    <t>Hour Rate</t>
  </si>
  <si>
    <t>FTE Rate</t>
  </si>
  <si>
    <t>Phase</t>
  </si>
  <si>
    <t>Duration (weeks)</t>
  </si>
  <si>
    <t>Min Hours</t>
  </si>
  <si>
    <t>Max hours</t>
  </si>
  <si>
    <t>Lower Bound Cost Rates</t>
  </si>
  <si>
    <t>Upper Bound Rates</t>
  </si>
  <si>
    <t>Sprint 0</t>
  </si>
  <si>
    <t>Post Go-Live Support </t>
  </si>
  <si>
    <t>User guide creation/training</t>
  </si>
  <si>
    <t>Total Cost for Release 1</t>
  </si>
  <si>
    <t>Team Composition</t>
  </si>
  <si>
    <t>Allocation</t>
  </si>
  <si>
    <t>Team cost / sprint</t>
  </si>
  <si>
    <t>Dev Senior</t>
  </si>
  <si>
    <t>Dev Junior</t>
  </si>
  <si>
    <t>QA</t>
  </si>
  <si>
    <t>BA</t>
  </si>
  <si>
    <t>PM</t>
  </si>
  <si>
    <t>Total FTEs</t>
  </si>
  <si>
    <t>Team FTE</t>
  </si>
  <si>
    <t>Sprint 1</t>
  </si>
  <si>
    <t xml:space="preserve">Sprint 2 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</si>
  <si>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</si>
  <si>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</si>
  <si>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</si>
  <si>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</si>
  <si>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</si>
  <si>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</si>
  <si>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</si>
  <si>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</si>
  <si>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</si>
  <si>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</si>
  <si>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</si>
  <si>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</si>
  <si>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</si>
  <si>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</si>
  <si>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</si>
  <si>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</si>
  <si>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</si>
  <si>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</si>
  <si>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</si>
  <si>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</si>
  <si>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</si>
  <si>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</si>
  <si>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</si>
  <si>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</si>
  <si>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</si>
  <si>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</si>
  <si>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</si>
  <si>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</si>
  <si>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</si>
  <si>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</si>
  <si>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</si>
  <si>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Scheduling</t>
  </si>
  <si>
    <t>Velocity</t>
  </si>
  <si>
    <t xml:space="preserve">Total Velocity Done </t>
  </si>
  <si>
    <t>Total Backlog Size</t>
  </si>
  <si>
    <t>For Bars</t>
  </si>
  <si>
    <t>Optimistic Forecast</t>
  </si>
  <si>
    <t>Likely Forecast</t>
  </si>
  <si>
    <t>Pessimistic Forecast</t>
  </si>
  <si>
    <t>For T&amp;M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</si>
  <si>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</si>
  <si>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</si>
  <si>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</si>
  <si>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</si>
  <si>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</si>
  <si>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</si>
  <si>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</si>
  <si>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</si>
  <si>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Hourly Rate</t>
  </si>
  <si>
    <t>Cost Per Sprint</t>
  </si>
  <si>
    <t>Day Rate</t>
  </si>
  <si>
    <t>Lower Bound</t>
  </si>
  <si>
    <t>Upper Bound</t>
  </si>
  <si>
    <t>Release 1: 2 - 3 Sprints</t>
  </si>
  <si>
    <t>UAT</t>
  </si>
  <si>
    <t>Production Deployment &amp; Post Go-Live Support </t>
  </si>
  <si>
    <t>User guide creation</t>
  </si>
  <si>
    <t>Done in parallel with sprints </t>
  </si>
  <si>
    <t>Total Cost for Foundational Changes and Release 1</t>
  </si>
  <si>
    <t>13 - 16</t>
  </si>
  <si>
    <t>UAT &amp; Production Deployment (20-30 hours)</t>
  </si>
  <si>
    <t>Consultant Rate</t>
  </si>
  <si>
    <t>Rates</t>
  </si>
  <si>
    <t>Project Rate</t>
  </si>
  <si>
    <t>Release 1: 1 - 2 Sprints</t>
  </si>
  <si>
    <t>6 weeks (100 - 130 hours)</t>
  </si>
  <si>
    <t>3 - 6 weeks</t>
  </si>
  <si>
    <t>1 week</t>
  </si>
  <si>
    <t>2 weeks</t>
  </si>
  <si>
    <t>Parallel with project (40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</si>
</sst>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[$£-809]#,##0.00;\-[$£-809]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A442A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/>
    <xf numFmtId="9" fontId="0" fillId="0" borderId="0" xfId="1" applyFont="1" applyAlignment="1">
      <alignment wrapText="1"/>
    </xf>
    <xf numFmtId="164" fontId="2" fillId="0" borderId="0" xfId="0" applyNumberFormat="1" applyFont="1" applyAlignment="1">
      <alignment wrapText="1"/>
    </xf>
    <xf numFmtId="164" fontId="0" fillId="0" borderId="0" xfId="0" applyNumberFormat="1"/>
    <xf numFmtId="0" fontId="0" fillId="3" borderId="0" xfId="0" applyFill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2" xfId="0" applyNumberFormat="1" applyFont="1" applyBorder="1"/>
    <xf numFmtId="0" fontId="2" fillId="2" borderId="1" xfId="0" applyFont="1" applyFill="1" applyBorder="1"/>
    <xf numFmtId="164" fontId="2" fillId="0" borderId="0" xfId="0" applyNumberFormat="1" applyFont="1"/>
    <xf numFmtId="2" fontId="2" fillId="0" borderId="0" xfId="1" applyNumberFormat="1" applyFont="1" applyAlignment="1">
      <alignment wrapText="1"/>
    </xf>
    <xf numFmtId="49" fontId="0" fillId="0" borderId="1" xfId="0" applyNumberFormat="1" applyBorder="1"/>
    <xf numFmtId="49" fontId="2" fillId="0" borderId="1" xfId="0" applyNumberFormat="1" applyFont="1" applyBorder="1"/>
    <xf numFmtId="2" fontId="0" fillId="0" borderId="0" xfId="0" applyNumberFormat="1" applyAlignment="1">
      <alignment wrapText="1"/>
    </xf>
    <xf numFmtId="0" fontId="4" fillId="0" borderId="1" xfId="0" applyFont="1" applyBorder="1"/>
    <xf numFmtId="2" fontId="0" fillId="0" borderId="0" xfId="1" applyNumberFormat="1" applyFont="1" applyAlignment="1">
      <alignment wrapText="1"/>
    </xf>
    <xf numFmtId="165" fontId="2" fillId="0" borderId="1" xfId="0" applyNumberFormat="1" applyFont="1" applyBorder="1"/>
    <xf numFmtId="165" fontId="0" fillId="0" borderId="1" xfId="0" applyNumberFormat="1" applyBorder="1"/>
    <xf numFmtId="165" fontId="2" fillId="0" borderId="2" xfId="0" applyNumberFormat="1" applyFont="1" applyBorder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74045096711023E-2"/>
          <c:y val="2.1348713816517997E-2"/>
          <c:w val="0.96380553348262643"/>
          <c:h val="0.91117110260924428"/>
        </c:manualLayout>
      </c:layout>
      <c:lineChart>
        <c:grouping val="standard"/>
        <c:varyColors val="0"/>
        <c:ser>
          <c:idx val="5"/>
          <c:order val="0"/>
          <c:tx>
            <c:strRef>
              <c:f>Detail!$B$5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Detail!$E$5:$O$5</c:f>
              <c:numCache>
                <c:formatCode>General</c:formatCode>
                <c:ptCount val="11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36.5</c:v>
                </c:pt>
                <c:pt idx="10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9C-4C93-9AED-AC7BA0509009}"/>
            </c:ext>
          </c:extLst>
        </c:ser>
        <c:ser>
          <c:idx val="6"/>
          <c:order val="1"/>
          <c:tx>
            <c:strRef>
              <c:f>Detail!$B$8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Detail!$E$8:$O$8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9C-4C93-9AED-AC7BA0509009}"/>
            </c:ext>
          </c:extLst>
        </c:ser>
        <c:ser>
          <c:idx val="7"/>
          <c:order val="2"/>
          <c:tx>
            <c:strRef>
              <c:f>Detail!$B$7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Detail!$E$7:$O$7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C-4C93-9AED-AC7BA0509009}"/>
            </c:ext>
          </c:extLst>
        </c:ser>
        <c:ser>
          <c:idx val="8"/>
          <c:order val="3"/>
          <c:tx>
            <c:strRef>
              <c:f>Detail!$B$9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Detail!$E$9:$O$9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9C-4C93-9AED-AC7BA0509009}"/>
            </c:ext>
          </c:extLst>
        </c:ser>
        <c:ser>
          <c:idx val="9"/>
          <c:order val="4"/>
          <c:tx>
            <c:strRef>
              <c:f>Detail!$B$4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9C-4C93-9AED-AC7BA0509009}"/>
            </c:ext>
          </c:extLst>
        </c:ser>
        <c:ser>
          <c:idx val="0"/>
          <c:order val="5"/>
          <c:tx>
            <c:strRef>
              <c:f>Detail!$B$5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Detail!$E$5:$O$5</c:f>
              <c:numCache>
                <c:formatCode>General</c:formatCode>
                <c:ptCount val="11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36.5</c:v>
                </c:pt>
                <c:pt idx="10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C-4C93-9AED-AC7BA0509009}"/>
            </c:ext>
          </c:extLst>
        </c:ser>
        <c:ser>
          <c:idx val="1"/>
          <c:order val="6"/>
          <c:tx>
            <c:strRef>
              <c:f>Detail!$B$8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Detail!$E$8:$O$8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C-4C93-9AED-AC7BA0509009}"/>
            </c:ext>
          </c:extLst>
        </c:ser>
        <c:ser>
          <c:idx val="3"/>
          <c:order val="7"/>
          <c:tx>
            <c:strRef>
              <c:f>Detail!$B$7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Detail!$E$7:$O$7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9C-4C93-9AED-AC7BA0509009}"/>
            </c:ext>
          </c:extLst>
        </c:ser>
        <c:ser>
          <c:idx val="4"/>
          <c:order val="8"/>
          <c:tx>
            <c:strRef>
              <c:f>Detail!$B$9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Detail!$E$9:$O$9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9C-4C93-9AED-AC7BA0509009}"/>
            </c:ext>
          </c:extLst>
        </c:ser>
        <c:ser>
          <c:idx val="2"/>
          <c:order val="9"/>
          <c:tx>
            <c:strRef>
              <c:f>Detail!$B$4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9C-4C93-9AED-AC7BA050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3.1508957645854381E-2"/>
          <c:y val="2.0291305597572275E-2"/>
          <c:w val="0.14326835292377443"/>
          <c:h val="0.134448818897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</xdr:colOff>
      <xdr:row>0</xdr:row>
      <xdr:rowOff>114300</xdr:rowOff>
    </xdr:from>
    <xdr:to>
      <xdr:col>14</xdr:col>
      <xdr:colOff>0</xdr:colOff>
      <xdr:row>28</xdr:row>
      <xdr:rowOff>83820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0.2249</cdr:x>
      <cdr:y>0.06183</cdr:y>
    </cdr:from>
    <cdr:to>
      <cdr:x>0.22596</cdr:x>
      <cdr:y>0.93117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2018077" y="308517"/>
          <a:ext cx="9511" cy="433779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0.24607</cdr:x>
      <cdr:y>0.06246</cdr:y>
    </cdr:from>
    <cdr:to>
      <cdr:x>0.24751</cdr:x>
      <cdr:y>0.93408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2208058" y="311643"/>
          <a:ext cx="12921" cy="434917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0.16152</cdr:x>
      <cdr:y>0.05813</cdr:y>
    </cdr:from>
    <cdr:to>
      <cdr:x>0.16152</cdr:x>
      <cdr:y>0.93067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1449341" y="290054"/>
          <a:ext cx="0" cy="435376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A1:J21"/>
  <sheetViews>
    <sheetView tabSelected="1" workbookViewId="0">
      <selection activeCell="I11" sqref="D5:I11"/>
    </sheetView>
  </sheetViews>
  <sheetFormatPr baseColWidth="10" defaultColWidth="8.6640625" defaultRowHeight="15" x14ac:dyDescent="0.2"/>
  <cols>
    <col min="1" max="1" width="19.5" customWidth="1"/>
    <col min="2" max="2" width="14.5" customWidth="1"/>
    <col min="3" max="3" width="13.1640625" customWidth="1"/>
    <col min="4" max="4" width="50.1640625" bestFit="1" customWidth="1"/>
    <col min="5" max="5" width="26.83203125" bestFit="1" customWidth="1"/>
    <col min="6" max="7" width="26.6640625" hidden="1" customWidth="1"/>
    <col min="8" max="8" width="26.6640625" customWidth="1"/>
    <col min="9" max="9" width="32.6640625" customWidth="1"/>
    <col min="10" max="10" width="47.5" bestFit="1" customWidth="1"/>
  </cols>
  <sheetData>
    <row r="1" spans="1:10" x14ac:dyDescent="0.2">
      <c r="A1" s="4" t="s">
        <v>87</v>
      </c>
    </row>
    <row r="2" spans="1:10" x14ac:dyDescent="0.2">
      <c r="A2" t="s">
        <v>0</v>
      </c>
      <c r="B2" s="21">
        <f>B3*40*B21*3</f>
        <v>21600</v>
      </c>
      <c r="C2" s="6"/>
      <c r="D2" s="7"/>
      <c r="E2" s="7"/>
      <c r="F2" s="7"/>
      <c r="G2" s="7"/>
      <c r="H2" s="7"/>
    </row>
    <row r="3" spans="1:10" x14ac:dyDescent="0.2">
      <c r="A3" t="s">
        <v>88</v>
      </c>
      <c r="B3" s="22">
        <v>120</v>
      </c>
      <c r="C3" s="3"/>
    </row>
    <row r="4" spans="1:10" x14ac:dyDescent="0.2">
      <c r="A4" t="s">
        <v>86</v>
      </c>
      <c r="B4" s="22">
        <v>155</v>
      </c>
      <c r="C4" s="3"/>
    </row>
    <row r="5" spans="1:10" x14ac:dyDescent="0.2">
      <c r="C5" s="7"/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3" t="s">
        <v>8</v>
      </c>
    </row>
    <row r="6" spans="1:10" x14ac:dyDescent="0.2">
      <c r="B6" s="18"/>
      <c r="D6" s="9" t="s">
        <v>9</v>
      </c>
      <c r="E6" s="9" t="s">
        <v>90</v>
      </c>
      <c r="F6" s="19">
        <v>100</v>
      </c>
      <c r="G6" s="19">
        <v>130</v>
      </c>
      <c r="H6" s="22">
        <f>F6*B4</f>
        <v>15500</v>
      </c>
      <c r="I6" s="22">
        <f>G6*B4</f>
        <v>20150</v>
      </c>
    </row>
    <row r="7" spans="1:10" x14ac:dyDescent="0.2">
      <c r="B7" s="18"/>
      <c r="D7" s="9" t="s">
        <v>89</v>
      </c>
      <c r="E7" s="9" t="s">
        <v>91</v>
      </c>
      <c r="F7" s="19">
        <v>1</v>
      </c>
      <c r="G7" s="19">
        <v>2</v>
      </c>
      <c r="H7" s="22">
        <f>B2*F7</f>
        <v>21600</v>
      </c>
      <c r="I7" s="22">
        <f>G7*B2</f>
        <v>43200</v>
      </c>
      <c r="J7" s="7"/>
    </row>
    <row r="8" spans="1:10" x14ac:dyDescent="0.2">
      <c r="B8" s="3"/>
      <c r="D8" s="9" t="s">
        <v>85</v>
      </c>
      <c r="E8" s="9" t="s">
        <v>92</v>
      </c>
      <c r="F8" s="19">
        <v>20</v>
      </c>
      <c r="G8" s="19">
        <v>40</v>
      </c>
      <c r="H8" s="22">
        <f>F8*$B$3</f>
        <v>2400</v>
      </c>
      <c r="I8" s="22">
        <f>G8*$B$3</f>
        <v>4800</v>
      </c>
    </row>
    <row r="9" spans="1:10" x14ac:dyDescent="0.2">
      <c r="D9" s="9" t="s">
        <v>10</v>
      </c>
      <c r="E9" s="9" t="s">
        <v>93</v>
      </c>
      <c r="F9" s="19">
        <v>20</v>
      </c>
      <c r="G9" s="19">
        <v>20</v>
      </c>
      <c r="H9" s="22">
        <f>F9*$B$3</f>
        <v>2400</v>
      </c>
      <c r="I9" s="22">
        <f>G9*$B$3</f>
        <v>2400</v>
      </c>
    </row>
    <row r="10" spans="1:10" x14ac:dyDescent="0.2">
      <c r="D10" s="9" t="s">
        <v>11</v>
      </c>
      <c r="E10" s="16" t="s">
        <v>94</v>
      </c>
      <c r="F10" s="19">
        <v>40</v>
      </c>
      <c r="G10" s="19">
        <v>40</v>
      </c>
      <c r="H10" s="22">
        <f>F10*B3</f>
        <v>4800</v>
      </c>
      <c r="I10" s="22">
        <f>G10*B3</f>
        <v>4800</v>
      </c>
    </row>
    <row r="11" spans="1:10" ht="16" thickBot="1" x14ac:dyDescent="0.25">
      <c r="B11" s="18"/>
      <c r="D11" s="11" t="s">
        <v>12</v>
      </c>
      <c r="E11" s="17"/>
      <c r="F11" s="19">
        <f>SUM(F6:F10)</f>
        <v>181</v>
      </c>
      <c r="G11" s="19">
        <f>SUM(G6:G10)</f>
        <v>232</v>
      </c>
      <c r="H11" s="23">
        <f>SUM(H6:H10)</f>
        <v>46700</v>
      </c>
      <c r="I11" s="23">
        <f>SUM(I6:I10)</f>
        <v>75350</v>
      </c>
    </row>
    <row r="12" spans="1:10" ht="16" thickTop="1" x14ac:dyDescent="0.2">
      <c r="B12" s="18"/>
    </row>
    <row r="13" spans="1:10" ht="16" x14ac:dyDescent="0.2">
      <c r="A13" s="2" t="s">
        <v>13</v>
      </c>
      <c r="B13" s="2" t="s">
        <v>14</v>
      </c>
    </row>
    <row r="14" spans="1:10" ht="16" x14ac:dyDescent="0.2">
      <c r="A14" s="2" t="s">
        <v>15</v>
      </c>
      <c r="B14" s="2"/>
    </row>
    <row r="15" spans="1:10" ht="16" x14ac:dyDescent="0.2">
      <c r="A15" s="1" t="s">
        <v>16</v>
      </c>
      <c r="B15" s="5">
        <v>1</v>
      </c>
    </row>
    <row r="16" spans="1:10" ht="16" x14ac:dyDescent="0.2">
      <c r="A16" s="1" t="s">
        <v>17</v>
      </c>
      <c r="B16" s="5">
        <v>0</v>
      </c>
    </row>
    <row r="17" spans="1:2" ht="16" x14ac:dyDescent="0.2">
      <c r="A17" s="1" t="s">
        <v>18</v>
      </c>
      <c r="B17" s="5">
        <v>0.25</v>
      </c>
    </row>
    <row r="18" spans="1:2" ht="16" x14ac:dyDescent="0.2">
      <c r="A18" s="1" t="s">
        <v>19</v>
      </c>
      <c r="B18" s="5">
        <f>B17*0.5</f>
        <v>0.125</v>
      </c>
    </row>
    <row r="19" spans="1:2" ht="16" x14ac:dyDescent="0.2">
      <c r="A19" s="1" t="s">
        <v>20</v>
      </c>
      <c r="B19" s="5">
        <v>0.13</v>
      </c>
    </row>
    <row r="20" spans="1:2" ht="16" x14ac:dyDescent="0.2">
      <c r="A20" s="2" t="s">
        <v>21</v>
      </c>
      <c r="B20" s="15">
        <f>SUM(B15:B19)</f>
        <v>1.5049999999999999</v>
      </c>
    </row>
    <row r="21" spans="1:2" ht="16" x14ac:dyDescent="0.2">
      <c r="A21" s="1" t="s">
        <v>22</v>
      </c>
      <c r="B21" s="20">
        <v>1.5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AL33"/>
  <sheetViews>
    <sheetView topLeftCell="A16" workbookViewId="0">
      <pane xSplit="4" topLeftCell="E1" activePane="topRight" state="frozen"/>
      <selection pane="topRight" activeCell="A21" sqref="A21:C28"/>
    </sheetView>
  </sheetViews>
  <sheetFormatPr baseColWidth="10" defaultColWidth="8.6640625" defaultRowHeight="15" x14ac:dyDescent="0.2"/>
  <cols>
    <col min="1" max="1" width="26.33203125" style="1" customWidth="1"/>
    <col min="2" max="2" width="40" style="1" customWidth="1"/>
    <col min="3" max="4" width="12.6640625" style="1" customWidth="1"/>
    <col min="5" max="5" width="9.5" customWidth="1"/>
  </cols>
  <sheetData>
    <row r="1" spans="1:38" x14ac:dyDescent="0.2">
      <c r="E1" t="s">
        <v>9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</row>
    <row r="2" spans="1:38" ht="16" x14ac:dyDescent="0.2">
      <c r="B2" s="2" t="s">
        <v>56</v>
      </c>
      <c r="C2" s="2"/>
      <c r="D2" s="2"/>
    </row>
    <row r="3" spans="1:38" ht="16" x14ac:dyDescent="0.2">
      <c r="B3" s="1" t="s">
        <v>57</v>
      </c>
    </row>
    <row r="4" spans="1:38" ht="16" x14ac:dyDescent="0.2">
      <c r="B4" s="1" t="s">
        <v>58</v>
      </c>
      <c r="E4">
        <v>0</v>
      </c>
      <c r="F4" t="e">
        <f>IF(COUNTBLANK(F3),NA(),F3+E4)</f>
        <v>#N/A</v>
      </c>
      <c r="G4" t="e">
        <f>IF(COUNTBLANK(G3),NA(),G3+F4)</f>
        <v>#N/A</v>
      </c>
      <c r="H4" t="e">
        <f t="shared" ref="H4" si="0">IF(COUNTBLANK(H3),NA(),H3+G4)</f>
        <v>#N/A</v>
      </c>
      <c r="I4" t="e">
        <f t="shared" ref="I4" si="1">IF(COUNTBLANK(I3),NA(),I3+H4)</f>
        <v>#N/A</v>
      </c>
      <c r="J4" t="e">
        <f t="shared" ref="J4:AG4" si="2">IF(COUNTBLANK(J3),NA(),J3+I4)</f>
        <v>#N/A</v>
      </c>
      <c r="K4" t="e">
        <f t="shared" si="2"/>
        <v>#N/A</v>
      </c>
      <c r="L4" t="e">
        <f t="shared" si="2"/>
        <v>#N/A</v>
      </c>
      <c r="M4" t="e">
        <f t="shared" si="2"/>
        <v>#N/A</v>
      </c>
      <c r="N4" t="e">
        <f t="shared" si="2"/>
        <v>#N/A</v>
      </c>
      <c r="O4" t="e">
        <f t="shared" si="2"/>
        <v>#N/A</v>
      </c>
      <c r="P4" t="e">
        <f t="shared" si="2"/>
        <v>#N/A</v>
      </c>
      <c r="Q4" t="e">
        <f t="shared" si="2"/>
        <v>#N/A</v>
      </c>
      <c r="R4" t="e">
        <f t="shared" si="2"/>
        <v>#N/A</v>
      </c>
      <c r="S4" t="e">
        <f t="shared" si="2"/>
        <v>#N/A</v>
      </c>
      <c r="T4" t="e">
        <f t="shared" si="2"/>
        <v>#N/A</v>
      </c>
      <c r="U4" t="e">
        <f t="shared" si="2"/>
        <v>#N/A</v>
      </c>
      <c r="V4" t="e">
        <f t="shared" si="2"/>
        <v>#N/A</v>
      </c>
      <c r="W4" t="e">
        <f t="shared" si="2"/>
        <v>#N/A</v>
      </c>
      <c r="X4" t="e">
        <f t="shared" si="2"/>
        <v>#N/A</v>
      </c>
      <c r="Y4" t="e">
        <f t="shared" si="2"/>
        <v>#N/A</v>
      </c>
      <c r="Z4" t="e">
        <f t="shared" si="2"/>
        <v>#N/A</v>
      </c>
      <c r="AA4" t="e">
        <f t="shared" si="2"/>
        <v>#N/A</v>
      </c>
      <c r="AB4" t="e">
        <f t="shared" si="2"/>
        <v>#N/A</v>
      </c>
      <c r="AC4" t="e">
        <f t="shared" si="2"/>
        <v>#N/A</v>
      </c>
      <c r="AD4" t="e">
        <f t="shared" si="2"/>
        <v>#N/A</v>
      </c>
      <c r="AE4" t="e">
        <f t="shared" si="2"/>
        <v>#N/A</v>
      </c>
      <c r="AF4" t="e">
        <f t="shared" si="2"/>
        <v>#N/A</v>
      </c>
      <c r="AG4" t="e">
        <f t="shared" si="2"/>
        <v>#N/A</v>
      </c>
      <c r="AH4" t="e">
        <f t="shared" ref="AH4" si="3">IF(COUNTBLANK(AH3),NA(),AH3+AG4)</f>
        <v>#N/A</v>
      </c>
      <c r="AI4" t="e">
        <f t="shared" ref="AI4" si="4">IF(COUNTBLANK(AI3),NA(),AI3+AH4)</f>
        <v>#N/A</v>
      </c>
      <c r="AJ4" t="e">
        <f t="shared" ref="AJ4" si="5">IF(COUNTBLANK(AJ3),NA(),AJ3+AI4)</f>
        <v>#N/A</v>
      </c>
      <c r="AK4" t="e">
        <f t="shared" ref="AK4" si="6">IF(COUNTBLANK(AK3),NA(),AK3+AJ4)</f>
        <v>#N/A</v>
      </c>
      <c r="AL4" t="e">
        <f t="shared" ref="AL4" si="7">IF(COUNTBLANK(AL3),NA(),AL3+AK4)</f>
        <v>#N/A</v>
      </c>
    </row>
    <row r="5" spans="1:38" ht="16" x14ac:dyDescent="0.2">
      <c r="B5" s="1" t="s">
        <v>59</v>
      </c>
      <c r="E5" s="8">
        <v>36.5</v>
      </c>
      <c r="F5" s="8">
        <v>36.5</v>
      </c>
      <c r="G5" s="8">
        <v>36.5</v>
      </c>
      <c r="H5" s="8">
        <v>36.5</v>
      </c>
      <c r="I5" s="8">
        <v>36.5</v>
      </c>
      <c r="J5" s="8">
        <v>36.5</v>
      </c>
      <c r="K5" s="8">
        <v>36.5</v>
      </c>
      <c r="L5" s="8">
        <v>36.5</v>
      </c>
      <c r="M5" s="8">
        <v>36.5</v>
      </c>
      <c r="N5" s="8">
        <v>36.5</v>
      </c>
      <c r="O5" s="8">
        <v>36.5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</row>
    <row r="7" spans="1:38" ht="16" x14ac:dyDescent="0.2">
      <c r="A7" s="24" t="s">
        <v>60</v>
      </c>
      <c r="B7" s="1" t="s">
        <v>61</v>
      </c>
      <c r="E7">
        <v>0</v>
      </c>
      <c r="F7">
        <f>IF(ISNA(F4),E7+$B$17,F4)</f>
        <v>25</v>
      </c>
      <c r="G7">
        <f>IF(ISNA(G4),F7+$B$17,G4)</f>
        <v>50</v>
      </c>
      <c r="H7">
        <f t="shared" ref="H7:AK7" si="8">IF(ISNA(H4),G7+$B$17,H4)</f>
        <v>75</v>
      </c>
      <c r="I7">
        <f t="shared" si="8"/>
        <v>100</v>
      </c>
      <c r="J7">
        <f>IF(ISNA(J4),I7+$B$17,J4)</f>
        <v>125</v>
      </c>
      <c r="K7">
        <f t="shared" si="8"/>
        <v>150</v>
      </c>
      <c r="L7">
        <f t="shared" si="8"/>
        <v>175</v>
      </c>
      <c r="M7">
        <f t="shared" si="8"/>
        <v>200</v>
      </c>
      <c r="N7">
        <f t="shared" si="8"/>
        <v>225</v>
      </c>
      <c r="O7">
        <f t="shared" si="8"/>
        <v>250</v>
      </c>
      <c r="P7">
        <f t="shared" si="8"/>
        <v>275</v>
      </c>
      <c r="Q7">
        <f t="shared" si="8"/>
        <v>300</v>
      </c>
      <c r="R7">
        <f t="shared" si="8"/>
        <v>325</v>
      </c>
      <c r="S7">
        <f t="shared" si="8"/>
        <v>350</v>
      </c>
      <c r="T7">
        <f t="shared" si="8"/>
        <v>375</v>
      </c>
      <c r="U7">
        <f t="shared" si="8"/>
        <v>400</v>
      </c>
      <c r="V7">
        <f t="shared" si="8"/>
        <v>425</v>
      </c>
      <c r="W7">
        <f t="shared" si="8"/>
        <v>450</v>
      </c>
      <c r="X7">
        <f t="shared" si="8"/>
        <v>475</v>
      </c>
      <c r="Y7">
        <f t="shared" si="8"/>
        <v>500</v>
      </c>
      <c r="Z7">
        <f t="shared" si="8"/>
        <v>525</v>
      </c>
      <c r="AA7">
        <f t="shared" si="8"/>
        <v>550</v>
      </c>
      <c r="AB7">
        <f t="shared" si="8"/>
        <v>575</v>
      </c>
      <c r="AC7">
        <f t="shared" si="8"/>
        <v>600</v>
      </c>
      <c r="AD7">
        <f t="shared" si="8"/>
        <v>625</v>
      </c>
      <c r="AE7">
        <f t="shared" si="8"/>
        <v>650</v>
      </c>
      <c r="AF7">
        <f t="shared" si="8"/>
        <v>675</v>
      </c>
      <c r="AG7">
        <f t="shared" si="8"/>
        <v>700</v>
      </c>
      <c r="AH7">
        <f t="shared" si="8"/>
        <v>725</v>
      </c>
      <c r="AI7">
        <f t="shared" si="8"/>
        <v>750</v>
      </c>
      <c r="AJ7">
        <f t="shared" si="8"/>
        <v>775</v>
      </c>
      <c r="AK7">
        <f t="shared" si="8"/>
        <v>800</v>
      </c>
      <c r="AL7">
        <f t="shared" ref="AL7" si="9">IF(ISNA(AL4),AK7+$B$17,AL4)</f>
        <v>825</v>
      </c>
    </row>
    <row r="8" spans="1:38" ht="16" x14ac:dyDescent="0.2">
      <c r="A8" s="24"/>
      <c r="B8" s="1" t="s">
        <v>62</v>
      </c>
      <c r="E8">
        <v>0</v>
      </c>
      <c r="F8">
        <f t="shared" ref="F8:AK8" si="10">IF(ISNA(F4),E8+$B$18,F4)</f>
        <v>20</v>
      </c>
      <c r="G8">
        <f t="shared" si="10"/>
        <v>40</v>
      </c>
      <c r="H8">
        <f t="shared" si="10"/>
        <v>60</v>
      </c>
      <c r="I8">
        <f t="shared" si="10"/>
        <v>80</v>
      </c>
      <c r="J8">
        <f t="shared" si="10"/>
        <v>100</v>
      </c>
      <c r="K8">
        <f t="shared" si="10"/>
        <v>120</v>
      </c>
      <c r="L8">
        <f t="shared" si="10"/>
        <v>140</v>
      </c>
      <c r="M8">
        <f t="shared" si="10"/>
        <v>160</v>
      </c>
      <c r="N8">
        <f t="shared" si="10"/>
        <v>180</v>
      </c>
      <c r="O8">
        <f t="shared" si="10"/>
        <v>200</v>
      </c>
      <c r="P8">
        <f t="shared" si="10"/>
        <v>220</v>
      </c>
      <c r="Q8">
        <f t="shared" si="10"/>
        <v>240</v>
      </c>
      <c r="R8">
        <f t="shared" si="10"/>
        <v>260</v>
      </c>
      <c r="S8">
        <f t="shared" si="10"/>
        <v>280</v>
      </c>
      <c r="T8">
        <f t="shared" si="10"/>
        <v>300</v>
      </c>
      <c r="U8">
        <f t="shared" si="10"/>
        <v>320</v>
      </c>
      <c r="V8">
        <f t="shared" si="10"/>
        <v>340</v>
      </c>
      <c r="W8">
        <f t="shared" si="10"/>
        <v>360</v>
      </c>
      <c r="X8">
        <f t="shared" si="10"/>
        <v>380</v>
      </c>
      <c r="Y8">
        <f t="shared" si="10"/>
        <v>400</v>
      </c>
      <c r="Z8">
        <f t="shared" si="10"/>
        <v>420</v>
      </c>
      <c r="AA8">
        <f t="shared" si="10"/>
        <v>440</v>
      </c>
      <c r="AB8">
        <f t="shared" si="10"/>
        <v>460</v>
      </c>
      <c r="AC8">
        <f t="shared" si="10"/>
        <v>480</v>
      </c>
      <c r="AD8">
        <f t="shared" si="10"/>
        <v>500</v>
      </c>
      <c r="AE8">
        <f t="shared" si="10"/>
        <v>520</v>
      </c>
      <c r="AF8">
        <f t="shared" si="10"/>
        <v>540</v>
      </c>
      <c r="AG8">
        <f t="shared" si="10"/>
        <v>560</v>
      </c>
      <c r="AH8">
        <f t="shared" si="10"/>
        <v>580</v>
      </c>
      <c r="AI8">
        <f t="shared" si="10"/>
        <v>600</v>
      </c>
      <c r="AJ8">
        <f t="shared" si="10"/>
        <v>620</v>
      </c>
      <c r="AK8">
        <f t="shared" si="10"/>
        <v>640</v>
      </c>
      <c r="AL8">
        <f t="shared" ref="AL8" si="11">IF(ISNA(AL4),AK8+$B$18,AL4)</f>
        <v>660</v>
      </c>
    </row>
    <row r="9" spans="1:38" ht="16" x14ac:dyDescent="0.2">
      <c r="A9" s="24"/>
      <c r="B9" s="1" t="s">
        <v>63</v>
      </c>
      <c r="E9">
        <v>0</v>
      </c>
      <c r="F9">
        <f t="shared" ref="F9:AK9" si="12">IF(ISNA(F4),E9+$B$19,F4)</f>
        <v>15</v>
      </c>
      <c r="G9">
        <f t="shared" si="12"/>
        <v>30</v>
      </c>
      <c r="H9">
        <f t="shared" si="12"/>
        <v>45</v>
      </c>
      <c r="I9">
        <f t="shared" si="12"/>
        <v>60</v>
      </c>
      <c r="J9">
        <f t="shared" si="12"/>
        <v>75</v>
      </c>
      <c r="K9">
        <f t="shared" si="12"/>
        <v>90</v>
      </c>
      <c r="L9">
        <f t="shared" si="12"/>
        <v>105</v>
      </c>
      <c r="M9">
        <f t="shared" si="12"/>
        <v>120</v>
      </c>
      <c r="N9">
        <f t="shared" si="12"/>
        <v>135</v>
      </c>
      <c r="O9">
        <f t="shared" si="12"/>
        <v>150</v>
      </c>
      <c r="P9">
        <f t="shared" si="12"/>
        <v>165</v>
      </c>
      <c r="Q9">
        <f t="shared" si="12"/>
        <v>180</v>
      </c>
      <c r="R9">
        <f t="shared" si="12"/>
        <v>195</v>
      </c>
      <c r="S9">
        <f t="shared" si="12"/>
        <v>210</v>
      </c>
      <c r="T9">
        <f t="shared" si="12"/>
        <v>225</v>
      </c>
      <c r="U9">
        <f t="shared" si="12"/>
        <v>240</v>
      </c>
      <c r="V9">
        <f t="shared" si="12"/>
        <v>255</v>
      </c>
      <c r="W9">
        <f t="shared" si="12"/>
        <v>270</v>
      </c>
      <c r="X9">
        <f t="shared" si="12"/>
        <v>285</v>
      </c>
      <c r="Y9">
        <f t="shared" si="12"/>
        <v>300</v>
      </c>
      <c r="Z9">
        <f t="shared" si="12"/>
        <v>315</v>
      </c>
      <c r="AA9">
        <f t="shared" si="12"/>
        <v>330</v>
      </c>
      <c r="AB9">
        <f t="shared" si="12"/>
        <v>345</v>
      </c>
      <c r="AC9">
        <f t="shared" si="12"/>
        <v>360</v>
      </c>
      <c r="AD9">
        <f t="shared" si="12"/>
        <v>375</v>
      </c>
      <c r="AE9">
        <f t="shared" si="12"/>
        <v>390</v>
      </c>
      <c r="AF9">
        <f t="shared" si="12"/>
        <v>405</v>
      </c>
      <c r="AG9">
        <f t="shared" si="12"/>
        <v>420</v>
      </c>
      <c r="AH9">
        <f t="shared" si="12"/>
        <v>435</v>
      </c>
      <c r="AI9">
        <f t="shared" si="12"/>
        <v>450</v>
      </c>
      <c r="AJ9">
        <f t="shared" si="12"/>
        <v>465</v>
      </c>
      <c r="AK9">
        <f t="shared" si="12"/>
        <v>480</v>
      </c>
      <c r="AL9">
        <f t="shared" ref="AL9" si="13">IF(ISNA(AL4),AK9+$B$19,AL4)</f>
        <v>495</v>
      </c>
    </row>
    <row r="11" spans="1:38" ht="16" x14ac:dyDescent="0.2">
      <c r="A11" s="24" t="s">
        <v>64</v>
      </c>
      <c r="B11" s="2" t="s">
        <v>65</v>
      </c>
      <c r="C11" s="2"/>
      <c r="D11" s="2"/>
    </row>
    <row r="12" spans="1:38" ht="16" x14ac:dyDescent="0.2">
      <c r="A12" s="24"/>
      <c r="B12" s="1" t="s">
        <v>66</v>
      </c>
      <c r="F12">
        <v>23400</v>
      </c>
      <c r="G12">
        <v>23400</v>
      </c>
      <c r="H12">
        <v>23400</v>
      </c>
      <c r="I12">
        <v>23400</v>
      </c>
      <c r="J12">
        <v>23400</v>
      </c>
      <c r="K12">
        <v>23400</v>
      </c>
      <c r="L12">
        <v>23400</v>
      </c>
      <c r="M12">
        <v>23400</v>
      </c>
      <c r="N12">
        <v>23400</v>
      </c>
    </row>
    <row r="13" spans="1:38" ht="16" x14ac:dyDescent="0.2">
      <c r="A13" s="24"/>
      <c r="B13" s="1" t="s">
        <v>67</v>
      </c>
      <c r="E13">
        <v>0</v>
      </c>
      <c r="F13">
        <f>IF(COUNTBLANK(F12),NA(),F12+E13)</f>
        <v>23400</v>
      </c>
      <c r="G13">
        <f t="shared" ref="G13:AL13" si="14">IF(COUNTBLANK(G12),NA(),G12+F13)</f>
        <v>46800</v>
      </c>
      <c r="H13">
        <f t="shared" si="14"/>
        <v>70200</v>
      </c>
      <c r="I13">
        <f t="shared" si="14"/>
        <v>93600</v>
      </c>
      <c r="J13">
        <f>IF(COUNTBLANK(J12),NA(),J12+I13)</f>
        <v>117000</v>
      </c>
      <c r="K13">
        <f t="shared" si="14"/>
        <v>140400</v>
      </c>
      <c r="L13">
        <f t="shared" si="14"/>
        <v>163800</v>
      </c>
      <c r="M13">
        <f>IF(COUNTBLANK(M12),NA(),M12+L13)</f>
        <v>187200</v>
      </c>
      <c r="N13">
        <f t="shared" si="14"/>
        <v>210600</v>
      </c>
      <c r="O13" t="e">
        <f>IF(COUNTBLANK(O12),NA(),O12+N13)</f>
        <v>#N/A</v>
      </c>
      <c r="P13" t="e">
        <f t="shared" si="14"/>
        <v>#N/A</v>
      </c>
      <c r="Q13" t="e">
        <f t="shared" si="14"/>
        <v>#N/A</v>
      </c>
      <c r="R13" t="e">
        <f t="shared" si="14"/>
        <v>#N/A</v>
      </c>
      <c r="S13" t="e">
        <f t="shared" si="14"/>
        <v>#N/A</v>
      </c>
      <c r="T13" t="e">
        <f t="shared" si="14"/>
        <v>#N/A</v>
      </c>
      <c r="U13" t="e">
        <f t="shared" si="14"/>
        <v>#N/A</v>
      </c>
      <c r="V13" t="e">
        <f t="shared" si="14"/>
        <v>#N/A</v>
      </c>
      <c r="W13" t="e">
        <f t="shared" si="14"/>
        <v>#N/A</v>
      </c>
      <c r="X13" t="e">
        <f t="shared" si="14"/>
        <v>#N/A</v>
      </c>
      <c r="Y13" t="e">
        <f t="shared" si="14"/>
        <v>#N/A</v>
      </c>
      <c r="Z13" t="e">
        <f t="shared" si="14"/>
        <v>#N/A</v>
      </c>
      <c r="AA13" t="e">
        <f t="shared" si="14"/>
        <v>#N/A</v>
      </c>
      <c r="AB13" t="e">
        <f t="shared" si="14"/>
        <v>#N/A</v>
      </c>
      <c r="AC13" t="e">
        <f t="shared" si="14"/>
        <v>#N/A</v>
      </c>
      <c r="AD13" t="e">
        <f t="shared" si="14"/>
        <v>#N/A</v>
      </c>
      <c r="AE13" t="e">
        <f t="shared" si="14"/>
        <v>#N/A</v>
      </c>
      <c r="AF13" t="e">
        <f t="shared" si="14"/>
        <v>#N/A</v>
      </c>
      <c r="AG13" t="e">
        <f t="shared" si="14"/>
        <v>#N/A</v>
      </c>
      <c r="AH13" t="e">
        <f t="shared" si="14"/>
        <v>#N/A</v>
      </c>
      <c r="AI13" t="e">
        <f t="shared" si="14"/>
        <v>#N/A</v>
      </c>
      <c r="AJ13" t="e">
        <f t="shared" si="14"/>
        <v>#N/A</v>
      </c>
      <c r="AK13" t="e">
        <f t="shared" si="14"/>
        <v>#N/A</v>
      </c>
      <c r="AL13" t="e">
        <f t="shared" si="14"/>
        <v>#N/A</v>
      </c>
    </row>
    <row r="14" spans="1:38" ht="16" x14ac:dyDescent="0.2">
      <c r="A14" s="24"/>
      <c r="B14" s="1" t="s">
        <v>68</v>
      </c>
      <c r="E14">
        <v>0</v>
      </c>
      <c r="F14">
        <f t="shared" ref="F14:AK14" si="15">IF(ISNA(F13),E14+$D$30,F13)</f>
        <v>23400</v>
      </c>
      <c r="G14">
        <f t="shared" si="15"/>
        <v>46800</v>
      </c>
      <c r="H14">
        <f t="shared" si="15"/>
        <v>70200</v>
      </c>
      <c r="I14">
        <f t="shared" si="15"/>
        <v>93600</v>
      </c>
      <c r="J14">
        <f t="shared" si="15"/>
        <v>117000</v>
      </c>
      <c r="K14">
        <f t="shared" si="15"/>
        <v>140400</v>
      </c>
      <c r="L14">
        <f t="shared" si="15"/>
        <v>163800</v>
      </c>
      <c r="M14">
        <f t="shared" si="15"/>
        <v>187200</v>
      </c>
      <c r="N14">
        <f t="shared" si="15"/>
        <v>210600</v>
      </c>
      <c r="O14">
        <f t="shared" si="15"/>
        <v>210600</v>
      </c>
      <c r="P14">
        <f t="shared" si="15"/>
        <v>210600</v>
      </c>
      <c r="Q14">
        <f t="shared" si="15"/>
        <v>210600</v>
      </c>
      <c r="R14">
        <f t="shared" si="15"/>
        <v>210600</v>
      </c>
      <c r="S14">
        <f t="shared" si="15"/>
        <v>210600</v>
      </c>
      <c r="T14">
        <f t="shared" si="15"/>
        <v>210600</v>
      </c>
      <c r="U14">
        <f t="shared" si="15"/>
        <v>210600</v>
      </c>
      <c r="V14">
        <f t="shared" si="15"/>
        <v>210600</v>
      </c>
      <c r="W14">
        <f t="shared" si="15"/>
        <v>210600</v>
      </c>
      <c r="X14">
        <f t="shared" si="15"/>
        <v>210600</v>
      </c>
      <c r="Y14">
        <f t="shared" si="15"/>
        <v>210600</v>
      </c>
      <c r="Z14">
        <f t="shared" si="15"/>
        <v>210600</v>
      </c>
      <c r="AA14">
        <f t="shared" si="15"/>
        <v>210600</v>
      </c>
      <c r="AB14">
        <f t="shared" si="15"/>
        <v>210600</v>
      </c>
      <c r="AC14">
        <f t="shared" si="15"/>
        <v>210600</v>
      </c>
      <c r="AD14">
        <f t="shared" si="15"/>
        <v>210600</v>
      </c>
      <c r="AE14">
        <f t="shared" si="15"/>
        <v>210600</v>
      </c>
      <c r="AF14">
        <f t="shared" si="15"/>
        <v>210600</v>
      </c>
      <c r="AG14">
        <f t="shared" si="15"/>
        <v>210600</v>
      </c>
      <c r="AH14">
        <f t="shared" si="15"/>
        <v>210600</v>
      </c>
      <c r="AI14">
        <f t="shared" si="15"/>
        <v>210600</v>
      </c>
      <c r="AJ14">
        <f t="shared" si="15"/>
        <v>210600</v>
      </c>
      <c r="AK14">
        <f t="shared" si="15"/>
        <v>210600</v>
      </c>
      <c r="AL14">
        <f t="shared" ref="AL14" si="16">IF(ISNA(AL13),AK14+$D$30,AL13)</f>
        <v>210600</v>
      </c>
    </row>
    <row r="16" spans="1:38" ht="16" x14ac:dyDescent="0.2">
      <c r="A16" s="2" t="s">
        <v>69</v>
      </c>
    </row>
    <row r="17" spans="1:4" ht="32" x14ac:dyDescent="0.2">
      <c r="A17" s="1" t="s">
        <v>70</v>
      </c>
      <c r="B17" s="1">
        <v>25</v>
      </c>
    </row>
    <row r="18" spans="1:4" ht="32" x14ac:dyDescent="0.2">
      <c r="A18" s="1" t="s">
        <v>71</v>
      </c>
      <c r="B18" s="1">
        <v>20</v>
      </c>
    </row>
    <row r="19" spans="1:4" ht="32" x14ac:dyDescent="0.2">
      <c r="A19" s="1" t="s">
        <v>72</v>
      </c>
      <c r="B19" s="1">
        <v>15</v>
      </c>
    </row>
    <row r="21" spans="1:4" ht="16" x14ac:dyDescent="0.2">
      <c r="A21" s="2" t="s">
        <v>13</v>
      </c>
      <c r="B21" s="2" t="s">
        <v>73</v>
      </c>
      <c r="C21" s="2" t="s">
        <v>14</v>
      </c>
      <c r="D21" s="2" t="s">
        <v>74</v>
      </c>
    </row>
    <row r="22" spans="1:4" ht="16" x14ac:dyDescent="0.2">
      <c r="A22" s="2" t="s">
        <v>15</v>
      </c>
      <c r="B22" s="2"/>
      <c r="C22" s="2"/>
      <c r="D22" s="6" t="e">
        <f>'High Level Proposal'!#REF!/8*160*1.5*3/4</f>
        <v>#REF!</v>
      </c>
    </row>
    <row r="23" spans="1:4" ht="16" x14ac:dyDescent="0.2">
      <c r="A23" s="1" t="s">
        <v>16</v>
      </c>
      <c r="C23" s="5">
        <v>1</v>
      </c>
      <c r="D23" s="3"/>
    </row>
    <row r="24" spans="1:4" ht="16" x14ac:dyDescent="0.2">
      <c r="A24" s="1" t="s">
        <v>17</v>
      </c>
      <c r="C24" s="5">
        <v>0.5</v>
      </c>
      <c r="D24" s="3"/>
    </row>
    <row r="25" spans="1:4" ht="16" x14ac:dyDescent="0.2">
      <c r="A25" s="1" t="s">
        <v>18</v>
      </c>
      <c r="C25" s="5">
        <v>0.25</v>
      </c>
      <c r="D25" s="3"/>
    </row>
    <row r="26" spans="1:4" ht="16" x14ac:dyDescent="0.2">
      <c r="A26" s="1" t="s">
        <v>19</v>
      </c>
      <c r="C26" s="5">
        <f>C25*0.5</f>
        <v>0.125</v>
      </c>
      <c r="D26" s="3"/>
    </row>
    <row r="27" spans="1:4" ht="16" x14ac:dyDescent="0.2">
      <c r="A27" s="1" t="s">
        <v>20</v>
      </c>
      <c r="C27" s="5">
        <v>0.13</v>
      </c>
    </row>
    <row r="28" spans="1:4" ht="16" x14ac:dyDescent="0.2">
      <c r="A28" s="2" t="s">
        <v>21</v>
      </c>
      <c r="B28" s="2"/>
      <c r="C28" s="15">
        <f>SUM(C23:C27)</f>
        <v>2.0049999999999999</v>
      </c>
    </row>
    <row r="29" spans="1:4" x14ac:dyDescent="0.2">
      <c r="C29" s="5"/>
    </row>
    <row r="30" spans="1:4" x14ac:dyDescent="0.2">
      <c r="A30" s="2"/>
      <c r="D30" s="6"/>
    </row>
    <row r="31" spans="1:4" x14ac:dyDescent="0.2">
      <c r="D31" s="3"/>
    </row>
    <row r="33" spans="4:4" x14ac:dyDescent="0.2">
      <c r="D33" s="3"/>
    </row>
  </sheetData>
  <mergeCells count="2">
    <mergeCell ref="A7:A9"/>
    <mergeCell ref="A11:A14"/>
  </mergeCells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zoomScale="85" zoomScaleNormal="85" workbookViewId="0">
      <selection activeCell="R40" sqref="R40"/>
    </sheetView>
  </sheetViews>
  <sheetFormatPr baseColWidth="10" defaultColWidth="8.6640625" defaultRowHeight="15" x14ac:dyDescent="0.2"/>
  <cols>
    <col min="6" max="7" width="10.33203125" bestFit="1" customWidth="1"/>
    <col min="8" max="9" width="11.33203125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91C6-2D6B-4559-BAB2-FBE0F2F735DF}">
  <dimension ref="A1:G11"/>
  <sheetViews>
    <sheetView workbookViewId="0">
      <selection activeCell="E16" sqref="E16"/>
    </sheetView>
  </sheetViews>
  <sheetFormatPr baseColWidth="10" defaultColWidth="8.6640625" defaultRowHeight="15" x14ac:dyDescent="0.2"/>
  <cols>
    <col min="1" max="1" width="14" bestFit="1" customWidth="1"/>
    <col min="2" max="2" width="10.6640625" bestFit="1" customWidth="1"/>
    <col min="3" max="3" width="5.33203125" customWidth="1"/>
    <col min="4" max="4" width="43.1640625" bestFit="1" customWidth="1"/>
    <col min="5" max="5" width="26.6640625" bestFit="1" customWidth="1"/>
    <col min="6" max="7" width="11.6640625" bestFit="1" customWidth="1"/>
  </cols>
  <sheetData>
    <row r="1" spans="1:7" x14ac:dyDescent="0.2">
      <c r="A1" t="s">
        <v>0</v>
      </c>
      <c r="B1" s="6" t="e">
        <f>Detail!D22</f>
        <v>#REF!</v>
      </c>
      <c r="C1" s="6"/>
    </row>
    <row r="2" spans="1:7" x14ac:dyDescent="0.2">
      <c r="A2" t="s">
        <v>75</v>
      </c>
      <c r="B2" s="3">
        <v>780</v>
      </c>
      <c r="C2" s="3"/>
    </row>
    <row r="3" spans="1:7" x14ac:dyDescent="0.2">
      <c r="A3" t="s">
        <v>1</v>
      </c>
      <c r="B3" s="3">
        <f>B2/8</f>
        <v>97.5</v>
      </c>
      <c r="C3" s="3"/>
    </row>
    <row r="4" spans="1:7" x14ac:dyDescent="0.2">
      <c r="A4" t="s">
        <v>2</v>
      </c>
      <c r="B4" s="7">
        <f>B3*160</f>
        <v>15600</v>
      </c>
      <c r="C4" s="7"/>
      <c r="D4" s="13" t="s">
        <v>3</v>
      </c>
      <c r="E4" s="13" t="s">
        <v>4</v>
      </c>
      <c r="F4" s="13" t="s">
        <v>76</v>
      </c>
      <c r="G4" s="13" t="s">
        <v>77</v>
      </c>
    </row>
    <row r="5" spans="1:7" x14ac:dyDescent="0.2">
      <c r="D5" s="9" t="s">
        <v>9</v>
      </c>
      <c r="E5" s="9"/>
      <c r="F5" s="10"/>
      <c r="G5" s="10"/>
    </row>
    <row r="6" spans="1:7" x14ac:dyDescent="0.2">
      <c r="D6" s="9" t="s">
        <v>78</v>
      </c>
      <c r="E6" s="9"/>
      <c r="F6" s="10"/>
      <c r="G6" s="10"/>
    </row>
    <row r="7" spans="1:7" x14ac:dyDescent="0.2">
      <c r="D7" s="9" t="s">
        <v>79</v>
      </c>
      <c r="E7" s="9"/>
      <c r="F7" s="10"/>
      <c r="G7" s="10"/>
    </row>
    <row r="8" spans="1:7" x14ac:dyDescent="0.2">
      <c r="D8" s="9" t="s">
        <v>80</v>
      </c>
      <c r="E8" s="9"/>
      <c r="F8" s="10"/>
      <c r="G8" s="10"/>
    </row>
    <row r="9" spans="1:7" x14ac:dyDescent="0.2">
      <c r="D9" s="9" t="s">
        <v>81</v>
      </c>
      <c r="E9" s="9" t="s">
        <v>82</v>
      </c>
      <c r="F9" s="10"/>
      <c r="G9" s="10"/>
    </row>
    <row r="10" spans="1:7" ht="16" thickBot="1" x14ac:dyDescent="0.25">
      <c r="D10" s="11" t="s">
        <v>83</v>
      </c>
      <c r="E10" s="11" t="s">
        <v>84</v>
      </c>
      <c r="F10" s="12">
        <f>SUM(F5:F9)</f>
        <v>0</v>
      </c>
      <c r="G10" s="12">
        <f>SUM(G5:G9)</f>
        <v>0</v>
      </c>
    </row>
    <row r="11" spans="1:7" ht="16" thickTop="1" x14ac:dyDescent="0.2">
      <c r="D11" s="4"/>
      <c r="E11" s="4"/>
      <c r="F11" s="14"/>
      <c r="G11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1845F0-74A9-4205-A8EE-C6599FD99DC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8195739-F48A-45FA-B14B-AA6F1092D48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1ffbd5dc-7a64-4097-8396-87f6c90b212f"/>
  </ds:schemaRefs>
</ds:datastoreItem>
</file>

<file path=customXml/itemProps5.xml><?xml version="1.0" encoding="utf-8"?>
<ds:datastoreItem xmlns:ds="http://schemas.openxmlformats.org/officeDocument/2006/customXml" ds:itemID="{F1EED6BC-DF9E-4830-86DB-948FD66FB9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 Level Proposal</vt:lpstr>
      <vt:lpstr>Detail</vt:lpstr>
      <vt:lpstr>Burnup</vt:lpstr>
      <vt:lpstr>Post Sprint 0 Cost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Sam Duncan</cp:lastModifiedBy>
  <cp:revision/>
  <dcterms:created xsi:type="dcterms:W3CDTF">2020-08-13T15:11:43Z</dcterms:created>
  <dcterms:modified xsi:type="dcterms:W3CDTF">2025-08-08T16:05:18Z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0x010100B16301FA1C2D5E4DB9305F31D037531D0207030047E0126EE26B68468E30FEE8ADFBCCCC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  <property fmtid="{D5CDD505-2E9C-101B-9397-08002B2CF9AE}" pid="20" name="nae5750f31d8428b9a1182bd8e59d390">
    <vt:lpwstr>Enterprise Solutions|08c57b01-67e8-4a4f-abc6-ffb3392ace7f</vt:lpwstr>
  </property>
  <property fmtid="{D5CDD505-2E9C-101B-9397-08002B2CF9AE}" pid="21" name="k6ebf865df8440b3a55c1aa81c9bae7c">
    <vt:lpwstr>Generic Project Document|258c2ed6-b93b-4ffe-8901-a23f2dc98ec9</vt:lpwstr>
  </property>
  <property fmtid="{D5CDD505-2E9C-101B-9397-08002B2CF9AE}" pid="22" name="ica44df5449d49f98766f83f0bd254a7">
    <vt:lpwstr>Grainger PLC|a74f1cb5-e995-4f9e-8521-6d52e2c6bf08</vt:lpwstr>
  </property>
  <property fmtid="{D5CDD505-2E9C-101B-9397-08002B2CF9AE}" pid="23" name="Prospective Client">
    <vt:lpwstr/>
  </property>
  <property fmtid="{D5CDD505-2E9C-101B-9397-08002B2CF9AE}" pid="24" name="Prospective_x0020_Client">
    <vt:lpwstr/>
  </property>
</Properties>
</file>