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Rent Collection &amp; Arrears Management/Sales/"/>
    </mc:Choice>
  </mc:AlternateContent>
  <xr:revisionPtr revIDLastSave="180" documentId="8_{9804A1FB-45E5-45A4-9795-4FD5DA3682BC}" xr6:coauthVersionLast="47" xr6:coauthVersionMax="47" xr10:uidLastSave="{C998AAE1-04F3-4137-AC1F-BB36EE977EA2}"/>
  <bookViews>
    <workbookView xWindow="-120" yWindow="-120" windowWidth="29040" windowHeight="15720" xr2:uid="{1BC79FD0-5383-49E8-83BB-FA7796470E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J19" i="1"/>
  <c r="I16" i="1"/>
  <c r="I15" i="1"/>
  <c r="I14" i="1"/>
  <c r="I13" i="1"/>
  <c r="I11" i="1"/>
  <c r="I6" i="1"/>
  <c r="I7" i="1"/>
  <c r="I8" i="1"/>
  <c r="I9" i="1"/>
  <c r="I10" i="1"/>
  <c r="I5" i="1"/>
  <c r="H5" i="1"/>
  <c r="H7" i="1"/>
  <c r="H6" i="1"/>
  <c r="E11" i="1"/>
  <c r="H10" i="1"/>
  <c r="H9" i="1"/>
  <c r="H8" i="1"/>
  <c r="H11" i="1" l="1"/>
  <c r="H12" i="1" l="1"/>
  <c r="H18" i="1" l="1"/>
  <c r="I12" i="1"/>
  <c r="I18" i="1" s="1"/>
</calcChain>
</file>

<file path=xl/sharedStrings.xml><?xml version="1.0" encoding="utf-8"?>
<sst xmlns="http://schemas.openxmlformats.org/spreadsheetml/2006/main" count="23" uniqueCount="23">
  <si>
    <t>Rate</t>
  </si>
  <si>
    <t>Contingency</t>
  </si>
  <si>
    <t>Meetings</t>
  </si>
  <si>
    <t>Division</t>
  </si>
  <si>
    <t>Sessions Lower Bound</t>
  </si>
  <si>
    <t>Sessions Upper Bound</t>
  </si>
  <si>
    <t>Open Box Attendees</t>
  </si>
  <si>
    <t>Lower Bound</t>
  </si>
  <si>
    <t>Upper Bound</t>
  </si>
  <si>
    <t>Finance</t>
  </si>
  <si>
    <t>CX</t>
  </si>
  <si>
    <t>RSM</t>
  </si>
  <si>
    <t>Data Warehouse</t>
  </si>
  <si>
    <t>Qube</t>
  </si>
  <si>
    <t>Zoom</t>
  </si>
  <si>
    <t>Post meeting Debrief/solutioning</t>
  </si>
  <si>
    <t>POC</t>
  </si>
  <si>
    <t>Proposal Documentation</t>
  </si>
  <si>
    <t>Proposal Presentation</t>
  </si>
  <si>
    <t>Feature Backlog</t>
  </si>
  <si>
    <t>Total Hours</t>
  </si>
  <si>
    <t>Communicated Hours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</si>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</sst>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4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9" fontId="0" fillId="0" borderId="0" xfId="1" applyFont="1"/>
    <xf numFmtId="4" fontId="0" fillId="0" borderId="0" xfId="0" applyNumberFormat="1"/>
    <xf numFmtId="0" fontId="0" fillId="0" borderId="1" xfId="0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EB79-6A9B-4970-9AEB-368469D3F5F0}">
  <dimension ref="A1:J20"/>
  <sheetViews>
    <sheetView tabSelected="1" workbookViewId="0">
      <selection activeCell="N12" sqref="N12"/>
    </sheetView>
  </sheetViews>
  <sheetFormatPr defaultRowHeight="15"/>
  <cols>
    <col min="1" max="1" width="11.7109375" bestFit="1" customWidth="1"/>
    <col min="3" max="3" width="30.42578125" bestFit="1" customWidth="1"/>
    <col min="4" max="4" width="15.7109375" bestFit="1" customWidth="1"/>
    <col min="5" max="6" width="21.5703125" bestFit="1" customWidth="1"/>
    <col min="7" max="7" width="19.5703125" bestFit="1" customWidth="1"/>
    <col min="8" max="9" width="12.5703125" bestFit="1" customWidth="1"/>
    <col min="11" max="11" width="9.140625" customWidth="1"/>
  </cols>
  <sheetData>
    <row r="1" spans="1:9">
      <c r="A1" t="s">
        <v>0</v>
      </c>
      <c r="B1" s="2">
        <v>155</v>
      </c>
    </row>
    <row r="2" spans="1:9">
      <c r="A2" t="s">
        <v>1</v>
      </c>
      <c r="B2" s="7">
        <v>1.3</v>
      </c>
    </row>
    <row r="4" spans="1:9">
      <c r="C4" s="8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1:9">
      <c r="C5" s="8"/>
      <c r="D5" s="1" t="s">
        <v>9</v>
      </c>
      <c r="E5" s="1">
        <v>5</v>
      </c>
      <c r="F5" s="1">
        <v>8</v>
      </c>
      <c r="G5" s="1">
        <v>2</v>
      </c>
      <c r="H5" s="1">
        <f>G5*E5</f>
        <v>10</v>
      </c>
      <c r="I5" s="1">
        <f>G5*F5</f>
        <v>16</v>
      </c>
    </row>
    <row r="6" spans="1:9">
      <c r="C6" s="8"/>
      <c r="D6" s="1" t="s">
        <v>10</v>
      </c>
      <c r="E6" s="1">
        <v>2</v>
      </c>
      <c r="F6" s="1">
        <v>3</v>
      </c>
      <c r="G6" s="1">
        <v>2</v>
      </c>
      <c r="H6" s="1">
        <f>G6*E6</f>
        <v>4</v>
      </c>
      <c r="I6" s="1">
        <f t="shared" ref="I6:I10" si="0">G6*F6</f>
        <v>6</v>
      </c>
    </row>
    <row r="7" spans="1:9">
      <c r="C7" s="8"/>
      <c r="D7" s="1" t="s">
        <v>11</v>
      </c>
      <c r="E7" s="1">
        <v>1</v>
      </c>
      <c r="F7" s="1">
        <v>2</v>
      </c>
      <c r="G7" s="1">
        <v>2</v>
      </c>
      <c r="H7" s="1">
        <f>G7*E7</f>
        <v>2</v>
      </c>
      <c r="I7" s="1">
        <f t="shared" si="0"/>
        <v>4</v>
      </c>
    </row>
    <row r="8" spans="1:9">
      <c r="C8" s="8"/>
      <c r="D8" s="1" t="s">
        <v>12</v>
      </c>
      <c r="E8" s="1">
        <v>2</v>
      </c>
      <c r="F8" s="1">
        <v>3</v>
      </c>
      <c r="G8" s="1">
        <v>2</v>
      </c>
      <c r="H8" s="1">
        <f t="shared" ref="H8:H10" si="1">G8*E8</f>
        <v>4</v>
      </c>
      <c r="I8" s="1">
        <f t="shared" si="0"/>
        <v>6</v>
      </c>
    </row>
    <row r="9" spans="1:9">
      <c r="C9" s="8"/>
      <c r="D9" s="1" t="s">
        <v>13</v>
      </c>
      <c r="E9" s="1">
        <v>2</v>
      </c>
      <c r="F9" s="1">
        <v>3</v>
      </c>
      <c r="G9" s="1">
        <v>2</v>
      </c>
      <c r="H9" s="1">
        <f t="shared" si="1"/>
        <v>4</v>
      </c>
      <c r="I9" s="1">
        <f t="shared" si="0"/>
        <v>6</v>
      </c>
    </row>
    <row r="10" spans="1:9">
      <c r="C10" s="8"/>
      <c r="D10" s="1" t="s">
        <v>14</v>
      </c>
      <c r="E10" s="1">
        <v>1</v>
      </c>
      <c r="F10" s="1">
        <v>1</v>
      </c>
      <c r="G10" s="1">
        <v>2</v>
      </c>
      <c r="H10" s="1">
        <f t="shared" si="1"/>
        <v>2</v>
      </c>
      <c r="I10" s="1">
        <f t="shared" si="0"/>
        <v>2</v>
      </c>
    </row>
    <row r="11" spans="1:9">
      <c r="C11" s="8"/>
      <c r="D11" s="1"/>
      <c r="E11" s="4">
        <f>SUM(E5:E10)</f>
        <v>13</v>
      </c>
      <c r="F11" s="4"/>
      <c r="G11" s="4"/>
      <c r="H11" s="4">
        <f>SUM(H5:H10)</f>
        <v>26</v>
      </c>
      <c r="I11" s="4">
        <f>SUM(I5:I10)</f>
        <v>40</v>
      </c>
    </row>
    <row r="12" spans="1:9">
      <c r="C12" s="1" t="s">
        <v>15</v>
      </c>
      <c r="D12" s="1"/>
      <c r="E12" s="1"/>
      <c r="F12" s="1"/>
      <c r="G12" s="1"/>
      <c r="H12" s="1">
        <f>H11</f>
        <v>26</v>
      </c>
      <c r="I12" s="1">
        <f>H12*$B$2</f>
        <v>33.800000000000004</v>
      </c>
    </row>
    <row r="13" spans="1:9">
      <c r="C13" s="1" t="s">
        <v>16</v>
      </c>
      <c r="D13" s="1"/>
      <c r="E13" s="1"/>
      <c r="F13" s="1"/>
      <c r="G13" s="1"/>
      <c r="H13" s="1">
        <v>40</v>
      </c>
      <c r="I13" s="1">
        <f>H13*$B$2</f>
        <v>52</v>
      </c>
    </row>
    <row r="14" spans="1:9">
      <c r="C14" s="1" t="s">
        <v>17</v>
      </c>
      <c r="D14" s="1"/>
      <c r="E14" s="1"/>
      <c r="F14" s="1"/>
      <c r="G14" s="1"/>
      <c r="H14" s="1">
        <v>60</v>
      </c>
      <c r="I14" s="1">
        <f>H14*$B$2</f>
        <v>78</v>
      </c>
    </row>
    <row r="15" spans="1:9">
      <c r="C15" s="1" t="s">
        <v>18</v>
      </c>
      <c r="D15" s="1"/>
      <c r="E15" s="1"/>
      <c r="F15" s="1"/>
      <c r="G15" s="1"/>
      <c r="H15" s="1">
        <v>16</v>
      </c>
      <c r="I15" s="1">
        <f>H15*$B$2</f>
        <v>20.8</v>
      </c>
    </row>
    <row r="16" spans="1:9">
      <c r="C16" s="1" t="s">
        <v>19</v>
      </c>
      <c r="D16" s="1"/>
      <c r="E16" s="1"/>
      <c r="F16" s="1"/>
      <c r="G16" s="1"/>
      <c r="H16" s="1">
        <v>20</v>
      </c>
      <c r="I16" s="1">
        <f>H16*$B$2</f>
        <v>26</v>
      </c>
    </row>
    <row r="17" spans="3:10">
      <c r="C17" s="1"/>
      <c r="D17" s="1"/>
      <c r="E17" s="1"/>
      <c r="F17" s="1"/>
      <c r="G17" s="1"/>
      <c r="H17" s="1"/>
      <c r="I17" s="1"/>
    </row>
    <row r="18" spans="3:10">
      <c r="C18" s="1" t="s">
        <v>20</v>
      </c>
      <c r="D18" s="1"/>
      <c r="E18" s="1"/>
      <c r="F18" s="1"/>
      <c r="G18" s="1"/>
      <c r="H18" s="1">
        <f>SUM(H11:H17)</f>
        <v>188</v>
      </c>
      <c r="I18" s="1">
        <f>SUM(I11:I17)</f>
        <v>250.60000000000002</v>
      </c>
    </row>
    <row r="19" spans="3:10">
      <c r="C19" s="3" t="s">
        <v>21</v>
      </c>
      <c r="D19" s="3"/>
      <c r="E19" s="3"/>
      <c r="F19" s="3"/>
      <c r="G19" s="3"/>
      <c r="H19" s="3">
        <v>180</v>
      </c>
      <c r="I19" s="3">
        <v>250</v>
      </c>
      <c r="J19" s="6">
        <f>(I19-H19)/H19</f>
        <v>0.3888888888888889</v>
      </c>
    </row>
    <row r="20" spans="3:10">
      <c r="C20" s="3" t="s">
        <v>22</v>
      </c>
      <c r="D20" s="3"/>
      <c r="E20" s="3"/>
      <c r="F20" s="3"/>
      <c r="G20" s="3"/>
      <c r="H20" s="5">
        <f>H19*B1</f>
        <v>27900</v>
      </c>
      <c r="I20" s="5">
        <f>I19*B1</f>
        <v>38750</v>
      </c>
    </row>
  </sheetData>
  <mergeCells count="1">
    <mergeCell ref="C4:C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9E5E915-74BC-4F1F-A19B-CDAA22791D70}"/>
</file>

<file path=customXml/itemProps2.xml><?xml version="1.0" encoding="utf-8"?>
<ds:datastoreItem xmlns:ds="http://schemas.openxmlformats.org/officeDocument/2006/customXml" ds:itemID="{25B66690-4360-4C26-854E-1FFAEA02A5F8}"/>
</file>

<file path=customXml/itemProps3.xml><?xml version="1.0" encoding="utf-8"?>
<ds:datastoreItem xmlns:ds="http://schemas.openxmlformats.org/officeDocument/2006/customXml" ds:itemID="{F524F95C-C5C0-4EA5-8031-0E5CB6740C15}"/>
</file>

<file path=customXml/itemProps4.xml><?xml version="1.0" encoding="utf-8"?>
<ds:datastoreItem xmlns:ds="http://schemas.openxmlformats.org/officeDocument/2006/customXml" ds:itemID="{123E6550-B371-4CD5-8379-C5C34E6934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Barrett</dc:creator>
  <cp:keywords/>
  <dc:description/>
  <cp:lastModifiedBy>Shaun Barrett</cp:lastModifiedBy>
  <cp:revision/>
  <dcterms:created xsi:type="dcterms:W3CDTF">2025-06-12T12:52:44Z</dcterms:created>
  <dcterms:modified xsi:type="dcterms:W3CDTF">2025-06-19T11:23:11Z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0x010100B16301FA1C2D5E4DB9305F31D037531D0207030047E0126EE26B68468E30FEE8ADFBCCCC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