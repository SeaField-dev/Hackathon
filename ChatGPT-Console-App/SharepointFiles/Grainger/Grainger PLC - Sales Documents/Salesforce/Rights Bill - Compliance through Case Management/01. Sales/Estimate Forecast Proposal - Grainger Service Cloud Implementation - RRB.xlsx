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openboxsoftwareweb.sharepoint.com/sites/GraingerPLC/Sales Documents/Salesforce/Service Cloud Implementation - RRB/01. Sales/"/>
    </mc:Choice>
  </mc:AlternateContent>
  <xr:revisionPtr revIDLastSave="3251" documentId="8_{560752D8-CFE0-44E0-BBEC-1CC9492A6F97}" xr6:coauthVersionLast="47" xr6:coauthVersionMax="47" xr10:uidLastSave="{AB02DF5B-B9F3-4B62-B477-915985B89A43}"/>
  <bookViews>
    <workbookView xWindow="28680" yWindow="-120" windowWidth="29040" windowHeight="15720" tabRatio="699" xr2:uid="{82DBA3FB-BAAE-4513-8EBD-08C2C1522918}"/>
  </bookViews>
  <sheets>
    <sheet name="Proposal v1.1 Estimate" sheetId="14" r:id="rId1"/>
    <sheet name="Proposal v1.1_Features" sheetId="15" r:id="rId2"/>
    <sheet name="Proposal v1_Estimate" sheetId="8" r:id="rId3"/>
    <sheet name="Proposal v1_Features" sheetId="10" r:id="rId4"/>
    <sheet name="Timeline to Deliver Proposal" sheetId="12" r:id="rId5"/>
    <sheet name="ROM Estimate" sheetId="11" r:id="rId6"/>
    <sheet name="SVOT analysis" sheetId="9" r:id="rId7"/>
    <sheet name="Sheet1" sheetId="13" r:id="rId8"/>
    <sheet name="DNU_SOW v1" sheetId="6" state="hidden" r:id="rId9"/>
    <sheet name="DNU_Team &amp; Velocity v1" sheetId="2" state="hidden" r:id="rId10"/>
    <sheet name="Currency" sheetId="7" state="hidden" r:id="rId11"/>
  </sheets>
  <definedNames>
    <definedName name="_xlnm._FilterDatabase" localSheetId="1" hidden="1">'Proposal v1.1_Features'!$A$1:$F$49</definedName>
    <definedName name="_xlnm._FilterDatabase" localSheetId="3" hidden="1">'Proposal v1_Features'!$A$1:$F$43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4" l="1"/>
  <c r="E24" i="14"/>
  <c r="P35" i="14"/>
  <c r="P32" i="14"/>
  <c r="P33" i="14" s="1"/>
  <c r="C36" i="14" l="1"/>
  <c r="F26" i="14"/>
  <c r="O26" i="14"/>
  <c r="O25" i="14"/>
  <c r="O22" i="14"/>
  <c r="J26" i="14"/>
  <c r="F25" i="14"/>
  <c r="F35" i="14" s="1"/>
  <c r="F24" i="14"/>
  <c r="C5" i="14"/>
  <c r="E25" i="14"/>
  <c r="E35" i="14" s="1"/>
  <c r="D32" i="14"/>
  <c r="C32" i="14"/>
  <c r="F10" i="14"/>
  <c r="F9" i="14"/>
  <c r="C31" i="14"/>
  <c r="I32" i="14" s="1"/>
  <c r="I34" i="14" s="1"/>
  <c r="D24" i="14"/>
  <c r="D34" i="14" s="1"/>
  <c r="C24" i="14"/>
  <c r="C34" i="14" s="1"/>
  <c r="D23" i="14"/>
  <c r="D33" i="14" s="1"/>
  <c r="C23" i="14"/>
  <c r="C33" i="14" s="1"/>
  <c r="B36" i="14"/>
  <c r="J25" i="14"/>
  <c r="F20" i="14"/>
  <c r="F30" i="14" s="1"/>
  <c r="E20" i="14"/>
  <c r="E30" i="14" s="1"/>
  <c r="F19" i="14"/>
  <c r="F29" i="14" s="1"/>
  <c r="E19" i="14"/>
  <c r="E29" i="14" s="1"/>
  <c r="I14" i="14"/>
  <c r="E12" i="14"/>
  <c r="B12" i="14"/>
  <c r="M11" i="14"/>
  <c r="K10" i="14"/>
  <c r="K9" i="14"/>
  <c r="K8" i="14"/>
  <c r="K7" i="14"/>
  <c r="K6" i="14"/>
  <c r="K5" i="14"/>
  <c r="K4" i="14"/>
  <c r="B2" i="14"/>
  <c r="H59" i="8"/>
  <c r="I33" i="8"/>
  <c r="I32" i="8"/>
  <c r="F10" i="8"/>
  <c r="F9" i="8"/>
  <c r="L25" i="8"/>
  <c r="L26" i="8"/>
  <c r="O59" i="8"/>
  <c r="K32" i="8"/>
  <c r="D52" i="8"/>
  <c r="C52" i="8"/>
  <c r="D25" i="8"/>
  <c r="F49" i="8"/>
  <c r="E49" i="8"/>
  <c r="E39" i="8"/>
  <c r="D35" i="8"/>
  <c r="F35" i="8" s="1"/>
  <c r="C35" i="8"/>
  <c r="E35" i="8" s="1"/>
  <c r="E55" i="8" s="1"/>
  <c r="C25" i="8"/>
  <c r="E25" i="8" s="1"/>
  <c r="E45" i="8" s="1"/>
  <c r="F31" i="8"/>
  <c r="F51" i="8" s="1"/>
  <c r="E31" i="8"/>
  <c r="E51" i="8" s="1"/>
  <c r="F30" i="8"/>
  <c r="F50" i="8" s="1"/>
  <c r="E30" i="8"/>
  <c r="E50" i="8" s="1"/>
  <c r="F21" i="8"/>
  <c r="F20" i="8"/>
  <c r="F40" i="8" s="1"/>
  <c r="E20" i="8"/>
  <c r="E29" i="8"/>
  <c r="F29" i="8"/>
  <c r="D31" i="14" l="1"/>
  <c r="K32" i="14" s="1"/>
  <c r="K34" i="14" s="1"/>
  <c r="K35" i="14" s="1"/>
  <c r="K36" i="14" s="1"/>
  <c r="K11" i="14"/>
  <c r="I35" i="14"/>
  <c r="I36" i="14" s="1"/>
  <c r="C38" i="14"/>
  <c r="E21" i="14"/>
  <c r="E31" i="14" s="1"/>
  <c r="F21" i="14"/>
  <c r="F31" i="14" s="1"/>
  <c r="L15" i="14"/>
  <c r="F55" i="8"/>
  <c r="L17" i="14" l="1"/>
  <c r="P34" i="14"/>
  <c r="F6" i="14" s="1"/>
  <c r="D36" i="14"/>
  <c r="D38" i="14" s="1"/>
  <c r="F11" i="14"/>
  <c r="F12" i="14" s="1"/>
  <c r="L6" i="14"/>
  <c r="C12" i="14"/>
  <c r="L7" i="14"/>
  <c r="L4" i="14"/>
  <c r="L10" i="14"/>
  <c r="C5" i="8"/>
  <c r="K7" i="8"/>
  <c r="D44" i="8"/>
  <c r="D54" i="8" s="1"/>
  <c r="F6" i="8"/>
  <c r="B6" i="2"/>
  <c r="B8" i="2"/>
  <c r="K8" i="8"/>
  <c r="K6" i="8"/>
  <c r="K5" i="8"/>
  <c r="K4" i="8"/>
  <c r="F19" i="8"/>
  <c r="E19" i="8"/>
  <c r="M11" i="8"/>
  <c r="B12" i="8"/>
  <c r="I14" i="8"/>
  <c r="E12" i="8"/>
  <c r="C11" i="9"/>
  <c r="B6" i="9"/>
  <c r="B5" i="9"/>
  <c r="B4" i="9"/>
  <c r="B16" i="9"/>
  <c r="B2" i="9"/>
  <c r="F39" i="8"/>
  <c r="B46" i="8"/>
  <c r="B56" i="8" s="1"/>
  <c r="B2" i="8"/>
  <c r="K10" i="8"/>
  <c r="K9" i="8"/>
  <c r="B39" i="8"/>
  <c r="D19" i="6"/>
  <c r="D12" i="6"/>
  <c r="C32" i="6"/>
  <c r="C31" i="6"/>
  <c r="C30" i="6"/>
  <c r="C29" i="6"/>
  <c r="C27" i="6"/>
  <c r="F22" i="14" l="1"/>
  <c r="D5" i="14"/>
  <c r="L11" i="14"/>
  <c r="K11" i="8"/>
  <c r="F11" i="8" s="1"/>
  <c r="D43" i="8"/>
  <c r="D53" i="8" s="1"/>
  <c r="D56" i="8" s="1"/>
  <c r="C43" i="8"/>
  <c r="C53" i="8" s="1"/>
  <c r="C56" i="8" s="1"/>
  <c r="C12" i="8"/>
  <c r="F25" i="8"/>
  <c r="F45" i="8" s="1"/>
  <c r="E40" i="8"/>
  <c r="E21" i="8"/>
  <c r="E41" i="8" s="1"/>
  <c r="C44" i="8"/>
  <c r="C54" i="8" s="1"/>
  <c r="L15" i="8"/>
  <c r="C13" i="9"/>
  <c r="C15" i="9"/>
  <c r="C14" i="9"/>
  <c r="H21" i="6"/>
  <c r="F31" i="6" s="1"/>
  <c r="G21" i="6"/>
  <c r="E31" i="6" s="1"/>
  <c r="E20" i="6"/>
  <c r="D20" i="6"/>
  <c r="E19" i="6"/>
  <c r="C26" i="6"/>
  <c r="H17" i="6"/>
  <c r="F27" i="6" s="1"/>
  <c r="G17" i="6"/>
  <c r="E27" i="6" s="1"/>
  <c r="F9" i="6"/>
  <c r="F11" i="6" s="1"/>
  <c r="E18" i="6" s="1"/>
  <c r="F8" i="6"/>
  <c r="D9" i="6"/>
  <c r="F32" i="14" l="1"/>
  <c r="E22" i="14"/>
  <c r="E32" i="14" s="1"/>
  <c r="F23" i="14"/>
  <c r="F33" i="14" s="1"/>
  <c r="F34" i="14"/>
  <c r="E34" i="14"/>
  <c r="F34" i="8"/>
  <c r="F54" i="8" s="1"/>
  <c r="F24" i="8"/>
  <c r="F44" i="8" s="1"/>
  <c r="E23" i="8"/>
  <c r="E43" i="8" s="1"/>
  <c r="F23" i="8"/>
  <c r="F43" i="8" s="1"/>
  <c r="F33" i="8"/>
  <c r="F53" i="8" s="1"/>
  <c r="E33" i="8"/>
  <c r="E53" i="8" s="1"/>
  <c r="E24" i="8"/>
  <c r="E44" i="8" s="1"/>
  <c r="E34" i="8"/>
  <c r="E54" i="8" s="1"/>
  <c r="F41" i="8"/>
  <c r="F12" i="8"/>
  <c r="L7" i="8"/>
  <c r="L17" i="8"/>
  <c r="F10" i="6"/>
  <c r="D18" i="6" s="1"/>
  <c r="G18" i="6" s="1"/>
  <c r="E28" i="6" s="1"/>
  <c r="L10" i="8"/>
  <c r="L8" i="8"/>
  <c r="L4" i="8"/>
  <c r="L6" i="8"/>
  <c r="C16" i="9"/>
  <c r="H18" i="6"/>
  <c r="F28" i="6" s="1"/>
  <c r="H19" i="6"/>
  <c r="F29" i="6" s="1"/>
  <c r="G20" i="6"/>
  <c r="E30" i="6" s="1"/>
  <c r="H20" i="6"/>
  <c r="F30" i="6" s="1"/>
  <c r="G19" i="6"/>
  <c r="E29" i="6" s="1"/>
  <c r="E33" i="14" l="1"/>
  <c r="E36" i="14" s="1"/>
  <c r="E26" i="14"/>
  <c r="F36" i="14"/>
  <c r="F13" i="8"/>
  <c r="F22" i="8"/>
  <c r="F26" i="8" s="1"/>
  <c r="E32" i="8"/>
  <c r="F32" i="8"/>
  <c r="E22" i="8"/>
  <c r="L11" i="8"/>
  <c r="C42" i="8"/>
  <c r="G22" i="6"/>
  <c r="E32" i="6" s="1"/>
  <c r="H22" i="6"/>
  <c r="F32" i="6" s="1"/>
  <c r="C57" i="8" l="1"/>
  <c r="C46" i="8"/>
  <c r="I37" i="8"/>
  <c r="I38" i="8" s="1"/>
  <c r="I39" i="8" s="1"/>
  <c r="E52" i="8"/>
  <c r="E56" i="8" s="1"/>
  <c r="E36" i="8"/>
  <c r="E26" i="8"/>
  <c r="E42" i="8"/>
  <c r="E46" i="8" s="1"/>
  <c r="F52" i="8"/>
  <c r="F56" i="8" s="1"/>
  <c r="F36" i="8"/>
  <c r="F42" i="8"/>
  <c r="F46" i="8" s="1"/>
  <c r="D42" i="8"/>
  <c r="D46" i="8" l="1"/>
  <c r="D57" i="8"/>
  <c r="F57" i="8"/>
  <c r="E57" i="8"/>
  <c r="I34" i="8"/>
  <c r="I35" i="8" s="1"/>
  <c r="K33" i="8"/>
  <c r="K34" i="8" l="1"/>
  <c r="K35" i="8" s="1"/>
  <c r="K37" i="8"/>
  <c r="K38" i="8" s="1"/>
  <c r="K3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tc={BAF56DF6-CF5E-4DCD-918F-123D3A97F77A}</author>
    <author>tc={6371F4C0-76EF-4713-89E9-218FA6A3F813}</author>
    <author>Nikki Papenfus</author>
    <author>tc={AD42F3EA-BFBB-409F-8DAA-8FE8691D079A}</author>
  </authors>
  <commentList>
    <comment ref="E4" authorId="0" shapeId="0" xr:uid="{BAF56DF6-CF5E-4DCD-918F-123D3A97F77A}">
      <text>
        <t>[Threaded comment]
Your version of Excel allows you to read this threaded comment; however, any edits to it will get removed if the file is opened in a newer version of Excel. Learn more: https://go.microsoft.com/fwlink/?linkid=870924
Comment:
    Consider the extent of discovery already completed, and knowledge of the client's business &amp; Org.</t>
      </text>
    </comment>
    <comment ref="E5" authorId="1" shapeId="0" xr:uid="{6371F4C0-76EF-4713-89E9-218FA6A3F813}">
      <text>
        <t>[Threaded comment]
Your version of Excel allows you to read this threaded comment; however, any edits to it will get removed if the file is opened in a newer version of Excel. Learn more: https://go.microsoft.com/fwlink/?linkid=870924
Comment:
    Consider extent of custom component development, use of 3rd party apps, 3rd party integrations.</t>
      </text>
    </comment>
    <comment ref="B11" authorId="2" shapeId="0" xr:uid="{47444FCA-06F8-41F3-8005-9593835794DA}">
      <text>
        <r>
          <rPr>
            <b/>
            <sz val="9"/>
            <color indexed="81"/>
            <rFont val="Tahoma"/>
            <family val="2"/>
          </rPr>
          <t>Nikki Papenfus:</t>
        </r>
        <r>
          <rPr>
            <sz val="9"/>
            <color indexed="81"/>
            <rFont val="Tahoma"/>
            <family val="2"/>
          </rPr>
          <t xml:space="preserve">
Seems high for support. Should we allow for different FTEs for UAT &amp; support?</t>
        </r>
      </text>
    </comment>
    <comment ref="I15" authorId="3" shapeId="0" xr:uid="{AD42F3EA-BFBB-409F-8DAA-8FE8691D079A}">
      <text>
        <t>[Threaded comment]
Your version of Excel allows you to read this threaded comment; however, any edits to it will get removed if the file is opened in a newer version of Excel. Learn more: https://go.microsoft.com/fwlink/?linkid=870924
Comment:
    5 point story = 5 days to dev, QA, fix bugs &amp; deploy</t>
      </text>
    </comment>
    <comment ref="K15" authorId="2" shapeId="0" xr:uid="{E381AB9D-2359-4187-B6FA-6B8AAB6C329D}">
      <text>
        <r>
          <rPr>
            <b/>
            <sz val="9"/>
            <color indexed="81"/>
            <rFont val="Tahoma"/>
            <family val="2"/>
          </rPr>
          <t>Nikki Papenfus:</t>
        </r>
        <r>
          <rPr>
            <sz val="9"/>
            <color indexed="81"/>
            <rFont val="Tahoma"/>
            <family val="2"/>
          </rPr>
          <t xml:space="preserve">
TO BE DECIDED 
SVOT project: Average points delivered by 1 Dev FTE in a 3 week sprint = 16.4 points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tc={24CD955F-40F7-4741-992D-18BD1A63E344}</author>
    <author>tc={A620C728-501A-4D2D-8675-EDC4376414F0}</author>
    <author>Nikki Papenfus</author>
    <author>tc={55CD87D6-59ED-42CD-B525-1BF6B8B210C7}</author>
  </authors>
  <commentList>
    <comment ref="E4" authorId="0" shapeId="0" xr:uid="{24CD955F-40F7-4741-992D-18BD1A63E344}">
      <text>
        <t>[Threaded comment]
Your version of Excel allows you to read this threaded comment; however, any edits to it will get removed if the file is opened in a newer version of Excel. Learn more: https://go.microsoft.com/fwlink/?linkid=870924
Comment:
    Consider the extent of discovery already completed, and knowledge of the client's business &amp; Org.</t>
      </text>
    </comment>
    <comment ref="E5" authorId="1" shapeId="0" xr:uid="{A620C728-501A-4D2D-8675-EDC4376414F0}">
      <text>
        <t>[Threaded comment]
Your version of Excel allows you to read this threaded comment; however, any edits to it will get removed if the file is opened in a newer version of Excel. Learn more: https://go.microsoft.com/fwlink/?linkid=870924
Comment:
    Consider extent of custom component development, use of 3rd party apps, 3rd party integrations.</t>
      </text>
    </comment>
    <comment ref="B11" authorId="2" shapeId="0" xr:uid="{2085B928-8EFD-4953-9BBB-CEEDD0D8AD67}">
      <text>
        <r>
          <rPr>
            <b/>
            <sz val="9"/>
            <color indexed="81"/>
            <rFont val="Tahoma"/>
            <family val="2"/>
          </rPr>
          <t>Nikki Papenfus:</t>
        </r>
        <r>
          <rPr>
            <sz val="9"/>
            <color indexed="81"/>
            <rFont val="Tahoma"/>
            <family val="2"/>
          </rPr>
          <t xml:space="preserve">
Seems high for support. Should we allow for different FTEs for UAT &amp; support?</t>
        </r>
      </text>
    </comment>
    <comment ref="I15" authorId="3" shapeId="0" xr:uid="{55CD87D6-59ED-42CD-B525-1BF6B8B210C7}">
      <text>
        <t>[Threaded comment]
Your version of Excel allows you to read this threaded comment; however, any edits to it will get removed if the file is opened in a newer version of Excel. Learn more: https://go.microsoft.com/fwlink/?linkid=870924
Comment:
    5 point story = 5 days to dev, QA, fix bugs &amp; deploy</t>
      </text>
    </comment>
    <comment ref="K15" authorId="2" shapeId="0" xr:uid="{8F6A3D0D-7812-4986-9814-4D3CBBC24317}">
      <text>
        <r>
          <rPr>
            <b/>
            <sz val="9"/>
            <color indexed="81"/>
            <rFont val="Tahoma"/>
            <family val="2"/>
          </rPr>
          <t>Nikki Papenfus:</t>
        </r>
        <r>
          <rPr>
            <sz val="9"/>
            <color indexed="81"/>
            <rFont val="Tahoma"/>
            <family val="2"/>
          </rPr>
          <t xml:space="preserve">
TO BE DECIDED 
SVOT project: Average points delivered by 1 Dev FTE in a 3 week sprint = 16.4 points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Nikki Papenfus</author>
  </authors>
  <commentList>
    <comment ref="F7" authorId="0" shapeId="0" xr:uid="{C6CE76B7-7D18-4C67-96CA-0F47790B1466}">
      <text>
        <r>
          <rPr>
            <b/>
            <sz val="9"/>
            <color indexed="81"/>
            <rFont val="Tahoma"/>
            <family val="2"/>
          </rPr>
          <t>Nikki Papenfus:</t>
        </r>
        <r>
          <rPr>
            <sz val="9"/>
            <color indexed="81"/>
            <rFont val="Tahoma"/>
            <family val="2"/>
          </rPr>
          <t xml:space="preserve">
Need to add a contingency factor - this is a SOW / proposal-level estimate.
Add a % for unknown 'must have' requirements, which may vary depending on the extent of discovery already done, knowledge of the client's business &amp; org.
Add a % for unanticipated complexity of known features, which may vary depending on extent of custom components, external plug ins, 3rd party integration.</t>
        </r>
      </text>
    </comment>
    <comment ref="F8" authorId="0" shapeId="0" xr:uid="{92354FEB-48B9-4747-87F4-D49BEF5FDDBC}">
      <text>
        <r>
          <rPr>
            <b/>
            <sz val="9"/>
            <color indexed="81"/>
            <rFont val="Tahoma"/>
            <family val="2"/>
          </rPr>
          <t>Nikki Papenfus:</t>
        </r>
        <r>
          <rPr>
            <sz val="9"/>
            <color indexed="81"/>
            <rFont val="Tahoma"/>
            <family val="2"/>
          </rPr>
          <t xml:space="preserve">
The veloocity #s should be a formula based on number of developers / dev FTEs</t>
        </r>
      </text>
    </comment>
    <comment ref="D9" authorId="0" shapeId="0" xr:uid="{DA7B35AE-5F11-4615-9C05-AE6A58CC1739}">
      <text>
        <r>
          <rPr>
            <b/>
            <sz val="9"/>
            <color indexed="81"/>
            <rFont val="Tahoma"/>
            <family val="2"/>
          </rPr>
          <t>Nikki Papenfus:</t>
        </r>
        <r>
          <rPr>
            <sz val="9"/>
            <color indexed="81"/>
            <rFont val="Tahoma"/>
            <family val="2"/>
          </rPr>
          <t xml:space="preserve">
this should round up to the nearerst 0,5 or 0,25   </t>
        </r>
      </text>
    </comment>
    <comment ref="D11" authorId="0" shapeId="0" xr:uid="{81B9219B-171F-4A17-AE78-EEE4912FDDE4}">
      <text>
        <r>
          <rPr>
            <b/>
            <sz val="9"/>
            <color indexed="81"/>
            <rFont val="Tahoma"/>
            <family val="2"/>
          </rPr>
          <t>Nikki Papenfus:</t>
        </r>
        <r>
          <rPr>
            <sz val="9"/>
            <color indexed="81"/>
            <rFont val="Tahoma"/>
            <family val="2"/>
          </rPr>
          <t xml:space="preserve">
this needs to be a formula</t>
        </r>
      </text>
    </comment>
    <comment ref="E32" authorId="0" shapeId="0" xr:uid="{4D757BBB-3D70-4496-ADC4-28436C59BCFA}">
      <text>
        <r>
          <rPr>
            <b/>
            <sz val="9"/>
            <color indexed="81"/>
            <rFont val="Tahoma"/>
            <family val="2"/>
          </rPr>
          <t>Nikki Papenfus:</t>
        </r>
        <r>
          <rPr>
            <sz val="9"/>
            <color indexed="81"/>
            <rFont val="Tahoma"/>
            <family val="2"/>
          </rPr>
          <t xml:space="preserve">
these totals should be a sum of the above in case we change them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Nikki Papenfus</author>
  </authors>
  <commentList>
    <comment ref="B1" authorId="0" shapeId="0" xr:uid="{59FE14F0-A0F8-48BF-827E-89C1B7A56E86}">
      <text>
        <r>
          <rPr>
            <b/>
            <sz val="9"/>
            <color indexed="81"/>
            <rFont val="Tahoma"/>
            <family val="2"/>
          </rPr>
          <t>Nikki Papenfus:</t>
        </r>
        <r>
          <rPr>
            <sz val="9"/>
            <color indexed="81"/>
            <rFont val="Tahoma"/>
            <family val="2"/>
          </rPr>
          <t xml:space="preserve">
Is this FTE or allocation? If allocation, then the # of resources is mising from the equation</t>
        </r>
      </text>
    </comment>
    <comment ref="B6" authorId="0" shapeId="0" xr:uid="{F0F1BB12-2DD1-430C-83D5-B84308C86CCB}">
      <text>
        <r>
          <rPr>
            <b/>
            <sz val="9"/>
            <color indexed="81"/>
            <rFont val="Tahoma"/>
            <family val="2"/>
          </rPr>
          <t>Nikki Papenfus:</t>
        </r>
        <r>
          <rPr>
            <sz val="9"/>
            <color indexed="81"/>
            <rFont val="Tahoma"/>
            <family val="2"/>
          </rPr>
          <t xml:space="preserve">
these inputs need to go on the main page.  This will vary based on project complexity / size / etc, e.g. renewals was a 75% BA allocation for the project. Other projects might not be.
If this is a formula, then the inputs to the formula should be transparant and editable </t>
        </r>
      </text>
    </comment>
    <comment ref="B11" authorId="0" shapeId="0" xr:uid="{555BD363-7D58-485F-8927-646A0EE65A72}">
      <text>
        <r>
          <rPr>
            <b/>
            <sz val="9"/>
            <color indexed="81"/>
            <rFont val="Tahoma"/>
            <family val="2"/>
          </rPr>
          <t>Nikki Papenfus:</t>
        </r>
        <r>
          <rPr>
            <sz val="9"/>
            <color indexed="81"/>
            <rFont val="Tahoma"/>
            <family val="2"/>
          </rPr>
          <t xml:space="preserve">
This needs to be a formula based on number of devs.
or this need to be the number of points for one dev?
Question = do we modify the velocity depending the junior / senior dev mix?
Yes - this will be updated per project and taking team into consideration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EAEC71-99D6-45F0-B5F6-7CA824947569}" keepAlive="1" name="Query - Reporting Backlog Items" description="Connection to the 'Reporting Backlog Items' query in the workbook." type="5" refreshedVersion="7" background="1" saveData="1">
    <dbPr connection="Provider=Microsoft.Mashup.OleDb.1;Data Source=$Workbook$;Location=&quot;Reporting Backlog Items&quot;;Extended Properties=&quot;&quot;" command="SELECT * FROM [Reporting Backlog Items]"/>
  </connection>
</connections>
</file>

<file path=xl/sharedStrings.xml><?xml version="1.0" encoding="utf-8"?>
<sst xmlns="http://schemas.openxmlformats.org/spreadsheetml/2006/main" count="789" uniqueCount="405">
  <si>
    <t>Lower Bound</t>
  </si>
  <si>
    <t>Upper Bound</t>
  </si>
  <si>
    <t>Production Deployment &amp; Post Go-Live Support </t>
  </si>
  <si>
    <t>User guide creation</t>
  </si>
  <si>
    <t>Done in parallel with sprints </t>
  </si>
  <si>
    <t>Velocity</t>
  </si>
  <si>
    <t>Allocation</t>
  </si>
  <si>
    <t>QA</t>
  </si>
  <si>
    <t>BA</t>
  </si>
  <si>
    <t>PM</t>
  </si>
  <si>
    <t>Team Composition</t>
  </si>
  <si>
    <t>Dev Junior</t>
  </si>
  <si>
    <t>Dev Senior</t>
  </si>
  <si>
    <t>Team Size</t>
  </si>
  <si>
    <t xml:space="preserve">Optimistic </t>
  </si>
  <si>
    <t xml:space="preserve">Pessimistic </t>
  </si>
  <si>
    <t>Story Points per Sprint</t>
  </si>
  <si>
    <t>Project Rate</t>
  </si>
  <si>
    <t>Estimated Story Points</t>
  </si>
  <si>
    <t>Lower Bound Effort</t>
  </si>
  <si>
    <t>Upper Bound Effort</t>
  </si>
  <si>
    <t>4 weeks</t>
  </si>
  <si>
    <t>Team Size - Build</t>
  </si>
  <si>
    <t>Team Size - UAT &amp; Prod Support</t>
  </si>
  <si>
    <t>Total Cost for Release 1</t>
  </si>
  <si>
    <t>Notes</t>
  </si>
  <si>
    <r>
      <t xml:space="preserve">Optimistic </t>
    </r>
    <r>
      <rPr>
        <b/>
        <sz val="11"/>
        <color theme="1"/>
        <rFont val="Calibri"/>
        <family val="2"/>
        <scheme val="minor"/>
      </rPr>
      <t>Velocity</t>
    </r>
  </si>
  <si>
    <r>
      <t xml:space="preserve">Pesimistic </t>
    </r>
    <r>
      <rPr>
        <b/>
        <sz val="11"/>
        <color theme="1"/>
        <rFont val="Calibri"/>
        <family val="2"/>
        <scheme val="minor"/>
      </rPr>
      <t>Velocity</t>
    </r>
  </si>
  <si>
    <r>
      <t xml:space="preserve">Optimistic </t>
    </r>
    <r>
      <rPr>
        <b/>
        <sz val="11"/>
        <color theme="1"/>
        <rFont val="Calibri"/>
        <family val="2"/>
        <scheme val="minor"/>
      </rPr>
      <t>Sprint #</t>
    </r>
  </si>
  <si>
    <r>
      <t xml:space="preserve">Pesimistic </t>
    </r>
    <r>
      <rPr>
        <b/>
        <sz val="11"/>
        <color theme="1"/>
        <rFont val="Calibri"/>
        <family val="2"/>
        <scheme val="minor"/>
      </rPr>
      <t>Sprint #</t>
    </r>
  </si>
  <si>
    <t>Cost for UAT &amp; Prod (per week)</t>
  </si>
  <si>
    <t>Final UAT</t>
  </si>
  <si>
    <t>UAT Weeks</t>
  </si>
  <si>
    <t>Prod Support Weeks</t>
  </si>
  <si>
    <t>Key</t>
  </si>
  <si>
    <t>Enter Value</t>
  </si>
  <si>
    <t>Do not update (Formula)</t>
  </si>
  <si>
    <t>Dollar</t>
  </si>
  <si>
    <t>Pound</t>
  </si>
  <si>
    <t>Rand</t>
  </si>
  <si>
    <t>R</t>
  </si>
  <si>
    <t>£</t>
  </si>
  <si>
    <t>$</t>
  </si>
  <si>
    <t>Currency</t>
  </si>
  <si>
    <t>Duration</t>
  </si>
  <si>
    <t>Internal</t>
  </si>
  <si>
    <t>External</t>
  </si>
  <si>
    <t>`</t>
  </si>
  <si>
    <t>Project Phase</t>
  </si>
  <si>
    <t>Rates &amp; Team</t>
  </si>
  <si>
    <t>Velocity &amp; Duration</t>
  </si>
  <si>
    <t xml:space="preserve">Sprint 0 Rate (T&amp;M) </t>
  </si>
  <si>
    <t>Sprint 0 (hours)</t>
  </si>
  <si>
    <r>
      <t>Release 1:</t>
    </r>
    <r>
      <rPr>
        <strike/>
        <sz val="11"/>
        <color theme="1"/>
        <rFont val="Calibri"/>
        <family val="2"/>
        <scheme val="minor"/>
      </rPr>
      <t xml:space="preserve"> 5 to 8 Sprints</t>
    </r>
  </si>
  <si>
    <t>Cost Per 3 Week Sprint</t>
  </si>
  <si>
    <t xml:space="preserve">Sprint 0 Rate per Hour (T&amp;M) </t>
  </si>
  <si>
    <t>Project Rate per Hour</t>
  </si>
  <si>
    <t>Architect</t>
  </si>
  <si>
    <t>Role</t>
  </si>
  <si>
    <t># People</t>
  </si>
  <si>
    <t>FTE</t>
  </si>
  <si>
    <t xml:space="preserve">Team Size </t>
  </si>
  <si>
    <t>Support</t>
  </si>
  <si>
    <t>Final UAT (Weeks)</t>
  </si>
  <si>
    <t>Duration (Weeks)</t>
  </si>
  <si>
    <t>Sprint 0</t>
  </si>
  <si>
    <t>Prod Deployment &amp; Support (Weeks)</t>
  </si>
  <si>
    <t>Unanticipated Scope</t>
  </si>
  <si>
    <t>Unanticipated Complexity</t>
  </si>
  <si>
    <t>Optimistic Sprint #</t>
  </si>
  <si>
    <t>% of Optimistic</t>
  </si>
  <si>
    <t>Build</t>
  </si>
  <si>
    <t>Points per Sprint</t>
  </si>
  <si>
    <t>Points</t>
  </si>
  <si>
    <t>User Guide</t>
  </si>
  <si>
    <t>Timelines</t>
  </si>
  <si>
    <t>Build (Sprints)</t>
  </si>
  <si>
    <t>Estimated End Date</t>
  </si>
  <si>
    <t>Pessimistic Sprint #</t>
  </si>
  <si>
    <t>UAT/Go Live</t>
  </si>
  <si>
    <t>Target Start Date</t>
  </si>
  <si>
    <t>Total</t>
  </si>
  <si>
    <t>Sprint Team</t>
  </si>
  <si>
    <t>BA Allocation</t>
  </si>
  <si>
    <t>Min Effort</t>
  </si>
  <si>
    <t>Max Effort</t>
  </si>
  <si>
    <t>Estimated Feature Points</t>
  </si>
  <si>
    <t>Client Meetings (hours per week)</t>
  </si>
  <si>
    <t>snr dev</t>
  </si>
  <si>
    <t>jnr dev</t>
  </si>
  <si>
    <t>ba &amp; arch</t>
  </si>
  <si>
    <t>pm</t>
  </si>
  <si>
    <t>qa</t>
  </si>
  <si>
    <t>actual %</t>
  </si>
  <si>
    <t>hours</t>
  </si>
  <si>
    <t>SVOT Project</t>
  </si>
  <si>
    <t>Total points delivered</t>
  </si>
  <si>
    <t>Total sprints</t>
  </si>
  <si>
    <t>Total Dev Hours</t>
  </si>
  <si>
    <t>Dev hours per point</t>
  </si>
  <si>
    <t>Team</t>
  </si>
  <si>
    <t>Points delivered by 1 dev FTE in 3 weeks</t>
  </si>
  <si>
    <t>Split</t>
  </si>
  <si>
    <t>Target</t>
  </si>
  <si>
    <t>Range</t>
  </si>
  <si>
    <t>Build - Sprints</t>
  </si>
  <si>
    <t>Total Points</t>
  </si>
  <si>
    <t>Weeks per Sprint</t>
  </si>
  <si>
    <t>UAT &amp; Production Support</t>
  </si>
  <si>
    <t>Team Size (FTEs)</t>
  </si>
  <si>
    <t xml:space="preserve">Internal Design Meetings (hours per week) </t>
  </si>
  <si>
    <t>User Guide(s) (Hours)</t>
  </si>
  <si>
    <t>1 Senior Dev FTE</t>
  </si>
  <si>
    <t>1 Junior Dev FTE</t>
  </si>
  <si>
    <t>Enter value</t>
  </si>
  <si>
    <t>Calculated (formula)</t>
  </si>
  <si>
    <t>Weeks (Min)</t>
  </si>
  <si>
    <t>Weeks (Max)</t>
  </si>
  <si>
    <t>Total Hours (Min)</t>
  </si>
  <si>
    <t>Total Hours (Max)</t>
  </si>
  <si>
    <t>Prod Deployment &amp; Support</t>
  </si>
  <si>
    <t>Default value across projects</t>
  </si>
  <si>
    <t>Sam Duncan</t>
  </si>
  <si>
    <t>Shaun Barrett</t>
  </si>
  <si>
    <t>People involved in Estimate</t>
  </si>
  <si>
    <t>Tenancy Review Email Cases</t>
  </si>
  <si>
    <t>ASB Possession Cases</t>
  </si>
  <si>
    <t>Pet Application Cases</t>
  </si>
  <si>
    <t>Nikki Papenfus</t>
  </si>
  <si>
    <t>Rates</t>
  </si>
  <si>
    <t>Cost per sprint</t>
  </si>
  <si>
    <t>Consultant Rate</t>
  </si>
  <si>
    <t>Phase</t>
  </si>
  <si>
    <t>Duration (weeks)</t>
  </si>
  <si>
    <t>Min Hours</t>
  </si>
  <si>
    <t>Max hours</t>
  </si>
  <si>
    <t>Lower Bound Cost Rates</t>
  </si>
  <si>
    <t>Upper Bound Rates</t>
  </si>
  <si>
    <t>Requirements Analysis</t>
  </si>
  <si>
    <t>6 weeks (150-200 hours)</t>
  </si>
  <si>
    <t>4 weeks (60 - 80 hours)</t>
  </si>
  <si>
    <t>6-9 weeks</t>
  </si>
  <si>
    <t>UAT &amp; Production Deployment (20-30 hours)</t>
  </si>
  <si>
    <t>1 week</t>
  </si>
  <si>
    <t>Post Go-Live Support </t>
  </si>
  <si>
    <t>2 weeks</t>
  </si>
  <si>
    <t>User guide creation/training</t>
  </si>
  <si>
    <t>Parallel with project (40 hours)</t>
  </si>
  <si>
    <t>Team cost / sprint</t>
  </si>
  <si>
    <t>Total FTEs</t>
  </si>
  <si>
    <t>Team FTE</t>
  </si>
  <si>
    <t>Inlcudes</t>
  </si>
  <si>
    <t>Pet Registration &amp; Management</t>
  </si>
  <si>
    <t>Anti-Social Behavior</t>
  </si>
  <si>
    <t>Rent Challenge Process &amp; Appeal</t>
  </si>
  <si>
    <t>ASB - Reporting &amp; Dashboards</t>
  </si>
  <si>
    <t>Epic</t>
  </si>
  <si>
    <t>Pet</t>
  </si>
  <si>
    <t>ASB</t>
  </si>
  <si>
    <t>Rent Challenge</t>
  </si>
  <si>
    <t>Email Theading</t>
  </si>
  <si>
    <t>Thread responses to case emails back onto the case.
Notify case owner?</t>
  </si>
  <si>
    <t>Formal Rent Challenge Case</t>
  </si>
  <si>
    <t>#</t>
  </si>
  <si>
    <t>Notify Stakeholders of Formal Rent Challenge</t>
  </si>
  <si>
    <t>User Story A/Cs</t>
  </si>
  <si>
    <t>Standard templates that can be completed by TMT to return the (Reply Form) property information to FFT once an appeal has been received
Standard templates that can be completed by TMT to return the (written representation) the evidence to support how the rent increase was calculated using comparable evidence, local geographical benefits and the service/amenities provided by Grainger 
All emails/communication should be sent/received and saved against the case record.</t>
  </si>
  <si>
    <t>1, 2, 3, 6</t>
  </si>
  <si>
    <t>KPI Indicator</t>
  </si>
  <si>
    <t>Where a KPI target is due, or has been missed, the task bar should show a traffic light status to make it easily visible for users where tasks are due/overdue</t>
  </si>
  <si>
    <t>When a Formal Rent Challenge case is created, the system alerts CC, TMT and any other stakeholders to ensure rent increases are placed on hold. 
When a Formal Rent Challenge decision has been made, the system alerts CC, TMT and any other stakeholders to ensure rent increases are taken off hold and the Rent Review Process is fully completed in line with the new rent amount and chargeable date.</t>
  </si>
  <si>
    <t>5, 8</t>
  </si>
  <si>
    <t>Scope Notes</t>
  </si>
  <si>
    <t>Feature</t>
  </si>
  <si>
    <t>Dashboards and reports to show metrics for the following:
1.% of rents challenged 
2.% increase in rent of rents that are challenged 
3.Number of challenges won and lost (and the % level of rent increase of these) 
Percentage of appeals won/lost - split by region and building to show comparisons against each FTT office 
4.Time taken for FTT hearing decision (from date on section 13 notice to FTT decision date) /
Average times to process appeals through the FTT (spike for cases outside if these timescales)
5.Time taken for implementation of new rent (if different from above due to hardship) 
6.Rent lost due to time delay on FTT decision /
Average Rent loss for FTT time taken to process - split by region and building to show comparisons against each FTT office</t>
  </si>
  <si>
    <t>The new Challenge Case is linked to Rent Increase process and specifically the Rent Review in progress
The case includes relevant data fields to include the capture of rent requested and achieved, dates of appeal, hearing, decision, and the outcome details with details of any decision made.
Any word, PDF, Photos or other document types are added to the case folder.
Emails sent to third parties are sent from the case task, and replies are saved back onto the case 
Evidence and data fields to record dates/times of the formal challenge
Appeal Date, FFT Hearing Date, Date of Decision, Rent Achieved, Date for new rent to be charged
Rent Data to include Rent Applied, Rent Achieved, Rent Loss, Time taken by FTT to process, decision made won/lost, and lessons learned
A progression bar on each task to show each stage of the appeal process</t>
  </si>
  <si>
    <t>Reporting &amp; Dashboard</t>
  </si>
  <si>
    <t>Update the existing case type layout to align with new standards.
Add KPI indicator?</t>
  </si>
  <si>
    <t>General Case Management</t>
  </si>
  <si>
    <t>- Page layout for record type
  - Formula fields
  - Linked to tenancy review.
- Stages / progress bar
- Upload files
- Email from case.
- Validations: Required information captured at certain stages.
- Save &amp; calculate reporting metrics.</t>
  </si>
  <si>
    <t>1, 3</t>
  </si>
  <si>
    <t>Create New Incident Case</t>
  </si>
  <si>
    <t>3, 4, 5, 7</t>
  </si>
  <si>
    <t>Send Notifications to ASB Incident Reporters</t>
  </si>
  <si>
    <t xml:space="preserve">As a User I want to classify incidents by Near Miss or Accident during reporting, so that I can accurately assess severity and determine the most appropriate response actions
The system displays a set of standard date-related questions (e.g., "When did the incident occur?")
Dates are required fields and validated for format (e.g., DD/MM/YYYY)
 - Near Miss [Link to ‘Incident – Near Miss’] Person at Risk [Drop Down] Location of Incident [Drop Down] Cause of Near Miss [Drop Down] Description [Free Text Box] “Describe what happened and how. If witnesses, please provide details.”
- Accident [Link to ‘Incident – Injury’] What caused the Injury? [Drop Down] Person involved [Drop Down] Name of Person Injured [Free Text Box] Location of Incident [Drop Down] Type of Treatment Required [Drop Down] Description [Free Text Box] “Describe what happened and how. If witnesses, please provide details.” 
The system has comment fields to allow users to record details and updates for each ASB task
Users can edit or add new entries with time and date stamps and user stamp
The system allows for documents to be uploaded against the task including as minimum the most common file types (pdf, doc, docx, word etc)
The system allows for the video and audio files to be saved against the task including as minimum the most common file types (mp4, avi, mp3 etc)
The system allows for images to be saved against the task including, as minimum the most common file types (jpg, png, bmp, gif etc)
Uploaded documents, videos, images are listed in the task in date logged order and are viewable/downloadable
File size and type restrictions are clearly stated </t>
  </si>
  <si>
    <t>ABS Tasks</t>
  </si>
  <si>
    <t xml:space="preserve">Tenants &amp; 3rd Parties Submit Incident or ASB Case </t>
  </si>
  <si>
    <t>KPI Tracking Status (ASB Only)</t>
  </si>
  <si>
    <t xml:space="preserve">Automated notifications
• Upon submission, the system sends an automated notification to the relevant (Manager and/or Director), based on the selected severity
• Notifications must include:  incident details, severity classification and time and date stamp
Escalation visibility: All incidents marked as ‘Final Stage’ must also trigger a high priority alert to the Department Head/Manager/Director 
Notification format: Notifications are sent via email
• The same data is viewable on a dashboard either within source system or i.e. Power BI
Audit Trail: All notifications logged in the system have a timestamp as to when they were sent and to whom for traceability purposes </t>
  </si>
  <si>
    <t>The system shall accept a reported case of ASB from employees, residents, and 3rd parties including:  internal webform (staff/employee), public facing web form and/or resident app, input manually into system (entered manually by staff)
ASB reports submitted via the app are automatically routed into the central ASB system
Each case reported t shall generate a unique case ID and timestamp for tracking and audit purposes
The Case ID is visible to system users 
The system shall capture structured information including: Nature of the complaint (i.e. noise, harassment, substance misuse etc.; Location (property/unit/address); Parties involved (complainant and alleged perpetrator); Date and time of the incident; Supporting evidence (photos, videos, witness accounts); 
Mandatory fields must be completed before submission
File types and size limits are enforced for media uploads and error messages clearly displayed to the system user where an upload has failed or is not possible</t>
  </si>
  <si>
    <t>Evidence &amp; Note Timeline</t>
  </si>
  <si>
    <t>For ASB &amp; Incident Cases:
- Users see a user-friendly timeline of all case notes &amp; evidence (files, videos, photos).
- All evidence files are timestamped and cannot be edited or deleted.
- Notes/comments can be added &amp; edited with date/time &amp; user stamped.</t>
  </si>
  <si>
    <t>• The system accepts various media types from multiple sources (see earlier user story)
• The Grainger resident app connects securely to the system, allowing residents to submit evidence confidently
• All submissions via the app maintain security and confidentiality standards
• Every piece of evidence or case note uploaded is automatically timestamped
• Timestamps are visible for tracking and audit purposes
• Once evidence is uploaded, it is locked to prevent alteration or deletion, ensuring data integrity
• The system provides a timeline view of all case notes and evidence entries.
• The timeline is easy to navigate and understand
The system has comment fields to allow users to record details and updates for each ASB task
Users can edit or add new entries with time and date stamps and user stamp</t>
  </si>
  <si>
    <t>4, 15</t>
  </si>
  <si>
    <t>4, 6</t>
  </si>
  <si>
    <t>1, 8</t>
  </si>
  <si>
    <t>SLAs</t>
  </si>
  <si>
    <t>8, 9</t>
  </si>
  <si>
    <t>12, 15</t>
  </si>
  <si>
    <t>3, 14, 16</t>
  </si>
  <si>
    <t>Approved 
6- Comms are sent to the applicant to confirm with the pet policy, site rules and a form to sign accepting T&amp;C’s 
[new leases] The Tenancy Progression does not complete unless the T&amp;C’s are returned 
7- The case is automatically closed when the customer signs the T&amp;C’s accepting the policy and site rules. 
8- If the T&amp;C’s are not signed within 48 hours a follow up chaser is sent to the resident 
Lettings Process TPT update system and send out Docs including Pet Policy for signature as part of TA 
The TA needs to have a Separate line Item for Ret Rent on the TA
Additionally, the system must support digital signature functionality, allowing residents to formally acknowledge pet policies and related agreements in a legally compliant manner.</t>
  </si>
  <si>
    <t>4, 16</t>
  </si>
  <si>
    <t>Once a pet registration request has been approved or denied, the system should prompt the resident to complete a short feedback survey. This will help monitor resident sentiment and identify opportunities to improve the process over time</t>
  </si>
  <si>
    <t>Trigger Survey</t>
  </si>
  <si>
    <t>Once a pet registration request has been approved or denied, the system should prompt the resident to complete a short feedback survey.</t>
  </si>
  <si>
    <t>2, 7, 10, 14, 20</t>
  </si>
  <si>
    <t>EOT</t>
  </si>
  <si>
    <t>When a resident reports that a pet has been sold, rehomed, or has sadly passed away, the system must allow for an update to be made to the pet register. This update should be initiated either by the resident through the self-service portal or by site staff following direct notification.
The pet’s status should be changed from “Active” to either “Removed – Rehomed” or “Removed – Deceased”, depending on the reason provided. The system must retain a record of the pet’s registration history, including the date of removal, the reason, and the user who made the change. This ensures a full audit trail is maintained for compliance and reporting purposes.
Once a pet is marked as removed, it should no longer count towards the unit’s active pet total, and any associated alerts (such as maintenance warnings or pet rent reminders) should be deactivated. However, the historical record should remain accessible to authorised staff for reference.
If the resident wishes to register a new pet in place of the one removed, the standard registration process should apply, including policy acceptance and document submission.
Once a pet is marked as removed, it should no longer count towards the unit’s active pet total, and any associated alerts (such as maintenance warnings or pet rent reminders) should be deactivated. However, the historical record should remain accessible to authorised staff for reference.
If the resident wishes to register a new pet in place of the one removed, the standard registration process should apply, including policy acceptance and document submission.</t>
  </si>
  <si>
    <t>Reminders for Updated Pet Docs</t>
  </si>
  <si>
    <t>24, 26, 29</t>
  </si>
  <si>
    <t>Operations Dashboard</t>
  </si>
  <si>
    <t>30, 31</t>
  </si>
  <si>
    <t>7, 10, 11, 31</t>
  </si>
  <si>
    <t>13, 32</t>
  </si>
  <si>
    <t>On confirmation of actual move out:
• Update status on pet register.
• Update pet licence status.</t>
  </si>
  <si>
    <t>Assume excluded</t>
  </si>
  <si>
    <t xml:space="preserve">Tenant Signs Pet Licence </t>
  </si>
  <si>
    <t>Automated Approval/Rejection</t>
  </si>
  <si>
    <t>Create Pet Application Case</t>
  </si>
  <si>
    <t>Integrate Pet Application Cases with New Lease Opportunity.</t>
  </si>
  <si>
    <t xml:space="preserve">- Create pet application case from new lease opp: Pre-populate with unit, account, etc.
- User creates existing tenant's pet case from verbal request.
- Auto-assign each case to the appropriate property team or customer service group based on the resident’s building, unit, or tenancy profile. </t>
  </si>
  <si>
    <t>As part of the leasing journey, the applicant should have access to a link to complete an online form for a pet request.
As a Lettings User I want to create a new case to manage the application request for a new pet.
As a mid-term customer I would like to apply for a pet in person speaking to Front desk As a management user I want to create a new case to manage the application request for a new pet if requested by a resident, or where we identify and unregistered pet within the building I want to send a link, or complete the form in person with the applicant   detailing the pets they are requesting
The system must automatically route each pet registration request to the appropriate property team or customer service group based on the resident’s building, unit, or tenancy profile. This ensures that the correct team is responsible for reviewing and processing the application without delay.</t>
  </si>
  <si>
    <t>• The System displays if the apartment is pet friendly
• The system displays if the building is at capacity for pets on the floor, or whole building
- The system will show user a list of banned/prohibited pets</t>
  </si>
  <si>
    <r>
      <rPr>
        <sz val="8"/>
        <rFont val="Calibri"/>
        <family val="2"/>
        <scheme val="minor"/>
      </rPr>
      <t xml:space="preserve">The pet register should allow the user to set limits against each site by selecting pet friendly apartments on each floor. 
A limit threshold should be  set preventing too many pets being allowed by floor and at a building level
1- each unit/floor/building should allow the user to set limits against each site by selecting pet friendly apartments on each floor.  </t>
    </r>
    <r>
      <rPr>
        <sz val="8"/>
        <color theme="5"/>
        <rFont val="Calibri"/>
        <family val="2"/>
        <scheme val="minor"/>
      </rPr>
      <t xml:space="preserve">
</t>
    </r>
    <r>
      <rPr>
        <sz val="8"/>
        <rFont val="Calibri"/>
        <family val="2"/>
        <scheme val="minor"/>
      </rPr>
      <t xml:space="preserve">Property-specific pet policies (e.g., pets not allowed in listed buildings)
Tenancy type or unit size (e.g., max 2 pets for 1-bed units)
Lease restrictions or local council limitations
</t>
    </r>
    <r>
      <rPr>
        <sz val="8"/>
        <color theme="5"/>
        <rFont val="Calibri"/>
        <family val="2"/>
        <scheme val="minor"/>
      </rPr>
      <t xml:space="preserve">
</t>
    </r>
    <r>
      <rPr>
        <sz val="8"/>
        <rFont val="Calibri"/>
        <family val="2"/>
        <scheme val="minor"/>
      </rPr>
      <t>pet policy associated with each property. For example, pets may not be permitted in listed buildings or heritage properties due to structural or conservation restrictions
For instance, a one-bedroom flat may be limited to a maximum of two pets, while larger units may allow more. These thresholds should be customisable at the scheme or unit level.</t>
    </r>
    <r>
      <rPr>
        <sz val="8"/>
        <color theme="5"/>
        <rFont val="Calibri"/>
        <family val="2"/>
        <scheme val="minor"/>
      </rPr>
      <t xml:space="preserve">
</t>
    </r>
    <r>
      <rPr>
        <sz val="8"/>
        <rFont val="Calibri"/>
        <family val="2"/>
        <scheme val="minor"/>
      </rPr>
      <t xml:space="preserve">
The system must allow landlords or administrators to configure a global pet policy that applies across all sites by default. This policy should support rules such as restrictions on exotic pets, specific breed limitations, and a maximum number of pets per unit. In addition to the global policy, site- or scheme-level overrides must be supported, enabling local managers to tailor rules based on building-specific needs or insurance requirements.
The system must maintain full version control of all pet policies, including a history of changes, effective dates, and archived versions for audit purposes. If a property is exempt from the standard pet policy — for example, due to listed building or heritage status — it must be clearly flagged in the system, and this exemption should be visible to both staff and residents.
Only authorised users, such as landlords or regional managers, should be able to create or modify pet policies. All changes must be logged with user identification, timestamps, and a description of the update.
Traffic Light KPIs Update against the floor/Unit to show if at maximum capacity
The traffic light system is intended to provide a clear, visual representation of pet density within a building, block, or floor. It helps onsite teams monitor how many pets are currently registered in a given area and whether that number is approaching or exceeding recommended thresholds.</t>
    </r>
    <r>
      <rPr>
        <sz val="8"/>
        <color theme="5"/>
        <rFont val="Calibri"/>
        <family val="2"/>
        <scheme val="minor"/>
      </rPr>
      <t xml:space="preserve">
</t>
    </r>
    <r>
      <rPr>
        <sz val="8"/>
        <rFont val="Calibri"/>
        <family val="2"/>
        <scheme val="minor"/>
      </rPr>
      <t>A green status indicates that the number of registered pets is within acceptable limits for the building or floor, based on internal policy or capacity guidelines. This suggests that there is still room for additional pet registrations without concern.
An amber status means that the number of pets is nearing the upper threshold. While still within limits, it signals that the site team should monitor new registrations closely and may wish to review any pending applications more carefully.
A red status shows that the number of pets has reached or exceeded the defined limit for that area. In this case, new pet registrations may be paused or subject to additional review, and the site team may need to assess the impact on shared spaces, maintenance, and resident wellbeing.</t>
    </r>
  </si>
  <si>
    <t>Update Unit &amp; Tenancy</t>
  </si>
  <si>
    <r>
      <rPr>
        <sz val="8"/>
        <rFont val="Calibri"/>
        <family val="2"/>
        <scheme val="minor"/>
      </rPr>
      <t>• The online form allows the capture of dynamic pet information
• The online form includes pets not acceptable
• The online form returns the data into a Pet Register 
• The online form has a clause to indemnify Grainger against refusal (Can GPLC do this?) 
As part of the leasing journey, the applicant should have a clear guidance on the pet application process with a caveat that pets may be refused where buildings are at the maximum pet allowance  
During the pet registration process, residents must digitally acknowledge and accept the policy, with the system recording the date, time, and version of the policy accepted.</t>
    </r>
    <r>
      <rPr>
        <sz val="8"/>
        <color theme="5"/>
        <rFont val="Calibri"/>
        <family val="2"/>
        <scheme val="minor"/>
      </rPr>
      <t xml:space="preserve">
</t>
    </r>
    <r>
      <rPr>
        <sz val="8"/>
        <rFont val="Calibri"/>
        <family val="2"/>
        <scheme val="minor"/>
      </rPr>
      <t xml:space="preserve">
Consent tracking must be embedded into the system, ensuring that residents explicitly agree to data usage terms before submitting pet information
'From the App, the resident should have access to a link to complete an online form for a pet request
1- The app should have a form link available to open and complete a form assembly application. 
2- The online form allows the capture of dynamic pet information 
3- The online form includes pets not acceptable 
4- The online form returns the data into the customer object. 
5- The online form has a clause to indemnify Grainger against refusal 
6- The request for a pet application should alert the management team of a new request, and a new S/F case should be created for the management team to progress</t>
    </r>
  </si>
  <si>
    <t xml:space="preserve"> I want the case to be linked to the customer object and linked to the application/lettings journey
13- Documents and photos relating to the pet can be stored against the customer record and the pet Case
The system must maintain timestamped logs of all actions taken within the pet registration platform. This includes every submission, update, approval, rejection, and document upload, with each entry clearly recording the date, time, and user responsible. These logs ensure full traceability and support internal audits.
The system must support integration with a document storage platform such as SharePoint or AWS S3. This will allow secure upload and retrieval of pet-related documents, including vaccination records, insurance certificates, and policy acknowledgements, with appropriate access controls and retention policies.
The system must ensure full compliance with the UK General Data Protection Regulation (UK GDPR), including secure handling, storage, and processing of all personal and pet-related data. Data must only be retained for as long as necessary and must be stored in a manner that protects against unauthorised access or loss.
Access to the system must be governed by strict role-based permissions. Frontline teams should have read and write access to pet records relevant to their site. Management users must have administrative privileges, including the ability to override decisions and update policies.
Once a resident submits a pet registration request, the system must issue an acknowledgement within five business days. This acknowledgement should confirm receipt of the application and outline the next steps in the review process.</t>
  </si>
  <si>
    <t>- Some level of auto-approval / auto-rejection of a new case (or after pet details are entered): 
   - E.g. Listed building = no pets
   - Auto-approve caged pets?
- Tenant receives automated approval/rejection response (same as manual rejection/approval).
   - Includes applicable explanation.
- A user can re-open a rejected case &amp; override / approve on an exception basis.</t>
  </si>
  <si>
    <r>
      <rPr>
        <sz val="8"/>
        <rFont val="Calibri"/>
        <family val="2"/>
        <scheme val="minor"/>
      </rPr>
      <t>Automated rules based on:
Property-specific pet policies (e.g., pets not allowed in listed buildings)
Tenancy type or unit size (e.g., max 2 pets for 1-bed units)
Lease restrictions or local council limitations
Manual override with justification field for exceptional cases
The system must apply automated approval logic based on a set of predefined rules aligned with property-specific policies and tenancy conditions. These rules should be configurable and enforced consistently across the platform to ensure compliance and reduce manual processing.
Approval decisions must take into account the pet policy associated with each property. For example, pets may not be permitted in listed buildings or heritage properties due to structural or conservation restrictions. The system should automatically reject applications that conflict with such rules, providing a clear explanation to the resident.</t>
    </r>
    <r>
      <rPr>
        <sz val="8"/>
        <color theme="5"/>
        <rFont val="Calibri"/>
        <family val="2"/>
        <scheme val="minor"/>
      </rPr>
      <t xml:space="preserve">
</t>
    </r>
    <r>
      <rPr>
        <sz val="8"/>
        <rFont val="Calibri"/>
        <family val="2"/>
        <scheme val="minor"/>
      </rPr>
      <t>Tenancy type and unit size must also be factored into the approval logic. For instance, a one-bedroom flat may be limited to a maximum of two pets, while larger units may allow more. These thresholds should be customisable at the scheme or unit level.
In addition, the system must consider any lease-specific clauses or local authority regulations that may restrict pet ownership. Where such restrictions apply, the system should validate the application against these terms before proceeding.
For exceptional cases, the system must allow a manual override by authorised staff. When an override is applied, the user must be required to enter a justification, which will be recorded in the audit log for transparency and future reference.</t>
    </r>
  </si>
  <si>
    <r>
      <t>•</t>
    </r>
    <r>
      <rPr>
        <sz val="8"/>
        <rFont val="Calibri"/>
        <family val="2"/>
        <scheme val="minor"/>
      </rPr>
      <t xml:space="preserve"> The Acceptance or Rejection decision is recorded with clear reasons to the decision
• The system responds to the applicant with the outcome and reason notes
• Where rejected - the comms include guidance on how to appeal/complain
• The system updates the lettings process on the decision
Rejection 
2- Rejection - The system responds to the applicant with the outcome and reason notes, the comms include guidance on how to appeal/complain 
3- Rejection – within the Form Assembly response the customer has an option to proceed without a pet, or cancel the application process 
4- Rejection – if the cancelation option is chosen, the application is updated with a task for the lettings team to re-market the property 
5- Rejection – If rejected the pet case is updated and the pet details are kept on record, but added with a status of rejected</t>
    </r>
  </si>
  <si>
    <r>
      <rPr>
        <sz val="10"/>
        <rFont val="Calibri"/>
        <family val="2"/>
        <scheme val="minor"/>
      </rPr>
      <t>- Save key dates on pet application case
- Calculate KPI indicators [different timeframes for new &amp; existing tenants]: 
   - Acknowledgement of pet request timeframe
   - Decision timeframe
- Send alert (email) if case approaching SLA.
- Reassign case if overdue SLA.
   - Manage escalation path?</t>
    </r>
  </si>
  <si>
    <r>
      <rPr>
        <sz val="8"/>
        <rFont val="Calibri"/>
        <family val="2"/>
        <scheme val="minor"/>
      </rPr>
      <t>Once a request is submitted, SLA timers must be activated to track progress against defined service levels. The first timer should monitor the acknowledgement period, ensuring that the resident receives confirmation of receipt within five business days. A second timer should track the decision period, requiring that a final outcome — either approval or rejection — is issued within ten business days.</t>
    </r>
    <r>
      <rPr>
        <sz val="8"/>
        <color theme="5"/>
        <rFont val="Calibri"/>
        <family val="2"/>
        <scheme val="minor"/>
      </rPr>
      <t xml:space="preserve">
</t>
    </r>
    <r>
      <rPr>
        <sz val="8"/>
        <rFont val="Calibri"/>
        <family val="2"/>
        <scheme val="minor"/>
      </rPr>
      <t>These timers must operate in real time and be visible to staff via the operations dashboard. If a request is approaching or has exceeded its SLA, the system must generate an alert and escalate the case to a designated manager or senior team member for immediate attention.
1- Rule: Automatic allocation of cases to relevant property or customer service teams. 
2- KPI: Acknowledgement of a request should be within 5 business days (mid term application) 
3- KPI: Decision: within 10 business days  (mid term application) 
4- Rile: Alert notifications for pending requests breaching SLA.  
5- Escalation routing for overdue approvals with a data stamp of person approving 
A final decision — whether approval or rejection — must be made within ten business days of submission. The system should automatically track these timeframes and monitor all pending requests against the defined service level agreements.
If a request approaches or exceeds the SLA threshold, the system must trigger an alert notification to the relevant site or management team. These alerts should be visible on the operations dashboard and, where appropriate, sent via email or internal messaging tools.
For any requests that remain unresolved beyond the ten-day decision window, the system must initiate an escalation process. This should route the case to a designated senior team member or manager for urgent review, ensuring timely resolution and accountability.</t>
    </r>
  </si>
  <si>
    <t>User Approves/Rejects Pet Application</t>
  </si>
  <si>
    <r>
      <rPr>
        <sz val="10"/>
        <rFont val="Calibri"/>
        <family val="2"/>
        <scheme val="minor"/>
      </rPr>
      <t xml:space="preserve">- Generate pet licence document for tenant to sign via Adobe sign
- Generate Pet Policy document to send??
- Chaser emails - for new lease only or 2 templates (new &amp; existing tenants)? </t>
    </r>
  </si>
  <si>
    <t>Calculate Pet Rent &amp; Create Pet Licence Contract</t>
  </si>
  <si>
    <t>- Building/Block: Configure pet rent by builing, or global pet rent with exceptions?
- Calculate  pet rent based on the number and type of pets registered, as well as any site-specific pricing rules or exemptions.
    - Existing tenant with existing pets: Calculate total for all pets.
    - New lease: Display pet rent on new lease opportunity.
- Create a residential contract for a pet licence?
   - Linked to the case and/or opportunity?
- Link the contract to the new/exisiting residential tenancy. 
    - Different logic for new/existing tenant?
- Activate the contract when the case / new lease opportunity is complete? 
     - Different logic for new/existing tenant. 
- Update pet register with confirmed/active status on activating the contract?
- Close case at some point in the process.
Existing tenants with existing pet:
 - Cancel the existing pet licence contract &amp; create new one with total rent?
Ability to end pet rent without removing the pet (e.g. tenant becomes exempt): Manually capture end date on contract &amp; create a task for credit control.</t>
  </si>
  <si>
    <r>
      <rPr>
        <sz val="8"/>
        <rFont val="Calibri"/>
        <family val="2"/>
        <scheme val="minor"/>
      </rPr>
      <t>The system requires an additional monthly charge item for a Separate Pet Rent in addition to the Unit Rent and Parking/Garage Rent.
The system must automatically apply pet rent in accordance with the terms of each resident’s tenancy agreement. This calculation should take into account the number and type of pets registered, as well as any site-specific pricing rules or exemptions. Once applied, the charges must be seamlessly integrated with the organisation’s finance systems — such as MRI, Yardi, or Salesforce — to support accurate invoicing, payment tracking, and financial reconciliation.</t>
    </r>
    <r>
      <rPr>
        <sz val="8"/>
        <color theme="5"/>
        <rFont val="Calibri"/>
        <family val="2"/>
        <scheme val="minor"/>
      </rPr>
      <t xml:space="preserve">
</t>
    </r>
    <r>
      <rPr>
        <sz val="8"/>
        <rFont val="Calibri"/>
        <family val="2"/>
        <scheme val="minor"/>
      </rPr>
      <t>The system must allow leasing operatives to manually add a separate rent charge specifically for pets to a resident’s account. This charge must be configurable based on the number and type of pets, and it should be linked to the relevant tenancy record. The system must also check whether the tenancy agreement permits the application of pet rent and whether any exemptions apply, such as those related to incoming legislation.</t>
    </r>
    <r>
      <rPr>
        <sz val="8"/>
        <color theme="5"/>
        <rFont val="Calibri"/>
        <family val="2"/>
        <scheme val="minor"/>
      </rPr>
      <t xml:space="preserve">
</t>
    </r>
    <r>
      <rPr>
        <sz val="8"/>
        <rFont val="Calibri"/>
        <family val="2"/>
        <scheme val="minor"/>
      </rPr>
      <t>Once added, the pet rent charge must be clearly itemised on the resident’s rent statement and visible in both the finance system and the resident portal. The system must support recurring charges, with the ability to set start and end dates, and must allow for adjustments or removal if the pet is no longer present or if the resident becomes exempt.
All actions taken by the leasing operative must be logged in the audit trail, including the reason for the charge and any supporting notes. The system must also generate alerts for any inconsistencies, such as duplicate charges or missing documentation.
All actions taken by the leasing operative must be logged in the audit trail, including the reason for the charge and any supporting notes.</t>
    </r>
    <r>
      <rPr>
        <sz val="8"/>
        <color theme="5"/>
        <rFont val="Calibri"/>
        <family val="2"/>
        <scheme val="minor"/>
      </rPr>
      <t xml:space="preserve"> </t>
    </r>
  </si>
  <si>
    <t>Remove Pet from a Tenancy</t>
  </si>
  <si>
    <t>- Create a case [new record type]
- User can send a link to a FA form for tenants to enter info OR user enters the details.
   - Display all existing pets linked to the tenancy &amp; the tenant can select the one(s) to remove. 
  - OTP verification.
- Tenant can access a link to the form from MyGrainger app -&gt; auto create the case.
- If other pets remain: Calculated the revised pet rent.
- See other pets linked to the tenancy on the case. 
- Auto update pet register (status).
- Case has a step/stage for credit control to end/update pet rent in Qube.
- End the pet licence contract.
- If other pets remain: 
    - Create a new pet licence contract with the reduced pet rent amount? 
    - Generate new pet licence contract for signing? Send via Adobe Sign.
    - Chaser email?
- On completion of case: Send automated email to tenant notifying them pet removed from register &amp; pet rent stopped or reduced with effect from [date]. [2 templates]</t>
  </si>
  <si>
    <t xml:space="preserve">- See if unit / building allows pets on opp.
- See block / floor capacity traffic light indicator on opp.
- Update case &amp; pet register from opp:
    - If unit is changed: Update unit &amp; delete/nullify any existing approval?
   - Close case &amp; update pet register status if opp close/lost.
   - Update pet register status once opp goes to Audit or Closed Won; link case / pet register to tenancy.
- New lease opportunity requires extra validations if there is a linked pet case. </t>
  </si>
  <si>
    <r>
      <t xml:space="preserve">Site-related pet activity, including:
- Number of pets,
- Pending approvals
- cases approaching / exceding SLAs
- Any missing or expired documentation
- Policy breaches (pets in units /buidings not allowed pets; too many pets per unit)
- Pets not being charged rent.   
- See pet capacity by block &amp; floor &amp; if at limit or approaching limit.
- See which floors &amp; units allow pets (&amp; are available / not over capacity) [traffic light indicator]
- Filter dashboard by block, unit type, or pet type
- Link to load dashboard from a new lease opportunity or case.
</t>
    </r>
    <r>
      <rPr>
        <b/>
        <sz val="10"/>
        <rFont val="Calibri"/>
        <family val="2"/>
        <scheme val="minor"/>
      </rPr>
      <t>- SF limitations</t>
    </r>
    <r>
      <rPr>
        <sz val="10"/>
        <rFont val="Calibri"/>
        <family val="2"/>
        <scheme val="minor"/>
      </rPr>
      <t xml:space="preserve"> - we can't filter by each block? More than 50.</t>
    </r>
  </si>
  <si>
    <t xml:space="preserve">- See a view / related list of current pets on a unit?
- Calculate # pets allowed per unit based on block / floor / unit type.
- See a related list of current &amp; previous pets on a tenancy. </t>
  </si>
  <si>
    <r>
      <rPr>
        <sz val="8"/>
        <rFont val="Calibri"/>
        <family val="2"/>
        <scheme val="minor"/>
      </rPr>
      <t>As a Lettings User/Property Manager I want to see a Dashboard and Report on the system what units are available/ acceptable for pets at unit and block level Acceptance 
1-The System displays if the apartment is pet friendly</t>
    </r>
    <r>
      <rPr>
        <sz val="8"/>
        <color theme="5"/>
        <rFont val="Calibri"/>
        <family val="2"/>
        <scheme val="minor"/>
      </rPr>
      <t xml:space="preserve"> </t>
    </r>
    <r>
      <rPr>
        <sz val="8"/>
        <rFont val="Calibri"/>
        <family val="2"/>
        <scheme val="minor"/>
      </rPr>
      <t xml:space="preserve">
2-The system displays if the building is at capacity for pets on the floor, or whole building 
3-The system will show user a list of banned/ prohibited pets </t>
    </r>
    <r>
      <rPr>
        <sz val="8"/>
        <color theme="5"/>
        <rFont val="Calibri"/>
        <family val="2"/>
        <scheme val="minor"/>
      </rPr>
      <t xml:space="preserve">
</t>
    </r>
    <r>
      <rPr>
        <sz val="8"/>
        <rFont val="Calibri"/>
        <family val="2"/>
        <scheme val="minor"/>
      </rPr>
      <t>4- A pet Register/Dashboard should show a full list of pets and capacity percentage with availability for remaining pet acceptance 
The operations dashboard must display a real-time summary of pet-related activity across the site. This includes the number of active pets, pending approvals, expired documents, and any policy breaches. The data must be filterable by date range, unit type, or pet type, and exportable for reporting purposes.
The system must identify residents with registered pets who are not currently being charged pet rent and flag these cases for review. 
The register must be accessible via the operations dashboard, providing real-time visibility to authorised staff. This ensures that teams can monitor pet registrations, track compliance, and respond to queries or incidents efficiently.</t>
    </r>
  </si>
  <si>
    <t>- Save expiration date for each pet documents.
- Business rules on which pets require which docments. 
- Pet- and tenancy-level documents: Vet certificates per pet; insurance per tenancy?
- Calculate traffic light indicator for docs missing, overdue, or expiring soon.
- Automated reminder emails to tenants to send docs. [2 email templates?]
- Tenant will be able to reply to the email with docs attached? Thread it onto the pet registe record? Notify a user/create a task?
OR gets a link to a form assembly site that they can upload docs to? Create a linked task for a user to review?</t>
  </si>
  <si>
    <r>
      <rPr>
        <sz val="8"/>
        <rFont val="Calibri"/>
        <family val="2"/>
        <scheme val="minor"/>
      </rPr>
      <t>the system should issue annual renewal prompts to residents. These reminders should request updated documentation, such as valid pet insurance or veterinary health certificates, and ensure continued compliance with pet policy requirements.</t>
    </r>
    <r>
      <rPr>
        <sz val="8"/>
        <color theme="5"/>
        <rFont val="Calibri"/>
        <family val="2"/>
        <scheme val="minor"/>
      </rPr>
      <t xml:space="preserve">
</t>
    </r>
    <r>
      <rPr>
        <sz val="8"/>
        <rFont val="Calibri"/>
        <family val="2"/>
        <scheme val="minor"/>
      </rPr>
      <t>All uploaded documents — such as insurance policies or vaccination records — must be stored securely, with expiry tracking in place to prompt renewal or removal when documents become outdated. The system should support integration with secure document storage platforms and enforce access controls based on user roles.
Automated reminder notifications must be built into the system. These should alert residents when key actions are due, such as insurance policy expiry. Notifications should be delivered via email or app alerts, depending on resident preferences.</t>
    </r>
    <r>
      <rPr>
        <sz val="8"/>
        <color theme="5"/>
        <rFont val="Calibri"/>
        <family val="2"/>
        <scheme val="minor"/>
      </rPr>
      <t xml:space="preserve">
</t>
    </r>
    <r>
      <rPr>
        <sz val="8"/>
        <rFont val="Calibri"/>
        <family val="2"/>
        <scheme val="minor"/>
      </rPr>
      <t xml:space="preserve">
Any missing or expired documentation must be clearly flagged.
The system must automatically track expiry dates for pet-related documents such as insurance or vet certificates. Residents must receive reminders in advance of expiry, with clear instructions for uploading updated documents. If no action is taken, the system must flag the record for follow-up by the site team.</t>
    </r>
  </si>
  <si>
    <t>Generate Reply Form &amp; Written Submisstion</t>
  </si>
  <si>
    <t>- Generate 2 x forms / documents.
- Capture form content via 2 x screenflow?
- 2x email templates available for users to select?</t>
  </si>
  <si>
    <t>- Colour-coded KPI tracking status
- Will likey be multiple KPIs depending on the case stage.</t>
  </si>
  <si>
    <t>- Notify stakeholders on case creation (TBD task or email)
- Notify stakeholders once decision made (TBD task or email - 2x templates challenge won/lost)</t>
  </si>
  <si>
    <t>Integrate Rent Challenge Case &amp;  Tenancy Review Opportunity</t>
  </si>
  <si>
    <t>6 Reports 
1x Operational Dashboard with filters</t>
  </si>
  <si>
    <t>Manage &amp; See Pet Capacity &amp; Policies</t>
  </si>
  <si>
    <t>Maintain Pet Register</t>
  </si>
  <si>
    <t>- Dashboard or Custom List View
- Search pet register by site, tenant name, unit number, pet type, approval status 
- Able to export pet register</t>
  </si>
  <si>
    <t>Search / View Pet Register</t>
  </si>
  <si>
    <t>- Page layouts for 2 record types: new and existing tenants
  - Stages / progress bar
  - Link to customer, tenancy &amp; to new lease opp (if applicable)
- Capture multiple pets (maintain pet register below)
- Upload files (documents, photos) to case and/or individual pet record.
- Email from case.
- See block / floor capacity traffic light indicator.
- Validation (e.g. file type &amp; expiration date validations).
- Make default email templates availble: Acknowledgement of case email template.
- Existing tenants: See all existing pets already in the unit (from the pet register)</t>
  </si>
  <si>
    <t xml:space="preserve"> This register should be fully searchable by key fields such as tenant name, unit number, pet type, and approval status, allowing onsite teams to quickly locate and review relevant records.</t>
  </si>
  <si>
    <t>A current list should be accessible with data fields to record pet detail and any pet collar reference numbers for lost pets
The system must include a centralised digital pet register that consolidates all pet-related data across the portfolio.
The system must include the ability to mark a unit as having “no pets declared.” This status should be clearly recorded and visible in the register to support accurate record-keeping and compliance monitoring.
The system must provide access to a full audit trail of all pet registrations, including timestamps, user actions, and document history. The Compliance Officer must be able to filter records by site, approval status, or document type, and export data for audit or regulatory purposes. Any missing or expired documentation must be clearly flagged.
In such cases, the system must allow for a “no charge” status to be recorded, along with a reason and reference to the relevant legal or policy exemption
A complete change history must be retained for each pet record. This includes changes to pet status, updates to submitted documents, approvals or denials, and any charges applied. The history should be accessible to authorised staff and presented in a clear, chronological format.</t>
  </si>
  <si>
    <t>- Pet register records:  [new object?]
  - Link each pet to an account &amp; tenancy &amp; unit &amp; pet application case (optional)
  - Ability to indicate where tenant has declared not having pets.
  - Ability to indicate where there is a decision not to charge.
- Each record has docs linked e.g. vet vaccine records.
- Each record can have comms &amp; tasks associated (activity timeline)
- Able to see/access approval / rejection history - from linked cas?
- Able to see/access history of pet rent.</t>
  </si>
  <si>
    <t>Tenant Completes Online Form
[Grainger devs form]</t>
  </si>
  <si>
    <r>
      <t xml:space="preserve">- Send email with link to form [2-3 templates - new lease, existing tenant request for pet, unregistered pet identified in bldg]
OR Resident can initiate process by completing Form Assembly form accessed from the App [Grainger]
- Form Assembly form for tenant to request one or more pets [Grainger]
- Updates or creates pet case &amp; associated pet register records?
- Auto-assign new cases &amp; send notification email.
- See &amp; acknowledge applicable pet policy &amp; save version accepted. TBD
- OTP verification [Grainger?]
</t>
    </r>
    <r>
      <rPr>
        <b/>
        <sz val="10"/>
        <rFont val="Calibri"/>
        <family val="2"/>
        <scheme val="minor"/>
      </rPr>
      <t>- Ability to upload photo / documents via FA?</t>
    </r>
  </si>
  <si>
    <r>
      <rPr>
        <sz val="10"/>
        <rFont val="Calibri"/>
        <family val="2"/>
        <scheme val="minor"/>
      </rPr>
      <t xml:space="preserve">- Approve/reject applications: TBD if full approval request process is required or just an audit trail of the user who approved/reason/etc?
- Send to PM/RST for approval 
- Update pet register &amp; case status on approval/rejection.
- Notify tenant of outcome [3-4 email templates - approve/reject for existing/new tenants].
New lease rejections: 
- Above email has a link to a FA Form [Grainger to dev] that allows tenant to proceed without pet or cancel the new lease application.
- On cancelling: Close Lost the new lease opp; create a task for the opp owner / lettings team to re-market the unit.
- On proceding without a pet: Notify new lease opp owner? 
New lease approval: Notify new lease opp owner &amp; update opp status?? </t>
    </r>
  </si>
  <si>
    <t>- Create from tenancy review opp &amp; prepopulate information from opp.
- Add related list of cases to TR opportunity record layout.
- New validations on TR opp if there is a linked case.  
- Auto update the Tenancy Review opportunity when a decision is made? 
   - E.g. update start date of new contract, updat rent amount; create a new primary offer
   - May need to save additional data for reporting purposes</t>
  </si>
  <si>
    <t>Fri</t>
  </si>
  <si>
    <t>Sat</t>
  </si>
  <si>
    <t>Sun</t>
  </si>
  <si>
    <t>Mon</t>
  </si>
  <si>
    <t>Tue</t>
  </si>
  <si>
    <t>Wed</t>
  </si>
  <si>
    <t>Thu</t>
  </si>
  <si>
    <t>ASB and Rent Challenge - Scope Discussion</t>
  </si>
  <si>
    <t>Meetings</t>
  </si>
  <si>
    <t>RRB: Qube and Integration - Scope discussion</t>
  </si>
  <si>
    <t>Leave</t>
  </si>
  <si>
    <t>Sam</t>
  </si>
  <si>
    <t>Deliver Proposal</t>
  </si>
  <si>
    <t xml:space="preserve">Incident Cases [Near Miss &amp; Injury] </t>
  </si>
  <si>
    <t>Send Notifications to Grainger Stakeholders</t>
  </si>
  <si>
    <r>
      <t xml:space="preserve">- Customer, contractor, colleague, member of public or other relevant party reports ASB or incident case via: 
   - Internal webform (staff/employee)??
   - Public-facing Form Assembly form 
- Tenant can access FA form via mobile app &gt; creates a new case &gt; flag to manual review.
- User can send email to tenant/3rd party with a link to complete form &gt; update case.
- Able to upload files, photos on Form Assembly. </t>
    </r>
    <r>
      <rPr>
        <b/>
        <sz val="10"/>
        <rFont val="Calibri"/>
        <family val="2"/>
        <scheme val="minor"/>
      </rPr>
      <t>TBD is this possible?</t>
    </r>
  </si>
  <si>
    <t>The (email) communication can be issued via the ‘system’ and replies from complainants will be received back within the system also (two-way communication).
All communications to and from the complainant are registered against the ASB case file and/or the customer account (provided they are a Grainger resident)
The ‘system’ will integrate with Microsoft Outlook ensuring that any communications received or issued via outlook are automatically logged against the customer and/or unit in the ASB case file</t>
  </si>
  <si>
    <t>Anonymise data</t>
  </si>
  <si>
    <t xml:space="preserve">- Send automated notification emails on creation of ASB or incident case to stakeholders (manager / director / H&amp;S Team) or once severity has been assigned. [2 templates?]
- Recipients depend on severity of case and record type. </t>
  </si>
  <si>
    <t>Update Tenancy from Case</t>
  </si>
  <si>
    <t>Generate &amp; Send ASB Documents</t>
  </si>
  <si>
    <t>- Generate 4x documents: Formal Warning Letter 1; Escalated Warning Letter 2; Solicitor instruction template; S8 Notice.
- Documents are partly pre-populated &amp; partly editable.
- Send doucument from case; document &amp; email linked to case.
- Capture / default a deletion date on each document.</t>
  </si>
  <si>
    <t>9, 16</t>
  </si>
  <si>
    <r>
      <t xml:space="preserve">Escalation stages - 
</t>
    </r>
    <r>
      <rPr>
        <b/>
        <sz val="8"/>
        <color theme="1"/>
        <rFont val="Calibri"/>
        <family val="2"/>
        <scheme val="minor"/>
      </rPr>
      <t>Stage 1 – Formal warning (Letter 1)</t>
    </r>
    <r>
      <rPr>
        <sz val="8"/>
        <color theme="1"/>
        <rFont val="Calibri"/>
        <family val="2"/>
        <scheme val="minor"/>
      </rPr>
      <t xml:space="preserve">
Allows the user to select pre-formatted Letter 1 template
The system presents the template in an editable format
The system pre populates (merge fields) such as Dear (resident name) 
Allows the user to edit any part of the template if required
</t>
    </r>
    <r>
      <rPr>
        <b/>
        <sz val="8"/>
        <color theme="1"/>
        <rFont val="Calibri"/>
        <family val="2"/>
        <scheme val="minor"/>
      </rPr>
      <t>Stage 2 – Escalated warning letter (Letter 2)</t>
    </r>
    <r>
      <rPr>
        <sz val="8"/>
        <color theme="1"/>
        <rFont val="Calibri"/>
        <family val="2"/>
        <scheme val="minor"/>
      </rPr>
      <t xml:space="preserve">
Allows the user to select pre-formatted Letter 2 template
The system presents the template in an editable format
The system prepopulates (merge fields) such as Dear (resident name) 
Allows the user to edit any part of the template if required
• The system generates a precedent section 8 notice in the latest form with drop down boxes to select the relevant grounds, allowing the selection of multiple grounds where appropriate. 
• Within the Section 8 form, free-text entry is available for additional details as needed
• The system allows for documents created and stored there to have a deletion date specified and this is either autodeleted or prompts the responsible person to review and delete or reset date as appropriate.
• Documents have specified deletion dates
• Access to stored documents is limited to those with a legitimate business need to access them.</t>
    </r>
  </si>
  <si>
    <t>Scope out?</t>
  </si>
  <si>
    <t>• The system enables ASB data to be collected and anonymised to meet any reporting requirements to local or central government.</t>
  </si>
  <si>
    <t>- Automated task generation depending on the nature of the ASB incident</t>
  </si>
  <si>
    <t>• The system has automated task  and workflow generation and automatically creates follow up tasks depending on the nature of the ASB incident</t>
  </si>
  <si>
    <t>6, 11, 14,20</t>
  </si>
  <si>
    <r>
      <t>- Send automated notifications to the reporter(s) (tenant/staff/3rd party)
- Sent via the reporter’s preferred contact method (i.</t>
    </r>
    <r>
      <rPr>
        <sz val="10"/>
        <rFont val="Calibri"/>
        <family val="2"/>
        <scheme val="minor"/>
      </rPr>
      <t>e.  email or SMS). 
    - Capture preferred contact method on an account?
- 2-5 x automated notifications: Sent on case creation</t>
    </r>
    <r>
      <rPr>
        <sz val="10"/>
        <color theme="1"/>
        <rFont val="Calibri"/>
        <family val="2"/>
        <scheme val="minor"/>
      </rPr>
      <t xml:space="preserve"> &amp; completion [TBD].
   - Send seperate emails if there are multiple reporters.
- 3 x email templates that the user can select. [new reporter on existing case, stage update, letters sent]
   - Send seperate emails if there are multiple reporters (be able to select the recipient)</t>
    </r>
  </si>
  <si>
    <t>Acknowledgement on Submission: When a reporter submits an ASB incident, they receive an automated acknowledgement confirming the incident has been logged.
The message includes a reference number and a brief explanation of next steps.
Notification on Resolution: When the incident task is marked as completed/closed in the system, the reporter receives a second notification.
The message clearly states the outcome and indicates that the case has been closed.
Delivery Channels: Notifications are sent via the reporter’s preferred contact method (i.e.  email or SMS), as specified during submission.
Resident correspondence (acknowledgement, stage updates, formal letters, outcomes) are generated and sent from the system
Selectable templates for different stages of communication with complainants including:
• Initial acknowledgement with ASB policy or guidance for residents attached
• Case update templates
• Final outcome template
The templates issued will link to stages of the ASB workflow 
•	The (email) communication can be issued via the ‘system’ and replies from complainants will be received back within the system also (two-way communication)
•	All communications to and from the complainant are registered against the ASB case file and/or the customer account (provided they are a Grainger resident)
•	The Grainger user can select the relevant template from within the system
•	The Grainger user can select the relevant Grainger resident (where relevant) from the system – to whom the communication is to be sent to
•	The ‘system’ will integrate with Microsoft Outlook ensuring that any communications received or issued via outlook are automatically logged against the customer and/or unit in the ASB case file
•	Each reporter has an independent workflow  and response tracking</t>
  </si>
  <si>
    <t>Link Multiple Reporters &amp; Perpetrators to a Case</t>
  </si>
  <si>
    <t>- 'Reports' sub-object to the case?
   - Roll up count of number of reports on a case.
- Multiple perpetrators  can be linked to the same case. TBD if requires a record or just a list of account / contacts</t>
  </si>
  <si>
    <t>10, 17, 20</t>
  </si>
  <si>
    <t>• Users can add multiple reporters to an existing ASB case
• Each reporter has an independent workflow  and response tracking
• Multiple perpetrators can be linked to the same case
• Reports and dashboards display the number of reporters associated with each case
• System prevents creation of duplicate cases by linking new reports to existing cases where appropriate</t>
  </si>
  <si>
    <t>13, 20</t>
  </si>
  <si>
    <t>A dashboard that allows reporting of numbers by:  portfolio, incident category, severity level, case status, dates/months
A drill through option to see case by case updates
Ability to click on summary numbers to drill into individual case records
A high-level report that allows monthly operational reporting including:  number of new, open, closed and escalated cases in the month, portfolio comparisons
The system can generate an pdf or excel summary suitable for export
All data shown is filterable by date range / portfolio / severity
•The system to link to [Power BI] with a dedicated dashboard of real-time key KPIs allowing users to drill down to specific details* allowing quick identification of repeat offenders.
•Display open, closed cases, response times
•*The system cannot provide drilled-down information to non-reporters to ensure private information is secure (GDPR , etc.)
•The user can filter reports by date range, location, property and other relevant criteria
• Reports and dashboards display the number of reporters associated with each case
• The system will flag to me the business where any stages/actions/tasks are overdue</t>
  </si>
  <si>
    <r>
      <t>Reporting on ASBs &amp; Incidents
- Number of incidents / ASBs by portfolio, incident category, severity level, case status, dates/months
- Cases with highest severity.
- Number of new, open, closed and escalated cases in the month
- Portfolio comparisons
- KPIs: Overdue stages
- Display open, closed cases, response times
- Overdue tasks
- Filter by date range, portfolio, severity, etc
TBD =</t>
    </r>
    <r>
      <rPr>
        <i/>
        <sz val="10"/>
        <rFont val="Calibri"/>
        <family val="2"/>
        <scheme val="minor"/>
      </rPr>
      <t xml:space="preserve"> The system cannot provide drilled-down information to non-reporters to ensure private information is secure (GDPR , etc.)</t>
    </r>
  </si>
  <si>
    <r>
      <rPr>
        <sz val="10"/>
        <rFont val="Calibri"/>
        <family val="2"/>
        <scheme val="minor"/>
      </rPr>
      <t xml:space="preserve"> SLAs related to severity.
- Colour-coded SLA tracking [formula fields].
- Different SLAs for ASBs &amp; indicidents. TBD
'- Additional (?) SLAs for turnaround time on each Stage 
   - Each stage has associated start date &amp; due date.
- Users can extend the ‘due date’ &amp; provide a reason.
- Calculate colour-coded flags.
- User can see next actions &amp; due date to complete each stage. 
- See where any actions/tasks are overdue.
- When an ASB case is created or 3rd party case is reviewed: Auto-assign case based on severity.</t>
    </r>
  </si>
  <si>
    <t xml:space="preserve">Built in SLA’s should reflect the severity level of the task in the same way they do on any normal maintenance job:
 - Low severity = Standard SLA (i.e. 5 working days)
 - High severity = Urgent SLA (i.e.  24–48 hours)
 - Severe = Critical SLA (immediate action required)
Internal severity level determines who a task is assigned to:
 - Low severity → RSA (Resident Support Advisor/CST)
 - High severity → RSM (Resident Services Manager/Portfolio Manager)
 - Severe → Senior Management or Legal
Escalation logic shall route high-risk or persistent ASB cases to senior teams or legal advisors
• Each ‘stage’ of the workflow is timebound with an associated ‘start’ and ‘due date’.
• As a user I can see what my next required actions are on my ASB cases and by what date they are due
• The system will flag to me the business where any stages/actions/tasks are overdue
• As a user I can extend the ‘due date’ by providing a ‘reason’ and the reasons must be selectable from a drop-down list. 
• Extension reasons are logged for audit and reporting purposes </t>
  </si>
  <si>
    <t>• The system will link related incidents accordingly based on customer/unit for comprehensive case tracking
When I enter the any of the:  complainant / alleged perpetrator / property address into the system – the system will alert me to any potential duplicates
The system will display a ‘potential duplication’ alert message on the screen and I cannot proceed without reviewing the duplicates
Existing records matching complainant and or alleged perpetrator and or unit address are displayed to me clearly for review as well as case raised date / task creator or owner
• I am asked to review the duplicate records and given the choice as to whether I want to switch to a pre existing ASB case or continue to create a brand new record
•  System prevents creation of duplicate cases by linking new reports to existing cases where appropriate
• Within the system, when the Grainger user selects a customer OR a unit – any Incidents previously logged relating to either entity or those (customer/unit) should be displayed
• The Grainger user can select the ‘incident’ reference number to review the complete issue
• Sensitive cases are hidden from general users and only visible to management
• The Grainger  user can mark whether a linked incident should be included in another ASB investigation</t>
  </si>
  <si>
    <t>1, 12, 22</t>
  </si>
  <si>
    <t>Identify Duplicate &amp; Linked Incidents</t>
  </si>
  <si>
    <t>- Alert user to potentially related ABS incidents based on reporter / tenant / unit / tenancy.
- User must review duplicates before proceeding.
- User is prompted to check for duplicates after 3rd party initially creates the case.  
If there is an existing case for the same incident:
- Ability to merge existing case details into existing case: E.g. create a new report record on an existing case (copy files, data across) and close current case?
If there is a seperate, but related case:
- The user can link the cases.
- Related list of linked cases visible both ways.</t>
  </si>
  <si>
    <t>2, 3, 4, 5, 7, 8, 9, 13, 19, 22, 24</t>
  </si>
  <si>
    <r>
      <t xml:space="preserve">• Instructional text is clearly displayed at each step of the task creation for the user to follow steps/actions
• Text explains what type of information should be entered
The system has comment fields to allow users to record details and updates for each ASB task
Users can edit or add new entries with time and date stamps and user stamp
The system allows for documents to be uploaded against the task including as minimum the most common file types (pdf, doc, docx, word etc)
The system allows for the video and audio files to be saved against the task including as minimum the most common file types (mp4, avi, mp3 etc)
The system allows for images to be saved against the task including, as minimum the most common file types (jpg, png, bmp, gif etc)
Uploaded documents, videos, images are listed in the task in date logged order and are viewable/downloadable
File size and type restrictions are clearly stated 
The ASB incident types for selection should include: Personal ASB (harassment or targeting specific individuals/groups); Nuisance ASB (causing trouble to community, loud music or public disturbances) ; Vehicle-related ASB (abandoned cars/reckless driving); Trespassing (unauthorised entry onto private property); Animal-related issues (aggressive or uncontrolled pets); Drug paraphernalia (illegal substances, presence of needles or drug related litter) ; Aggressive or violent behaviour – physical threats or actions
Category selection: Users can select one or more ASB incident types from the predefined list when submitting a report
Clear definitions: Each category includes a short description or example to help users make an informed choice
Validation: At least one category must be selected to submit the incident report
Each incident must be classified using one of the following mandatory severity levels:
Fundamental (single low ASB incident - verbal warning); 1st Stage (single significant ASB - 1st formal letter); 2nd Stage (reoccurring incidents - 2nd formal letter) ; Final Stage (a serious incident or where ongoing incidents move to a legal stage)
Severity selection
• Users must select a severity level from a dropdown menu when submitting an ASB incident
• The selection is mandatory and required to proceed
The system displays a set of standard date-related questions (e.g., "When did the incident occur?")
Dates are required fields and validated for format (e.g., DD/MM/YYYY)
Anti-Social Behaviour: Person at Risk [Drop Down] Location of Incident [Drop Down] ASB Category [Drop Down] Description [Free Text Box]
Escalation stages - 
</t>
    </r>
    <r>
      <rPr>
        <b/>
        <sz val="8"/>
        <color theme="1"/>
        <rFont val="Calibri"/>
        <family val="2"/>
        <scheme val="minor"/>
      </rPr>
      <t>Fundamental</t>
    </r>
    <r>
      <rPr>
        <sz val="8"/>
        <color theme="1"/>
        <rFont val="Calibri"/>
        <family val="2"/>
        <scheme val="minor"/>
      </rPr>
      <t xml:space="preserve">:
Allows the user to add information regarding the initial conversation with the perpetrator, and any follow up actions required 
Allows the user to add information should they think the perpetrator has stopped ASB behaviour
Allows the user to move the task to the next stage (Stage 1) or skip to the final stage (Final Stage)
</t>
    </r>
    <r>
      <rPr>
        <b/>
        <sz val="8"/>
        <color theme="1"/>
        <rFont val="Calibri"/>
        <family val="2"/>
        <scheme val="minor"/>
      </rPr>
      <t xml:space="preserve">
Stage 1 – Formal warning (Letter 1)</t>
    </r>
    <r>
      <rPr>
        <sz val="8"/>
        <color theme="1"/>
        <rFont val="Calibri"/>
        <family val="2"/>
        <scheme val="minor"/>
      </rPr>
      <t xml:space="preserve">
Allows the user to add information on the actions taken and ongoing incidents that happen
Allows the user to move the task to the next stage (Stage 2) or skip to the Final stage (Final Stage)
</t>
    </r>
    <r>
      <rPr>
        <b/>
        <sz val="8"/>
        <color theme="1"/>
        <rFont val="Calibri"/>
        <family val="2"/>
        <scheme val="minor"/>
      </rPr>
      <t>Stage 2 – Escalated warning letter (Letter 2)</t>
    </r>
    <r>
      <rPr>
        <sz val="8"/>
        <color theme="1"/>
        <rFont val="Calibri"/>
        <family val="2"/>
        <scheme val="minor"/>
      </rPr>
      <t xml:space="preserve">
Allows the user to add information on the actions taken and ongoing incidents that happen
Allows the user to move the task to the next stage (Final Stage)
</t>
    </r>
    <r>
      <rPr>
        <b/>
        <sz val="8"/>
        <color theme="1"/>
        <rFont val="Calibri"/>
        <family val="2"/>
        <scheme val="minor"/>
      </rPr>
      <t xml:space="preserve">
Final Stage:
</t>
    </r>
    <r>
      <rPr>
        <sz val="8"/>
        <color theme="1"/>
        <rFont val="Calibri"/>
        <family val="2"/>
        <scheme val="minor"/>
      </rPr>
      <t>Allows the user to complete a solicitor instruction template so that we provide all of the detail required to solicitors
Allows the user to add information to the system to confirm legal information including dates of service for legal notices, court dates and solicitor details
Allows the user to add information on the outcome from the legal proceedings and any actions required
Allows the user to confirm a recovery date 
When I am viewing an ASB case, the system displays the ASB case stage (workflow stage) including:  ASB incident logged, investigation pending / being investigated / Response issued case closed / reopened)
Case status shall include stages such as: New, In Review, Action Taken, Escalated, Closed.
• Access to case data is restricted based on user roles
• Grainger colleagues’ data visibility is scoped by site, portfolio, or cluster.
• Different ASB case types have defined visibility rules per role
• Reports include actionable insights and lessons learned summaries
• Track service of notice so that when a notice is being served a user can log it in the system entering notice type, service date, expiry date and reason for service (ie Rent arrears, ASB, refurb etc)
• When a notice is served user can specify via selection whether prepared internally or via a solicitor, providing the relevant solicitor details 
• The system can be updated with notes, updates, timestamps on events and communications
• When a court hearing is scheduled, dates can be added into the system including court hearing date, location, case reference
• Correspondence can be attached to the task
• When a baliff date is set, the system allows input of scheduled baliff date and any associated information (baliff contact details)
• I can select the relevant status for the stage of legal service (ie notice served awaiting expiry, notice being prepared awaiting service, court hearing pending etc)</t>
    </r>
  </si>
  <si>
    <t>14, 25</t>
  </si>
  <si>
    <t>• Users are prompted to answer ‘Was the incident a result of ASB’ when creating a task and are provided with Yes or No options:
	• If Yes – the system routes the incident into the ASB process workflow
	• If No – the system will generate a Near Miss or Injury  workflow to record incidents without the requirements below.
• The system presents a clear, step by step question and answer set to evaluate case severity 
• When the user answers questions and certain answers are selected, the system dynamically adjusters or filters subsequent questions to maintain relevance
• When all questions are answered, the system suggests a severity level
• If the user disagrees they can manually adjust the severity level before submitting the ASB case</t>
  </si>
  <si>
    <t xml:space="preserve"> - Screen flow to create new incident case: Select if ASB or not.
 - If ASB: step by step question and answer set to evaluate case severity 
   - Follow up questions depende on the answers selected.
- Display suggested severity level &gt; user can manually update. 
 - Create case with the applicable record type.</t>
  </si>
  <si>
    <t>Print Case Details</t>
  </si>
  <si>
    <t>The system presents a report in a printable format detailing times, notes and actions taken</t>
  </si>
  <si>
    <t>- Flag eviction notice &amp; reasons on tenancy.
- See related list of cases on a tenancy (where reporter or perpetrators)
- See related list of cases on an account (where reporter or perpetrators)</t>
  </si>
  <si>
    <t>When ready to instruct solicitors, I would like the system to produce a report of the incident timeline with dates and notes so that this report can be used as evidence on a possession hearing. •	The system presents a report in a printable format detailing times, notes and actions taken</t>
  </si>
  <si>
    <t>Consultancy</t>
  </si>
  <si>
    <t>out of scope</t>
  </si>
  <si>
    <t xml:space="preserve">- Page layout for record type
  - Formula fields
  - Stages / progress bar
- Instructional text is for each stage explaining what information should be entered.
- Conditional display of fields based on stage?
- Upload files (including video, audio, images)
   - Evidence files cannot be deleted - TBD if possible?
- Email from case.
- Add tasks
- Validations: Required information captured at certain stages.
- Save &amp; calculate reporting metrics.
- Strict access control on who can see what. e.g. by case record type.
   - Flag sensitive cases to be hidden from general users.
</t>
  </si>
  <si>
    <r>
      <rPr>
        <sz val="10"/>
        <rFont val="Calibri"/>
        <family val="2"/>
        <scheme val="minor"/>
      </rPr>
      <t>- Manage buildings, floors(??) &amp; units that allow pets.
     - Pets not allowed in listed buildings.
- Pet limits by unit type or tenancy type (1 bed vs 2 bed)
- Ability to override at unit-level &amp; block-level.
- Manage pet capacity (%): By floor &amp; by building/block
- Calculate capacity by floor &amp; by building/block
    - Traffic light indicator of pet density / see if at limit or approaching limits
- Maintain list of banned pets [general policies]
- Configure global pet policies [text] (general, listed buidings, etc.) &amp; block-level overrides.
- Save a history of policy verions, date/user stamp, description of update; effective date.</t>
    </r>
  </si>
  <si>
    <t>UAT Weeks - 2 releases</t>
  </si>
  <si>
    <t>Prod Support Weeks - 2 releases</t>
  </si>
  <si>
    <t>Requirements provided; 2 releases</t>
  </si>
  <si>
    <t>Jacob</t>
  </si>
  <si>
    <r>
      <t xml:space="preserve">- Page layout for record type
- Two different </t>
    </r>
    <r>
      <rPr>
        <i/>
        <sz val="10"/>
        <color theme="1" tint="0.499984740745262"/>
        <rFont val="Calibri"/>
        <family val="2"/>
        <scheme val="minor"/>
      </rPr>
      <t>Incident Types</t>
    </r>
    <r>
      <rPr>
        <sz val="10"/>
        <color theme="1" tint="0.499984740745262"/>
        <rFont val="Calibri"/>
        <family val="2"/>
        <scheme val="minor"/>
      </rPr>
      <t xml:space="preserve"> with fields conditionally displayed depending on type?
- Upload files
- Email from case.
- Validations: Required information captured at certain stages.
- Save &amp; calculate reporting metrics.</t>
    </r>
  </si>
  <si>
    <t>Consultancy 2 RRB Formal Challenge (Hours) - 4 weeks</t>
  </si>
  <si>
    <t>Sprint 0 - Pets and Asb (Hours) - 3 weeks</t>
  </si>
  <si>
    <t>Sprint 0 (Hours) - 3 weeks</t>
  </si>
  <si>
    <t>Internal - Pets &amp; ASB</t>
  </si>
  <si>
    <t>Internal - RRB</t>
  </si>
  <si>
    <t>External Quote - RRB</t>
  </si>
  <si>
    <t>External Quote - Pets &amp; ASB</t>
  </si>
  <si>
    <t>Consultancy  Pets &amp; ASB 1 (Hours) - 4 weeks</t>
  </si>
  <si>
    <t>Consultancy / Sprint 0</t>
  </si>
  <si>
    <t>Release 2</t>
  </si>
  <si>
    <t>Release 1</t>
  </si>
  <si>
    <t>Thread responses to case emails back onto the case. [existing]
Notify case owner?</t>
  </si>
  <si>
    <t xml:space="preserve">scope down to standard </t>
  </si>
  <si>
    <t>Pax:</t>
  </si>
  <si>
    <t xml:space="preserve">Prod Support Weeks </t>
  </si>
  <si>
    <t>External Quote</t>
  </si>
  <si>
    <t>1 Release, must have functionality only; target cost 100-140k</t>
  </si>
  <si>
    <t xml:space="preserve">Consultancy  (Hours) </t>
  </si>
  <si>
    <t xml:space="preserve">Sprint 0 </t>
  </si>
  <si>
    <t xml:space="preserve"> - Screen flow to create new incident case: Select if ASB or not.
 - If ASB: step by step question and answer set to evaluate case severity 
   - Follow up questions depend on the answers selected.
- Display suggested severity level &gt; user can manually update. 
 - Create case with the applicable record type.</t>
  </si>
  <si>
    <t>- Page layout for record type
  - Formula fields
  - Stages / progress bar
- Instructional text is for each stage explaining what information should be entered.
- Conditional display of fields based on stage?
- Upload files (including video, audio, images)
   - Evidence files cannot be deleted - TBD if possible?
- Email from case.
- Add tasks
- Validations: Required information captured at certain stages.
- Save &amp; calculate reporting metrics.
- Strict access control on who can see what. e.g. by case record type.
   - Flag sensitive cases to be hidden from general users.</t>
  </si>
  <si>
    <t>Merge Duplicate Incidents</t>
  </si>
  <si>
    <t>If there is an existing case for the same incident:
- Ability to merge existing case details into existing case: E.g. create a new report record on an existing case (copy files, data across) and close current case?</t>
  </si>
  <si>
    <r>
      <rPr>
        <sz val="10"/>
        <rFont val="Calibri"/>
        <family val="2"/>
        <scheme val="minor"/>
      </rPr>
      <t xml:space="preserve"> SLAs related to severity.
- Colour-coded SLA tracking [formula fields].
'- Additional (?) SLAs for turnaround time on each Stage 
   - Each stage has associated start date &amp; due date.
- Users can extend the ‘due date’ &amp; provide a reason.
- Calculate colour-coded flags.
- User can see next actions &amp; due date to complete each stage. 
- See where any actions/tasks are overdue.
- When an ASB case is created or 3rd party case is reviewed: Auto-assign case based on severity.</t>
    </r>
  </si>
  <si>
    <t xml:space="preserve">KPI Tracking Status </t>
  </si>
  <si>
    <t>Identify Duplicate Incidents</t>
  </si>
  <si>
    <t>Link Incidents</t>
  </si>
  <si>
    <t>If there is a seperate, but related case: 
- The user can link the cases.
- Related list of linked cases visible both ways.</t>
  </si>
  <si>
    <t xml:space="preserve">- Alert user to potentially related ABS incidents based on reporter / tenant / unit / tenancy.
- User must review duplicates before proceeding.
- User is prompted to check for duplicates after 3rd party initially creates the case.  </t>
  </si>
  <si>
    <t>- 'Reports' sub-object to the case?
   - Roll up count of number of reports on a case.
- TBD: Multiple perpetrators  can be linked to the same case. TBD if requires a record or just a list of account / contacts</t>
  </si>
  <si>
    <t>- Flag eviction notice &amp; reasons on tenancy.
- See related list of cases on a tenancy (where reporter or perpetrators)
- See related list of cases on an account (where reporter or perpetrators TBD)</t>
  </si>
  <si>
    <r>
      <t xml:space="preserve">Reporting on ASBs &amp; Incidents
- Number of incidents / ASBs by portfolio, incident category, severity level, case status, dates/months
- Cases with highest severity.
- Number of new, open, closed and escalated cases in the month
</t>
    </r>
    <r>
      <rPr>
        <strike/>
        <sz val="10"/>
        <rFont val="Calibri"/>
        <family val="2"/>
        <scheme val="minor"/>
      </rPr>
      <t>- Portfolio comparisons = OUT OF SCOPE</t>
    </r>
    <r>
      <rPr>
        <sz val="10"/>
        <rFont val="Calibri"/>
        <family val="2"/>
        <scheme val="minor"/>
      </rPr>
      <t xml:space="preserve">
- KPIs: Overdue stages
- Display open, closed cases, response times
</t>
    </r>
    <r>
      <rPr>
        <strike/>
        <sz val="10"/>
        <rFont val="Calibri"/>
        <family val="2"/>
        <scheme val="minor"/>
      </rPr>
      <t>- Overdue tasks</t>
    </r>
    <r>
      <rPr>
        <sz val="10"/>
        <rFont val="Calibri"/>
        <family val="2"/>
        <scheme val="minor"/>
      </rPr>
      <t xml:space="preserve">
- Filter by date range, portfolio, severity, etc
TBD =</t>
    </r>
    <r>
      <rPr>
        <i/>
        <sz val="10"/>
        <rFont val="Calibri"/>
        <family val="2"/>
        <scheme val="minor"/>
      </rPr>
      <t xml:space="preserve"> The system cannot provide drilled-down information to non-reporters to ensure private information is secure (GDPR , etc.)</t>
    </r>
  </si>
  <si>
    <t>- Create from tenancy review opp &amp; prepopulate information from opp.
- Add related list of cases to TR opportunity record layout.
- New validations on TR opp if there is a linked case.  
- EXCLUDE: Auto update the Tenancy Review opportunity when a decision is made? 
E.g. update start date of new contract, update rent amount; create a new primary offer
- May need to save additional data for reporting purposes</t>
  </si>
  <si>
    <t>Tenant Completes Online Form</t>
  </si>
  <si>
    <t>On confirmation of actual move out:
• Update status on pet register. = task for user
• Update pet licence status.</t>
  </si>
  <si>
    <r>
      <t xml:space="preserve">Site-related pet activity, including:
- Number of pets,
- Pending approvals
- cases approaching / exceding SLAs
</t>
    </r>
    <r>
      <rPr>
        <strike/>
        <sz val="10"/>
        <rFont val="Calibri"/>
        <family val="2"/>
        <scheme val="minor"/>
      </rPr>
      <t>- Any missing or expired documentation</t>
    </r>
    <r>
      <rPr>
        <sz val="10"/>
        <rFont val="Calibri"/>
        <family val="2"/>
        <scheme val="minor"/>
      </rPr>
      <t xml:space="preserve">
- Policy breaches (pets in units /buidings not allowed pets; too many pets per unit)
</t>
    </r>
    <r>
      <rPr>
        <strike/>
        <sz val="10"/>
        <rFont val="Calibri"/>
        <family val="2"/>
        <scheme val="minor"/>
      </rPr>
      <t xml:space="preserve">- Pets not being charged rent.   
- See pet capacity by block &amp; floor &amp; if at limit or approaching limit.
</t>
    </r>
    <r>
      <rPr>
        <sz val="10"/>
        <rFont val="Calibri"/>
        <family val="2"/>
        <scheme val="minor"/>
      </rPr>
      <t xml:space="preserve">- See which floors &amp; units allow pets (&amp; are available / not over capacity) [traffic light indicator]
- Filter dashboard by block, unit type, or pet type
- Link to load dashboard from a new lease opportunity or case.
</t>
    </r>
    <r>
      <rPr>
        <b/>
        <sz val="10"/>
        <rFont val="Calibri"/>
        <family val="2"/>
        <scheme val="minor"/>
      </rPr>
      <t>- SF limitations</t>
    </r>
    <r>
      <rPr>
        <sz val="10"/>
        <rFont val="Calibri"/>
        <family val="2"/>
        <scheme val="minor"/>
      </rPr>
      <t xml:space="preserve"> - we can't filter by each block? More than 50.</t>
    </r>
  </si>
  <si>
    <t>Create Pet Licence Contract</t>
  </si>
  <si>
    <t xml:space="preserve">Calculate Pet Rent </t>
  </si>
  <si>
    <t>Manage Pet Policies</t>
  </si>
  <si>
    <t>Manage &amp; See Pet Capacity</t>
  </si>
  <si>
    <r>
      <rPr>
        <sz val="10"/>
        <rFont val="Calibri"/>
        <family val="2"/>
        <scheme val="minor"/>
      </rPr>
      <t xml:space="preserve">- Manage buildings, </t>
    </r>
    <r>
      <rPr>
        <strike/>
        <sz val="10"/>
        <rFont val="Calibri"/>
        <family val="2"/>
        <scheme val="minor"/>
      </rPr>
      <t>floors</t>
    </r>
    <r>
      <rPr>
        <sz val="10"/>
        <rFont val="Calibri"/>
        <family val="2"/>
        <scheme val="minor"/>
      </rPr>
      <t xml:space="preserve"> &amp; units that allow pets.
     - Pets not allowed in listed buildings.
- Maintain list of banned pets [general policies]
- Configure global pet policies [text] (general, listed buidings, etc.) &amp; block-level overrides.
- TBD: Save a history of policy verions, date/user stamp, description of update; effective date.</t>
    </r>
  </si>
  <si>
    <t xml:space="preserve">- See a view / related list of current pets on a unit?
- See a related list of current &amp; previous pets on a tenancy. </t>
  </si>
  <si>
    <t>- Manage pet capacity (%): By floor &amp; by building/block
- Calculate capacity by floor &amp; by building/block
    - Traffic light indicator of pet density / see if at limit or approaching limits
- Pet limits by unit type or tenancy type (1 bed vs 2 bed)
- Ability to override at unit-level &amp; block-level.
- Calculate # pets allowed per unit based on block / floor / unit type.</t>
  </si>
  <si>
    <t>- Building/Block: Configure pet rent by builing, or global pet rent with exceptions?
- Calculate  pet rent based on the number and type of pets registered, as well as any site-specific pricing rules or exemptions.
    - Existing tenant with existing pets: Calculate total for all pets.
    - New lease: Display pet rent on new lease opportunity.</t>
  </si>
  <si>
    <t>- Create a residential contract for a pet licence?
   - Linked to the case and/or opportunity?
- Link the contract to the new/exisiting residential tenancy. 
    - Different logic for new/existing tenant?
- Activate the contract when the case / new lease opportunity is complete? 
     - Different logic for new/existing tenant. 
- Update pet register with confirmed/active status on activating the contract?
- Close case at some point in the process.
Existing tenants with existing pet:
 - Cancel the existing pet licence contract &amp; create new one with total rent?
Ability to end pet rent without removing the pet (e.g. tenant becomes exempt): Manually capture end date on contract &amp; create a task for credit control.</t>
  </si>
  <si>
    <t xml:space="preserve">Email Templates </t>
  </si>
  <si>
    <t xml:space="preserve">New lease rejections: 
- Above email has a link to a FA Form [Grainger to dev] that allows tenant to proceed without pet or cancel the new lease application.
- On cancelling: Close Lost the new lease opp; create a task for the opp owner / lettings team to re-market the unit.
- On proceding without a pet: Notify new lease opp owner? 
New lease approval: Notify new lease opp owner &amp; update opp status?? </t>
  </si>
  <si>
    <t xml:space="preserve">
Rejection 
2- Rejection - The system responds to the applicant with the outcome and reason notes, the comms include guidance on how to appeal/complain 
3- Rejection – within the Form Assembly response the customer has an option to proceed without a pet, or cancel the application process 
4- Rejection – if the cancelation option is chosen, the application is updated with a task for the lettings team to re-market the property 
5- Rejection – If rejected the pet case is updated and the pet details are kept on record, but added with a status of rejected</t>
  </si>
  <si>
    <r>
      <t>•</t>
    </r>
    <r>
      <rPr>
        <sz val="8"/>
        <rFont val="Calibri"/>
        <family val="2"/>
        <scheme val="minor"/>
      </rPr>
      <t xml:space="preserve"> The Acceptance or Rejection decision is recorded with clear reasons to the decision
• The system responds to the applicant with the outcome and reason notes
• Where rejected - the comms include guidance on how to appeal/complain
• The system updates the lettings process on the decision</t>
    </r>
  </si>
  <si>
    <r>
      <rPr>
        <sz val="10"/>
        <rFont val="Calibri"/>
        <family val="2"/>
        <scheme val="minor"/>
      </rPr>
      <t xml:space="preserve">- Approve/reject applications: TBD if full approval request process is required or just an audit trail of the user who approved/reason/etc?
- Assign case in 'Pending Approval' to PM/RST for approval 
- Update pet register &amp; case status on approval/rejection.
- Approve/reject permissions
</t>
    </r>
    <r>
      <rPr>
        <strike/>
        <sz val="10"/>
        <rFont val="Calibri"/>
        <family val="2"/>
        <scheme val="minor"/>
      </rPr>
      <t xml:space="preserve">- Notify tenant of outcome </t>
    </r>
  </si>
  <si>
    <r>
      <t xml:space="preserve">- Page layouts for 2 record types: new and existing tenants
  - Stages / progress bar
  - Link to customer, tenancy &amp; to new lease opp (if applicable)
- Capture multiple pets (maintain pet register below)
- Upload files (documents, photos) to case and/or individual pet record.
- Email from case.
</t>
    </r>
    <r>
      <rPr>
        <strike/>
        <sz val="10"/>
        <rFont val="Calibri"/>
        <family val="2"/>
        <scheme val="minor"/>
      </rPr>
      <t>- See block / floor capacity traffic light indicator.</t>
    </r>
    <r>
      <rPr>
        <sz val="10"/>
        <rFont val="Calibri"/>
        <family val="2"/>
        <scheme val="minor"/>
      </rPr>
      <t xml:space="preserve">
- Validation (e.g. file type &amp; expiration date validations).
- Existing tenants: See all existing pets already in the unit (from the pet register)</t>
    </r>
  </si>
  <si>
    <t>Add email templates for manual comms:
- 3-4 email templates - approve/reject for existing/new tenants
- Make default email templates availble: Acknowledgement of case email template
- pet removed templates x 2</t>
  </si>
  <si>
    <r>
      <t xml:space="preserve">- Create a case [new record type]
- </t>
    </r>
    <r>
      <rPr>
        <strike/>
        <sz val="10"/>
        <rFont val="Calibri"/>
        <family val="2"/>
        <scheme val="minor"/>
      </rPr>
      <t>User can send a link to a FA form for tenants to enter info OR</t>
    </r>
    <r>
      <rPr>
        <sz val="10"/>
        <rFont val="Calibri"/>
        <family val="2"/>
        <scheme val="minor"/>
      </rPr>
      <t xml:space="preserve"> user enters the details.
   -  TBD : Display all existing pets linked to the tenancy &amp; the tenant can select the one(s) to remove. 
</t>
    </r>
    <r>
      <rPr>
        <strike/>
        <sz val="10"/>
        <rFont val="Calibri"/>
        <family val="2"/>
        <scheme val="minor"/>
      </rPr>
      <t xml:space="preserve">  - OTP verification.
- Tenant can access a link to the form from MyGrainger app -&gt; auto create the case.
</t>
    </r>
    <r>
      <rPr>
        <sz val="10"/>
        <rFont val="Calibri"/>
        <family val="2"/>
        <scheme val="minor"/>
      </rPr>
      <t xml:space="preserve">- If other pets remain: Calculated the revised pet rent.
- TBD See other pets linked to the tenancy on the case. 
</t>
    </r>
    <r>
      <rPr>
        <strike/>
        <sz val="10"/>
        <rFont val="Calibri"/>
        <family val="2"/>
        <scheme val="minor"/>
      </rPr>
      <t xml:space="preserve">- Auto update pet register (status). </t>
    </r>
    <r>
      <rPr>
        <sz val="10"/>
        <rFont val="Calibri"/>
        <family val="2"/>
        <scheme val="minor"/>
      </rPr>
      <t xml:space="preserve">Manual
- Case has a step/stage for credit control to end/update pet rent in Qube.
- Manual: End the pet licence contract.
- If other pets remain: 
    - Manual?  Create a new pet licence contract with the reduced pet rent amount? 
    - Generate new pet licence contract for signing? Send via Adobe Sign.
    - Chaser email?
</t>
    </r>
    <r>
      <rPr>
        <strike/>
        <sz val="10"/>
        <rFont val="Calibri"/>
        <family val="2"/>
        <scheme val="minor"/>
      </rPr>
      <t>- On completion of case: Send automated email to tenant notifying them pet removed from register &amp; pet rent stopped or reduced with effect from [date]. [2 templates]</t>
    </r>
  </si>
  <si>
    <r>
      <t xml:space="preserve">- See if unit / building allows pets on opp.
</t>
    </r>
    <r>
      <rPr>
        <strike/>
        <sz val="10"/>
        <rFont val="Calibri"/>
        <family val="2"/>
        <scheme val="minor"/>
      </rPr>
      <t>- See block / floor capacity traffic light indicator on opp.</t>
    </r>
    <r>
      <rPr>
        <sz val="10"/>
        <rFont val="Calibri"/>
        <family val="2"/>
        <scheme val="minor"/>
      </rPr>
      <t xml:space="preserve">
- Update case &amp; pet register from opp:
    - If unit is changed: Update unit &amp; delete/nullify any existing approval?
   - Close case &amp; update pet register status if opp close/lost.
   - Update pet register status once opp goes to Audit or Closed Won; link case / pet register to tenancy.
- New lease opportunity requires extra validations if there is a linked pet case. </t>
    </r>
  </si>
  <si>
    <t xml:space="preserve">- Send email with link to form [2-3 templates - new lease, existing tenant request for pet, unregistered pet identified in bldg]
OR Resident can initiate process by completing Form Assembly form accessed from the App [Grainger]
- Form Assembly form for tenant to request one or more pets [Grainger]
- Updates or creates pet case &amp; associated pet register records?
- Auto-assign new cases &amp; send notification email.
- See &amp; acknowledge applicable pet policy &amp; save version accepted. TBD
- OTP verification 
- Upload photo / documents </t>
  </si>
  <si>
    <t>User Guide (Hours)</t>
  </si>
  <si>
    <t>Manage Rejections</t>
  </si>
  <si>
    <t xml:space="preserve">Build (Sprints) </t>
  </si>
  <si>
    <t>Prod Deployment &amp; Support (Weeks) 0,25 FTE</t>
  </si>
  <si>
    <t>Final UAT (Weeks) 0,5 FTE</t>
  </si>
  <si>
    <t>Team Size (FTEs) - UAT</t>
  </si>
  <si>
    <t>Xmas Break (days)</t>
  </si>
  <si>
    <t xml:space="preserve">Xmas </t>
  </si>
  <si>
    <t xml:space="preserve">Months Duration </t>
  </si>
  <si>
    <t>BA Allocation (Min)</t>
  </si>
  <si>
    <t>BA Allocation (Max)</t>
  </si>
  <si>
    <r>
      <t xml:space="preserve">Release 1: </t>
    </r>
    <r>
      <rPr>
        <b/>
        <sz val="11"/>
        <color theme="1"/>
        <rFont val="Calibri"/>
        <family val="2"/>
        <scheme val="minor"/>
      </rPr>
      <t>2 - 3 Sprints</t>
    </r>
  </si>
  <si>
    <t xml:space="preserve">Client Meetings (hrs/week) </t>
  </si>
  <si>
    <t xml:space="preserve">Internal Meetings (hrs/week) </t>
  </si>
  <si>
    <t>Document (Hrs)</t>
  </si>
  <si>
    <t>Backlog (Hrs)</t>
  </si>
  <si>
    <t>pax</t>
  </si>
  <si>
    <t xml:space="preserve">Client Meetings (Hrs) </t>
  </si>
  <si>
    <t xml:space="preserve">Internal Meetings (Hrs) </t>
  </si>
  <si>
    <t>Total Hours (min)</t>
  </si>
  <si>
    <t>Consultancy (Min)</t>
  </si>
  <si>
    <t>Pets</t>
  </si>
  <si>
    <t>MOSCOW Requirements - Points</t>
  </si>
  <si>
    <t>Points Available - Min Sprint</t>
  </si>
  <si>
    <t>Points Available - Max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</si>
</sst>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809]#,##0.00"/>
    <numFmt numFmtId="165" formatCode="_-* #,##0.0_-;\-* #,##0.0_-;_-* &quot;-&quot;??_-;_-@_-"/>
    <numFmt numFmtId="166" formatCode="_-* #,##0_-;\-* #,##0_-;_-* &quot;-&quot;??_-;_-@_-"/>
    <numFmt numFmtId="167" formatCode="[$-1C09]dd\ mmmm\ yyyy;@"/>
    <numFmt numFmtId="168" formatCode="_-[$£-809]* #,##0_-;\-[$£-809]* #,##0_-;_-[$£-809]* &quot;-&quot;??_-;_-@_-"/>
  </numFmts>
  <fonts count="29"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11"/>
      <color theme="1"/>
      <name val="Aptos Narrow"/>
      <family val="2"/>
    </font>
    <font>
      <sz val="9"/>
      <color indexed="81"/>
      <name val="Tahoma"/>
      <family val="2"/>
    </font>
    <font>
      <b/>
      <sz val="9"/>
      <color indexed="81"/>
      <name val="Tahoma"/>
      <family val="2"/>
    </font>
    <font>
      <strike/>
      <sz val="11"/>
      <color theme="1"/>
      <name val="Calibri"/>
      <family val="2"/>
      <scheme val="minor"/>
    </font>
    <font>
      <b/>
      <i/>
      <sz val="11"/>
      <color theme="1" tint="0.34998626667073579"/>
      <name val="Calibri"/>
      <family val="2"/>
      <scheme val="minor"/>
    </font>
    <font>
      <i/>
      <sz val="11"/>
      <color theme="1" tint="0.34998626667073579"/>
      <name val="Calibri"/>
      <family val="2"/>
      <scheme val="minor"/>
    </font>
    <font>
      <sz val="1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b/>
      <sz val="8"/>
      <color theme="1"/>
      <name val="Calibri"/>
      <family val="2"/>
      <scheme val="minor"/>
    </font>
    <font>
      <sz val="8"/>
      <color theme="1"/>
      <name val="Calibri"/>
      <family val="2"/>
      <scheme val="minor"/>
    </font>
    <font>
      <sz val="10"/>
      <name val="Calibri"/>
      <family val="2"/>
      <scheme val="minor"/>
    </font>
    <font>
      <sz val="10"/>
      <color theme="5"/>
      <name val="Calibri"/>
      <family val="2"/>
      <scheme val="minor"/>
    </font>
    <font>
      <sz val="8"/>
      <color theme="5"/>
      <name val="Calibri"/>
      <family val="2"/>
      <scheme val="minor"/>
    </font>
    <font>
      <b/>
      <sz val="10"/>
      <name val="Calibri"/>
      <family val="2"/>
      <scheme val="minor"/>
    </font>
    <font>
      <i/>
      <sz val="10"/>
      <name val="Calibri"/>
      <family val="2"/>
      <scheme val="minor"/>
    </font>
    <font>
      <strike/>
      <sz val="10"/>
      <color theme="1" tint="0.499984740745262"/>
      <name val="Calibri"/>
      <family val="2"/>
      <scheme val="minor"/>
    </font>
    <font>
      <strike/>
      <sz val="8"/>
      <color theme="1" tint="0.499984740745262"/>
      <name val="Calibri"/>
      <family val="2"/>
      <scheme val="minor"/>
    </font>
    <font>
      <sz val="10"/>
      <color theme="1" tint="0.499984740745262"/>
      <name val="Calibri"/>
      <family val="2"/>
      <scheme val="minor"/>
    </font>
    <font>
      <i/>
      <sz val="10"/>
      <color theme="1" tint="0.499984740745262"/>
      <name val="Calibri"/>
      <family val="2"/>
      <scheme val="minor"/>
    </font>
    <font>
      <sz val="8"/>
      <color theme="1" tint="0.499984740745262"/>
      <name val="Calibri"/>
      <family val="2"/>
      <scheme val="minor"/>
    </font>
    <font>
      <strike/>
      <sz val="1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59999389629810485"/>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medium">
        <color theme="1" tint="0.34998626667073579"/>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theme="1" tint="0.499984740745262"/>
      </left>
      <right style="medium">
        <color theme="1" tint="0.499984740745262"/>
      </right>
      <top style="thin">
        <color theme="1" tint="0.499984740745262"/>
      </top>
      <bottom/>
      <diagonal/>
    </border>
    <border>
      <left style="medium">
        <color theme="1" tint="0.499984740745262"/>
      </left>
      <right/>
      <top style="thin">
        <color theme="1" tint="0.499984740745262"/>
      </top>
      <bottom/>
      <diagonal/>
    </border>
    <border>
      <left style="thin">
        <color theme="1" tint="0.499984740745262"/>
      </left>
      <right style="medium">
        <color theme="1" tint="0.499984740745262"/>
      </right>
      <top/>
      <bottom style="medium">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304">
    <xf numFmtId="0" fontId="0" fillId="0" borderId="0" xfId="0"/>
    <xf numFmtId="0" fontId="0" fillId="0" borderId="0" xfId="0" applyAlignment="1">
      <alignment wrapText="1"/>
    </xf>
    <xf numFmtId="0" fontId="2" fillId="0" borderId="0" xfId="0" applyFont="1" applyAlignment="1">
      <alignment wrapText="1"/>
    </xf>
    <xf numFmtId="164" fontId="0" fillId="0" borderId="0" xfId="0" applyNumberFormat="1" applyAlignment="1">
      <alignment wrapText="1"/>
    </xf>
    <xf numFmtId="9" fontId="0" fillId="0" borderId="0" xfId="1" applyFont="1" applyAlignment="1">
      <alignment wrapText="1"/>
    </xf>
    <xf numFmtId="164" fontId="2" fillId="0" borderId="0" xfId="0" applyNumberFormat="1" applyFont="1" applyAlignment="1">
      <alignment wrapText="1"/>
    </xf>
    <xf numFmtId="0" fontId="0" fillId="0" borderId="1" xfId="0" applyBorder="1"/>
    <xf numFmtId="0" fontId="2" fillId="0" borderId="1" xfId="0" applyFont="1" applyBorder="1"/>
    <xf numFmtId="164" fontId="2" fillId="0" borderId="2" xfId="0" applyNumberFormat="1" applyFont="1" applyBorder="1"/>
    <xf numFmtId="0" fontId="2" fillId="2" borderId="1" xfId="0" applyFont="1" applyFill="1" applyBorder="1"/>
    <xf numFmtId="2" fontId="2" fillId="0" borderId="0" xfId="1" applyNumberFormat="1" applyFont="1" applyAlignment="1">
      <alignment wrapText="1"/>
    </xf>
    <xf numFmtId="0" fontId="2" fillId="0" borderId="0" xfId="0" applyFont="1" applyAlignment="1">
      <alignment horizontal="right" wrapText="1"/>
    </xf>
    <xf numFmtId="164" fontId="0" fillId="3" borderId="1" xfId="0" applyNumberFormat="1" applyFill="1" applyBorder="1" applyAlignment="1">
      <alignment wrapText="1"/>
    </xf>
    <xf numFmtId="0" fontId="0" fillId="3" borderId="1" xfId="0" applyFill="1" applyBorder="1"/>
    <xf numFmtId="0" fontId="0" fillId="2" borderId="1" xfId="0" applyFill="1" applyBorder="1"/>
    <xf numFmtId="2" fontId="0" fillId="2" borderId="1" xfId="0" applyNumberFormat="1" applyFill="1" applyBorder="1"/>
    <xf numFmtId="164" fontId="0" fillId="2" borderId="1" xfId="0" applyNumberFormat="1" applyFill="1" applyBorder="1"/>
    <xf numFmtId="2" fontId="0" fillId="3" borderId="1" xfId="0" applyNumberFormat="1" applyFill="1" applyBorder="1"/>
    <xf numFmtId="164" fontId="0" fillId="0" borderId="0" xfId="0" applyNumberFormat="1"/>
    <xf numFmtId="0" fontId="4" fillId="0" borderId="0" xfId="0" applyFont="1"/>
    <xf numFmtId="0" fontId="0" fillId="0" borderId="0" xfId="0" applyAlignment="1">
      <alignment horizontal="right"/>
    </xf>
    <xf numFmtId="0" fontId="4" fillId="0" borderId="0" xfId="0" applyFont="1" applyAlignment="1">
      <alignment horizontal="right"/>
    </xf>
    <xf numFmtId="0" fontId="2" fillId="2" borderId="6" xfId="0" applyFont="1" applyFill="1" applyBorder="1"/>
    <xf numFmtId="0" fontId="2" fillId="2" borderId="7" xfId="0" applyFont="1" applyFill="1" applyBorder="1"/>
    <xf numFmtId="0" fontId="0" fillId="0" borderId="6" xfId="0" applyBorder="1"/>
    <xf numFmtId="164" fontId="0" fillId="2" borderId="7" xfId="0" applyNumberFormat="1" applyFill="1" applyBorder="1"/>
    <xf numFmtId="0" fontId="2" fillId="0" borderId="6" xfId="0" applyFont="1" applyBorder="1"/>
    <xf numFmtId="164" fontId="2" fillId="0" borderId="8" xfId="0" applyNumberFormat="1" applyFont="1" applyBorder="1"/>
    <xf numFmtId="0" fontId="0" fillId="0" borderId="9" xfId="0" applyBorder="1"/>
    <xf numFmtId="0" fontId="0" fillId="0" borderId="10" xfId="0" applyBorder="1"/>
    <xf numFmtId="0" fontId="0" fillId="0" borderId="11" xfId="0" applyBorder="1"/>
    <xf numFmtId="164" fontId="0" fillId="0" borderId="1" xfId="0" applyNumberFormat="1" applyBorder="1"/>
    <xf numFmtId="164" fontId="2" fillId="0" borderId="1" xfId="0" applyNumberFormat="1" applyFont="1" applyBorder="1"/>
    <xf numFmtId="164" fontId="0" fillId="0" borderId="7" xfId="0" applyNumberFormat="1" applyBorder="1"/>
    <xf numFmtId="164" fontId="2" fillId="0" borderId="7" xfId="0" applyNumberFormat="1" applyFont="1" applyBorder="1"/>
    <xf numFmtId="164" fontId="0" fillId="2" borderId="1" xfId="0" applyNumberFormat="1" applyFill="1" applyBorder="1" applyAlignment="1">
      <alignment wrapText="1"/>
    </xf>
    <xf numFmtId="0" fontId="2" fillId="3" borderId="1" xfId="0" applyFont="1" applyFill="1" applyBorder="1"/>
    <xf numFmtId="43" fontId="0" fillId="0" borderId="0" xfId="0" applyNumberFormat="1"/>
    <xf numFmtId="9" fontId="0" fillId="0" borderId="0" xfId="1" applyFont="1"/>
    <xf numFmtId="0" fontId="0" fillId="0" borderId="36" xfId="0" applyBorder="1"/>
    <xf numFmtId="9" fontId="0" fillId="0" borderId="0" xfId="0" applyNumberFormat="1"/>
    <xf numFmtId="43" fontId="0" fillId="0" borderId="0" xfId="2" applyFont="1"/>
    <xf numFmtId="43" fontId="0" fillId="0" borderId="36" xfId="2" applyFont="1" applyBorder="1"/>
    <xf numFmtId="166" fontId="0" fillId="0" borderId="0" xfId="2" applyNumberFormat="1" applyFont="1"/>
    <xf numFmtId="0" fontId="2" fillId="0" borderId="0" xfId="0" applyFont="1"/>
    <xf numFmtId="0" fontId="0" fillId="6" borderId="0" xfId="0" applyFill="1"/>
    <xf numFmtId="165" fontId="0" fillId="6" borderId="0" xfId="2" applyNumberFormat="1" applyFont="1" applyFill="1"/>
    <xf numFmtId="0" fontId="0" fillId="7" borderId="0" xfId="0" applyFill="1"/>
    <xf numFmtId="0" fontId="2" fillId="7" borderId="0" xfId="0" applyFont="1" applyFill="1"/>
    <xf numFmtId="43" fontId="2" fillId="7" borderId="0" xfId="2" applyFont="1" applyFill="1"/>
    <xf numFmtId="9" fontId="10" fillId="3" borderId="1" xfId="1" applyFont="1" applyFill="1" applyBorder="1" applyAlignment="1">
      <alignment vertical="center" wrapText="1"/>
    </xf>
    <xf numFmtId="9" fontId="10" fillId="2" borderId="1" xfId="1" applyFont="1" applyFill="1" applyBorder="1" applyAlignment="1">
      <alignment vertical="center"/>
    </xf>
    <xf numFmtId="9" fontId="10" fillId="0" borderId="7" xfId="1" applyFont="1" applyFill="1" applyBorder="1" applyAlignment="1">
      <alignment vertical="center"/>
    </xf>
    <xf numFmtId="0" fontId="11" fillId="4" borderId="1"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30" xfId="0" applyFont="1" applyFill="1" applyBorder="1" applyAlignment="1">
      <alignment vertical="center" wrapText="1"/>
    </xf>
    <xf numFmtId="0" fontId="10" fillId="0" borderId="38" xfId="0" applyFont="1" applyBorder="1" applyAlignment="1">
      <alignment vertical="center"/>
    </xf>
    <xf numFmtId="0" fontId="10" fillId="0" borderId="34" xfId="0" applyFont="1" applyBorder="1" applyAlignment="1">
      <alignment vertical="center"/>
    </xf>
    <xf numFmtId="0" fontId="10" fillId="0" borderId="9" xfId="0" applyFont="1" applyBorder="1" applyAlignment="1">
      <alignment vertical="center"/>
    </xf>
    <xf numFmtId="0" fontId="11" fillId="4" borderId="6" xfId="0" applyFont="1" applyFill="1" applyBorder="1" applyAlignment="1">
      <alignment vertical="center" wrapText="1"/>
    </xf>
    <xf numFmtId="9" fontId="10" fillId="2" borderId="41" xfId="1" applyFont="1" applyFill="1" applyBorder="1" applyAlignment="1">
      <alignment vertical="center"/>
    </xf>
    <xf numFmtId="9" fontId="10" fillId="0" borderId="20" xfId="1" applyFont="1" applyFill="1" applyBorder="1" applyAlignment="1">
      <alignment vertical="center"/>
    </xf>
    <xf numFmtId="43" fontId="10" fillId="2" borderId="1" xfId="2" applyFont="1" applyFill="1" applyBorder="1" applyAlignment="1">
      <alignment vertical="center" wrapText="1"/>
    </xf>
    <xf numFmtId="166" fontId="10" fillId="2" borderId="7" xfId="2" applyNumberFormat="1" applyFont="1" applyFill="1" applyBorder="1" applyAlignment="1">
      <alignment vertical="center" wrapText="1"/>
    </xf>
    <xf numFmtId="43" fontId="10" fillId="2" borderId="41" xfId="2" applyFont="1" applyFill="1" applyBorder="1" applyAlignment="1">
      <alignment vertical="center" wrapText="1"/>
    </xf>
    <xf numFmtId="166" fontId="10" fillId="2" borderId="20" xfId="2" applyNumberFormat="1" applyFont="1" applyFill="1" applyBorder="1" applyAlignment="1">
      <alignment vertical="center" wrapText="1"/>
    </xf>
    <xf numFmtId="0" fontId="11" fillId="4" borderId="6" xfId="0" applyFont="1" applyFill="1" applyBorder="1" applyAlignment="1">
      <alignment vertical="center"/>
    </xf>
    <xf numFmtId="0" fontId="10" fillId="0" borderId="6" xfId="0" applyFont="1" applyBorder="1" applyAlignment="1">
      <alignment vertical="center" wrapText="1"/>
    </xf>
    <xf numFmtId="0" fontId="11" fillId="0" borderId="9" xfId="0" applyFont="1" applyBorder="1" applyAlignment="1">
      <alignment vertical="center"/>
    </xf>
    <xf numFmtId="0" fontId="0" fillId="0" borderId="0" xfId="0" applyAlignment="1">
      <alignment vertical="center"/>
    </xf>
    <xf numFmtId="0" fontId="10" fillId="0" borderId="6" xfId="0" applyFont="1" applyBorder="1" applyAlignment="1">
      <alignment vertical="center"/>
    </xf>
    <xf numFmtId="0" fontId="10" fillId="0" borderId="19" xfId="0" applyFont="1" applyBorder="1" applyAlignment="1">
      <alignment vertical="center"/>
    </xf>
    <xf numFmtId="0" fontId="10" fillId="0" borderId="0" xfId="0" applyFont="1" applyAlignment="1">
      <alignment vertical="center"/>
    </xf>
    <xf numFmtId="0" fontId="11" fillId="0" borderId="43" xfId="0" applyFont="1" applyBorder="1" applyAlignment="1">
      <alignment vertical="center"/>
    </xf>
    <xf numFmtId="0" fontId="11" fillId="5" borderId="43" xfId="0" applyFont="1" applyFill="1" applyBorder="1" applyAlignment="1">
      <alignment vertical="center"/>
    </xf>
    <xf numFmtId="166" fontId="10" fillId="2" borderId="12" xfId="2" applyNumberFormat="1" applyFont="1" applyFill="1" applyBorder="1" applyAlignment="1">
      <alignment vertical="center"/>
    </xf>
    <xf numFmtId="166" fontId="10" fillId="2" borderId="37" xfId="2" applyNumberFormat="1" applyFont="1" applyFill="1" applyBorder="1" applyAlignment="1">
      <alignment vertical="center"/>
    </xf>
    <xf numFmtId="166" fontId="11" fillId="2" borderId="46" xfId="2" applyNumberFormat="1" applyFont="1" applyFill="1" applyBorder="1" applyAlignment="1">
      <alignment vertical="center"/>
    </xf>
    <xf numFmtId="166" fontId="10" fillId="2" borderId="1" xfId="2" applyNumberFormat="1" applyFont="1" applyFill="1" applyBorder="1" applyAlignment="1">
      <alignment vertical="center"/>
    </xf>
    <xf numFmtId="166" fontId="10" fillId="2" borderId="41" xfId="2" applyNumberFormat="1" applyFont="1" applyFill="1" applyBorder="1" applyAlignment="1">
      <alignment vertical="center"/>
    </xf>
    <xf numFmtId="0" fontId="10" fillId="0" borderId="24" xfId="0" applyFont="1" applyBorder="1" applyAlignment="1">
      <alignment vertical="center" wrapText="1"/>
    </xf>
    <xf numFmtId="166" fontId="10" fillId="3" borderId="7" xfId="2" applyNumberFormat="1" applyFont="1" applyFill="1" applyBorder="1" applyAlignment="1">
      <alignment vertical="center" wrapText="1"/>
    </xf>
    <xf numFmtId="0" fontId="11" fillId="4" borderId="1" xfId="0" applyFont="1" applyFill="1" applyBorder="1" applyAlignment="1">
      <alignment horizontal="center" vertical="center"/>
    </xf>
    <xf numFmtId="0" fontId="11" fillId="4" borderId="7" xfId="0" applyFont="1" applyFill="1" applyBorder="1" applyAlignment="1">
      <alignment horizontal="center" vertical="center"/>
    </xf>
    <xf numFmtId="0" fontId="9" fillId="0" borderId="28" xfId="0" applyFont="1" applyBorder="1" applyAlignment="1">
      <alignment vertical="center"/>
    </xf>
    <xf numFmtId="9" fontId="10" fillId="3" borderId="7" xfId="1" applyFont="1" applyFill="1" applyBorder="1" applyAlignment="1">
      <alignment vertical="center" wrapText="1"/>
    </xf>
    <xf numFmtId="0" fontId="10" fillId="3" borderId="1" xfId="0" applyFont="1" applyFill="1" applyBorder="1" applyAlignment="1">
      <alignment vertical="center" wrapText="1"/>
    </xf>
    <xf numFmtId="9" fontId="10" fillId="3" borderId="20" xfId="1" applyFont="1" applyFill="1" applyBorder="1" applyAlignment="1">
      <alignment vertical="center" wrapText="1"/>
    </xf>
    <xf numFmtId="0" fontId="9" fillId="0" borderId="29" xfId="0" applyFont="1" applyBorder="1" applyAlignment="1">
      <alignment vertical="center"/>
    </xf>
    <xf numFmtId="0" fontId="11" fillId="2" borderId="35" xfId="0" applyFont="1" applyFill="1" applyBorder="1" applyAlignment="1">
      <alignment vertical="center"/>
    </xf>
    <xf numFmtId="43" fontId="11" fillId="2" borderId="44" xfId="1" applyNumberFormat="1" applyFont="1" applyFill="1" applyBorder="1" applyAlignment="1">
      <alignment vertical="center" wrapText="1"/>
    </xf>
    <xf numFmtId="2" fontId="11" fillId="0" borderId="10" xfId="1" applyNumberFormat="1" applyFont="1" applyFill="1" applyBorder="1" applyAlignment="1">
      <alignment vertical="center" wrapText="1"/>
    </xf>
    <xf numFmtId="9" fontId="11" fillId="2" borderId="44" xfId="1" applyFont="1" applyFill="1" applyBorder="1" applyAlignment="1">
      <alignment vertical="center" wrapText="1"/>
    </xf>
    <xf numFmtId="43" fontId="10" fillId="2" borderId="7" xfId="2" applyFont="1" applyFill="1" applyBorder="1" applyAlignment="1">
      <alignment vertical="center" wrapText="1"/>
    </xf>
    <xf numFmtId="0" fontId="10" fillId="0" borderId="0" xfId="0" applyFont="1" applyAlignment="1">
      <alignment vertical="center" wrapText="1"/>
    </xf>
    <xf numFmtId="43" fontId="0" fillId="0" borderId="0" xfId="0" applyNumberFormat="1" applyAlignment="1">
      <alignment vertical="center"/>
    </xf>
    <xf numFmtId="0" fontId="10" fillId="0" borderId="15" xfId="0" applyFont="1" applyBorder="1" applyAlignment="1">
      <alignment vertical="center"/>
    </xf>
    <xf numFmtId="0" fontId="10" fillId="0" borderId="13" xfId="0" applyFont="1" applyBorder="1" applyAlignment="1">
      <alignment vertical="center"/>
    </xf>
    <xf numFmtId="166" fontId="10" fillId="2" borderId="7" xfId="2" applyNumberFormat="1" applyFont="1" applyFill="1" applyBorder="1" applyAlignment="1">
      <alignment vertical="center"/>
    </xf>
    <xf numFmtId="165" fontId="10" fillId="3" borderId="7" xfId="2" applyNumberFormat="1" applyFont="1" applyFill="1" applyBorder="1" applyAlignment="1">
      <alignment vertical="center" wrapText="1"/>
    </xf>
    <xf numFmtId="166" fontId="10" fillId="3" borderId="41" xfId="0" applyNumberFormat="1" applyFont="1" applyFill="1" applyBorder="1" applyAlignment="1">
      <alignment vertical="center"/>
    </xf>
    <xf numFmtId="166" fontId="10" fillId="2" borderId="20" xfId="2" applyNumberFormat="1" applyFont="1" applyFill="1" applyBorder="1" applyAlignment="1">
      <alignment vertical="center"/>
    </xf>
    <xf numFmtId="0" fontId="10" fillId="0" borderId="44" xfId="0" applyFont="1" applyBorder="1" applyAlignment="1">
      <alignment vertical="center"/>
    </xf>
    <xf numFmtId="166" fontId="11" fillId="2" borderId="35" xfId="2" applyNumberFormat="1" applyFont="1" applyFill="1" applyBorder="1" applyAlignment="1">
      <alignment vertical="center"/>
    </xf>
    <xf numFmtId="0" fontId="10" fillId="0" borderId="10" xfId="0" applyFont="1" applyBorder="1" applyAlignment="1">
      <alignment vertical="center"/>
    </xf>
    <xf numFmtId="166" fontId="10" fillId="2" borderId="35" xfId="0" applyNumberFormat="1" applyFont="1" applyFill="1" applyBorder="1" applyAlignment="1">
      <alignment horizontal="left" vertical="center"/>
    </xf>
    <xf numFmtId="0" fontId="10" fillId="2" borderId="1" xfId="0" applyFont="1" applyFill="1" applyBorder="1" applyAlignment="1">
      <alignment vertical="center"/>
    </xf>
    <xf numFmtId="167" fontId="10" fillId="0" borderId="0" xfId="0" applyNumberFormat="1" applyFont="1" applyAlignment="1">
      <alignment vertical="center"/>
    </xf>
    <xf numFmtId="0" fontId="0" fillId="5" borderId="0" xfId="0" applyFill="1" applyAlignment="1">
      <alignment vertical="center"/>
    </xf>
    <xf numFmtId="0" fontId="10" fillId="2" borderId="41" xfId="0" applyFont="1" applyFill="1" applyBorder="1" applyAlignment="1">
      <alignment vertical="center"/>
    </xf>
    <xf numFmtId="0" fontId="11" fillId="2" borderId="44" xfId="0" applyFont="1" applyFill="1" applyBorder="1" applyAlignment="1">
      <alignment vertical="center"/>
    </xf>
    <xf numFmtId="9" fontId="10" fillId="0" borderId="41" xfId="1" applyFont="1" applyFill="1" applyBorder="1" applyAlignment="1">
      <alignment horizontal="right" vertical="center" wrapText="1"/>
    </xf>
    <xf numFmtId="0" fontId="9" fillId="3" borderId="47" xfId="0" applyFont="1" applyFill="1" applyBorder="1" applyAlignment="1">
      <alignment vertical="center"/>
    </xf>
    <xf numFmtId="0" fontId="9" fillId="2" borderId="49" xfId="0" applyFont="1" applyFill="1" applyBorder="1" applyAlignment="1">
      <alignment vertical="center"/>
    </xf>
    <xf numFmtId="43" fontId="10" fillId="0" borderId="44" xfId="1" applyNumberFormat="1" applyFont="1" applyFill="1" applyBorder="1" applyAlignment="1">
      <alignment vertical="center" wrapText="1"/>
    </xf>
    <xf numFmtId="0" fontId="9" fillId="0" borderId="48" xfId="0" applyFont="1" applyBorder="1" applyAlignment="1">
      <alignment vertical="center" wrapText="1"/>
    </xf>
    <xf numFmtId="0" fontId="9" fillId="5" borderId="50" xfId="0" applyFont="1" applyFill="1" applyBorder="1" applyAlignment="1">
      <alignment vertical="center"/>
    </xf>
    <xf numFmtId="9" fontId="11" fillId="0" borderId="45" xfId="1" applyFont="1" applyFill="1" applyBorder="1" applyAlignment="1">
      <alignment vertical="center" wrapText="1"/>
    </xf>
    <xf numFmtId="165" fontId="12" fillId="0" borderId="1" xfId="2" applyNumberFormat="1" applyFont="1" applyFill="1" applyBorder="1" applyAlignment="1">
      <alignment horizontal="left" vertical="center" wrapText="1"/>
    </xf>
    <xf numFmtId="165" fontId="12" fillId="0" borderId="14" xfId="2" applyNumberFormat="1" applyFont="1" applyFill="1" applyBorder="1" applyAlignment="1">
      <alignment horizontal="left" vertical="center" wrapText="1"/>
    </xf>
    <xf numFmtId="0" fontId="11" fillId="4" borderId="51" xfId="0" applyFont="1" applyFill="1" applyBorder="1" applyAlignment="1">
      <alignment vertical="center"/>
    </xf>
    <xf numFmtId="0" fontId="10" fillId="3" borderId="52" xfId="0" applyFont="1" applyFill="1" applyBorder="1" applyAlignment="1">
      <alignment vertical="center"/>
    </xf>
    <xf numFmtId="0" fontId="10" fillId="3" borderId="54" xfId="0" applyFont="1" applyFill="1" applyBorder="1" applyAlignment="1">
      <alignment vertical="center"/>
    </xf>
    <xf numFmtId="0" fontId="10" fillId="3" borderId="53" xfId="0" applyFont="1" applyFill="1" applyBorder="1" applyAlignment="1">
      <alignment vertical="center"/>
    </xf>
    <xf numFmtId="9" fontId="10" fillId="3" borderId="23" xfId="1" applyFont="1" applyFill="1" applyBorder="1" applyAlignment="1">
      <alignment vertical="center"/>
    </xf>
    <xf numFmtId="0" fontId="10" fillId="3" borderId="14" xfId="0" applyFont="1" applyFill="1" applyBorder="1" applyAlignment="1">
      <alignment vertical="center" wrapText="1"/>
    </xf>
    <xf numFmtId="0" fontId="10" fillId="3" borderId="41" xfId="0" applyFont="1" applyFill="1" applyBorder="1" applyAlignment="1">
      <alignment vertical="center" wrapText="1"/>
    </xf>
    <xf numFmtId="0" fontId="10" fillId="3" borderId="7" xfId="0" applyFont="1" applyFill="1" applyBorder="1" applyAlignment="1">
      <alignment horizontal="right" vertical="center"/>
    </xf>
    <xf numFmtId="43" fontId="10" fillId="3" borderId="7" xfId="2" applyFont="1" applyFill="1" applyBorder="1" applyAlignment="1">
      <alignment horizontal="right" vertical="center" wrapText="1"/>
    </xf>
    <xf numFmtId="166" fontId="10" fillId="5" borderId="20" xfId="2" applyNumberFormat="1" applyFont="1" applyFill="1" applyBorder="1" applyAlignment="1">
      <alignment horizontal="right" vertical="center" wrapText="1"/>
    </xf>
    <xf numFmtId="168" fontId="0" fillId="0" borderId="0" xfId="0" applyNumberFormat="1"/>
    <xf numFmtId="168" fontId="0" fillId="0" borderId="36" xfId="0" applyNumberFormat="1" applyBorder="1"/>
    <xf numFmtId="0" fontId="13" fillId="8" borderId="0" xfId="0" applyFont="1" applyFill="1" applyAlignment="1">
      <alignment vertical="center"/>
    </xf>
    <xf numFmtId="0" fontId="14" fillId="0" borderId="0" xfId="0" applyFont="1" applyAlignment="1">
      <alignment vertical="center" wrapText="1"/>
    </xf>
    <xf numFmtId="0" fontId="14" fillId="0" borderId="0" xfId="0" applyFont="1" applyAlignment="1">
      <alignment vertical="center"/>
    </xf>
    <xf numFmtId="0" fontId="15" fillId="0" borderId="0" xfId="0" applyFont="1" applyAlignment="1">
      <alignment vertical="center"/>
    </xf>
    <xf numFmtId="0" fontId="14" fillId="0" borderId="0" xfId="0" quotePrefix="1" applyFont="1" applyAlignment="1">
      <alignment vertical="center" wrapText="1"/>
    </xf>
    <xf numFmtId="0" fontId="16" fillId="8" borderId="0" xfId="0" applyFont="1" applyFill="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quotePrefix="1" applyFont="1" applyAlignment="1">
      <alignment vertical="center" wrapText="1"/>
    </xf>
    <xf numFmtId="0" fontId="15" fillId="0" borderId="0" xfId="0" quotePrefix="1" applyFont="1" applyAlignment="1">
      <alignment vertical="center" wrapText="1"/>
    </xf>
    <xf numFmtId="0" fontId="18" fillId="0" borderId="0" xfId="0" applyFont="1" applyAlignment="1">
      <alignment vertical="center" wrapText="1"/>
    </xf>
    <xf numFmtId="0" fontId="18" fillId="0" borderId="0" xfId="0" quotePrefix="1" applyFont="1" applyAlignment="1">
      <alignment vertical="center" wrapText="1"/>
    </xf>
    <xf numFmtId="0" fontId="1" fillId="0" borderId="0" xfId="0" applyFont="1" applyAlignment="1">
      <alignment vertical="center" wrapText="1"/>
    </xf>
    <xf numFmtId="0" fontId="19" fillId="0" borderId="0" xfId="0" quotePrefix="1" applyFont="1" applyAlignment="1">
      <alignment vertical="center" wrapText="1"/>
    </xf>
    <xf numFmtId="0" fontId="19" fillId="0" borderId="0" xfId="0" applyFont="1" applyAlignment="1">
      <alignment vertical="center"/>
    </xf>
    <xf numFmtId="0" fontId="20" fillId="0" borderId="0" xfId="0" applyFont="1" applyAlignment="1">
      <alignment vertical="center" wrapText="1"/>
    </xf>
    <xf numFmtId="0" fontId="20" fillId="0" borderId="0" xfId="0" applyFont="1" applyAlignment="1">
      <alignment vertical="center"/>
    </xf>
    <xf numFmtId="0" fontId="18" fillId="0" borderId="0" xfId="0" applyFont="1" applyAlignment="1">
      <alignment vertical="center"/>
    </xf>
    <xf numFmtId="16" fontId="2" fillId="0" borderId="1" xfId="0" applyNumberFormat="1" applyFont="1" applyBorder="1"/>
    <xf numFmtId="16" fontId="2" fillId="2" borderId="1" xfId="0" applyNumberFormat="1" applyFont="1"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applyAlignment="1">
      <alignment vertical="center"/>
    </xf>
    <xf numFmtId="0" fontId="0" fillId="2" borderId="1" xfId="0" applyFill="1" applyBorder="1" applyAlignment="1">
      <alignment vertical="center"/>
    </xf>
    <xf numFmtId="0" fontId="2" fillId="9" borderId="1" xfId="0" applyFont="1" applyFill="1" applyBorder="1"/>
    <xf numFmtId="16" fontId="2" fillId="9" borderId="1" xfId="0" applyNumberFormat="1" applyFont="1" applyFill="1" applyBorder="1"/>
    <xf numFmtId="0" fontId="0" fillId="9" borderId="1" xfId="0" applyFill="1" applyBorder="1" applyAlignment="1">
      <alignment vertical="center" wrapText="1"/>
    </xf>
    <xf numFmtId="0" fontId="2" fillId="9" borderId="1" xfId="0" applyFont="1" applyFill="1" applyBorder="1" applyAlignment="1">
      <alignment vertical="center"/>
    </xf>
    <xf numFmtId="0" fontId="0" fillId="0" borderId="13" xfId="0" applyBorder="1" applyAlignment="1">
      <alignment vertical="center" wrapText="1"/>
    </xf>
    <xf numFmtId="0" fontId="0" fillId="0" borderId="13" xfId="0" applyBorder="1" applyAlignment="1">
      <alignment vertical="center"/>
    </xf>
    <xf numFmtId="0" fontId="2" fillId="0" borderId="1" xfId="0" applyFont="1" applyBorder="1" applyAlignment="1">
      <alignment vertical="center"/>
    </xf>
    <xf numFmtId="0" fontId="2" fillId="10" borderId="1" xfId="0" applyFont="1" applyFill="1" applyBorder="1"/>
    <xf numFmtId="16" fontId="2" fillId="10" borderId="1" xfId="0" applyNumberFormat="1" applyFont="1" applyFill="1" applyBorder="1"/>
    <xf numFmtId="0" fontId="0" fillId="10" borderId="1" xfId="0" applyFill="1" applyBorder="1" applyAlignment="1">
      <alignment vertical="center" wrapText="1"/>
    </xf>
    <xf numFmtId="0" fontId="2" fillId="10" borderId="1" xfId="0" applyFont="1" applyFill="1" applyBorder="1" applyAlignment="1">
      <alignment vertical="center"/>
    </xf>
    <xf numFmtId="0" fontId="15" fillId="0" borderId="0" xfId="0" applyFont="1" applyAlignment="1">
      <alignment vertical="center" wrapText="1"/>
    </xf>
    <xf numFmtId="0" fontId="23" fillId="0" borderId="0" xfId="0" applyFont="1" applyAlignment="1">
      <alignment vertical="center"/>
    </xf>
    <xf numFmtId="0" fontId="23" fillId="0" borderId="0" xfId="0" quotePrefix="1"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center"/>
    </xf>
    <xf numFmtId="10" fontId="0" fillId="0" borderId="0" xfId="1" applyNumberFormat="1" applyFont="1" applyAlignment="1">
      <alignment vertical="center"/>
    </xf>
    <xf numFmtId="0" fontId="25" fillId="0" borderId="0" xfId="0" applyFont="1" applyAlignment="1">
      <alignment vertical="center" wrapText="1"/>
    </xf>
    <xf numFmtId="0" fontId="25" fillId="0" borderId="0" xfId="0" quotePrefix="1" applyFont="1" applyAlignment="1">
      <alignment vertical="center" wrapText="1"/>
    </xf>
    <xf numFmtId="0" fontId="25" fillId="0" borderId="0" xfId="0" applyFont="1" applyAlignment="1">
      <alignment vertical="center"/>
    </xf>
    <xf numFmtId="0" fontId="27" fillId="0" borderId="0" xfId="0" applyFont="1" applyAlignment="1">
      <alignment vertical="center" wrapText="1"/>
    </xf>
    <xf numFmtId="0" fontId="11" fillId="0" borderId="0" xfId="0" applyFont="1" applyAlignment="1">
      <alignment vertical="center"/>
    </xf>
    <xf numFmtId="166" fontId="11" fillId="2" borderId="55" xfId="2" applyNumberFormat="1" applyFont="1" applyFill="1" applyBorder="1" applyAlignment="1">
      <alignment vertical="center"/>
    </xf>
    <xf numFmtId="166" fontId="11" fillId="2" borderId="56" xfId="2" applyNumberFormat="1" applyFont="1" applyFill="1" applyBorder="1" applyAlignment="1">
      <alignment vertical="center"/>
    </xf>
    <xf numFmtId="166" fontId="2" fillId="0" borderId="36" xfId="0" applyNumberFormat="1" applyFont="1" applyBorder="1" applyAlignment="1">
      <alignment vertical="center"/>
    </xf>
    <xf numFmtId="43" fontId="10" fillId="3" borderId="7" xfId="2" applyFont="1" applyFill="1" applyBorder="1" applyAlignment="1">
      <alignment vertical="center" wrapText="1"/>
    </xf>
    <xf numFmtId="166" fontId="10" fillId="3" borderId="1" xfId="0" applyNumberFormat="1" applyFont="1" applyFill="1" applyBorder="1" applyAlignment="1">
      <alignment vertical="center"/>
    </xf>
    <xf numFmtId="0" fontId="10" fillId="3" borderId="1" xfId="0" applyFont="1" applyFill="1" applyBorder="1" applyAlignment="1">
      <alignment vertical="center"/>
    </xf>
    <xf numFmtId="0" fontId="11" fillId="0" borderId="6" xfId="0" applyFont="1" applyBorder="1" applyAlignment="1">
      <alignment vertical="center"/>
    </xf>
    <xf numFmtId="0" fontId="10" fillId="0" borderId="21" xfId="0" applyFont="1" applyBorder="1" applyAlignment="1">
      <alignment vertical="center"/>
    </xf>
    <xf numFmtId="0" fontId="10" fillId="5" borderId="0" xfId="0" applyFont="1" applyFill="1" applyAlignment="1">
      <alignment vertical="center"/>
    </xf>
    <xf numFmtId="166" fontId="10" fillId="11" borderId="1" xfId="0" applyNumberFormat="1" applyFont="1" applyFill="1" applyBorder="1" applyAlignment="1">
      <alignment vertical="center"/>
    </xf>
    <xf numFmtId="9" fontId="0" fillId="0" borderId="0" xfId="1" applyFont="1" applyAlignment="1">
      <alignment vertical="center"/>
    </xf>
    <xf numFmtId="0" fontId="10" fillId="2" borderId="14" xfId="0" applyFont="1" applyFill="1" applyBorder="1" applyAlignment="1">
      <alignment vertical="center"/>
    </xf>
    <xf numFmtId="0" fontId="11" fillId="5" borderId="58" xfId="0" applyFont="1" applyFill="1" applyBorder="1" applyAlignment="1">
      <alignment vertical="center"/>
    </xf>
    <xf numFmtId="0" fontId="11" fillId="2" borderId="59" xfId="0" applyFont="1" applyFill="1" applyBorder="1" applyAlignment="1">
      <alignment vertical="center"/>
    </xf>
    <xf numFmtId="166" fontId="11" fillId="2" borderId="60" xfId="2" applyNumberFormat="1" applyFont="1" applyFill="1" applyBorder="1" applyAlignment="1">
      <alignment vertical="center"/>
    </xf>
    <xf numFmtId="166" fontId="11" fillId="2" borderId="45" xfId="2" applyNumberFormat="1" applyFont="1" applyFill="1" applyBorder="1" applyAlignment="1">
      <alignment vertical="center"/>
    </xf>
    <xf numFmtId="165" fontId="10" fillId="0" borderId="1" xfId="2" applyNumberFormat="1" applyFont="1" applyFill="1" applyBorder="1" applyAlignment="1">
      <alignment horizontal="left" vertical="center" wrapText="1"/>
    </xf>
    <xf numFmtId="165" fontId="10" fillId="0" borderId="14" xfId="2" applyNumberFormat="1" applyFont="1" applyFill="1" applyBorder="1" applyAlignment="1">
      <alignment horizontal="left" vertical="center" wrapText="1"/>
    </xf>
    <xf numFmtId="0" fontId="18" fillId="3" borderId="0" xfId="0" applyFont="1" applyFill="1" applyAlignment="1">
      <alignment vertical="center" wrapText="1"/>
    </xf>
    <xf numFmtId="0" fontId="18" fillId="3" borderId="0" xfId="0" applyFont="1" applyFill="1" applyAlignment="1">
      <alignment vertical="center"/>
    </xf>
    <xf numFmtId="9" fontId="10" fillId="0" borderId="0" xfId="1" applyFont="1" applyAlignment="1">
      <alignment horizontal="center" vertical="center"/>
    </xf>
    <xf numFmtId="0" fontId="1" fillId="0" borderId="0" xfId="0" applyFont="1" applyAlignment="1">
      <alignment vertical="center"/>
    </xf>
    <xf numFmtId="43" fontId="0" fillId="7" borderId="0" xfId="2" applyFont="1" applyFill="1" applyAlignment="1">
      <alignment horizontal="center"/>
    </xf>
    <xf numFmtId="0" fontId="0" fillId="7" borderId="0" xfId="0" applyFill="1" applyAlignment="1">
      <alignment horizontal="center"/>
    </xf>
    <xf numFmtId="0" fontId="19" fillId="0" borderId="0" xfId="0" applyFont="1" applyAlignment="1">
      <alignment vertical="center" wrapText="1"/>
    </xf>
    <xf numFmtId="43" fontId="10" fillId="3" borderId="1" xfId="0" applyNumberFormat="1" applyFont="1" applyFill="1" applyBorder="1" applyAlignment="1">
      <alignment vertical="center"/>
    </xf>
    <xf numFmtId="0" fontId="2" fillId="0" borderId="62" xfId="0" applyFont="1" applyBorder="1" applyAlignment="1">
      <alignment vertical="center"/>
    </xf>
    <xf numFmtId="165" fontId="2" fillId="0" borderId="63" xfId="2" applyNumberFormat="1" applyFont="1" applyBorder="1" applyAlignment="1">
      <alignment vertical="center"/>
    </xf>
    <xf numFmtId="0" fontId="2" fillId="0" borderId="63" xfId="0" applyFont="1" applyBorder="1" applyAlignment="1">
      <alignment vertical="center"/>
    </xf>
    <xf numFmtId="0" fontId="2" fillId="0" borderId="64" xfId="0" applyFont="1" applyBorder="1" applyAlignment="1">
      <alignment vertical="center"/>
    </xf>
    <xf numFmtId="0" fontId="0" fillId="0" borderId="34" xfId="0" applyBorder="1" applyAlignment="1">
      <alignment vertical="center"/>
    </xf>
    <xf numFmtId="0" fontId="0" fillId="0" borderId="42"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165" fontId="10" fillId="3" borderId="40" xfId="2" applyNumberFormat="1" applyFont="1" applyFill="1" applyBorder="1" applyAlignment="1">
      <alignment vertical="center" wrapText="1"/>
    </xf>
    <xf numFmtId="165" fontId="10" fillId="3" borderId="1" xfId="2" applyNumberFormat="1" applyFont="1" applyFill="1" applyBorder="1" applyAlignment="1">
      <alignment vertical="center" wrapText="1"/>
    </xf>
    <xf numFmtId="0" fontId="0" fillId="0" borderId="38" xfId="0" applyBorder="1" applyAlignment="1">
      <alignment vertical="center"/>
    </xf>
    <xf numFmtId="0" fontId="0" fillId="0" borderId="15" xfId="0" applyBorder="1" applyAlignment="1">
      <alignment vertical="center"/>
    </xf>
    <xf numFmtId="0" fontId="10" fillId="0" borderId="24" xfId="0" applyFont="1" applyBorder="1" applyAlignment="1">
      <alignment vertical="center"/>
    </xf>
    <xf numFmtId="0" fontId="10" fillId="0" borderId="25" xfId="0" applyFont="1" applyBorder="1" applyAlignment="1">
      <alignment vertical="center"/>
    </xf>
    <xf numFmtId="166" fontId="10" fillId="2" borderId="41" xfId="2" applyNumberFormat="1" applyFont="1" applyFill="1" applyBorder="1" applyAlignment="1">
      <alignment vertical="center" wrapText="1"/>
    </xf>
    <xf numFmtId="166" fontId="10" fillId="2" borderId="1" xfId="2" applyNumberFormat="1" applyFont="1" applyFill="1" applyBorder="1" applyAlignment="1">
      <alignment vertical="center" wrapText="1"/>
    </xf>
    <xf numFmtId="0" fontId="10" fillId="0" borderId="16" xfId="0" applyFont="1" applyBorder="1" applyAlignment="1">
      <alignment vertical="center"/>
    </xf>
    <xf numFmtId="0" fontId="10" fillId="0" borderId="17" xfId="0" applyFont="1" applyBorder="1" applyAlignment="1">
      <alignment vertical="center"/>
    </xf>
    <xf numFmtId="166" fontId="10" fillId="3" borderId="4" xfId="2" applyNumberFormat="1" applyFont="1" applyFill="1" applyBorder="1" applyAlignment="1">
      <alignment vertical="center" wrapText="1"/>
    </xf>
    <xf numFmtId="0" fontId="10" fillId="0" borderId="33" xfId="0" applyFont="1" applyBorder="1" applyAlignment="1">
      <alignment vertical="center"/>
    </xf>
    <xf numFmtId="0" fontId="10" fillId="0" borderId="42" xfId="0" applyFont="1" applyBorder="1" applyAlignment="1">
      <alignment vertical="center"/>
    </xf>
    <xf numFmtId="166" fontId="10" fillId="0" borderId="42" xfId="0" applyNumberFormat="1" applyFont="1" applyBorder="1" applyAlignment="1">
      <alignment vertical="center"/>
    </xf>
    <xf numFmtId="166" fontId="10" fillId="2" borderId="41" xfId="0" applyNumberFormat="1" applyFont="1" applyFill="1" applyBorder="1" applyAlignment="1">
      <alignment horizontal="left" vertical="center"/>
    </xf>
    <xf numFmtId="166" fontId="10" fillId="0" borderId="11" xfId="0" applyNumberFormat="1" applyFont="1" applyBorder="1" applyAlignment="1">
      <alignment vertical="center"/>
    </xf>
    <xf numFmtId="43" fontId="0" fillId="0" borderId="6" xfId="0" applyNumberFormat="1" applyBorder="1" applyAlignment="1">
      <alignment vertical="center"/>
    </xf>
    <xf numFmtId="166" fontId="0" fillId="0" borderId="7" xfId="2" applyNumberFormat="1" applyFont="1" applyBorder="1" applyAlignment="1">
      <alignment vertical="center"/>
    </xf>
    <xf numFmtId="0" fontId="11" fillId="0" borderId="19" xfId="0" applyFont="1" applyBorder="1" applyAlignment="1">
      <alignment vertical="center"/>
    </xf>
    <xf numFmtId="166" fontId="11" fillId="2" borderId="20" xfId="2" applyNumberFormat="1" applyFont="1" applyFill="1" applyBorder="1" applyAlignment="1">
      <alignment vertical="center" wrapText="1"/>
    </xf>
    <xf numFmtId="0" fontId="10" fillId="0" borderId="3" xfId="0" applyFont="1" applyBorder="1" applyAlignment="1">
      <alignment vertical="center"/>
    </xf>
    <xf numFmtId="166" fontId="10" fillId="2" borderId="5" xfId="2" applyNumberFormat="1" applyFont="1" applyFill="1" applyBorder="1" applyAlignment="1">
      <alignment vertical="center" wrapText="1"/>
    </xf>
    <xf numFmtId="9" fontId="0" fillId="0" borderId="21" xfId="0" applyNumberFormat="1" applyBorder="1" applyAlignment="1">
      <alignment vertical="center"/>
    </xf>
    <xf numFmtId="166" fontId="0" fillId="2" borderId="22" xfId="2" applyNumberFormat="1" applyFont="1" applyFill="1" applyBorder="1" applyAlignment="1">
      <alignment vertical="center"/>
    </xf>
    <xf numFmtId="166" fontId="2" fillId="2" borderId="45" xfId="2" applyNumberFormat="1" applyFont="1" applyFill="1" applyBorder="1" applyAlignment="1">
      <alignment vertical="center"/>
    </xf>
    <xf numFmtId="43" fontId="2" fillId="4" borderId="58" xfId="0" applyNumberFormat="1" applyFont="1" applyFill="1" applyBorder="1" applyAlignment="1">
      <alignment vertical="center"/>
    </xf>
    <xf numFmtId="0" fontId="11" fillId="4" borderId="12"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xf>
    <xf numFmtId="0" fontId="11" fillId="4" borderId="17" xfId="0" applyFont="1" applyFill="1" applyBorder="1" applyAlignment="1">
      <alignment horizontal="center" vertical="center"/>
    </xf>
    <xf numFmtId="0" fontId="11" fillId="4" borderId="18" xfId="0" applyFont="1" applyFill="1" applyBorder="1" applyAlignment="1">
      <alignment horizontal="center" vertical="center"/>
    </xf>
    <xf numFmtId="0" fontId="10" fillId="0" borderId="34" xfId="0" applyFont="1" applyBorder="1" applyAlignment="1">
      <alignment horizontal="left" vertical="top" wrapText="1"/>
    </xf>
    <xf numFmtId="0" fontId="10" fillId="0" borderId="0" xfId="0" applyFont="1" applyAlignment="1">
      <alignment horizontal="left" vertical="top" wrapText="1"/>
    </xf>
    <xf numFmtId="0" fontId="10" fillId="0" borderId="42" xfId="0" applyFont="1" applyBorder="1" applyAlignment="1">
      <alignment horizontal="left" vertical="top" wrapText="1"/>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1" fillId="4" borderId="3" xfId="0" applyFont="1" applyFill="1" applyBorder="1" applyAlignment="1">
      <alignment horizontal="center" vertical="center"/>
    </xf>
    <xf numFmtId="0" fontId="11" fillId="4" borderId="5" xfId="0" applyFont="1" applyFill="1" applyBorder="1" applyAlignment="1">
      <alignment horizontal="center" vertical="center"/>
    </xf>
    <xf numFmtId="0" fontId="8" fillId="4" borderId="26" xfId="0" applyFont="1" applyFill="1" applyBorder="1" applyAlignment="1">
      <alignment horizontal="center" vertical="center"/>
    </xf>
    <xf numFmtId="0" fontId="8" fillId="4" borderId="27" xfId="0" applyFont="1" applyFill="1" applyBorder="1" applyAlignment="1">
      <alignment horizontal="center" vertical="center"/>
    </xf>
    <xf numFmtId="9" fontId="10" fillId="2" borderId="1" xfId="1" applyFont="1" applyFill="1" applyBorder="1" applyAlignment="1">
      <alignment vertical="center"/>
    </xf>
    <xf numFmtId="9" fontId="10" fillId="0" borderId="7" xfId="1" applyFont="1" applyFill="1" applyBorder="1" applyAlignment="1">
      <alignment vertical="center"/>
    </xf>
    <xf numFmtId="0" fontId="10" fillId="0" borderId="37" xfId="0" applyFont="1" applyBorder="1" applyAlignment="1">
      <alignment horizontal="left" vertical="center"/>
    </xf>
    <xf numFmtId="0" fontId="10" fillId="0" borderId="23" xfId="0" applyFont="1" applyBorder="1" applyAlignment="1">
      <alignment horizontal="left" vertical="center"/>
    </xf>
    <xf numFmtId="166" fontId="10" fillId="2" borderId="37" xfId="2" applyNumberFormat="1" applyFont="1" applyFill="1" applyBorder="1" applyAlignment="1">
      <alignment horizontal="center" vertical="center" wrapText="1"/>
    </xf>
    <xf numFmtId="166" fontId="10" fillId="2" borderId="39" xfId="2"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0" fillId="0" borderId="6" xfId="0" applyFont="1" applyBorder="1" applyAlignment="1">
      <alignment horizontal="left" vertical="center" wrapText="1"/>
    </xf>
    <xf numFmtId="0" fontId="10" fillId="0" borderId="21" xfId="0" applyFont="1" applyBorder="1" applyAlignment="1">
      <alignment horizontal="left" vertical="center" wrapText="1"/>
    </xf>
    <xf numFmtId="0" fontId="10" fillId="0" borderId="1" xfId="0" applyFont="1" applyBorder="1" applyAlignment="1">
      <alignment horizontal="left" vertical="center" wrapText="1"/>
    </xf>
    <xf numFmtId="166" fontId="10" fillId="2" borderId="1" xfId="2" applyNumberFormat="1" applyFont="1" applyFill="1" applyBorder="1" applyAlignment="1">
      <alignment horizontal="center" vertical="center" wrapText="1"/>
    </xf>
    <xf numFmtId="166" fontId="10" fillId="2" borderId="7" xfId="2" applyNumberFormat="1" applyFont="1" applyFill="1" applyBorder="1" applyAlignment="1">
      <alignment horizontal="center" vertical="center" wrapText="1"/>
    </xf>
    <xf numFmtId="166" fontId="10" fillId="2" borderId="14" xfId="2" applyNumberFormat="1" applyFont="1" applyFill="1" applyBorder="1" applyAlignment="1">
      <alignment horizontal="center" vertical="center" wrapText="1"/>
    </xf>
    <xf numFmtId="166" fontId="10" fillId="2" borderId="22" xfId="2" applyNumberFormat="1" applyFont="1" applyFill="1" applyBorder="1" applyAlignment="1">
      <alignment horizontal="center" vertical="center" wrapText="1"/>
    </xf>
    <xf numFmtId="0" fontId="10" fillId="0" borderId="14" xfId="0" applyFont="1" applyBorder="1" applyAlignment="1">
      <alignment horizontal="left" vertical="center" wrapText="1"/>
    </xf>
    <xf numFmtId="9" fontId="10" fillId="2" borderId="14" xfId="1" applyFont="1" applyFill="1" applyBorder="1" applyAlignment="1">
      <alignment horizontal="right" vertical="center"/>
    </xf>
    <xf numFmtId="9" fontId="10" fillId="2" borderId="61" xfId="1" applyFont="1" applyFill="1" applyBorder="1" applyAlignment="1">
      <alignment horizontal="right" vertical="center"/>
    </xf>
    <xf numFmtId="9" fontId="10" fillId="2" borderId="57" xfId="1" applyFont="1" applyFill="1" applyBorder="1" applyAlignment="1">
      <alignment horizontal="right" vertical="center"/>
    </xf>
    <xf numFmtId="0" fontId="11" fillId="4" borderId="31" xfId="0" applyFont="1" applyFill="1" applyBorder="1" applyAlignment="1">
      <alignment horizontal="center" vertical="center"/>
    </xf>
    <xf numFmtId="0" fontId="11" fillId="4" borderId="32" xfId="0" applyFont="1" applyFill="1" applyBorder="1" applyAlignment="1">
      <alignment horizontal="center" vertical="center"/>
    </xf>
    <xf numFmtId="0" fontId="11" fillId="4" borderId="62" xfId="0" applyFont="1" applyFill="1" applyBorder="1" applyAlignment="1">
      <alignment horizontal="center" vertical="center"/>
    </xf>
    <xf numFmtId="0" fontId="11" fillId="4" borderId="63" xfId="0" applyFont="1" applyFill="1" applyBorder="1" applyAlignment="1">
      <alignment horizontal="center" vertical="center"/>
    </xf>
    <xf numFmtId="0" fontId="11" fillId="4" borderId="64" xfId="0" applyFont="1" applyFill="1" applyBorder="1" applyAlignment="1">
      <alignment horizontal="center" vertical="center"/>
    </xf>
    <xf numFmtId="167" fontId="10" fillId="2" borderId="12" xfId="0" applyNumberFormat="1" applyFont="1" applyFill="1" applyBorder="1" applyAlignment="1">
      <alignment horizontal="center" vertical="center"/>
    </xf>
    <xf numFmtId="167" fontId="10" fillId="2" borderId="40" xfId="0" applyNumberFormat="1" applyFont="1" applyFill="1" applyBorder="1" applyAlignment="1">
      <alignment horizontal="center" vertical="center"/>
    </xf>
    <xf numFmtId="167" fontId="10" fillId="2" borderId="13" xfId="0" applyNumberFormat="1" applyFont="1" applyFill="1" applyBorder="1" applyAlignment="1">
      <alignment horizontal="center" vertical="center"/>
    </xf>
    <xf numFmtId="0" fontId="11" fillId="4" borderId="13" xfId="0" applyFont="1" applyFill="1" applyBorder="1" applyAlignment="1">
      <alignment horizontal="center" vertical="center" wrapText="1"/>
    </xf>
    <xf numFmtId="0" fontId="11" fillId="4" borderId="40" xfId="0" applyFont="1" applyFill="1" applyBorder="1" applyAlignment="1">
      <alignment horizontal="center" vertical="center" wrapText="1"/>
    </xf>
    <xf numFmtId="166" fontId="10" fillId="2" borderId="12" xfId="2" applyNumberFormat="1" applyFont="1" applyFill="1" applyBorder="1" applyAlignment="1">
      <alignment horizontal="center" vertical="center"/>
    </xf>
    <xf numFmtId="166" fontId="10" fillId="2" borderId="13" xfId="2" applyNumberFormat="1" applyFont="1" applyFill="1" applyBorder="1" applyAlignment="1">
      <alignment horizontal="center" vertical="center"/>
    </xf>
    <xf numFmtId="166" fontId="10" fillId="2" borderId="40" xfId="2" applyNumberFormat="1" applyFont="1" applyFill="1" applyBorder="1" applyAlignment="1">
      <alignment horizontal="center"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167" fontId="10" fillId="3" borderId="37" xfId="0" applyNumberFormat="1" applyFont="1" applyFill="1" applyBorder="1" applyAlignment="1">
      <alignment horizontal="center" vertical="center"/>
    </xf>
    <xf numFmtId="167" fontId="10" fillId="3" borderId="39" xfId="0" applyNumberFormat="1" applyFont="1" applyFill="1" applyBorder="1" applyAlignment="1">
      <alignment horizontal="center" vertical="center"/>
    </xf>
    <xf numFmtId="43" fontId="2" fillId="4" borderId="16" xfId="0" applyNumberFormat="1" applyFont="1" applyFill="1" applyBorder="1" applyAlignment="1">
      <alignment horizontal="center" vertical="center"/>
    </xf>
    <xf numFmtId="43" fontId="2" fillId="4" borderId="18" xfId="0" applyNumberFormat="1" applyFont="1" applyFill="1" applyBorder="1" applyAlignment="1">
      <alignment horizontal="center" vertical="center"/>
    </xf>
    <xf numFmtId="167" fontId="10" fillId="5" borderId="0" xfId="0" applyNumberFormat="1" applyFont="1" applyFill="1" applyAlignment="1">
      <alignment horizontal="center" vertical="center"/>
    </xf>
    <xf numFmtId="167" fontId="10" fillId="2" borderId="37" xfId="0" applyNumberFormat="1" applyFont="1" applyFill="1" applyBorder="1" applyAlignment="1">
      <alignment horizontal="center" vertical="center"/>
    </xf>
    <xf numFmtId="167" fontId="10" fillId="2" borderId="23" xfId="0" applyNumberFormat="1" applyFont="1" applyFill="1" applyBorder="1" applyAlignment="1">
      <alignment horizontal="center" vertical="center"/>
    </xf>
    <xf numFmtId="167" fontId="10" fillId="2" borderId="39" xfId="0" applyNumberFormat="1" applyFont="1" applyFill="1" applyBorder="1" applyAlignment="1">
      <alignment horizontal="center" vertical="center"/>
    </xf>
    <xf numFmtId="0" fontId="0" fillId="5" borderId="0" xfId="0" applyFill="1" applyAlignment="1">
      <alignment horizontal="left" vertical="center"/>
    </xf>
    <xf numFmtId="0" fontId="11" fillId="4" borderId="33" xfId="0" applyFont="1" applyFill="1" applyBorder="1" applyAlignment="1">
      <alignment horizontal="center" vertic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 xfId="0" applyFont="1" applyFill="1" applyBorder="1" applyAlignment="1">
      <alignment horizontal="center"/>
    </xf>
  </cellXfs>
  <cellStyles count="3">
    <cellStyle name="Comma" xfId="2" builtinId="3"/>
    <cellStyle name="Normal" xfId="0" builtinId="0"/>
    <cellStyle name="Percent" xfId="1" builtinId="5"/>
  </cellStyles>
  <dxfs count="12">
    <dxf>
      <numFmt numFmtId="169" formatCode="&quot;R&quot;#,##0.00"/>
      <fill>
        <patternFill patternType="solid">
          <bgColor theme="0" tint="-0.14996795556505021"/>
        </patternFill>
      </fill>
    </dxf>
    <dxf>
      <numFmt numFmtId="170" formatCode="\£#,##0.00"/>
      <fill>
        <patternFill patternType="solid">
          <bgColor theme="0" tint="-0.14996795556505021"/>
        </patternFill>
      </fill>
    </dxf>
    <dxf>
      <numFmt numFmtId="171" formatCode="&quot;$&quot;#,##0.00"/>
      <fill>
        <patternFill patternType="solid">
          <bgColor theme="0" tint="-0.14996795556505021"/>
        </patternFill>
      </fill>
    </dxf>
    <dxf>
      <numFmt numFmtId="169" formatCode="&quot;R&quot;#,##0.00"/>
      <fill>
        <patternFill patternType="none">
          <bgColor auto="1"/>
        </patternFill>
      </fill>
    </dxf>
    <dxf>
      <numFmt numFmtId="170" formatCode="\£#,##0.00"/>
      <fill>
        <patternFill patternType="none">
          <bgColor auto="1"/>
        </patternFill>
      </fill>
    </dxf>
    <dxf>
      <numFmt numFmtId="171" formatCode="&quot;$&quot;#,##0.00"/>
      <fill>
        <patternFill patternType="none">
          <bgColor auto="1"/>
        </patternFill>
      </fill>
    </dxf>
    <dxf>
      <numFmt numFmtId="169" formatCode="&quot;R&quot;#,##0.00"/>
      <fill>
        <patternFill patternType="solid">
          <bgColor theme="0" tint="-0.14996795556505021"/>
        </patternFill>
      </fill>
    </dxf>
    <dxf>
      <numFmt numFmtId="170" formatCode="\£#,##0.00"/>
      <fill>
        <patternFill patternType="solid">
          <bgColor theme="0" tint="-0.14996795556505021"/>
        </patternFill>
      </fill>
    </dxf>
    <dxf>
      <numFmt numFmtId="171" formatCode="&quot;$&quot;#,##0.00"/>
      <fill>
        <patternFill patternType="solid">
          <bgColor theme="0" tint="-0.14996795556505021"/>
        </patternFill>
      </fill>
    </dxf>
    <dxf>
      <numFmt numFmtId="169" formatCode="&quot;R&quot;#,##0.00"/>
      <fill>
        <patternFill patternType="solid">
          <bgColor theme="9" tint="0.79998168889431442"/>
        </patternFill>
      </fill>
    </dxf>
    <dxf>
      <numFmt numFmtId="170" formatCode="\£#,##0.00"/>
      <fill>
        <patternFill patternType="solid">
          <bgColor theme="9" tint="0.79998168889431442"/>
        </patternFill>
      </fill>
    </dxf>
    <dxf>
      <numFmt numFmtId="171" formatCode="&quot;$&quot;#,##0.00"/>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914400</xdr:colOff>
      <xdr:row>39</xdr:row>
      <xdr:rowOff>28575</xdr:rowOff>
    </xdr:from>
    <xdr:to>
      <xdr:col>4</xdr:col>
      <xdr:colOff>962703</xdr:colOff>
      <xdr:row>52</xdr:row>
      <xdr:rowOff>133710</xdr:rowOff>
    </xdr:to>
    <xdr:pic>
      <xdr:nvPicPr>
        <xdr:cNvPr id="2" name="Picture 1">
          <a:extLst>
            <a:ext uri="{FF2B5EF4-FFF2-40B4-BE49-F238E27FC236}">
              <a16:creationId xmlns:a16="http://schemas.microsoft.com/office/drawing/2014/main" id="{3CA03DD7-43F7-55AA-E7CA-F368C0176650}"/>
            </a:ext>
          </a:extLst>
        </xdr:cNvPr>
        <xdr:cNvPicPr>
          <a:picLocks noChangeAspect="1"/>
        </xdr:cNvPicPr>
      </xdr:nvPicPr>
      <xdr:blipFill>
        <a:blip xmlns:r="http://schemas.openxmlformats.org/officeDocument/2006/relationships" r:embed="rId1"/>
        <a:stretch>
          <a:fillRect/>
        </a:stretch>
      </xdr:blipFill>
      <xdr:spPr>
        <a:xfrm>
          <a:off x="1047750" y="7562850"/>
          <a:ext cx="4858428" cy="25816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kki Papenfus" id="{88BA43A9-8EB4-4FF3-9B67-F49F9F0832F8}" userId="S::npapenfus@openboxsoftware.com::2a405823-0c8b-419b-afb6-8159926c2e1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4" dT="2025-09-01T10:01:01.48" personId="{88BA43A9-8EB4-4FF3-9B67-F49F9F0832F8}" id="{BAF56DF6-CF5E-4DCD-918F-123D3A97F77A}">
    <text>Consider the extent of discovery already completed, and knowledge of the client's business &amp; Org.</text>
  </threadedComment>
  <threadedComment ref="E5" dT="2025-09-01T10:02:03.36" personId="{88BA43A9-8EB4-4FF3-9B67-F49F9F0832F8}" id="{6371F4C0-76EF-4713-89E9-218FA6A3F813}">
    <text>Consider extent of custom component development, use of 3rd party apps, 3rd party integrations.</text>
  </threadedComment>
  <threadedComment ref="I15" dT="2025-09-02T06:59:34.57" personId="{88BA43A9-8EB4-4FF3-9B67-F49F9F0832F8}" id="{AD42F3EA-BFBB-409F-8DAA-8FE8691D079A}">
    <text>5 point story = 5 days to dev, QA, fix bugs &amp; deploy</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5-09-01T10:01:01.48" personId="{88BA43A9-8EB4-4FF3-9B67-F49F9F0832F8}" id="{24CD955F-40F7-4741-992D-18BD1A63E344}">
    <text>Consider the extent of discovery already completed, and knowledge of the client's business &amp; Org.</text>
  </threadedComment>
  <threadedComment ref="E5" dT="2025-09-01T10:02:03.36" personId="{88BA43A9-8EB4-4FF3-9B67-F49F9F0832F8}" id="{A620C728-501A-4D2D-8675-EDC4376414F0}">
    <text>Consider extent of custom component development, use of 3rd party apps, 3rd party integrations.</text>
  </threadedComment>
  <threadedComment ref="I15" dT="2025-09-02T06:59:34.57" personId="{88BA43A9-8EB4-4FF3-9B67-F49F9F0832F8}" id="{55CD87D6-59ED-42CD-B525-1BF6B8B210C7}">
    <text>5 point story = 5 days to dev, QA, fix bugs &amp; deploy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2286-D071-4DEC-BB30-73328C8C8F7A}">
  <sheetPr>
    <tabColor theme="8"/>
  </sheetPr>
  <dimension ref="B1:AG38"/>
  <sheetViews>
    <sheetView showGridLines="0" tabSelected="1" topLeftCell="A13" workbookViewId="0">
      <selection activeCell="F42" sqref="F42"/>
    </sheetView>
  </sheetViews>
  <sheetFormatPr defaultRowHeight="15" x14ac:dyDescent="0.25"/>
  <cols>
    <col min="1" max="1" width="2" style="69" customWidth="1"/>
    <col min="2" max="2" width="49.85546875" style="69" bestFit="1" customWidth="1"/>
    <col min="3" max="4" width="11.140625" style="69" customWidth="1"/>
    <col min="5" max="5" width="25.140625" style="69" customWidth="1"/>
    <col min="6" max="6" width="19" style="69" customWidth="1"/>
    <col min="7" max="7" width="6.5703125" style="69" customWidth="1"/>
    <col min="8" max="8" width="19.7109375" style="69" customWidth="1"/>
    <col min="9" max="11" width="10.7109375" style="69" customWidth="1"/>
    <col min="12" max="13" width="9.7109375" style="69" customWidth="1"/>
    <col min="14" max="14" width="4.140625" style="69" customWidth="1"/>
    <col min="15" max="15" width="29.5703125" style="69" customWidth="1"/>
    <col min="16" max="16" width="8.5703125" style="69" customWidth="1"/>
    <col min="17" max="17" width="12.5703125" style="69" bestFit="1" customWidth="1"/>
    <col min="18" max="18" width="12.7109375" style="69" bestFit="1" customWidth="1"/>
    <col min="19" max="16384" width="9.140625" style="69"/>
  </cols>
  <sheetData>
    <row r="1" spans="2:16" ht="9" customHeight="1" thickBot="1" x14ac:dyDescent="0.3"/>
    <row r="2" spans="2:16" x14ac:dyDescent="0.25">
      <c r="B2" s="250" t="str">
        <f>"Rates"&amp;" ("&amp;C3&amp;")"</f>
        <v>Rates (£)</v>
      </c>
      <c r="C2" s="251"/>
      <c r="D2" s="72"/>
      <c r="E2" s="250" t="s">
        <v>73</v>
      </c>
      <c r="F2" s="251"/>
      <c r="G2" s="72"/>
      <c r="H2" s="241" t="s">
        <v>82</v>
      </c>
      <c r="I2" s="242"/>
      <c r="J2" s="242"/>
      <c r="K2" s="242"/>
      <c r="L2" s="242"/>
      <c r="M2" s="243"/>
      <c r="O2" s="252" t="s">
        <v>34</v>
      </c>
      <c r="P2" s="253"/>
    </row>
    <row r="3" spans="2:16" x14ac:dyDescent="0.25">
      <c r="B3" s="70" t="s">
        <v>43</v>
      </c>
      <c r="C3" s="127" t="s">
        <v>41</v>
      </c>
      <c r="D3" s="72"/>
      <c r="G3" s="72"/>
      <c r="H3" s="66" t="s">
        <v>58</v>
      </c>
      <c r="I3" s="82" t="s">
        <v>59</v>
      </c>
      <c r="J3" s="82" t="s">
        <v>6</v>
      </c>
      <c r="K3" s="82" t="s">
        <v>60</v>
      </c>
      <c r="L3" s="82" t="s">
        <v>102</v>
      </c>
      <c r="M3" s="83" t="s">
        <v>103</v>
      </c>
      <c r="O3" s="84" t="s">
        <v>114</v>
      </c>
      <c r="P3" s="112"/>
    </row>
    <row r="4" spans="2:16" ht="15" customHeight="1" x14ac:dyDescent="0.25">
      <c r="B4" s="70" t="s">
        <v>55</v>
      </c>
      <c r="C4" s="128">
        <v>163</v>
      </c>
      <c r="D4" s="72"/>
      <c r="E4" s="70" t="s">
        <v>67</v>
      </c>
      <c r="F4" s="85"/>
      <c r="G4" s="72"/>
      <c r="H4" s="67" t="s">
        <v>12</v>
      </c>
      <c r="I4" s="86">
        <v>1</v>
      </c>
      <c r="J4" s="50">
        <v>1</v>
      </c>
      <c r="K4" s="62">
        <f>I4*J4</f>
        <v>1</v>
      </c>
      <c r="L4" s="254">
        <f>(K4+K5)/K11</f>
        <v>0.5</v>
      </c>
      <c r="M4" s="255"/>
      <c r="O4" s="115" t="s">
        <v>121</v>
      </c>
      <c r="P4" s="116"/>
    </row>
    <row r="5" spans="2:16" ht="15.75" thickBot="1" x14ac:dyDescent="0.3">
      <c r="B5" s="70" t="s">
        <v>56</v>
      </c>
      <c r="C5" s="128">
        <f>97.5*1.05</f>
        <v>102.375</v>
      </c>
      <c r="D5" s="199">
        <f>C5/97.5</f>
        <v>1.05</v>
      </c>
      <c r="E5" s="71" t="s">
        <v>68</v>
      </c>
      <c r="F5" s="87"/>
      <c r="G5" s="72"/>
      <c r="H5" s="67" t="s">
        <v>11</v>
      </c>
      <c r="I5" s="86">
        <v>1</v>
      </c>
      <c r="J5" s="50">
        <v>0</v>
      </c>
      <c r="K5" s="62">
        <f>I5*J5</f>
        <v>0</v>
      </c>
      <c r="L5" s="254"/>
      <c r="M5" s="255"/>
      <c r="O5" s="88" t="s">
        <v>115</v>
      </c>
      <c r="P5" s="113"/>
    </row>
    <row r="6" spans="2:16" ht="15.75" thickBot="1" x14ac:dyDescent="0.3">
      <c r="B6" s="71" t="s">
        <v>107</v>
      </c>
      <c r="C6" s="129">
        <v>3</v>
      </c>
      <c r="D6" s="72"/>
      <c r="E6" s="73" t="s">
        <v>106</v>
      </c>
      <c r="F6" s="89">
        <f>ROUNDUP(P34*(1+F4+F5),0)</f>
        <v>60</v>
      </c>
      <c r="G6" s="72"/>
      <c r="H6" s="67" t="s">
        <v>7</v>
      </c>
      <c r="I6" s="86">
        <v>1</v>
      </c>
      <c r="J6" s="50">
        <v>0.4</v>
      </c>
      <c r="K6" s="62">
        <f>I6*J6</f>
        <v>0.4</v>
      </c>
      <c r="L6" s="51">
        <f>K6/K11</f>
        <v>0.2</v>
      </c>
      <c r="M6" s="52"/>
    </row>
    <row r="7" spans="2:16" ht="15.75" thickBot="1" x14ac:dyDescent="0.3">
      <c r="B7" s="72"/>
      <c r="C7" s="72"/>
      <c r="D7" s="72"/>
      <c r="E7" s="72"/>
      <c r="F7" s="72"/>
      <c r="G7" s="72"/>
      <c r="H7" s="67" t="s">
        <v>323</v>
      </c>
      <c r="I7" s="86">
        <v>1</v>
      </c>
      <c r="J7" s="50">
        <v>0.1</v>
      </c>
      <c r="K7" s="62">
        <f>I7*J7</f>
        <v>0.1</v>
      </c>
      <c r="L7" s="270">
        <f>(K8+K9+K7)/K11</f>
        <v>0.25</v>
      </c>
      <c r="M7" s="52"/>
      <c r="O7" s="120" t="s">
        <v>124</v>
      </c>
    </row>
    <row r="8" spans="2:16" x14ac:dyDescent="0.25">
      <c r="B8" s="250" t="s">
        <v>108</v>
      </c>
      <c r="C8" s="251"/>
      <c r="D8" s="72"/>
      <c r="E8" s="250" t="s">
        <v>105</v>
      </c>
      <c r="F8" s="251"/>
      <c r="G8" s="72"/>
      <c r="H8" s="67" t="s">
        <v>8</v>
      </c>
      <c r="I8" s="86">
        <v>1</v>
      </c>
      <c r="J8" s="50">
        <v>0.3</v>
      </c>
      <c r="K8" s="62">
        <f>I8*J8</f>
        <v>0.3</v>
      </c>
      <c r="L8" s="271"/>
      <c r="M8" s="255"/>
      <c r="O8" s="121" t="s">
        <v>122</v>
      </c>
    </row>
    <row r="9" spans="2:16" x14ac:dyDescent="0.25">
      <c r="B9" s="70" t="s">
        <v>32</v>
      </c>
      <c r="C9" s="81">
        <v>2</v>
      </c>
      <c r="D9" s="72"/>
      <c r="E9" s="70" t="s">
        <v>69</v>
      </c>
      <c r="F9" s="93">
        <f>SUM(C22:C22)</f>
        <v>3</v>
      </c>
      <c r="G9" s="72"/>
      <c r="H9" s="67" t="s">
        <v>57</v>
      </c>
      <c r="I9" s="125">
        <v>1</v>
      </c>
      <c r="J9" s="50">
        <v>0.1</v>
      </c>
      <c r="K9" s="62">
        <f t="shared" ref="K9:K10" si="0">I9*J9</f>
        <v>0.1</v>
      </c>
      <c r="L9" s="272"/>
      <c r="M9" s="255"/>
      <c r="O9" s="121" t="s">
        <v>123</v>
      </c>
    </row>
    <row r="10" spans="2:16" ht="15.75" thickBot="1" x14ac:dyDescent="0.3">
      <c r="B10" s="70" t="s">
        <v>339</v>
      </c>
      <c r="C10" s="81">
        <v>2</v>
      </c>
      <c r="D10" s="72"/>
      <c r="E10" s="70" t="s">
        <v>78</v>
      </c>
      <c r="F10" s="93">
        <f>SUM(D22:D22)</f>
        <v>4</v>
      </c>
      <c r="G10" s="72"/>
      <c r="H10" s="80" t="s">
        <v>9</v>
      </c>
      <c r="I10" s="126">
        <v>1</v>
      </c>
      <c r="J10" s="124">
        <v>0.1</v>
      </c>
      <c r="K10" s="64">
        <f t="shared" si="0"/>
        <v>0.1</v>
      </c>
      <c r="L10" s="60">
        <f>K10/K11</f>
        <v>0.05</v>
      </c>
      <c r="M10" s="61"/>
      <c r="O10" s="121" t="s">
        <v>128</v>
      </c>
    </row>
    <row r="11" spans="2:16" ht="15.75" thickBot="1" x14ac:dyDescent="0.3">
      <c r="B11" s="70" t="s">
        <v>385</v>
      </c>
      <c r="C11" s="182">
        <v>0.5</v>
      </c>
      <c r="D11" s="72"/>
      <c r="E11" s="70" t="s">
        <v>109</v>
      </c>
      <c r="F11" s="93">
        <f>CEILING(K11,0.05)</f>
        <v>2</v>
      </c>
      <c r="G11" s="72"/>
      <c r="H11" s="68" t="s">
        <v>61</v>
      </c>
      <c r="I11" s="114"/>
      <c r="J11" s="91"/>
      <c r="K11" s="90">
        <f>SUM(K4:K10)</f>
        <v>2</v>
      </c>
      <c r="L11" s="92">
        <f>SUM(L4:L10)</f>
        <v>1</v>
      </c>
      <c r="M11" s="117">
        <f>SUM(M4:M10)</f>
        <v>0</v>
      </c>
      <c r="O11" s="121" t="s">
        <v>323</v>
      </c>
    </row>
    <row r="12" spans="2:16" ht="15.75" thickBot="1" x14ac:dyDescent="0.3">
      <c r="B12" s="71" t="str">
        <f>"Cost per Week"&amp;" ("&amp;C3&amp;")"</f>
        <v>Cost per Week (£)</v>
      </c>
      <c r="C12" s="65">
        <f>(C11*C5*40)</f>
        <v>2047.5</v>
      </c>
      <c r="D12" s="72"/>
      <c r="E12" s="71" t="str">
        <f>"Cost per Sprint"&amp;" ("&amp;C3&amp;")"</f>
        <v>Cost per Sprint (£)</v>
      </c>
      <c r="F12" s="65">
        <f>CEILING(F11*C6*C5*40,10)</f>
        <v>24570</v>
      </c>
      <c r="G12" s="72"/>
      <c r="H12" s="72"/>
      <c r="I12" s="72"/>
      <c r="J12" s="72"/>
      <c r="K12" s="72"/>
      <c r="L12" s="72"/>
      <c r="M12" s="94"/>
      <c r="O12" s="123"/>
    </row>
    <row r="13" spans="2:16" ht="15.75" thickBot="1" x14ac:dyDescent="0.3">
      <c r="F13" s="189"/>
      <c r="G13" s="72"/>
      <c r="H13" s="241" t="s">
        <v>5</v>
      </c>
      <c r="I13" s="242"/>
      <c r="J13" s="242"/>
      <c r="K13" s="242"/>
      <c r="L13" s="242"/>
      <c r="M13" s="243"/>
    </row>
    <row r="14" spans="2:16" x14ac:dyDescent="0.25">
      <c r="B14" s="241" t="s">
        <v>25</v>
      </c>
      <c r="C14" s="242"/>
      <c r="D14" s="242"/>
      <c r="E14" s="242"/>
      <c r="F14" s="243"/>
      <c r="G14" s="72"/>
      <c r="H14" s="59" t="s">
        <v>104</v>
      </c>
      <c r="I14" s="260" t="str">
        <f>"Points per Dev per "&amp;C6&amp;"-week Sprint"</f>
        <v>Points per Dev per 3-week Sprint</v>
      </c>
      <c r="J14" s="260"/>
      <c r="K14" s="260"/>
      <c r="L14" s="260" t="s">
        <v>72</v>
      </c>
      <c r="M14" s="261"/>
    </row>
    <row r="15" spans="2:16" ht="15" customHeight="1" x14ac:dyDescent="0.25">
      <c r="B15" s="244" t="s">
        <v>341</v>
      </c>
      <c r="C15" s="245"/>
      <c r="D15" s="245"/>
      <c r="E15" s="245"/>
      <c r="F15" s="246"/>
      <c r="G15" s="72"/>
      <c r="H15" s="262" t="s">
        <v>14</v>
      </c>
      <c r="I15" s="264" t="s">
        <v>112</v>
      </c>
      <c r="J15" s="264"/>
      <c r="K15" s="195">
        <v>20</v>
      </c>
      <c r="L15" s="265">
        <f>ROUNDUP(K15*K4+K16*K5,0)</f>
        <v>20</v>
      </c>
      <c r="M15" s="266"/>
    </row>
    <row r="16" spans="2:16" ht="15.75" thickBot="1" x14ac:dyDescent="0.3">
      <c r="B16" s="247"/>
      <c r="C16" s="248"/>
      <c r="D16" s="248"/>
      <c r="E16" s="248"/>
      <c r="F16" s="249"/>
      <c r="G16" s="72"/>
      <c r="H16" s="263"/>
      <c r="I16" s="269" t="s">
        <v>113</v>
      </c>
      <c r="J16" s="269"/>
      <c r="K16" s="196">
        <v>0</v>
      </c>
      <c r="L16" s="267"/>
      <c r="M16" s="268"/>
    </row>
    <row r="17" spans="2:33" ht="15.75" customHeight="1" thickBot="1" x14ac:dyDescent="0.3">
      <c r="B17" s="72"/>
      <c r="C17" s="72"/>
      <c r="D17" s="72"/>
      <c r="E17" s="72"/>
      <c r="F17" s="72"/>
      <c r="G17" s="72"/>
      <c r="H17" s="80" t="s">
        <v>15</v>
      </c>
      <c r="I17" s="256" t="s">
        <v>70</v>
      </c>
      <c r="J17" s="257"/>
      <c r="K17" s="111">
        <v>0.75</v>
      </c>
      <c r="L17" s="258">
        <f>ROUNDDOWN(L15*K17,0)</f>
        <v>15</v>
      </c>
      <c r="M17" s="259"/>
    </row>
    <row r="18" spans="2:33" ht="15.75" thickBot="1" x14ac:dyDescent="0.3">
      <c r="B18" s="241" t="s">
        <v>45</v>
      </c>
      <c r="C18" s="242"/>
      <c r="D18" s="242"/>
      <c r="E18" s="242"/>
      <c r="F18" s="243"/>
      <c r="G18" s="72"/>
      <c r="H18" s="72"/>
      <c r="I18" s="72"/>
      <c r="J18" s="72"/>
      <c r="K18" s="72"/>
      <c r="L18" s="72"/>
      <c r="M18" s="72"/>
      <c r="O18" s="95"/>
    </row>
    <row r="19" spans="2:33" ht="15.75" thickBot="1" x14ac:dyDescent="0.3">
      <c r="B19" s="59" t="s">
        <v>48</v>
      </c>
      <c r="C19" s="53" t="s">
        <v>84</v>
      </c>
      <c r="D19" s="53" t="s">
        <v>85</v>
      </c>
      <c r="E19" s="53" t="str">
        <f>"Lower Bound"&amp;" ("&amp;C3&amp;")"</f>
        <v>Lower Bound (£)</v>
      </c>
      <c r="F19" s="54" t="str">
        <f>"Upper Bound"&amp;" ("&amp;C3&amp;")"</f>
        <v>Upper Bound (£)</v>
      </c>
      <c r="G19" s="72"/>
      <c r="H19" s="273" t="s">
        <v>343</v>
      </c>
      <c r="I19" s="274"/>
      <c r="J19" s="274"/>
      <c r="K19" s="274"/>
      <c r="L19" s="275" t="s">
        <v>400</v>
      </c>
      <c r="M19" s="276"/>
      <c r="N19" s="276"/>
      <c r="O19" s="276"/>
      <c r="P19" s="277"/>
    </row>
    <row r="20" spans="2:33" x14ac:dyDescent="0.25">
      <c r="B20" s="70" t="s">
        <v>342</v>
      </c>
      <c r="C20" s="183">
        <v>80</v>
      </c>
      <c r="D20" s="183">
        <v>100</v>
      </c>
      <c r="E20" s="75">
        <f>C20*$C$4</f>
        <v>13040</v>
      </c>
      <c r="F20" s="98">
        <f>D20*$C$4</f>
        <v>16300</v>
      </c>
      <c r="G20" s="72"/>
      <c r="H20" s="221" t="s">
        <v>116</v>
      </c>
      <c r="I20" s="222"/>
      <c r="J20" s="223">
        <v>3</v>
      </c>
      <c r="K20" s="224"/>
      <c r="L20" s="209"/>
      <c r="O20" s="95"/>
      <c r="P20" s="210"/>
    </row>
    <row r="21" spans="2:33" x14ac:dyDescent="0.25">
      <c r="B21" s="70" t="s">
        <v>65</v>
      </c>
      <c r="C21" s="183">
        <v>80</v>
      </c>
      <c r="D21" s="183">
        <v>100</v>
      </c>
      <c r="E21" s="75">
        <f>C21*$C$4</f>
        <v>13040</v>
      </c>
      <c r="F21" s="98">
        <f>D21*$C$4</f>
        <v>16300</v>
      </c>
      <c r="G21" s="72"/>
      <c r="H21" s="56" t="s">
        <v>389</v>
      </c>
      <c r="I21" s="96"/>
      <c r="J21" s="50">
        <v>0.3</v>
      </c>
      <c r="K21" s="225"/>
      <c r="L21" s="209"/>
      <c r="O21" s="95"/>
      <c r="P21" s="210"/>
    </row>
    <row r="22" spans="2:33" x14ac:dyDescent="0.25">
      <c r="B22" s="70" t="s">
        <v>382</v>
      </c>
      <c r="C22" s="204">
        <v>3</v>
      </c>
      <c r="D22" s="204">
        <v>4</v>
      </c>
      <c r="E22" s="75">
        <f t="shared" ref="E22" si="1">C22*$F$12</f>
        <v>73710</v>
      </c>
      <c r="F22" s="98">
        <f t="shared" ref="F22" si="2">D22*$F$12</f>
        <v>98280</v>
      </c>
      <c r="G22" s="72"/>
      <c r="H22" s="57" t="s">
        <v>390</v>
      </c>
      <c r="I22" s="72"/>
      <c r="J22" s="50">
        <v>0.45</v>
      </c>
      <c r="K22" s="225" t="s">
        <v>338</v>
      </c>
      <c r="L22" s="215" t="s">
        <v>395</v>
      </c>
      <c r="M22" s="216"/>
      <c r="N22" s="161"/>
      <c r="O22" s="214">
        <f>8*3</f>
        <v>24</v>
      </c>
      <c r="P22" s="210" t="s">
        <v>396</v>
      </c>
    </row>
    <row r="23" spans="2:33" x14ac:dyDescent="0.25">
      <c r="B23" s="70" t="s">
        <v>384</v>
      </c>
      <c r="C23" s="188">
        <f>C9</f>
        <v>2</v>
      </c>
      <c r="D23" s="188">
        <f>C9</f>
        <v>2</v>
      </c>
      <c r="E23" s="75">
        <f>C23*C12</f>
        <v>4095</v>
      </c>
      <c r="F23" s="98">
        <f>D23*C12</f>
        <v>4095</v>
      </c>
      <c r="G23" s="72"/>
      <c r="H23" s="56" t="s">
        <v>392</v>
      </c>
      <c r="I23" s="96"/>
      <c r="J23" s="214">
        <v>3</v>
      </c>
      <c r="K23" s="213">
        <v>4</v>
      </c>
      <c r="L23" s="56" t="s">
        <v>397</v>
      </c>
      <c r="M23" s="216"/>
      <c r="N23" s="161"/>
      <c r="O23" s="214">
        <v>5</v>
      </c>
      <c r="P23" s="213">
        <v>4</v>
      </c>
    </row>
    <row r="24" spans="2:33" x14ac:dyDescent="0.25">
      <c r="B24" s="70" t="s">
        <v>383</v>
      </c>
      <c r="C24" s="188">
        <f>C10</f>
        <v>2</v>
      </c>
      <c r="D24" s="188">
        <f>C10</f>
        <v>2</v>
      </c>
      <c r="E24" s="75">
        <f>C24*0.25*C5*40</f>
        <v>2047.5</v>
      </c>
      <c r="F24" s="98">
        <f>D24*0.25*C5*40</f>
        <v>2047.5</v>
      </c>
      <c r="G24" s="72"/>
      <c r="H24" s="57" t="s">
        <v>393</v>
      </c>
      <c r="I24" s="72"/>
      <c r="J24" s="214">
        <v>1</v>
      </c>
      <c r="K24" s="213">
        <v>3</v>
      </c>
      <c r="L24" s="57" t="s">
        <v>398</v>
      </c>
      <c r="O24" s="214">
        <v>4</v>
      </c>
      <c r="P24" s="213">
        <v>3</v>
      </c>
    </row>
    <row r="25" spans="2:33" ht="15.75" thickBot="1" x14ac:dyDescent="0.3">
      <c r="B25" s="71" t="s">
        <v>380</v>
      </c>
      <c r="C25" s="100">
        <v>12.01</v>
      </c>
      <c r="D25" s="100">
        <v>12.01</v>
      </c>
      <c r="E25" s="76">
        <f>C25*C$4</f>
        <v>1957.6299999999999</v>
      </c>
      <c r="F25" s="101">
        <f>D25*$C$4</f>
        <v>1957.6299999999999</v>
      </c>
      <c r="G25" s="72"/>
      <c r="H25" s="56" t="s">
        <v>118</v>
      </c>
      <c r="I25" s="96"/>
      <c r="J25" s="220">
        <f>J20*(40*J21+J23*K23+J24*K24)</f>
        <v>81</v>
      </c>
      <c r="K25" s="226"/>
      <c r="L25" s="215" t="s">
        <v>394</v>
      </c>
      <c r="M25" s="216"/>
      <c r="N25" s="161"/>
      <c r="O25" s="214">
        <f>16+8</f>
        <v>24</v>
      </c>
      <c r="P25" s="210"/>
      <c r="Q25" s="95"/>
    </row>
    <row r="26" spans="2:33" ht="15.75" thickBot="1" x14ac:dyDescent="0.3">
      <c r="B26" s="73" t="s">
        <v>81</v>
      </c>
      <c r="C26" s="102"/>
      <c r="D26" s="102"/>
      <c r="E26" s="77">
        <f>SUM(E20:E25)</f>
        <v>107890.13</v>
      </c>
      <c r="F26" s="103">
        <f>SUM(F20:F25)</f>
        <v>138980.13</v>
      </c>
      <c r="G26" s="72"/>
      <c r="H26" s="58" t="s">
        <v>119</v>
      </c>
      <c r="I26" s="104"/>
      <c r="J26" s="227">
        <f>J20*(40*J22+J23*K23+J24*K24)</f>
        <v>99</v>
      </c>
      <c r="K26" s="228"/>
      <c r="L26" s="217" t="s">
        <v>399</v>
      </c>
      <c r="M26" s="218"/>
      <c r="N26" s="211"/>
      <c r="O26" s="219">
        <f>O22+O23*P23+O24*P24+O25</f>
        <v>80</v>
      </c>
      <c r="P26" s="212"/>
    </row>
    <row r="27" spans="2:33" ht="15.75" thickBot="1" x14ac:dyDescent="0.3">
      <c r="B27" s="178"/>
      <c r="C27" s="178"/>
      <c r="D27" s="178"/>
      <c r="E27" s="178"/>
      <c r="F27" s="178"/>
      <c r="G27" s="72"/>
      <c r="H27" s="178"/>
      <c r="I27" s="178"/>
      <c r="J27" s="178"/>
      <c r="K27" s="178"/>
      <c r="L27" s="178"/>
      <c r="M27" s="72"/>
      <c r="O27" s="95"/>
    </row>
    <row r="28" spans="2:33" x14ac:dyDescent="0.25">
      <c r="B28" s="241" t="s">
        <v>340</v>
      </c>
      <c r="C28" s="242"/>
      <c r="D28" s="242"/>
      <c r="E28" s="242"/>
      <c r="F28" s="243"/>
      <c r="G28" s="72"/>
      <c r="H28" s="241" t="s">
        <v>75</v>
      </c>
      <c r="I28" s="242"/>
      <c r="J28" s="242"/>
      <c r="K28" s="242"/>
      <c r="L28" s="243"/>
      <c r="M28" s="72"/>
      <c r="O28" s="290" t="s">
        <v>402</v>
      </c>
      <c r="P28" s="291"/>
    </row>
    <row r="29" spans="2:33" ht="15.75" thickBot="1" x14ac:dyDescent="0.3">
      <c r="B29" s="59"/>
      <c r="C29" s="239" t="s">
        <v>64</v>
      </c>
      <c r="D29" s="240"/>
      <c r="E29" s="53" t="str">
        <f t="shared" ref="E29:F31" si="3">E19</f>
        <v>Lower Bound (£)</v>
      </c>
      <c r="F29" s="54" t="str">
        <f t="shared" si="3"/>
        <v>Upper Bound (£)</v>
      </c>
      <c r="G29" s="178"/>
      <c r="H29" s="286" t="s">
        <v>80</v>
      </c>
      <c r="I29" s="287"/>
      <c r="J29" s="257"/>
      <c r="K29" s="288">
        <v>45962</v>
      </c>
      <c r="L29" s="289"/>
      <c r="M29" s="178"/>
      <c r="N29" s="178"/>
      <c r="O29" s="229" t="s">
        <v>159</v>
      </c>
      <c r="P29" s="230">
        <v>25</v>
      </c>
      <c r="T29" s="178"/>
      <c r="U29" s="178"/>
      <c r="V29" s="178"/>
      <c r="W29" s="178"/>
      <c r="X29" s="178"/>
      <c r="Y29" s="178"/>
      <c r="Z29" s="178"/>
      <c r="AA29" s="178"/>
      <c r="AB29" s="178"/>
      <c r="AC29" s="178"/>
      <c r="AD29" s="178"/>
      <c r="AE29" s="178"/>
      <c r="AF29" s="178"/>
      <c r="AG29" s="178"/>
    </row>
    <row r="30" spans="2:33" x14ac:dyDescent="0.25">
      <c r="B30" s="70" t="s">
        <v>316</v>
      </c>
      <c r="C30" s="184">
        <v>4</v>
      </c>
      <c r="D30" s="184">
        <v>4</v>
      </c>
      <c r="E30" s="78">
        <f t="shared" si="3"/>
        <v>13040</v>
      </c>
      <c r="F30" s="78">
        <f t="shared" si="3"/>
        <v>16300</v>
      </c>
      <c r="G30" s="178"/>
      <c r="H30" s="241" t="s">
        <v>77</v>
      </c>
      <c r="I30" s="242"/>
      <c r="J30" s="242"/>
      <c r="K30" s="242"/>
      <c r="L30" s="243"/>
      <c r="M30" s="178"/>
      <c r="N30" s="178"/>
      <c r="O30" s="229" t="s">
        <v>158</v>
      </c>
      <c r="P30" s="230">
        <v>35</v>
      </c>
      <c r="T30" s="178"/>
      <c r="U30" s="178"/>
      <c r="V30" s="178"/>
      <c r="W30" s="178"/>
      <c r="X30" s="178"/>
      <c r="Y30" s="178"/>
      <c r="Z30" s="178"/>
      <c r="AA30" s="178"/>
      <c r="AB30" s="178"/>
      <c r="AC30" s="178"/>
      <c r="AD30" s="178"/>
      <c r="AE30" s="178"/>
      <c r="AF30" s="178"/>
      <c r="AG30" s="178"/>
    </row>
    <row r="31" spans="2:33" x14ac:dyDescent="0.25">
      <c r="B31" s="70" t="s">
        <v>65</v>
      </c>
      <c r="C31" s="106">
        <f>J20</f>
        <v>3</v>
      </c>
      <c r="D31" s="106">
        <f>C31</f>
        <v>3</v>
      </c>
      <c r="E31" s="78">
        <f t="shared" si="3"/>
        <v>13040</v>
      </c>
      <c r="F31" s="78">
        <f t="shared" si="3"/>
        <v>16300</v>
      </c>
      <c r="G31" s="178"/>
      <c r="H31" s="59" t="s">
        <v>335</v>
      </c>
      <c r="I31" s="239" t="s">
        <v>0</v>
      </c>
      <c r="J31" s="281"/>
      <c r="K31" s="239" t="s">
        <v>1</v>
      </c>
      <c r="L31" s="282"/>
      <c r="M31" s="178"/>
      <c r="N31" s="178"/>
      <c r="O31" s="229" t="s">
        <v>401</v>
      </c>
      <c r="P31" s="230"/>
      <c r="T31" s="178"/>
      <c r="U31" s="178"/>
      <c r="V31" s="178"/>
      <c r="W31" s="178"/>
      <c r="X31" s="178"/>
      <c r="Y31" s="178"/>
      <c r="Z31" s="178"/>
      <c r="AA31" s="178"/>
      <c r="AB31" s="178"/>
      <c r="AC31" s="178"/>
      <c r="AD31" s="178"/>
      <c r="AE31" s="178"/>
      <c r="AF31" s="178"/>
      <c r="AG31" s="178"/>
    </row>
    <row r="32" spans="2:33" ht="15.75" thickBot="1" x14ac:dyDescent="0.3">
      <c r="B32" s="70" t="s">
        <v>71</v>
      </c>
      <c r="C32" s="106">
        <f>SUM(C22:C22)*C6</f>
        <v>9</v>
      </c>
      <c r="D32" s="106">
        <f>SUM(D22:D22)*C6</f>
        <v>12</v>
      </c>
      <c r="E32" s="78">
        <f>SUM(E22:E22)</f>
        <v>73710</v>
      </c>
      <c r="F32" s="78">
        <f>SUM(F22:F22)</f>
        <v>98280</v>
      </c>
      <c r="G32" s="178"/>
      <c r="H32" s="70" t="s">
        <v>333</v>
      </c>
      <c r="I32" s="278">
        <f>K29+(C30+C31)*7-1</f>
        <v>46010</v>
      </c>
      <c r="J32" s="280"/>
      <c r="K32" s="278">
        <f>K29+(D30+D31)*7-1</f>
        <v>46010</v>
      </c>
      <c r="L32" s="279"/>
      <c r="M32" s="178"/>
      <c r="N32" s="178"/>
      <c r="O32" s="235">
        <v>0.1</v>
      </c>
      <c r="P32" s="236">
        <f>SUM(P29:P31)*O32</f>
        <v>6</v>
      </c>
      <c r="T32" s="178"/>
      <c r="U32" s="178"/>
      <c r="V32" s="178"/>
      <c r="W32" s="178"/>
      <c r="X32" s="178"/>
      <c r="Y32" s="178"/>
      <c r="Z32" s="178"/>
      <c r="AA32" s="178"/>
      <c r="AB32" s="178"/>
      <c r="AC32" s="178"/>
      <c r="AD32" s="178"/>
      <c r="AE32" s="178"/>
      <c r="AF32" s="178"/>
      <c r="AG32" s="178"/>
    </row>
    <row r="33" spans="2:33" ht="15.75" thickBot="1" x14ac:dyDescent="0.3">
      <c r="B33" s="70" t="s">
        <v>31</v>
      </c>
      <c r="C33" s="106">
        <f>C23</f>
        <v>2</v>
      </c>
      <c r="D33" s="106">
        <f>D23</f>
        <v>2</v>
      </c>
      <c r="E33" s="78">
        <f>E23</f>
        <v>4095</v>
      </c>
      <c r="F33" s="78">
        <f>F23</f>
        <v>4095</v>
      </c>
      <c r="G33" s="178"/>
      <c r="H33" s="70" t="s">
        <v>386</v>
      </c>
      <c r="I33" s="283">
        <v>14</v>
      </c>
      <c r="J33" s="284"/>
      <c r="K33" s="283">
        <v>14</v>
      </c>
      <c r="L33" s="285"/>
      <c r="M33" s="178"/>
      <c r="N33" s="178"/>
      <c r="O33" s="238" t="s">
        <v>81</v>
      </c>
      <c r="P33" s="237">
        <f>SUM(P29:P32)</f>
        <v>66</v>
      </c>
      <c r="T33" s="178"/>
      <c r="U33" s="178"/>
      <c r="V33" s="178"/>
      <c r="W33" s="178"/>
      <c r="X33" s="178"/>
      <c r="Y33" s="178"/>
      <c r="Z33" s="178"/>
      <c r="AA33" s="178"/>
      <c r="AB33" s="178"/>
      <c r="AC33" s="178"/>
      <c r="AD33" s="178"/>
      <c r="AE33" s="178"/>
      <c r="AF33" s="178"/>
      <c r="AG33" s="178"/>
    </row>
    <row r="34" spans="2:33" x14ac:dyDescent="0.25">
      <c r="B34" s="70" t="s">
        <v>120</v>
      </c>
      <c r="C34" s="106">
        <f>C24</f>
        <v>2</v>
      </c>
      <c r="D34" s="106">
        <f>D24</f>
        <v>2</v>
      </c>
      <c r="E34" s="78">
        <f t="shared" ref="E34:F35" si="4">E24</f>
        <v>2047.5</v>
      </c>
      <c r="F34" s="78">
        <f t="shared" si="4"/>
        <v>2047.5</v>
      </c>
      <c r="G34" s="178"/>
      <c r="H34" s="70" t="s">
        <v>71</v>
      </c>
      <c r="I34" s="278">
        <f>I32+(C32)*7+I33</f>
        <v>46087</v>
      </c>
      <c r="J34" s="280"/>
      <c r="K34" s="278">
        <f>K32+D32*7+K33</f>
        <v>46108</v>
      </c>
      <c r="L34" s="279"/>
      <c r="M34" s="178"/>
      <c r="N34" s="178"/>
      <c r="O34" s="233" t="s">
        <v>403</v>
      </c>
      <c r="P34" s="234">
        <f>F9*L15</f>
        <v>60</v>
      </c>
      <c r="Q34" s="178"/>
      <c r="R34" s="178"/>
      <c r="S34" s="178"/>
      <c r="T34" s="178"/>
      <c r="U34" s="178"/>
      <c r="V34" s="178"/>
      <c r="W34" s="178"/>
      <c r="X34" s="178"/>
      <c r="Y34" s="178"/>
      <c r="Z34" s="178"/>
      <c r="AA34" s="178"/>
      <c r="AB34" s="178"/>
      <c r="AC34" s="178"/>
      <c r="AD34" s="178"/>
      <c r="AE34" s="178"/>
      <c r="AF34" s="178"/>
      <c r="AG34" s="178"/>
    </row>
    <row r="35" spans="2:33" ht="15.75" thickBot="1" x14ac:dyDescent="0.3">
      <c r="B35" s="186" t="s">
        <v>74</v>
      </c>
      <c r="C35" s="190">
        <v>0</v>
      </c>
      <c r="D35" s="190">
        <v>0</v>
      </c>
      <c r="E35" s="78">
        <f t="shared" si="4"/>
        <v>1957.6299999999999</v>
      </c>
      <c r="F35" s="78">
        <f t="shared" si="4"/>
        <v>1957.6299999999999</v>
      </c>
      <c r="G35" s="178"/>
      <c r="H35" s="70" t="s">
        <v>79</v>
      </c>
      <c r="I35" s="278">
        <f>I34+C33*7</f>
        <v>46101</v>
      </c>
      <c r="J35" s="280"/>
      <c r="K35" s="278">
        <f>K34+D33*7</f>
        <v>46122</v>
      </c>
      <c r="L35" s="279"/>
      <c r="M35" s="178"/>
      <c r="N35" s="178"/>
      <c r="O35" s="231" t="s">
        <v>404</v>
      </c>
      <c r="P35" s="232">
        <f>F10*K15</f>
        <v>80</v>
      </c>
      <c r="Q35" s="178"/>
      <c r="R35" s="178"/>
      <c r="S35" s="178"/>
      <c r="T35" s="178"/>
      <c r="U35" s="178"/>
      <c r="V35" s="178"/>
      <c r="W35" s="178"/>
      <c r="X35" s="178"/>
      <c r="Y35" s="178"/>
      <c r="Z35" s="178"/>
      <c r="AA35" s="178"/>
      <c r="AB35" s="178"/>
      <c r="AC35" s="178"/>
      <c r="AD35" s="178"/>
      <c r="AE35" s="178"/>
      <c r="AF35" s="178"/>
      <c r="AG35" s="178"/>
    </row>
    <row r="36" spans="2:33" ht="15.75" thickBot="1" x14ac:dyDescent="0.3">
      <c r="B36" s="191" t="str">
        <f>B26</f>
        <v>Total</v>
      </c>
      <c r="C36" s="192">
        <f>SUM(C30:C35)</f>
        <v>20</v>
      </c>
      <c r="D36" s="192">
        <f>SUM(D30:D35)</f>
        <v>23</v>
      </c>
      <c r="E36" s="193">
        <f>SUM(E30:E35)</f>
        <v>107890.13</v>
      </c>
      <c r="F36" s="194">
        <f>SUM(F30:F35)</f>
        <v>138980.13</v>
      </c>
      <c r="G36" s="178"/>
      <c r="H36" s="71" t="s">
        <v>62</v>
      </c>
      <c r="I36" s="293">
        <f>I35+C34*7</f>
        <v>46115</v>
      </c>
      <c r="J36" s="294"/>
      <c r="K36" s="293">
        <f>K35+D34*7</f>
        <v>46136</v>
      </c>
      <c r="L36" s="295"/>
      <c r="M36" s="178"/>
      <c r="N36" s="178"/>
      <c r="O36" s="178"/>
      <c r="P36" s="178"/>
      <c r="Q36" s="178"/>
      <c r="R36" s="178"/>
      <c r="S36" s="178"/>
      <c r="T36" s="178"/>
      <c r="U36" s="178"/>
      <c r="V36" s="178"/>
      <c r="W36" s="178"/>
      <c r="X36" s="178"/>
      <c r="Y36" s="178"/>
      <c r="Z36" s="178"/>
      <c r="AA36" s="178"/>
      <c r="AB36" s="178"/>
      <c r="AC36" s="178"/>
      <c r="AD36" s="178"/>
      <c r="AE36" s="178"/>
      <c r="AF36" s="178"/>
      <c r="AG36" s="178"/>
    </row>
    <row r="37" spans="2:33" ht="15.75" thickBot="1" x14ac:dyDescent="0.3">
      <c r="B37" s="69" t="s">
        <v>387</v>
      </c>
      <c r="C37" s="69">
        <v>2</v>
      </c>
      <c r="D37" s="69">
        <v>2</v>
      </c>
      <c r="G37" s="178"/>
      <c r="H37" s="187"/>
      <c r="I37" s="292"/>
      <c r="J37" s="292"/>
      <c r="K37" s="292"/>
      <c r="L37" s="292"/>
      <c r="M37" s="178"/>
      <c r="N37" s="178"/>
      <c r="O37" s="178"/>
      <c r="P37" s="178"/>
      <c r="Q37" s="178"/>
      <c r="R37" s="178"/>
      <c r="S37" s="178"/>
      <c r="T37" s="178"/>
      <c r="U37" s="178"/>
      <c r="V37" s="178"/>
      <c r="W37" s="178"/>
      <c r="X37" s="178"/>
      <c r="Y37" s="178"/>
      <c r="Z37" s="178"/>
      <c r="AA37" s="178"/>
      <c r="AB37" s="178"/>
      <c r="AC37" s="178"/>
      <c r="AD37" s="178"/>
      <c r="AE37" s="178"/>
      <c r="AF37" s="178"/>
      <c r="AG37" s="178"/>
    </row>
    <row r="38" spans="2:33" ht="15.75" thickBot="1" x14ac:dyDescent="0.3">
      <c r="B38" s="205" t="s">
        <v>388</v>
      </c>
      <c r="C38" s="206">
        <f>SUM(C36:C37)*12/52</f>
        <v>5.0769230769230766</v>
      </c>
      <c r="D38" s="206">
        <f>SUM(D36:D37)*12/52</f>
        <v>5.7692307692307692</v>
      </c>
      <c r="E38" s="207"/>
      <c r="F38" s="208"/>
      <c r="G38" s="178"/>
      <c r="H38" s="187"/>
      <c r="I38" s="292"/>
      <c r="J38" s="292"/>
      <c r="K38" s="292"/>
      <c r="L38" s="292"/>
      <c r="M38" s="178"/>
      <c r="N38" s="178"/>
      <c r="O38" s="178"/>
      <c r="P38" s="178"/>
      <c r="Q38" s="178"/>
      <c r="R38" s="178"/>
      <c r="S38" s="178"/>
      <c r="T38" s="178"/>
      <c r="U38" s="178"/>
      <c r="V38" s="178"/>
      <c r="W38" s="178"/>
      <c r="X38" s="178"/>
      <c r="Y38" s="178"/>
      <c r="Z38" s="178"/>
      <c r="AA38" s="178"/>
      <c r="AB38" s="178"/>
      <c r="AC38" s="178"/>
      <c r="AD38" s="178"/>
      <c r="AE38" s="178"/>
      <c r="AF38" s="178"/>
      <c r="AG38" s="178"/>
    </row>
  </sheetData>
  <mergeCells count="47">
    <mergeCell ref="I38:J38"/>
    <mergeCell ref="K38:L38"/>
    <mergeCell ref="I35:J35"/>
    <mergeCell ref="I36:J36"/>
    <mergeCell ref="K35:L35"/>
    <mergeCell ref="K36:L36"/>
    <mergeCell ref="H29:J29"/>
    <mergeCell ref="K29:L29"/>
    <mergeCell ref="O28:P28"/>
    <mergeCell ref="I37:J37"/>
    <mergeCell ref="K37:L37"/>
    <mergeCell ref="K32:L32"/>
    <mergeCell ref="I34:J34"/>
    <mergeCell ref="K34:L34"/>
    <mergeCell ref="H30:L30"/>
    <mergeCell ref="I31:J31"/>
    <mergeCell ref="K31:L31"/>
    <mergeCell ref="I32:J32"/>
    <mergeCell ref="I33:J33"/>
    <mergeCell ref="K33:L33"/>
    <mergeCell ref="O2:P2"/>
    <mergeCell ref="L4:L5"/>
    <mergeCell ref="M4:M5"/>
    <mergeCell ref="I17:J17"/>
    <mergeCell ref="L17:M17"/>
    <mergeCell ref="M8:M9"/>
    <mergeCell ref="H13:M13"/>
    <mergeCell ref="I14:K14"/>
    <mergeCell ref="L14:M14"/>
    <mergeCell ref="H15:H16"/>
    <mergeCell ref="I15:J15"/>
    <mergeCell ref="L15:M16"/>
    <mergeCell ref="I16:J16"/>
    <mergeCell ref="L7:L9"/>
    <mergeCell ref="H28:L28"/>
    <mergeCell ref="B2:C2"/>
    <mergeCell ref="E2:F2"/>
    <mergeCell ref="H2:M2"/>
    <mergeCell ref="B8:C8"/>
    <mergeCell ref="E8:F8"/>
    <mergeCell ref="H19:K19"/>
    <mergeCell ref="L19:P19"/>
    <mergeCell ref="C29:D29"/>
    <mergeCell ref="B14:F14"/>
    <mergeCell ref="B15:F16"/>
    <mergeCell ref="B18:F18"/>
    <mergeCell ref="B28:F28"/>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94732BD-3902-4A51-AE5E-8AAAF48D8A00}">
          <x14:formula1>
            <xm:f>Currency!$B$2:$B$4</xm:f>
          </x14:formula1>
          <xm:sqref>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319D-DB6B-422D-AEAB-DCE9144088FC}">
  <sheetPr>
    <tabColor theme="8"/>
  </sheetPr>
  <dimension ref="A1:F59"/>
  <sheetViews>
    <sheetView workbookViewId="0">
      <pane ySplit="1" topLeftCell="A6" activePane="bottomLeft" state="frozen"/>
      <selection activeCell="E63" sqref="E63"/>
      <selection pane="bottomLeft" activeCell="C60" sqref="C60"/>
    </sheetView>
  </sheetViews>
  <sheetFormatPr defaultRowHeight="12.75" x14ac:dyDescent="0.25"/>
  <cols>
    <col min="1" max="1" width="15.28515625" style="134" customWidth="1"/>
    <col min="2" max="2" width="34.28515625" style="134" customWidth="1"/>
    <col min="3" max="3" width="65" style="134" customWidth="1"/>
    <col min="4" max="4" width="12.42578125" style="134" customWidth="1"/>
    <col min="5" max="5" width="123" style="138" customWidth="1"/>
    <col min="6" max="6" width="4.42578125" style="138" customWidth="1"/>
    <col min="7" max="16384" width="9.140625" style="134"/>
  </cols>
  <sheetData>
    <row r="1" spans="1:6" x14ac:dyDescent="0.25">
      <c r="A1" s="132" t="s">
        <v>156</v>
      </c>
      <c r="B1" s="132" t="s">
        <v>173</v>
      </c>
      <c r="C1" s="132" t="s">
        <v>172</v>
      </c>
      <c r="D1" s="132" t="s">
        <v>73</v>
      </c>
      <c r="E1" s="137" t="s">
        <v>165</v>
      </c>
      <c r="F1" s="137" t="s">
        <v>163</v>
      </c>
    </row>
    <row r="2" spans="1:6" ht="25.5" x14ac:dyDescent="0.25">
      <c r="A2" s="133" t="s">
        <v>178</v>
      </c>
      <c r="B2" s="133" t="s">
        <v>125</v>
      </c>
      <c r="C2" s="133" t="s">
        <v>177</v>
      </c>
      <c r="D2" s="135" t="s">
        <v>317</v>
      </c>
    </row>
    <row r="3" spans="1:6" ht="45" x14ac:dyDescent="0.25">
      <c r="A3" s="133" t="s">
        <v>178</v>
      </c>
      <c r="B3" s="133" t="s">
        <v>160</v>
      </c>
      <c r="C3" s="133" t="s">
        <v>336</v>
      </c>
      <c r="D3" s="135">
        <v>3</v>
      </c>
      <c r="E3" s="139" t="s">
        <v>279</v>
      </c>
      <c r="F3" s="139" t="s">
        <v>309</v>
      </c>
    </row>
    <row r="4" spans="1:6" ht="111.75" customHeight="1" x14ac:dyDescent="0.25">
      <c r="A4" s="142" t="s">
        <v>159</v>
      </c>
      <c r="B4" s="133" t="s">
        <v>162</v>
      </c>
      <c r="C4" s="136" t="s">
        <v>179</v>
      </c>
      <c r="D4" s="135">
        <v>13</v>
      </c>
      <c r="E4" s="140" t="s">
        <v>175</v>
      </c>
      <c r="F4" s="140" t="s">
        <v>167</v>
      </c>
    </row>
    <row r="5" spans="1:6" ht="38.25" x14ac:dyDescent="0.25">
      <c r="A5" s="142" t="s">
        <v>159</v>
      </c>
      <c r="B5" s="133" t="s">
        <v>164</v>
      </c>
      <c r="C5" s="136" t="s">
        <v>248</v>
      </c>
      <c r="D5" s="167" t="s">
        <v>337</v>
      </c>
      <c r="E5" s="140" t="s">
        <v>170</v>
      </c>
      <c r="F5" s="140" t="s">
        <v>171</v>
      </c>
    </row>
    <row r="6" spans="1:6" ht="102" x14ac:dyDescent="0.25">
      <c r="A6" s="142" t="s">
        <v>159</v>
      </c>
      <c r="B6" s="133" t="s">
        <v>249</v>
      </c>
      <c r="C6" s="136" t="s">
        <v>357</v>
      </c>
      <c r="D6" s="135">
        <v>5</v>
      </c>
      <c r="E6" s="140"/>
      <c r="F6" s="140"/>
    </row>
    <row r="7" spans="1:6" ht="45" x14ac:dyDescent="0.25">
      <c r="A7" s="142" t="s">
        <v>159</v>
      </c>
      <c r="B7" s="133" t="s">
        <v>245</v>
      </c>
      <c r="C7" s="136" t="s">
        <v>246</v>
      </c>
      <c r="D7" s="135" t="s">
        <v>317</v>
      </c>
      <c r="E7" s="140" t="s">
        <v>166</v>
      </c>
      <c r="F7" s="140">
        <v>6</v>
      </c>
    </row>
    <row r="8" spans="1:6" ht="25.5" x14ac:dyDescent="0.25">
      <c r="A8" s="142" t="s">
        <v>159</v>
      </c>
      <c r="B8" s="133" t="s">
        <v>168</v>
      </c>
      <c r="C8" s="136" t="s">
        <v>247</v>
      </c>
      <c r="D8" s="135">
        <v>3</v>
      </c>
      <c r="E8" s="140" t="s">
        <v>169</v>
      </c>
      <c r="F8" s="140">
        <v>6</v>
      </c>
    </row>
    <row r="9" spans="1:6" ht="47.25" customHeight="1" x14ac:dyDescent="0.25">
      <c r="A9" s="142" t="s">
        <v>159</v>
      </c>
      <c r="B9" s="133" t="s">
        <v>176</v>
      </c>
      <c r="C9" s="136" t="s">
        <v>250</v>
      </c>
      <c r="D9" s="135">
        <v>5</v>
      </c>
      <c r="E9" s="140" t="s">
        <v>174</v>
      </c>
      <c r="F9" s="140">
        <v>9</v>
      </c>
    </row>
    <row r="10" spans="1:6" ht="90" x14ac:dyDescent="0.25">
      <c r="A10" s="133" t="s">
        <v>158</v>
      </c>
      <c r="B10" s="134" t="s">
        <v>181</v>
      </c>
      <c r="C10" s="136" t="s">
        <v>344</v>
      </c>
      <c r="D10" s="135" t="s">
        <v>317</v>
      </c>
      <c r="E10" s="139" t="s">
        <v>310</v>
      </c>
      <c r="F10" s="138" t="s">
        <v>180</v>
      </c>
    </row>
    <row r="11" spans="1:6" s="176" customFormat="1" ht="123.75" customHeight="1" x14ac:dyDescent="0.25">
      <c r="A11" s="174" t="s">
        <v>158</v>
      </c>
      <c r="B11" s="174" t="s">
        <v>276</v>
      </c>
      <c r="C11" s="175" t="s">
        <v>324</v>
      </c>
      <c r="D11" s="176" t="s">
        <v>317</v>
      </c>
      <c r="E11" s="177" t="s">
        <v>184</v>
      </c>
      <c r="F11" s="177" t="s">
        <v>182</v>
      </c>
    </row>
    <row r="12" spans="1:6" ht="77.25" customHeight="1" x14ac:dyDescent="0.25">
      <c r="A12" s="133" t="s">
        <v>158</v>
      </c>
      <c r="B12" s="133" t="s">
        <v>126</v>
      </c>
      <c r="C12" s="136" t="s">
        <v>345</v>
      </c>
      <c r="D12" s="135">
        <v>13</v>
      </c>
      <c r="E12" s="139" t="s">
        <v>308</v>
      </c>
      <c r="F12" s="139" t="s">
        <v>307</v>
      </c>
    </row>
    <row r="13" spans="1:6" ht="38.25" x14ac:dyDescent="0.25">
      <c r="A13" s="133" t="s">
        <v>158</v>
      </c>
      <c r="B13" s="133" t="s">
        <v>282</v>
      </c>
      <c r="C13" s="136" t="s">
        <v>355</v>
      </c>
      <c r="D13" s="135">
        <v>2</v>
      </c>
      <c r="E13" s="139"/>
      <c r="F13" s="139"/>
    </row>
    <row r="14" spans="1:6" ht="74.25" customHeight="1" x14ac:dyDescent="0.25">
      <c r="A14" s="133" t="s">
        <v>158</v>
      </c>
      <c r="B14" s="133" t="s">
        <v>190</v>
      </c>
      <c r="C14" s="136" t="s">
        <v>191</v>
      </c>
      <c r="D14" s="167" t="s">
        <v>337</v>
      </c>
      <c r="E14" s="139" t="s">
        <v>192</v>
      </c>
      <c r="F14" s="139" t="s">
        <v>193</v>
      </c>
    </row>
    <row r="15" spans="1:6" ht="55.5" customHeight="1" x14ac:dyDescent="0.25">
      <c r="A15" s="133" t="s">
        <v>158</v>
      </c>
      <c r="B15" s="133" t="s">
        <v>294</v>
      </c>
      <c r="C15" s="136" t="s">
        <v>354</v>
      </c>
      <c r="D15" s="135">
        <v>5</v>
      </c>
      <c r="E15" s="139" t="s">
        <v>297</v>
      </c>
      <c r="F15" s="139">
        <v>20</v>
      </c>
    </row>
    <row r="16" spans="1:6" ht="63" customHeight="1" x14ac:dyDescent="0.25">
      <c r="A16" s="133" t="s">
        <v>158</v>
      </c>
      <c r="B16" s="133" t="s">
        <v>350</v>
      </c>
      <c r="C16" s="143" t="s">
        <v>353</v>
      </c>
      <c r="D16" s="135">
        <v>3</v>
      </c>
      <c r="E16" s="139" t="s">
        <v>303</v>
      </c>
      <c r="F16" s="138" t="s">
        <v>304</v>
      </c>
    </row>
    <row r="17" spans="1:6" ht="135.75" customHeight="1" x14ac:dyDescent="0.25">
      <c r="A17" s="133" t="s">
        <v>158</v>
      </c>
      <c r="B17" s="133" t="s">
        <v>183</v>
      </c>
      <c r="C17" s="136" t="s">
        <v>292</v>
      </c>
      <c r="D17" s="167" t="s">
        <v>337</v>
      </c>
      <c r="E17" s="139" t="s">
        <v>293</v>
      </c>
      <c r="F17" s="139" t="s">
        <v>291</v>
      </c>
    </row>
    <row r="18" spans="1:6" ht="77.25" customHeight="1" x14ac:dyDescent="0.25">
      <c r="A18" s="133" t="s">
        <v>158</v>
      </c>
      <c r="B18" s="133" t="s">
        <v>277</v>
      </c>
      <c r="C18" s="136" t="s">
        <v>281</v>
      </c>
      <c r="D18" s="167" t="s">
        <v>337</v>
      </c>
      <c r="E18" s="139" t="s">
        <v>188</v>
      </c>
      <c r="F18" s="138">
        <v>8</v>
      </c>
    </row>
    <row r="19" spans="1:6" ht="77.25" customHeight="1" x14ac:dyDescent="0.25">
      <c r="A19" s="133" t="s">
        <v>158</v>
      </c>
      <c r="B19" s="134" t="s">
        <v>283</v>
      </c>
      <c r="C19" s="143" t="s">
        <v>284</v>
      </c>
      <c r="D19" s="135" t="s">
        <v>317</v>
      </c>
      <c r="E19" s="140" t="s">
        <v>286</v>
      </c>
      <c r="F19" s="140" t="s">
        <v>285</v>
      </c>
    </row>
    <row r="20" spans="1:6" ht="117" customHeight="1" x14ac:dyDescent="0.25">
      <c r="A20" s="133" t="s">
        <v>158</v>
      </c>
      <c r="B20" s="133" t="s">
        <v>186</v>
      </c>
      <c r="C20" s="143" t="s">
        <v>278</v>
      </c>
      <c r="D20" s="135" t="s">
        <v>317</v>
      </c>
      <c r="E20" s="139" t="s">
        <v>189</v>
      </c>
      <c r="F20" s="139">
        <v>11</v>
      </c>
    </row>
    <row r="21" spans="1:6" x14ac:dyDescent="0.25">
      <c r="A21" s="133" t="s">
        <v>158</v>
      </c>
      <c r="B21" s="133" t="s">
        <v>185</v>
      </c>
      <c r="C21" s="143" t="s">
        <v>289</v>
      </c>
      <c r="D21" s="135" t="s">
        <v>317</v>
      </c>
      <c r="E21" s="139" t="s">
        <v>290</v>
      </c>
      <c r="F21" s="139">
        <v>18</v>
      </c>
    </row>
    <row r="22" spans="1:6" ht="51" x14ac:dyDescent="0.25">
      <c r="A22" s="133" t="s">
        <v>158</v>
      </c>
      <c r="B22" s="133" t="s">
        <v>346</v>
      </c>
      <c r="C22" s="143" t="s">
        <v>347</v>
      </c>
      <c r="D22" s="135" t="s">
        <v>317</v>
      </c>
      <c r="E22" s="139"/>
      <c r="F22" s="139"/>
    </row>
    <row r="23" spans="1:6" ht="38.25" x14ac:dyDescent="0.25">
      <c r="A23" s="133" t="s">
        <v>158</v>
      </c>
      <c r="B23" s="133" t="s">
        <v>351</v>
      </c>
      <c r="C23" s="143" t="s">
        <v>352</v>
      </c>
      <c r="D23" s="135" t="s">
        <v>317</v>
      </c>
      <c r="E23" s="139"/>
      <c r="F23" s="139"/>
    </row>
    <row r="24" spans="1:6" ht="101.25" customHeight="1" x14ac:dyDescent="0.25">
      <c r="A24" s="133" t="s">
        <v>158</v>
      </c>
      <c r="B24" s="134" t="s">
        <v>349</v>
      </c>
      <c r="C24" s="141" t="s">
        <v>348</v>
      </c>
      <c r="D24" s="135">
        <v>5</v>
      </c>
      <c r="E24" s="139" t="s">
        <v>302</v>
      </c>
      <c r="F24" s="140" t="s">
        <v>298</v>
      </c>
    </row>
    <row r="25" spans="1:6" ht="75.75" customHeight="1" x14ac:dyDescent="0.25">
      <c r="A25" s="133" t="s">
        <v>158</v>
      </c>
      <c r="B25" s="133" t="s">
        <v>155</v>
      </c>
      <c r="C25" s="142" t="s">
        <v>356</v>
      </c>
      <c r="D25" s="135">
        <v>5</v>
      </c>
      <c r="E25" s="139" t="s">
        <v>299</v>
      </c>
      <c r="F25" s="139" t="s">
        <v>296</v>
      </c>
    </row>
    <row r="26" spans="1:6" ht="25.5" x14ac:dyDescent="0.25">
      <c r="A26" s="133" t="s">
        <v>158</v>
      </c>
      <c r="B26" s="133" t="s">
        <v>312</v>
      </c>
      <c r="C26" s="143" t="s">
        <v>313</v>
      </c>
      <c r="D26" s="135" t="s">
        <v>317</v>
      </c>
      <c r="E26" s="139" t="s">
        <v>315</v>
      </c>
      <c r="F26" s="139">
        <v>26</v>
      </c>
    </row>
    <row r="27" spans="1:6" x14ac:dyDescent="0.25">
      <c r="A27" s="133" t="s">
        <v>158</v>
      </c>
      <c r="B27" s="133" t="s">
        <v>280</v>
      </c>
      <c r="C27" s="167"/>
      <c r="D27" s="135" t="s">
        <v>317</v>
      </c>
      <c r="E27" s="139" t="s">
        <v>288</v>
      </c>
      <c r="F27" s="139"/>
    </row>
    <row r="28" spans="1:6" ht="106.5" customHeight="1" x14ac:dyDescent="0.25">
      <c r="A28" s="133" t="s">
        <v>157</v>
      </c>
      <c r="B28" s="142" t="s">
        <v>218</v>
      </c>
      <c r="C28" s="143" t="s">
        <v>220</v>
      </c>
      <c r="D28" s="146">
        <v>3</v>
      </c>
      <c r="E28" s="144" t="s">
        <v>221</v>
      </c>
      <c r="F28" s="139" t="s">
        <v>195</v>
      </c>
    </row>
    <row r="29" spans="1:6" ht="142.5" customHeight="1" x14ac:dyDescent="0.25">
      <c r="A29" s="134" t="s">
        <v>157</v>
      </c>
      <c r="B29" s="197" t="s">
        <v>127</v>
      </c>
      <c r="C29" s="143" t="s">
        <v>375</v>
      </c>
      <c r="D29" s="135">
        <v>13</v>
      </c>
      <c r="E29" s="144" t="s">
        <v>226</v>
      </c>
      <c r="F29" s="139" t="s">
        <v>198</v>
      </c>
    </row>
    <row r="30" spans="1:6" ht="111" customHeight="1" x14ac:dyDescent="0.25">
      <c r="A30" s="134" t="s">
        <v>157</v>
      </c>
      <c r="B30" s="142" t="s">
        <v>252</v>
      </c>
      <c r="C30" s="143" t="s">
        <v>258</v>
      </c>
      <c r="D30" s="135">
        <v>5</v>
      </c>
      <c r="E30" s="144" t="s">
        <v>257</v>
      </c>
      <c r="F30" s="139" t="s">
        <v>212</v>
      </c>
    </row>
    <row r="31" spans="1:6" ht="51" x14ac:dyDescent="0.25">
      <c r="A31" s="134" t="s">
        <v>157</v>
      </c>
      <c r="B31" s="142" t="s">
        <v>254</v>
      </c>
      <c r="C31" s="143" t="s">
        <v>253</v>
      </c>
      <c r="D31" s="135">
        <v>5</v>
      </c>
      <c r="E31" s="144" t="s">
        <v>256</v>
      </c>
      <c r="F31" s="139"/>
    </row>
    <row r="32" spans="1:6" ht="111" customHeight="1" x14ac:dyDescent="0.25">
      <c r="A32" s="134" t="s">
        <v>157</v>
      </c>
      <c r="B32" s="142" t="s">
        <v>219</v>
      </c>
      <c r="C32" s="143" t="s">
        <v>378</v>
      </c>
      <c r="D32" s="135">
        <v>5</v>
      </c>
      <c r="E32" s="144" t="s">
        <v>222</v>
      </c>
    </row>
    <row r="33" spans="1:6" ht="95.25" customHeight="1" x14ac:dyDescent="0.25">
      <c r="A33" s="134" t="s">
        <v>157</v>
      </c>
      <c r="B33" s="197" t="s">
        <v>363</v>
      </c>
      <c r="C33" s="145" t="s">
        <v>365</v>
      </c>
      <c r="D33" s="146" t="s">
        <v>317</v>
      </c>
      <c r="E33" s="147" t="s">
        <v>223</v>
      </c>
      <c r="F33" s="139" t="s">
        <v>205</v>
      </c>
    </row>
    <row r="34" spans="1:6" ht="76.5" x14ac:dyDescent="0.25">
      <c r="A34" s="134" t="s">
        <v>157</v>
      </c>
      <c r="B34" s="142" t="s">
        <v>364</v>
      </c>
      <c r="C34" s="143" t="s">
        <v>367</v>
      </c>
      <c r="D34" s="146" t="s">
        <v>317</v>
      </c>
      <c r="E34" s="147"/>
      <c r="F34" s="139"/>
    </row>
    <row r="35" spans="1:6" ht="25.5" x14ac:dyDescent="0.25">
      <c r="A35" s="134" t="s">
        <v>157</v>
      </c>
      <c r="B35" s="197" t="s">
        <v>224</v>
      </c>
      <c r="C35" s="143" t="s">
        <v>366</v>
      </c>
      <c r="D35" s="146">
        <v>1</v>
      </c>
      <c r="E35" s="148"/>
    </row>
    <row r="36" spans="1:6" ht="132" customHeight="1" x14ac:dyDescent="0.25">
      <c r="A36" s="134" t="s">
        <v>157</v>
      </c>
      <c r="B36" s="142" t="s">
        <v>358</v>
      </c>
      <c r="C36" s="143" t="s">
        <v>379</v>
      </c>
      <c r="D36" s="146">
        <v>5</v>
      </c>
      <c r="E36" s="147" t="s">
        <v>225</v>
      </c>
      <c r="F36" s="139" t="s">
        <v>199</v>
      </c>
    </row>
    <row r="37" spans="1:6" ht="111.75" customHeight="1" x14ac:dyDescent="0.25">
      <c r="A37" s="134" t="s">
        <v>157</v>
      </c>
      <c r="B37" s="142" t="s">
        <v>217</v>
      </c>
      <c r="C37" s="143" t="s">
        <v>227</v>
      </c>
      <c r="D37" s="146" t="s">
        <v>317</v>
      </c>
      <c r="E37" s="147" t="s">
        <v>228</v>
      </c>
      <c r="F37" s="139">
        <v>10</v>
      </c>
    </row>
    <row r="38" spans="1:6" ht="76.5" x14ac:dyDescent="0.25">
      <c r="A38" s="134" t="s">
        <v>157</v>
      </c>
      <c r="B38" s="197" t="s">
        <v>232</v>
      </c>
      <c r="C38" s="145" t="s">
        <v>374</v>
      </c>
      <c r="D38" s="146">
        <v>2</v>
      </c>
      <c r="E38" s="147" t="s">
        <v>373</v>
      </c>
      <c r="F38" s="139" t="s">
        <v>194</v>
      </c>
    </row>
    <row r="39" spans="1:6" ht="99.75" customHeight="1" x14ac:dyDescent="0.25">
      <c r="A39" s="134" t="s">
        <v>157</v>
      </c>
      <c r="B39" s="197" t="s">
        <v>381</v>
      </c>
      <c r="C39" s="143" t="s">
        <v>371</v>
      </c>
      <c r="D39" s="149" t="s">
        <v>317</v>
      </c>
      <c r="E39" s="144" t="s">
        <v>372</v>
      </c>
      <c r="F39" s="139"/>
    </row>
    <row r="40" spans="1:6" ht="75" customHeight="1" x14ac:dyDescent="0.25">
      <c r="A40" s="134" t="s">
        <v>157</v>
      </c>
      <c r="B40" s="197" t="s">
        <v>370</v>
      </c>
      <c r="C40" s="143" t="s">
        <v>376</v>
      </c>
      <c r="D40" s="146">
        <v>3</v>
      </c>
      <c r="E40" s="147"/>
      <c r="F40" s="139"/>
    </row>
    <row r="41" spans="1:6" ht="78.75" customHeight="1" x14ac:dyDescent="0.25">
      <c r="A41" s="134" t="s">
        <v>157</v>
      </c>
      <c r="B41" s="197" t="s">
        <v>362</v>
      </c>
      <c r="C41" s="143" t="s">
        <v>368</v>
      </c>
      <c r="D41" s="146">
        <v>3</v>
      </c>
      <c r="E41" s="147" t="s">
        <v>236</v>
      </c>
      <c r="F41" s="139" t="s">
        <v>213</v>
      </c>
    </row>
    <row r="42" spans="1:6" ht="198.75" customHeight="1" x14ac:dyDescent="0.25">
      <c r="A42" s="134" t="s">
        <v>157</v>
      </c>
      <c r="B42" s="142" t="s">
        <v>361</v>
      </c>
      <c r="C42" s="143" t="s">
        <v>369</v>
      </c>
      <c r="D42" s="146" t="s">
        <v>317</v>
      </c>
      <c r="E42" s="147"/>
      <c r="F42" s="139"/>
    </row>
    <row r="43" spans="1:6" ht="47.25" customHeight="1" x14ac:dyDescent="0.25">
      <c r="A43" s="134" t="s">
        <v>157</v>
      </c>
      <c r="B43" s="197" t="s">
        <v>216</v>
      </c>
      <c r="C43" s="145" t="s">
        <v>233</v>
      </c>
      <c r="D43" s="146" t="s">
        <v>317</v>
      </c>
      <c r="E43" s="144" t="s">
        <v>200</v>
      </c>
      <c r="F43" s="139" t="s">
        <v>201</v>
      </c>
    </row>
    <row r="44" spans="1:6" ht="90" customHeight="1" x14ac:dyDescent="0.25">
      <c r="A44" s="134" t="s">
        <v>157</v>
      </c>
      <c r="B44" s="197" t="s">
        <v>196</v>
      </c>
      <c r="C44" s="145" t="s">
        <v>230</v>
      </c>
      <c r="D44" s="203" t="s">
        <v>337</v>
      </c>
      <c r="E44" s="147" t="s">
        <v>231</v>
      </c>
      <c r="F44" s="139" t="s">
        <v>197</v>
      </c>
    </row>
    <row r="45" spans="1:6" ht="270" customHeight="1" x14ac:dyDescent="0.25">
      <c r="A45" s="134" t="s">
        <v>157</v>
      </c>
      <c r="B45" s="198" t="s">
        <v>237</v>
      </c>
      <c r="C45" s="143" t="s">
        <v>377</v>
      </c>
      <c r="D45" s="135">
        <v>5</v>
      </c>
      <c r="E45" s="144" t="s">
        <v>207</v>
      </c>
      <c r="F45" s="138">
        <v>23</v>
      </c>
    </row>
    <row r="46" spans="1:6" ht="99.75" customHeight="1" x14ac:dyDescent="0.25">
      <c r="A46" s="134" t="s">
        <v>157</v>
      </c>
      <c r="B46" s="198" t="s">
        <v>210</v>
      </c>
      <c r="C46" s="142" t="s">
        <v>360</v>
      </c>
      <c r="D46" s="135">
        <v>5</v>
      </c>
      <c r="E46" s="147" t="s">
        <v>242</v>
      </c>
      <c r="F46" s="139" t="s">
        <v>211</v>
      </c>
    </row>
    <row r="47" spans="1:6" ht="140.25" x14ac:dyDescent="0.25">
      <c r="A47" s="134" t="s">
        <v>157</v>
      </c>
      <c r="B47" s="149" t="s">
        <v>208</v>
      </c>
      <c r="C47" s="143" t="s">
        <v>243</v>
      </c>
      <c r="D47" s="146" t="s">
        <v>317</v>
      </c>
      <c r="E47" s="147" t="s">
        <v>244</v>
      </c>
      <c r="F47" s="139" t="s">
        <v>209</v>
      </c>
    </row>
    <row r="48" spans="1:6" ht="38.25" x14ac:dyDescent="0.25">
      <c r="A48" s="149" t="s">
        <v>157</v>
      </c>
      <c r="B48" s="198" t="s">
        <v>206</v>
      </c>
      <c r="C48" s="142" t="s">
        <v>359</v>
      </c>
      <c r="D48" s="146">
        <v>2</v>
      </c>
      <c r="E48" s="148"/>
      <c r="F48" s="138">
        <v>23</v>
      </c>
    </row>
    <row r="49" spans="1:6" s="149" customFormat="1" ht="25.5" x14ac:dyDescent="0.25">
      <c r="A49" s="149" t="s">
        <v>157</v>
      </c>
      <c r="B49" s="149" t="s">
        <v>203</v>
      </c>
      <c r="C49" s="143" t="s">
        <v>204</v>
      </c>
      <c r="D49" s="142" t="s">
        <v>317</v>
      </c>
      <c r="E49" s="144" t="s">
        <v>202</v>
      </c>
      <c r="F49" s="200">
        <v>17</v>
      </c>
    </row>
    <row r="50" spans="1:6" x14ac:dyDescent="0.25">
      <c r="E50" s="139"/>
    </row>
    <row r="51" spans="1:6" x14ac:dyDescent="0.25">
      <c r="E51" s="139"/>
    </row>
    <row r="52" spans="1:6" x14ac:dyDescent="0.25">
      <c r="E52" s="139"/>
    </row>
    <row r="53" spans="1:6" x14ac:dyDescent="0.25">
      <c r="E53" s="139"/>
    </row>
    <row r="54" spans="1:6" x14ac:dyDescent="0.25">
      <c r="E54" s="139"/>
    </row>
    <row r="55" spans="1:6" s="138" customFormat="1" x14ac:dyDescent="0.25">
      <c r="A55" s="134"/>
      <c r="B55" s="134"/>
      <c r="C55" s="134"/>
      <c r="D55" s="134"/>
      <c r="E55" s="139"/>
    </row>
    <row r="56" spans="1:6" s="138" customFormat="1" x14ac:dyDescent="0.25">
      <c r="A56" s="134"/>
      <c r="B56" s="134"/>
      <c r="C56" s="134"/>
      <c r="D56" s="134"/>
      <c r="E56" s="139"/>
    </row>
    <row r="57" spans="1:6" s="138" customFormat="1" x14ac:dyDescent="0.25">
      <c r="A57" s="134"/>
      <c r="B57" s="134"/>
      <c r="C57" s="134"/>
      <c r="D57" s="134"/>
      <c r="E57" s="139"/>
    </row>
    <row r="58" spans="1:6" s="138" customFormat="1" x14ac:dyDescent="0.25">
      <c r="A58" s="134"/>
      <c r="B58" s="134"/>
      <c r="C58" s="134"/>
      <c r="D58" s="134"/>
      <c r="E58" s="139"/>
    </row>
    <row r="59" spans="1:6" s="138" customFormat="1" x14ac:dyDescent="0.25">
      <c r="A59" s="134"/>
      <c r="B59" s="134"/>
      <c r="C59" s="134"/>
      <c r="D59" s="134"/>
      <c r="E59" s="139"/>
    </row>
  </sheetData>
  <autoFilter ref="A1:F49" xr:uid="{769F49B6-09BD-459D-8ABC-E4739B455402}"/>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6416-841C-41FF-9ED3-2C2AE2916199}">
  <sheetPr>
    <tabColor theme="5"/>
  </sheetPr>
  <dimension ref="B1:AG60"/>
  <sheetViews>
    <sheetView showGridLines="0" topLeftCell="A37" workbookViewId="0">
      <selection activeCell="D70" sqref="D70"/>
    </sheetView>
  </sheetViews>
  <sheetFormatPr defaultRowHeight="15" x14ac:dyDescent="0.25"/>
  <cols>
    <col min="1" max="1" width="2" style="69" customWidth="1"/>
    <col min="2" max="2" width="49.85546875" style="69" bestFit="1" customWidth="1"/>
    <col min="3" max="4" width="11.140625" style="69" customWidth="1"/>
    <col min="5" max="5" width="25.140625" style="69" customWidth="1"/>
    <col min="6" max="6" width="19" style="69" customWidth="1"/>
    <col min="7" max="7" width="4.140625" style="69" customWidth="1"/>
    <col min="8" max="8" width="16.42578125" style="69" customWidth="1"/>
    <col min="9" max="11" width="10.7109375" style="69" customWidth="1"/>
    <col min="12" max="13" width="9.7109375" style="69" customWidth="1"/>
    <col min="14" max="14" width="4.140625" style="69" customWidth="1"/>
    <col min="15" max="15" width="26.42578125" style="69" customWidth="1"/>
    <col min="16" max="16" width="4.5703125" style="69" customWidth="1"/>
    <col min="17" max="17" width="12.5703125" style="69" bestFit="1" customWidth="1"/>
    <col min="18" max="18" width="12.7109375" style="69" bestFit="1" customWidth="1"/>
    <col min="19" max="16384" width="9.140625" style="69"/>
  </cols>
  <sheetData>
    <row r="1" spans="2:16" ht="9" customHeight="1" thickBot="1" x14ac:dyDescent="0.3"/>
    <row r="2" spans="2:16" x14ac:dyDescent="0.25">
      <c r="B2" s="250" t="str">
        <f>"Rates"&amp;" ("&amp;C3&amp;")"</f>
        <v>Rates (£)</v>
      </c>
      <c r="C2" s="251"/>
      <c r="D2" s="72"/>
      <c r="E2" s="250" t="s">
        <v>73</v>
      </c>
      <c r="F2" s="251"/>
      <c r="G2" s="72"/>
      <c r="H2" s="241" t="s">
        <v>82</v>
      </c>
      <c r="I2" s="242"/>
      <c r="J2" s="242"/>
      <c r="K2" s="242"/>
      <c r="L2" s="242"/>
      <c r="M2" s="243"/>
      <c r="O2" s="252" t="s">
        <v>34</v>
      </c>
      <c r="P2" s="253"/>
    </row>
    <row r="3" spans="2:16" x14ac:dyDescent="0.25">
      <c r="B3" s="70" t="s">
        <v>43</v>
      </c>
      <c r="C3" s="127" t="s">
        <v>41</v>
      </c>
      <c r="D3" s="72"/>
      <c r="E3" s="70" t="s">
        <v>86</v>
      </c>
      <c r="F3" s="63"/>
      <c r="G3" s="72"/>
      <c r="H3" s="66" t="s">
        <v>58</v>
      </c>
      <c r="I3" s="82" t="s">
        <v>59</v>
      </c>
      <c r="J3" s="82" t="s">
        <v>6</v>
      </c>
      <c r="K3" s="82" t="s">
        <v>60</v>
      </c>
      <c r="L3" s="82" t="s">
        <v>102</v>
      </c>
      <c r="M3" s="83" t="s">
        <v>103</v>
      </c>
      <c r="O3" s="84" t="s">
        <v>114</v>
      </c>
      <c r="P3" s="112"/>
    </row>
    <row r="4" spans="2:16" ht="15" customHeight="1" x14ac:dyDescent="0.25">
      <c r="B4" s="70" t="s">
        <v>55</v>
      </c>
      <c r="C4" s="128">
        <v>163</v>
      </c>
      <c r="D4" s="72"/>
      <c r="E4" s="70" t="s">
        <v>67</v>
      </c>
      <c r="F4" s="85"/>
      <c r="G4" s="72"/>
      <c r="H4" s="67" t="s">
        <v>12</v>
      </c>
      <c r="I4" s="86">
        <v>1</v>
      </c>
      <c r="J4" s="50">
        <v>1</v>
      </c>
      <c r="K4" s="62">
        <f>I4*J4</f>
        <v>1</v>
      </c>
      <c r="L4" s="254">
        <f>(K4+K5)/K11</f>
        <v>0.5714285714285714</v>
      </c>
      <c r="M4" s="255"/>
      <c r="O4" s="115" t="s">
        <v>121</v>
      </c>
      <c r="P4" s="116"/>
    </row>
    <row r="5" spans="2:16" ht="15.75" thickBot="1" x14ac:dyDescent="0.3">
      <c r="B5" s="70" t="s">
        <v>56</v>
      </c>
      <c r="C5" s="128">
        <f>97.5*1.05002</f>
        <v>102.37694999999999</v>
      </c>
      <c r="D5" s="72"/>
      <c r="E5" s="71" t="s">
        <v>68</v>
      </c>
      <c r="F5" s="87"/>
      <c r="G5" s="72"/>
      <c r="H5" s="67" t="s">
        <v>11</v>
      </c>
      <c r="I5" s="86">
        <v>1</v>
      </c>
      <c r="J5" s="50">
        <v>1</v>
      </c>
      <c r="K5" s="62">
        <f>I5*J5</f>
        <v>1</v>
      </c>
      <c r="L5" s="254"/>
      <c r="M5" s="255"/>
      <c r="O5" s="88" t="s">
        <v>115</v>
      </c>
      <c r="P5" s="113"/>
    </row>
    <row r="6" spans="2:16" ht="15.75" thickBot="1" x14ac:dyDescent="0.3">
      <c r="B6" s="71" t="s">
        <v>107</v>
      </c>
      <c r="C6" s="129">
        <v>3</v>
      </c>
      <c r="D6" s="72"/>
      <c r="E6" s="73" t="s">
        <v>106</v>
      </c>
      <c r="F6" s="89">
        <f>ROUNDUP(F3*(1+F4+F5),0)</f>
        <v>0</v>
      </c>
      <c r="G6" s="72"/>
      <c r="H6" s="67" t="s">
        <v>7</v>
      </c>
      <c r="I6" s="86">
        <v>1</v>
      </c>
      <c r="J6" s="50">
        <v>0.5</v>
      </c>
      <c r="K6" s="62">
        <f>I6*J6</f>
        <v>0.5</v>
      </c>
      <c r="L6" s="51">
        <f>K6/K11</f>
        <v>0.14285714285714285</v>
      </c>
      <c r="M6" s="52"/>
    </row>
    <row r="7" spans="2:16" ht="15.75" thickBot="1" x14ac:dyDescent="0.3">
      <c r="B7" s="72"/>
      <c r="C7" s="72"/>
      <c r="D7" s="72"/>
      <c r="E7" s="72"/>
      <c r="F7" s="72"/>
      <c r="G7" s="72"/>
      <c r="H7" s="67" t="s">
        <v>323</v>
      </c>
      <c r="I7" s="86">
        <v>1</v>
      </c>
      <c r="J7" s="50">
        <v>0.3</v>
      </c>
      <c r="K7" s="62">
        <f>I7*J7</f>
        <v>0.3</v>
      </c>
      <c r="L7" s="51">
        <f>K7/K11</f>
        <v>8.5714285714285715E-2</v>
      </c>
      <c r="M7" s="52"/>
      <c r="O7" s="120" t="s">
        <v>124</v>
      </c>
    </row>
    <row r="8" spans="2:16" x14ac:dyDescent="0.25">
      <c r="B8" s="250" t="s">
        <v>108</v>
      </c>
      <c r="C8" s="251"/>
      <c r="D8" s="72"/>
      <c r="E8" s="250" t="s">
        <v>105</v>
      </c>
      <c r="F8" s="251"/>
      <c r="G8" s="72"/>
      <c r="H8" s="67" t="s">
        <v>8</v>
      </c>
      <c r="I8" s="86">
        <v>1</v>
      </c>
      <c r="J8" s="50">
        <v>0.35</v>
      </c>
      <c r="K8" s="62">
        <f>I8*J8</f>
        <v>0.35</v>
      </c>
      <c r="L8" s="254">
        <f>(K8+K9)/K11</f>
        <v>0.15714285714285717</v>
      </c>
      <c r="M8" s="255"/>
      <c r="O8" s="121" t="s">
        <v>122</v>
      </c>
    </row>
    <row r="9" spans="2:16" x14ac:dyDescent="0.25">
      <c r="B9" s="70" t="s">
        <v>320</v>
      </c>
      <c r="C9" s="81"/>
      <c r="D9" s="72"/>
      <c r="E9" s="70" t="s">
        <v>69</v>
      </c>
      <c r="F9" s="93">
        <f>C32+C22</f>
        <v>5</v>
      </c>
      <c r="G9" s="72"/>
      <c r="H9" s="67" t="s">
        <v>57</v>
      </c>
      <c r="I9" s="125">
        <v>1</v>
      </c>
      <c r="J9" s="50">
        <v>0.2</v>
      </c>
      <c r="K9" s="62">
        <f t="shared" ref="K9:K10" si="0">I9*J9</f>
        <v>0.2</v>
      </c>
      <c r="L9" s="254"/>
      <c r="M9" s="255"/>
      <c r="O9" s="121" t="s">
        <v>123</v>
      </c>
    </row>
    <row r="10" spans="2:16" ht="15.75" thickBot="1" x14ac:dyDescent="0.3">
      <c r="B10" s="70" t="s">
        <v>321</v>
      </c>
      <c r="C10" s="81"/>
      <c r="D10" s="72"/>
      <c r="E10" s="70" t="s">
        <v>78</v>
      </c>
      <c r="F10" s="93">
        <f>D22+D32</f>
        <v>8</v>
      </c>
      <c r="G10" s="72"/>
      <c r="H10" s="80" t="s">
        <v>9</v>
      </c>
      <c r="I10" s="126">
        <v>1</v>
      </c>
      <c r="J10" s="124">
        <v>0.15</v>
      </c>
      <c r="K10" s="64">
        <f t="shared" si="0"/>
        <v>0.15</v>
      </c>
      <c r="L10" s="60">
        <f>K10/K11</f>
        <v>4.2857142857142858E-2</v>
      </c>
      <c r="M10" s="61"/>
      <c r="O10" s="121" t="s">
        <v>128</v>
      </c>
    </row>
    <row r="11" spans="2:16" ht="15.75" thickBot="1" x14ac:dyDescent="0.3">
      <c r="B11" s="70" t="s">
        <v>109</v>
      </c>
      <c r="C11" s="182">
        <v>0.5</v>
      </c>
      <c r="D11" s="72"/>
      <c r="E11" s="70" t="s">
        <v>109</v>
      </c>
      <c r="F11" s="93">
        <f>CEILING(K11,0.25)</f>
        <v>3.5</v>
      </c>
      <c r="G11" s="72"/>
      <c r="H11" s="68" t="s">
        <v>61</v>
      </c>
      <c r="I11" s="114"/>
      <c r="J11" s="91"/>
      <c r="K11" s="90">
        <f>SUM(K4:K10)</f>
        <v>3.5</v>
      </c>
      <c r="L11" s="92">
        <f>SUM(L4:L10)</f>
        <v>0.99999999999999989</v>
      </c>
      <c r="M11" s="117">
        <f>SUM(M4:M10)</f>
        <v>0</v>
      </c>
      <c r="O11" s="121" t="s">
        <v>323</v>
      </c>
    </row>
    <row r="12" spans="2:16" ht="15.75" thickBot="1" x14ac:dyDescent="0.3">
      <c r="B12" s="71" t="str">
        <f>"Cost per Week"&amp;" ("&amp;C3&amp;")"</f>
        <v>Cost per Week (£)</v>
      </c>
      <c r="C12" s="65">
        <f>(C11*C5*40)</f>
        <v>2047.5389999999998</v>
      </c>
      <c r="D12" s="72"/>
      <c r="E12" s="71" t="str">
        <f>"Cost per Sprint"&amp;" ("&amp;C3&amp;")"</f>
        <v>Cost per Sprint (£)</v>
      </c>
      <c r="F12" s="65">
        <f>C5*40*C6*F11</f>
        <v>42998.318999999996</v>
      </c>
      <c r="G12" s="72"/>
      <c r="H12" s="72"/>
      <c r="I12" s="72"/>
      <c r="J12" s="72"/>
      <c r="K12" s="72"/>
      <c r="L12" s="72"/>
      <c r="M12" s="94"/>
      <c r="O12" s="122"/>
    </row>
    <row r="13" spans="2:16" ht="15.75" thickBot="1" x14ac:dyDescent="0.3">
      <c r="F13" s="173">
        <f>F12/40950</f>
        <v>1.05002</v>
      </c>
      <c r="G13" s="72"/>
      <c r="H13" s="241" t="s">
        <v>5</v>
      </c>
      <c r="I13" s="242"/>
      <c r="J13" s="242"/>
      <c r="K13" s="242"/>
      <c r="L13" s="242"/>
      <c r="M13" s="243"/>
      <c r="O13" s="123"/>
    </row>
    <row r="14" spans="2:16" x14ac:dyDescent="0.25">
      <c r="B14" s="241" t="s">
        <v>25</v>
      </c>
      <c r="C14" s="242"/>
      <c r="D14" s="242"/>
      <c r="E14" s="242"/>
      <c r="F14" s="243"/>
      <c r="G14" s="72"/>
      <c r="H14" s="59" t="s">
        <v>104</v>
      </c>
      <c r="I14" s="260" t="str">
        <f>"Points per Dev per "&amp;C6&amp;"-week Sprint"</f>
        <v>Points per Dev per 3-week Sprint</v>
      </c>
      <c r="J14" s="260"/>
      <c r="K14" s="260"/>
      <c r="L14" s="260" t="s">
        <v>72</v>
      </c>
      <c r="M14" s="261"/>
    </row>
    <row r="15" spans="2:16" ht="15" customHeight="1" x14ac:dyDescent="0.25">
      <c r="B15" s="244" t="s">
        <v>322</v>
      </c>
      <c r="C15" s="245"/>
      <c r="D15" s="245"/>
      <c r="E15" s="245"/>
      <c r="F15" s="246"/>
      <c r="G15" s="72"/>
      <c r="H15" s="262" t="s">
        <v>14</v>
      </c>
      <c r="I15" s="264" t="s">
        <v>112</v>
      </c>
      <c r="J15" s="264"/>
      <c r="K15" s="118"/>
      <c r="L15" s="265">
        <f>ROUNDUP(K15*K4+K16*K5,0)</f>
        <v>0</v>
      </c>
      <c r="M15" s="266"/>
    </row>
    <row r="16" spans="2:16" ht="15.75" thickBot="1" x14ac:dyDescent="0.3">
      <c r="B16" s="247"/>
      <c r="C16" s="248"/>
      <c r="D16" s="248"/>
      <c r="E16" s="248"/>
      <c r="F16" s="249"/>
      <c r="G16" s="72"/>
      <c r="H16" s="263"/>
      <c r="I16" s="269" t="s">
        <v>113</v>
      </c>
      <c r="J16" s="269"/>
      <c r="K16" s="119"/>
      <c r="L16" s="267"/>
      <c r="M16" s="268"/>
    </row>
    <row r="17" spans="2:33" ht="15.75" customHeight="1" thickBot="1" x14ac:dyDescent="0.3">
      <c r="B17" s="72"/>
      <c r="C17" s="72"/>
      <c r="D17" s="72"/>
      <c r="E17" s="72"/>
      <c r="F17" s="72"/>
      <c r="G17" s="72"/>
      <c r="H17" s="80" t="s">
        <v>15</v>
      </c>
      <c r="I17" s="256" t="s">
        <v>70</v>
      </c>
      <c r="J17" s="257"/>
      <c r="K17" s="111"/>
      <c r="L17" s="258">
        <f>ROUNDDOWN(L15*K17,0)</f>
        <v>0</v>
      </c>
      <c r="M17" s="259"/>
    </row>
    <row r="18" spans="2:33" ht="15.75" thickBot="1" x14ac:dyDescent="0.3">
      <c r="B18" s="241" t="s">
        <v>328</v>
      </c>
      <c r="C18" s="242"/>
      <c r="D18" s="242"/>
      <c r="E18" s="242"/>
      <c r="F18" s="243"/>
      <c r="G18" s="72"/>
      <c r="H18" s="72"/>
      <c r="I18" s="72"/>
      <c r="J18" s="72"/>
      <c r="K18" s="72"/>
      <c r="L18" s="72"/>
      <c r="M18" s="72"/>
      <c r="O18" s="95"/>
    </row>
    <row r="19" spans="2:33" x14ac:dyDescent="0.25">
      <c r="B19" s="59" t="s">
        <v>48</v>
      </c>
      <c r="C19" s="53" t="s">
        <v>84</v>
      </c>
      <c r="D19" s="53" t="s">
        <v>85</v>
      </c>
      <c r="E19" s="53" t="str">
        <f>"Lower Bound"&amp;" ("&amp;C3&amp;")"</f>
        <v>Lower Bound (£)</v>
      </c>
      <c r="F19" s="54" t="str">
        <f>"Upper Bound"&amp;" ("&amp;C3&amp;")"</f>
        <v>Upper Bound (£)</v>
      </c>
      <c r="G19" s="72"/>
      <c r="H19" s="273" t="s">
        <v>65</v>
      </c>
      <c r="I19" s="274"/>
      <c r="J19" s="274"/>
      <c r="K19" s="274"/>
      <c r="L19" s="297"/>
      <c r="M19" s="72"/>
      <c r="O19" s="95"/>
    </row>
    <row r="20" spans="2:33" x14ac:dyDescent="0.25">
      <c r="B20" s="70" t="s">
        <v>332</v>
      </c>
      <c r="C20" s="183">
        <v>100</v>
      </c>
      <c r="D20" s="183">
        <v>200</v>
      </c>
      <c r="E20" s="75">
        <f>C20*$C$4</f>
        <v>16300</v>
      </c>
      <c r="F20" s="98">
        <f>D20*$C$4</f>
        <v>32600</v>
      </c>
      <c r="G20" s="72"/>
      <c r="H20" s="56" t="s">
        <v>116</v>
      </c>
      <c r="I20" s="96"/>
      <c r="J20" s="96"/>
      <c r="K20" s="97"/>
      <c r="L20" s="81"/>
      <c r="M20" s="72"/>
      <c r="O20" s="95"/>
    </row>
    <row r="21" spans="2:33" x14ac:dyDescent="0.25">
      <c r="B21" s="70" t="s">
        <v>326</v>
      </c>
      <c r="C21" s="183">
        <v>50</v>
      </c>
      <c r="D21" s="183">
        <v>60</v>
      </c>
      <c r="E21" s="75">
        <f>C21*$C$4</f>
        <v>8150</v>
      </c>
      <c r="F21" s="98">
        <f>D21*$C$4</f>
        <v>9780</v>
      </c>
      <c r="G21" s="72"/>
      <c r="H21" s="56" t="s">
        <v>117</v>
      </c>
      <c r="I21" s="96"/>
      <c r="J21" s="96"/>
      <c r="K21" s="97"/>
      <c r="L21" s="81"/>
      <c r="M21" s="72"/>
      <c r="O21" s="95"/>
    </row>
    <row r="22" spans="2:33" x14ac:dyDescent="0.25">
      <c r="B22" s="70" t="s">
        <v>76</v>
      </c>
      <c r="C22" s="183">
        <v>3</v>
      </c>
      <c r="D22" s="183">
        <v>5</v>
      </c>
      <c r="E22" s="75">
        <f>C22*F12</f>
        <v>128994.95699999999</v>
      </c>
      <c r="F22" s="98">
        <f>D22*F12</f>
        <v>214991.59499999997</v>
      </c>
      <c r="G22" s="72"/>
      <c r="H22" s="57" t="s">
        <v>83</v>
      </c>
      <c r="I22" s="72"/>
      <c r="J22" s="72"/>
      <c r="K22" s="72"/>
      <c r="L22" s="85"/>
      <c r="M22" s="72"/>
      <c r="O22" s="95"/>
    </row>
    <row r="23" spans="2:33" x14ac:dyDescent="0.25">
      <c r="B23" s="70" t="s">
        <v>63</v>
      </c>
      <c r="C23" s="183">
        <v>3</v>
      </c>
      <c r="D23" s="183">
        <v>3</v>
      </c>
      <c r="E23" s="75">
        <f>C23*C12</f>
        <v>6142.6169999999993</v>
      </c>
      <c r="F23" s="98">
        <f>D23*C12</f>
        <v>6142.6169999999993</v>
      </c>
      <c r="G23" s="72"/>
      <c r="H23" s="56" t="s">
        <v>87</v>
      </c>
      <c r="I23" s="96"/>
      <c r="J23" s="96"/>
      <c r="K23" s="97"/>
      <c r="L23" s="99"/>
      <c r="M23" s="72"/>
      <c r="O23" s="95"/>
    </row>
    <row r="24" spans="2:33" x14ac:dyDescent="0.25">
      <c r="B24" s="70" t="s">
        <v>66</v>
      </c>
      <c r="C24" s="183">
        <v>2</v>
      </c>
      <c r="D24" s="183">
        <v>2</v>
      </c>
      <c r="E24" s="75">
        <f>C24*C12</f>
        <v>4095.0779999999995</v>
      </c>
      <c r="F24" s="98">
        <f>D24*C12</f>
        <v>4095.0779999999995</v>
      </c>
      <c r="G24" s="72"/>
      <c r="H24" s="57" t="s">
        <v>110</v>
      </c>
      <c r="I24" s="72"/>
      <c r="J24" s="72"/>
      <c r="K24" s="72"/>
      <c r="L24" s="99"/>
      <c r="M24" s="72"/>
      <c r="O24" s="95"/>
    </row>
    <row r="25" spans="2:33" ht="15.75" thickBot="1" x14ac:dyDescent="0.3">
      <c r="B25" s="71" t="s">
        <v>111</v>
      </c>
      <c r="C25" s="100">
        <f>8*2</f>
        <v>16</v>
      </c>
      <c r="D25" s="100">
        <f>8*2.5</f>
        <v>20</v>
      </c>
      <c r="E25" s="76">
        <f>C25*C$4</f>
        <v>2608</v>
      </c>
      <c r="F25" s="101">
        <f>D25*$C$4</f>
        <v>3260</v>
      </c>
      <c r="G25" s="72"/>
      <c r="H25" s="56" t="s">
        <v>118</v>
      </c>
      <c r="I25" s="96"/>
      <c r="J25" s="96"/>
      <c r="K25" s="97"/>
      <c r="L25" s="63">
        <f>L20*(40*L22+L23*2+L24)</f>
        <v>0</v>
      </c>
      <c r="M25" s="72"/>
      <c r="O25" s="95"/>
    </row>
    <row r="26" spans="2:33" ht="15.75" thickBot="1" x14ac:dyDescent="0.3">
      <c r="B26" s="73" t="s">
        <v>81</v>
      </c>
      <c r="C26" s="102"/>
      <c r="D26" s="102"/>
      <c r="E26" s="77">
        <f>SUM(E20:E25)</f>
        <v>166290.652</v>
      </c>
      <c r="F26" s="103">
        <f>SUM(F20:F25)</f>
        <v>270869.28999999998</v>
      </c>
      <c r="G26" s="72"/>
      <c r="H26" s="58" t="s">
        <v>119</v>
      </c>
      <c r="I26" s="104"/>
      <c r="J26" s="104"/>
      <c r="K26" s="104"/>
      <c r="L26" s="105">
        <f>L21*(40*L22+L23*2+L24)</f>
        <v>0</v>
      </c>
      <c r="M26" s="72"/>
      <c r="O26" s="95"/>
    </row>
    <row r="27" spans="2:33" ht="15.75" thickBot="1" x14ac:dyDescent="0.3">
      <c r="B27" s="178"/>
      <c r="C27" s="178"/>
      <c r="D27" s="178"/>
      <c r="E27" s="178"/>
      <c r="F27" s="178"/>
      <c r="G27" s="72"/>
      <c r="H27" s="178"/>
      <c r="I27" s="178"/>
      <c r="J27" s="178"/>
      <c r="K27" s="178"/>
      <c r="L27" s="178"/>
      <c r="M27" s="72"/>
      <c r="O27" s="95"/>
    </row>
    <row r="28" spans="2:33" x14ac:dyDescent="0.25">
      <c r="B28" s="241" t="s">
        <v>329</v>
      </c>
      <c r="C28" s="242"/>
      <c r="D28" s="242"/>
      <c r="E28" s="242"/>
      <c r="F28" s="243"/>
      <c r="G28" s="72"/>
      <c r="H28" s="241" t="s">
        <v>75</v>
      </c>
      <c r="I28" s="242"/>
      <c r="J28" s="242"/>
      <c r="K28" s="242"/>
      <c r="L28" s="243"/>
      <c r="M28" s="72"/>
      <c r="O28" s="95"/>
    </row>
    <row r="29" spans="2:33" ht="15.75" thickBot="1" x14ac:dyDescent="0.3">
      <c r="B29" s="59" t="s">
        <v>48</v>
      </c>
      <c r="C29" s="53" t="s">
        <v>84</v>
      </c>
      <c r="D29" s="53" t="s">
        <v>85</v>
      </c>
      <c r="E29" s="53" t="str">
        <f>"Lower Bound"&amp;" ("&amp;C15&amp;")"</f>
        <v>Lower Bound ()</v>
      </c>
      <c r="F29" s="54" t="str">
        <f>"Upper Bound"&amp;" ("&amp;C15&amp;")"</f>
        <v>Upper Bound ()</v>
      </c>
      <c r="G29" s="178"/>
      <c r="H29" s="286" t="s">
        <v>80</v>
      </c>
      <c r="I29" s="287"/>
      <c r="J29" s="257"/>
      <c r="K29" s="288">
        <v>45962</v>
      </c>
      <c r="L29" s="289"/>
      <c r="M29" s="178"/>
      <c r="N29" s="178"/>
      <c r="O29" s="95"/>
      <c r="T29" s="178"/>
      <c r="U29" s="178"/>
      <c r="V29" s="178"/>
      <c r="W29" s="178"/>
      <c r="X29" s="178"/>
      <c r="Y29" s="178"/>
      <c r="Z29" s="178"/>
      <c r="AA29" s="178"/>
      <c r="AB29" s="178"/>
      <c r="AC29" s="178"/>
      <c r="AD29" s="178"/>
      <c r="AE29" s="178"/>
      <c r="AF29" s="178"/>
      <c r="AG29" s="178"/>
    </row>
    <row r="30" spans="2:33" x14ac:dyDescent="0.25">
      <c r="B30" s="70" t="s">
        <v>325</v>
      </c>
      <c r="C30" s="183">
        <v>50</v>
      </c>
      <c r="D30" s="183">
        <v>100</v>
      </c>
      <c r="E30" s="75">
        <f>C30*$C$4</f>
        <v>8150</v>
      </c>
      <c r="F30" s="98">
        <f>D30*$C$4</f>
        <v>16300</v>
      </c>
      <c r="G30" s="178"/>
      <c r="H30" s="241" t="s">
        <v>77</v>
      </c>
      <c r="I30" s="242"/>
      <c r="J30" s="242"/>
      <c r="K30" s="242"/>
      <c r="L30" s="243"/>
      <c r="M30" s="178"/>
      <c r="N30" s="178"/>
      <c r="O30" s="95"/>
      <c r="T30" s="178"/>
      <c r="U30" s="178"/>
      <c r="V30" s="178"/>
      <c r="W30" s="178"/>
      <c r="X30" s="178"/>
      <c r="Y30" s="178"/>
      <c r="Z30" s="178"/>
      <c r="AA30" s="178"/>
      <c r="AB30" s="178"/>
      <c r="AC30" s="178"/>
      <c r="AD30" s="178"/>
      <c r="AE30" s="178"/>
      <c r="AF30" s="178"/>
      <c r="AG30" s="178"/>
    </row>
    <row r="31" spans="2:33" x14ac:dyDescent="0.25">
      <c r="B31" s="70" t="s">
        <v>327</v>
      </c>
      <c r="C31" s="183">
        <v>50</v>
      </c>
      <c r="D31" s="183">
        <v>60</v>
      </c>
      <c r="E31" s="75">
        <f>C31*$C$4</f>
        <v>8150</v>
      </c>
      <c r="F31" s="98">
        <f>D31*$C$4</f>
        <v>9780</v>
      </c>
      <c r="G31" s="178"/>
      <c r="H31" s="55" t="s">
        <v>335</v>
      </c>
      <c r="I31" s="239" t="s">
        <v>0</v>
      </c>
      <c r="J31" s="281"/>
      <c r="K31" s="239" t="s">
        <v>1</v>
      </c>
      <c r="L31" s="282"/>
      <c r="M31" s="178"/>
      <c r="N31" s="178"/>
      <c r="O31" s="95"/>
      <c r="T31" s="178"/>
      <c r="U31" s="178"/>
      <c r="V31" s="178"/>
      <c r="W31" s="178"/>
      <c r="X31" s="178"/>
      <c r="Y31" s="178"/>
      <c r="Z31" s="178"/>
      <c r="AA31" s="178"/>
      <c r="AB31" s="178"/>
      <c r="AC31" s="178"/>
      <c r="AD31" s="178"/>
      <c r="AE31" s="178"/>
      <c r="AF31" s="178"/>
      <c r="AG31" s="178"/>
    </row>
    <row r="32" spans="2:33" x14ac:dyDescent="0.25">
      <c r="B32" s="70" t="s">
        <v>76</v>
      </c>
      <c r="C32" s="183">
        <v>2</v>
      </c>
      <c r="D32" s="183">
        <v>3</v>
      </c>
      <c r="E32" s="75">
        <f>C32*F12</f>
        <v>85996.637999999992</v>
      </c>
      <c r="F32" s="98">
        <f>D32*F12</f>
        <v>128994.95699999999</v>
      </c>
      <c r="G32" s="178"/>
      <c r="H32" s="70" t="s">
        <v>333</v>
      </c>
      <c r="I32" s="278">
        <f>K29+(C40+C41)*7-1</f>
        <v>46010</v>
      </c>
      <c r="J32" s="280"/>
      <c r="K32" s="278">
        <f>K29+(D40+D41)*7-1</f>
        <v>46010</v>
      </c>
      <c r="L32" s="279"/>
      <c r="M32" s="178"/>
      <c r="N32" s="178"/>
      <c r="O32" s="95"/>
      <c r="T32" s="178"/>
      <c r="U32" s="178"/>
      <c r="V32" s="178"/>
      <c r="W32" s="178"/>
      <c r="X32" s="178"/>
      <c r="Y32" s="178"/>
      <c r="Z32" s="178"/>
      <c r="AA32" s="178"/>
      <c r="AB32" s="178"/>
      <c r="AC32" s="178"/>
      <c r="AD32" s="178"/>
      <c r="AE32" s="178"/>
      <c r="AF32" s="178"/>
      <c r="AG32" s="178"/>
    </row>
    <row r="33" spans="2:33" x14ac:dyDescent="0.25">
      <c r="B33" s="70" t="s">
        <v>63</v>
      </c>
      <c r="C33" s="183">
        <v>3</v>
      </c>
      <c r="D33" s="183">
        <v>3</v>
      </c>
      <c r="E33" s="75">
        <f>C33*C12</f>
        <v>6142.6169999999993</v>
      </c>
      <c r="F33" s="98">
        <f>D33*C12</f>
        <v>6142.6169999999993</v>
      </c>
      <c r="G33" s="178"/>
      <c r="H33" s="70" t="s">
        <v>71</v>
      </c>
      <c r="I33" s="278">
        <f>I32+(C42)*7</f>
        <v>46073</v>
      </c>
      <c r="J33" s="280"/>
      <c r="K33" s="278">
        <f>K32+D42*7</f>
        <v>46115</v>
      </c>
      <c r="L33" s="279"/>
      <c r="M33" s="178"/>
      <c r="N33" s="178"/>
      <c r="O33" s="95"/>
      <c r="T33" s="178"/>
      <c r="U33" s="178"/>
      <c r="V33" s="178"/>
      <c r="W33" s="178"/>
      <c r="X33" s="178"/>
      <c r="Y33" s="178"/>
      <c r="Z33" s="178"/>
      <c r="AA33" s="178"/>
      <c r="AB33" s="178"/>
      <c r="AC33" s="178"/>
      <c r="AD33" s="178"/>
      <c r="AE33" s="178"/>
      <c r="AF33" s="178"/>
      <c r="AG33" s="178"/>
    </row>
    <row r="34" spans="2:33" x14ac:dyDescent="0.25">
      <c r="B34" s="70" t="s">
        <v>66</v>
      </c>
      <c r="C34" s="183">
        <v>2</v>
      </c>
      <c r="D34" s="183">
        <v>2</v>
      </c>
      <c r="E34" s="75">
        <f>C34*C12</f>
        <v>4095.0779999999995</v>
      </c>
      <c r="F34" s="98">
        <f>D34*C12</f>
        <v>4095.0779999999995</v>
      </c>
      <c r="G34" s="178"/>
      <c r="H34" s="70" t="s">
        <v>79</v>
      </c>
      <c r="I34" s="278">
        <f>I33+C43*7</f>
        <v>46094</v>
      </c>
      <c r="J34" s="280"/>
      <c r="K34" s="278">
        <f>K33+D43*7</f>
        <v>46136</v>
      </c>
      <c r="L34" s="279"/>
      <c r="M34" s="178"/>
      <c r="N34" s="178"/>
      <c r="O34" s="178"/>
      <c r="P34" s="178"/>
      <c r="Q34" s="178"/>
      <c r="R34" s="178"/>
      <c r="S34" s="178"/>
      <c r="T34" s="178"/>
      <c r="U34" s="178"/>
      <c r="V34" s="178"/>
      <c r="W34" s="178"/>
      <c r="X34" s="178"/>
      <c r="Y34" s="178"/>
      <c r="Z34" s="178"/>
      <c r="AA34" s="178"/>
      <c r="AB34" s="178"/>
      <c r="AC34" s="178"/>
      <c r="AD34" s="178"/>
      <c r="AE34" s="178"/>
      <c r="AF34" s="178"/>
      <c r="AG34" s="178"/>
    </row>
    <row r="35" spans="2:33" ht="15.75" thickBot="1" x14ac:dyDescent="0.3">
      <c r="B35" s="71" t="s">
        <v>111</v>
      </c>
      <c r="C35" s="100">
        <f>8*1</f>
        <v>8</v>
      </c>
      <c r="D35" s="100">
        <f>8*1.5</f>
        <v>12</v>
      </c>
      <c r="E35" s="76">
        <f>C35*C$4</f>
        <v>1304</v>
      </c>
      <c r="F35" s="101">
        <f>D35*$C$4</f>
        <v>1956</v>
      </c>
      <c r="G35" s="178"/>
      <c r="H35" s="71" t="s">
        <v>62</v>
      </c>
      <c r="I35" s="293">
        <f>I34+C44*7</f>
        <v>46108</v>
      </c>
      <c r="J35" s="294"/>
      <c r="K35" s="293">
        <f>K34+D44*7</f>
        <v>46150</v>
      </c>
      <c r="L35" s="295"/>
      <c r="M35" s="178"/>
      <c r="N35" s="178"/>
      <c r="O35" s="178"/>
      <c r="P35" s="178"/>
      <c r="Q35" s="178"/>
      <c r="R35" s="178"/>
      <c r="S35" s="178"/>
      <c r="T35" s="178"/>
      <c r="U35" s="178"/>
      <c r="V35" s="178"/>
      <c r="W35" s="178"/>
      <c r="X35" s="178"/>
      <c r="Y35" s="178"/>
      <c r="Z35" s="178"/>
      <c r="AA35" s="178"/>
      <c r="AB35" s="178"/>
      <c r="AC35" s="178"/>
      <c r="AD35" s="178"/>
      <c r="AE35" s="178"/>
      <c r="AF35" s="178"/>
      <c r="AG35" s="178"/>
    </row>
    <row r="36" spans="2:33" ht="15.75" thickBot="1" x14ac:dyDescent="0.3">
      <c r="B36" s="73" t="s">
        <v>81</v>
      </c>
      <c r="C36" s="102"/>
      <c r="D36" s="102"/>
      <c r="E36" s="77">
        <f>SUM(E30:E35)</f>
        <v>113838.33299999998</v>
      </c>
      <c r="F36" s="103">
        <f>SUM(F30:F35)</f>
        <v>167268.652</v>
      </c>
      <c r="G36" s="178"/>
      <c r="H36" s="185" t="s">
        <v>334</v>
      </c>
      <c r="I36" s="278"/>
      <c r="J36" s="280"/>
      <c r="K36" s="278"/>
      <c r="L36" s="279"/>
      <c r="M36" s="178"/>
      <c r="N36" s="178"/>
      <c r="O36" s="178"/>
      <c r="P36" s="178"/>
      <c r="Q36" s="178"/>
      <c r="R36" s="178"/>
      <c r="S36" s="178"/>
      <c r="T36" s="178"/>
      <c r="U36" s="178"/>
      <c r="V36" s="178"/>
      <c r="W36" s="178"/>
      <c r="X36" s="178"/>
      <c r="Y36" s="178"/>
      <c r="Z36" s="178"/>
      <c r="AA36" s="178"/>
      <c r="AB36" s="178"/>
      <c r="AC36" s="178"/>
      <c r="AD36" s="178"/>
      <c r="AE36" s="178"/>
      <c r="AF36" s="178"/>
      <c r="AG36" s="178"/>
    </row>
    <row r="37" spans="2:33" ht="15.75" thickBot="1" x14ac:dyDescent="0.3">
      <c r="B37" s="72"/>
      <c r="C37" s="72"/>
      <c r="D37" s="72"/>
      <c r="E37" s="72"/>
      <c r="F37" s="72"/>
      <c r="G37" s="178"/>
      <c r="H37" s="70" t="s">
        <v>71</v>
      </c>
      <c r="I37" s="278">
        <f>I33+C52*7</f>
        <v>46115</v>
      </c>
      <c r="J37" s="280"/>
      <c r="K37" s="278">
        <f>K33+D52*7</f>
        <v>46178</v>
      </c>
      <c r="L37" s="280"/>
      <c r="M37" s="178"/>
      <c r="N37" s="178"/>
      <c r="O37" s="178"/>
      <c r="P37" s="178"/>
      <c r="Q37" s="178"/>
      <c r="R37" s="178"/>
      <c r="S37" s="178"/>
      <c r="T37" s="178"/>
      <c r="U37" s="178"/>
      <c r="V37" s="178"/>
      <c r="W37" s="178"/>
      <c r="X37" s="178"/>
      <c r="Y37" s="178"/>
      <c r="Z37" s="178"/>
      <c r="AA37" s="178"/>
      <c r="AB37" s="178"/>
      <c r="AC37" s="178"/>
      <c r="AD37" s="178"/>
      <c r="AE37" s="178"/>
      <c r="AF37" s="178"/>
      <c r="AG37" s="178"/>
    </row>
    <row r="38" spans="2:33" x14ac:dyDescent="0.25">
      <c r="B38" s="241" t="s">
        <v>331</v>
      </c>
      <c r="C38" s="242"/>
      <c r="D38" s="242"/>
      <c r="E38" s="242"/>
      <c r="F38" s="243"/>
      <c r="G38" s="178"/>
      <c r="H38" s="70" t="s">
        <v>79</v>
      </c>
      <c r="I38" s="278">
        <f>I37+C53*7</f>
        <v>46136</v>
      </c>
      <c r="J38" s="280"/>
      <c r="K38" s="278">
        <f>K37+D53*7</f>
        <v>46199</v>
      </c>
      <c r="L38" s="279"/>
      <c r="M38" s="178"/>
      <c r="N38" s="178"/>
      <c r="O38" s="178"/>
      <c r="P38" s="178"/>
      <c r="Q38" s="178"/>
      <c r="R38" s="178"/>
      <c r="S38" s="178"/>
      <c r="T38" s="178"/>
      <c r="U38" s="178"/>
      <c r="V38" s="178"/>
      <c r="W38" s="178"/>
      <c r="X38" s="178"/>
      <c r="Y38" s="178"/>
      <c r="Z38" s="178"/>
      <c r="AA38" s="178"/>
      <c r="AB38" s="178"/>
      <c r="AC38" s="178"/>
      <c r="AD38" s="178"/>
      <c r="AE38" s="178"/>
      <c r="AF38" s="178"/>
      <c r="AG38" s="178"/>
    </row>
    <row r="39" spans="2:33" ht="15.75" thickBot="1" x14ac:dyDescent="0.3">
      <c r="B39" s="59" t="str">
        <f>B19</f>
        <v>Project Phase</v>
      </c>
      <c r="C39" s="239" t="s">
        <v>64</v>
      </c>
      <c r="D39" s="240"/>
      <c r="E39" s="53" t="str">
        <f>"Lower Bound"&amp;" ("&amp;C3&amp;")"</f>
        <v>Lower Bound (£)</v>
      </c>
      <c r="F39" s="54" t="str">
        <f>"Upper Bound"&amp;" ("&amp;C3&amp;")"</f>
        <v>Upper Bound (£)</v>
      </c>
      <c r="G39" s="178"/>
      <c r="H39" s="71" t="s">
        <v>62</v>
      </c>
      <c r="I39" s="278">
        <f>I38+C54*7</f>
        <v>46150</v>
      </c>
      <c r="J39" s="280"/>
      <c r="K39" s="278">
        <f>K38+D54*7</f>
        <v>46213</v>
      </c>
      <c r="L39" s="279"/>
      <c r="M39" s="178"/>
      <c r="N39" s="178"/>
      <c r="O39" s="178"/>
      <c r="P39" s="178"/>
      <c r="Q39" s="178"/>
      <c r="R39" s="178"/>
      <c r="S39" s="178"/>
      <c r="T39" s="178"/>
      <c r="U39" s="178"/>
      <c r="V39" s="178"/>
      <c r="W39" s="178"/>
      <c r="X39" s="178"/>
      <c r="Y39" s="178"/>
      <c r="Z39" s="178"/>
      <c r="AA39" s="178"/>
      <c r="AB39" s="178"/>
      <c r="AC39" s="178"/>
      <c r="AD39" s="178"/>
      <c r="AE39" s="178"/>
      <c r="AF39" s="178"/>
      <c r="AG39" s="178"/>
    </row>
    <row r="40" spans="2:33" x14ac:dyDescent="0.25">
      <c r="B40" s="70" t="s">
        <v>316</v>
      </c>
      <c r="C40" s="184">
        <v>4</v>
      </c>
      <c r="D40" s="184">
        <v>4</v>
      </c>
      <c r="E40" s="78">
        <f>E20</f>
        <v>16300</v>
      </c>
      <c r="F40" s="98">
        <f>F20</f>
        <v>32600</v>
      </c>
      <c r="G40" s="178"/>
      <c r="M40" s="178"/>
      <c r="N40" s="178"/>
      <c r="O40" s="178"/>
      <c r="P40" s="178"/>
      <c r="Q40" s="178"/>
      <c r="R40" s="178"/>
      <c r="S40" s="178"/>
      <c r="T40" s="178"/>
      <c r="U40" s="178"/>
      <c r="V40" s="178"/>
      <c r="W40" s="178"/>
      <c r="X40" s="178"/>
      <c r="Y40" s="178"/>
      <c r="Z40" s="178"/>
      <c r="AA40" s="178"/>
      <c r="AB40" s="178"/>
      <c r="AC40" s="178"/>
      <c r="AD40" s="178"/>
      <c r="AE40" s="178"/>
      <c r="AF40" s="178"/>
      <c r="AG40" s="178"/>
    </row>
    <row r="41" spans="2:33" x14ac:dyDescent="0.25">
      <c r="B41" s="70" t="s">
        <v>65</v>
      </c>
      <c r="C41" s="184">
        <v>3</v>
      </c>
      <c r="D41" s="184">
        <v>3</v>
      </c>
      <c r="E41" s="78">
        <f>E21</f>
        <v>8150</v>
      </c>
      <c r="F41" s="98">
        <f>F21</f>
        <v>9780</v>
      </c>
      <c r="G41" s="72"/>
      <c r="M41" s="72"/>
    </row>
    <row r="42" spans="2:33" x14ac:dyDescent="0.25">
      <c r="B42" s="70" t="s">
        <v>71</v>
      </c>
      <c r="C42" s="106">
        <f>C22*C6</f>
        <v>9</v>
      </c>
      <c r="D42" s="106">
        <f>D22*C6</f>
        <v>15</v>
      </c>
      <c r="E42" s="78">
        <f>E22</f>
        <v>128994.95699999999</v>
      </c>
      <c r="F42" s="98">
        <f t="shared" ref="F42:F45" si="1">F22</f>
        <v>214991.59499999997</v>
      </c>
      <c r="G42" s="72"/>
      <c r="M42" s="72"/>
    </row>
    <row r="43" spans="2:33" x14ac:dyDescent="0.25">
      <c r="B43" s="70" t="s">
        <v>31</v>
      </c>
      <c r="C43" s="106">
        <f>C23</f>
        <v>3</v>
      </c>
      <c r="D43" s="106">
        <f>D23</f>
        <v>3</v>
      </c>
      <c r="E43" s="78">
        <f>E23</f>
        <v>6142.6169999999993</v>
      </c>
      <c r="F43" s="98">
        <f t="shared" si="1"/>
        <v>6142.6169999999993</v>
      </c>
      <c r="G43" s="72"/>
      <c r="M43" s="72"/>
    </row>
    <row r="44" spans="2:33" x14ac:dyDescent="0.25">
      <c r="B44" s="70" t="s">
        <v>120</v>
      </c>
      <c r="C44" s="106">
        <f>C24</f>
        <v>2</v>
      </c>
      <c r="D44" s="106">
        <f>D24</f>
        <v>2</v>
      </c>
      <c r="E44" s="78">
        <f>E24</f>
        <v>4095.0779999999995</v>
      </c>
      <c r="F44" s="98">
        <f t="shared" si="1"/>
        <v>4095.0779999999995</v>
      </c>
      <c r="G44" s="72"/>
      <c r="M44" s="72"/>
      <c r="N44" s="108"/>
    </row>
    <row r="45" spans="2:33" ht="15.75" thickBot="1" x14ac:dyDescent="0.3">
      <c r="B45" s="71" t="s">
        <v>74</v>
      </c>
      <c r="C45" s="109">
        <v>0</v>
      </c>
      <c r="D45" s="109">
        <v>0</v>
      </c>
      <c r="E45" s="79">
        <f>E25</f>
        <v>2608</v>
      </c>
      <c r="F45" s="101">
        <f t="shared" si="1"/>
        <v>3260</v>
      </c>
      <c r="G45" s="72"/>
      <c r="M45" s="107"/>
      <c r="N45" s="296"/>
    </row>
    <row r="46" spans="2:33" ht="15.75" thickBot="1" x14ac:dyDescent="0.3">
      <c r="B46" s="74" t="str">
        <f>B26</f>
        <v>Total</v>
      </c>
      <c r="C46" s="110">
        <f>SUM(C40:C45)</f>
        <v>21</v>
      </c>
      <c r="D46" s="110">
        <f>SUM(D40:D45)</f>
        <v>27</v>
      </c>
      <c r="E46" s="77">
        <f>SUM(E40:E45)</f>
        <v>166290.652</v>
      </c>
      <c r="F46" s="77">
        <f>SUM(F40:F45)</f>
        <v>270869.28999999998</v>
      </c>
      <c r="G46" s="72"/>
      <c r="M46" s="72"/>
      <c r="N46" s="296"/>
    </row>
    <row r="47" spans="2:33" ht="15.75" thickBot="1" x14ac:dyDescent="0.3">
      <c r="G47" s="72"/>
      <c r="M47" s="72"/>
      <c r="N47" s="108"/>
    </row>
    <row r="48" spans="2:33" x14ac:dyDescent="0.25">
      <c r="B48" s="241" t="s">
        <v>330</v>
      </c>
      <c r="C48" s="242"/>
      <c r="D48" s="242"/>
      <c r="E48" s="242"/>
      <c r="F48" s="243"/>
      <c r="G48" s="72"/>
      <c r="M48" s="72"/>
      <c r="N48" s="108"/>
    </row>
    <row r="49" spans="2:15" x14ac:dyDescent="0.25">
      <c r="B49" s="59"/>
      <c r="C49" s="239" t="s">
        <v>64</v>
      </c>
      <c r="D49" s="240"/>
      <c r="E49" s="53" t="str">
        <f>"Lower Bound"&amp;" ("&amp;C3&amp;")"</f>
        <v>Lower Bound (£)</v>
      </c>
      <c r="F49" s="54" t="str">
        <f>"Upper Bound"&amp;" ("&amp;C3&amp;")"</f>
        <v>Upper Bound (£)</v>
      </c>
      <c r="G49" s="72"/>
      <c r="M49" s="72"/>
      <c r="N49" s="108"/>
      <c r="O49" s="108"/>
    </row>
    <row r="50" spans="2:15" x14ac:dyDescent="0.25">
      <c r="B50" s="70" t="s">
        <v>316</v>
      </c>
      <c r="C50" s="184">
        <v>4</v>
      </c>
      <c r="D50" s="184">
        <v>4</v>
      </c>
      <c r="E50" s="78">
        <f t="shared" ref="E50:F55" si="2">E30</f>
        <v>8150</v>
      </c>
      <c r="F50" s="98">
        <f t="shared" si="2"/>
        <v>16300</v>
      </c>
      <c r="G50" s="72"/>
      <c r="N50" s="108"/>
      <c r="O50" s="108"/>
    </row>
    <row r="51" spans="2:15" x14ac:dyDescent="0.25">
      <c r="B51" s="70" t="s">
        <v>65</v>
      </c>
      <c r="C51" s="184">
        <v>3</v>
      </c>
      <c r="D51" s="184">
        <v>3</v>
      </c>
      <c r="E51" s="78">
        <f t="shared" si="2"/>
        <v>8150</v>
      </c>
      <c r="F51" s="98">
        <f t="shared" si="2"/>
        <v>9780</v>
      </c>
      <c r="N51" s="108"/>
      <c r="O51" s="108"/>
    </row>
    <row r="52" spans="2:15" x14ac:dyDescent="0.25">
      <c r="B52" s="70" t="s">
        <v>71</v>
      </c>
      <c r="C52" s="106">
        <f>C32*C6</f>
        <v>6</v>
      </c>
      <c r="D52" s="106">
        <f>D32*C6</f>
        <v>9</v>
      </c>
      <c r="E52" s="78">
        <f t="shared" si="2"/>
        <v>85996.637999999992</v>
      </c>
      <c r="F52" s="98">
        <f t="shared" si="2"/>
        <v>128994.95699999999</v>
      </c>
      <c r="N52" s="108"/>
      <c r="O52" s="108"/>
    </row>
    <row r="53" spans="2:15" x14ac:dyDescent="0.25">
      <c r="B53" s="70" t="s">
        <v>31</v>
      </c>
      <c r="C53" s="106">
        <f>C43</f>
        <v>3</v>
      </c>
      <c r="D53" s="106">
        <f>D43</f>
        <v>3</v>
      </c>
      <c r="E53" s="78">
        <f t="shared" si="2"/>
        <v>6142.6169999999993</v>
      </c>
      <c r="F53" s="98">
        <f t="shared" si="2"/>
        <v>6142.6169999999993</v>
      </c>
      <c r="N53" s="108"/>
      <c r="O53" s="108"/>
    </row>
    <row r="54" spans="2:15" x14ac:dyDescent="0.25">
      <c r="B54" s="70" t="s">
        <v>120</v>
      </c>
      <c r="C54" s="106">
        <f>C44</f>
        <v>2</v>
      </c>
      <c r="D54" s="106">
        <f>D44</f>
        <v>2</v>
      </c>
      <c r="E54" s="78">
        <f t="shared" si="2"/>
        <v>4095.0779999999995</v>
      </c>
      <c r="F54" s="98">
        <f t="shared" si="2"/>
        <v>4095.0779999999995</v>
      </c>
      <c r="N54" s="108"/>
      <c r="O54" s="108"/>
    </row>
    <row r="55" spans="2:15" ht="15.75" thickBot="1" x14ac:dyDescent="0.3">
      <c r="B55" s="71" t="s">
        <v>74</v>
      </c>
      <c r="C55" s="109">
        <v>0</v>
      </c>
      <c r="D55" s="109">
        <v>0</v>
      </c>
      <c r="E55" s="78">
        <f t="shared" si="2"/>
        <v>1304</v>
      </c>
      <c r="F55" s="98">
        <f t="shared" si="2"/>
        <v>1956</v>
      </c>
      <c r="N55" s="108"/>
      <c r="O55" s="108"/>
    </row>
    <row r="56" spans="2:15" ht="15.75" thickBot="1" x14ac:dyDescent="0.3">
      <c r="B56" s="74" t="str">
        <f>B46</f>
        <v>Total</v>
      </c>
      <c r="C56" s="110">
        <f>SUM(C50:C55)</f>
        <v>18</v>
      </c>
      <c r="D56" s="110">
        <f>SUM(D50:D55)</f>
        <v>21</v>
      </c>
      <c r="E56" s="179">
        <f>SUM(E50:E55)</f>
        <v>113838.33299999998</v>
      </c>
      <c r="F56" s="180">
        <f>SUM(F50:F55)</f>
        <v>167268.652</v>
      </c>
    </row>
    <row r="57" spans="2:15" ht="15.75" thickBot="1" x14ac:dyDescent="0.3">
      <c r="C57" s="181">
        <f>C40+C41+C42+C52+C53+C54</f>
        <v>27</v>
      </c>
      <c r="D57" s="181">
        <f>D40+D41+D42+D52+D53+D54</f>
        <v>36</v>
      </c>
      <c r="E57" s="181">
        <f>E46+E56</f>
        <v>280128.98499999999</v>
      </c>
      <c r="F57" s="181">
        <f>F56+F46</f>
        <v>438137.94199999998</v>
      </c>
    </row>
    <row r="58" spans="2:15" ht="15.75" thickTop="1" x14ac:dyDescent="0.25"/>
    <row r="59" spans="2:15" ht="15.75" thickBot="1" x14ac:dyDescent="0.3">
      <c r="E59" s="131">
        <v>99750</v>
      </c>
      <c r="F59" s="131">
        <v>141800</v>
      </c>
      <c r="H59" s="69">
        <f>F57/F59</f>
        <v>3.0898303385049366</v>
      </c>
      <c r="O59" s="69">
        <f>36/52*12</f>
        <v>8.3076923076923066</v>
      </c>
    </row>
    <row r="60" spans="2:15" ht="15.75" thickTop="1" x14ac:dyDescent="0.25"/>
  </sheetData>
  <mergeCells count="51">
    <mergeCell ref="H15:H16"/>
    <mergeCell ref="B38:F38"/>
    <mergeCell ref="B18:F18"/>
    <mergeCell ref="B15:F16"/>
    <mergeCell ref="H19:L19"/>
    <mergeCell ref="H28:L28"/>
    <mergeCell ref="L15:M16"/>
    <mergeCell ref="L17:M17"/>
    <mergeCell ref="I15:J15"/>
    <mergeCell ref="I16:J16"/>
    <mergeCell ref="I17:J17"/>
    <mergeCell ref="K29:L29"/>
    <mergeCell ref="K31:L31"/>
    <mergeCell ref="B48:F48"/>
    <mergeCell ref="C49:D49"/>
    <mergeCell ref="B28:F28"/>
    <mergeCell ref="I36:J36"/>
    <mergeCell ref="I37:J37"/>
    <mergeCell ref="I38:J38"/>
    <mergeCell ref="I39:J39"/>
    <mergeCell ref="C39:D39"/>
    <mergeCell ref="H29:J29"/>
    <mergeCell ref="I33:J33"/>
    <mergeCell ref="I34:J34"/>
    <mergeCell ref="I35:J35"/>
    <mergeCell ref="M8:M9"/>
    <mergeCell ref="L8:L9"/>
    <mergeCell ref="L14:M14"/>
    <mergeCell ref="H2:M2"/>
    <mergeCell ref="E8:F8"/>
    <mergeCell ref="H13:M13"/>
    <mergeCell ref="B14:F14"/>
    <mergeCell ref="B8:C8"/>
    <mergeCell ref="I14:K14"/>
    <mergeCell ref="O2:P2"/>
    <mergeCell ref="B2:C2"/>
    <mergeCell ref="E2:F2"/>
    <mergeCell ref="M4:M5"/>
    <mergeCell ref="L4:L5"/>
    <mergeCell ref="N45:N46"/>
    <mergeCell ref="H30:L30"/>
    <mergeCell ref="I32:J32"/>
    <mergeCell ref="I31:J31"/>
    <mergeCell ref="K32:L32"/>
    <mergeCell ref="K33:L33"/>
    <mergeCell ref="K37:L37"/>
    <mergeCell ref="K38:L38"/>
    <mergeCell ref="K39:L39"/>
    <mergeCell ref="K36:L36"/>
    <mergeCell ref="K34:L34"/>
    <mergeCell ref="K35:L35"/>
  </mergeCells>
  <phoneticPr fontId="1"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1D75F7E-873F-4161-A977-B743C7344F25}">
          <x14:formula1>
            <xm:f>Currency!$B$2:$B$4</xm:f>
          </x14:formula1>
          <xm:sqref>C3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49B6-09BD-459D-8ABC-E4739B455402}">
  <sheetPr filterMode="1">
    <tabColor theme="5"/>
  </sheetPr>
  <dimension ref="A1:F53"/>
  <sheetViews>
    <sheetView workbookViewId="0">
      <pane ySplit="1" topLeftCell="A13" activePane="bottomLeft" state="frozen"/>
      <selection activeCell="E63" sqref="E63"/>
      <selection pane="bottomLeft" activeCell="E63" sqref="E63"/>
    </sheetView>
  </sheetViews>
  <sheetFormatPr defaultRowHeight="12.75" x14ac:dyDescent="0.25"/>
  <cols>
    <col min="1" max="1" width="11.5703125" style="134" customWidth="1"/>
    <col min="2" max="2" width="34.28515625" style="134" customWidth="1"/>
    <col min="3" max="3" width="71.140625" style="134" customWidth="1"/>
    <col min="4" max="4" width="12.42578125" style="134" customWidth="1"/>
    <col min="5" max="5" width="123" style="138" customWidth="1"/>
    <col min="6" max="6" width="4.42578125" style="138" customWidth="1"/>
    <col min="7" max="16384" width="9.140625" style="134"/>
  </cols>
  <sheetData>
    <row r="1" spans="1:6" x14ac:dyDescent="0.25">
      <c r="A1" s="132" t="s">
        <v>156</v>
      </c>
      <c r="B1" s="132" t="s">
        <v>173</v>
      </c>
      <c r="C1" s="132" t="s">
        <v>172</v>
      </c>
      <c r="D1" s="132" t="s">
        <v>73</v>
      </c>
      <c r="E1" s="137" t="s">
        <v>165</v>
      </c>
      <c r="F1" s="137" t="s">
        <v>163</v>
      </c>
    </row>
    <row r="2" spans="1:6" ht="25.5" hidden="1" x14ac:dyDescent="0.25">
      <c r="A2" s="133" t="s">
        <v>178</v>
      </c>
      <c r="B2" s="133" t="s">
        <v>125</v>
      </c>
      <c r="C2" s="133" t="s">
        <v>177</v>
      </c>
      <c r="D2" s="135">
        <v>3</v>
      </c>
    </row>
    <row r="3" spans="1:6" ht="45" hidden="1" x14ac:dyDescent="0.25">
      <c r="A3" s="133" t="s">
        <v>178</v>
      </c>
      <c r="B3" s="133" t="s">
        <v>160</v>
      </c>
      <c r="C3" s="133" t="s">
        <v>161</v>
      </c>
      <c r="D3" s="135">
        <v>3</v>
      </c>
      <c r="E3" s="139" t="s">
        <v>279</v>
      </c>
      <c r="F3" s="139" t="s">
        <v>309</v>
      </c>
    </row>
    <row r="4" spans="1:6" ht="102" hidden="1" x14ac:dyDescent="0.25">
      <c r="A4" s="142" t="s">
        <v>159</v>
      </c>
      <c r="B4" s="133" t="s">
        <v>162</v>
      </c>
      <c r="C4" s="136" t="s">
        <v>179</v>
      </c>
      <c r="D4" s="135">
        <v>13</v>
      </c>
      <c r="E4" s="140" t="s">
        <v>175</v>
      </c>
      <c r="F4" s="140" t="s">
        <v>167</v>
      </c>
    </row>
    <row r="5" spans="1:6" ht="38.25" hidden="1" x14ac:dyDescent="0.25">
      <c r="A5" s="142" t="s">
        <v>159</v>
      </c>
      <c r="B5" s="133" t="s">
        <v>164</v>
      </c>
      <c r="C5" s="136" t="s">
        <v>248</v>
      </c>
      <c r="D5" s="135">
        <v>5</v>
      </c>
      <c r="E5" s="140" t="s">
        <v>170</v>
      </c>
      <c r="F5" s="140" t="s">
        <v>171</v>
      </c>
    </row>
    <row r="6" spans="1:6" ht="89.25" hidden="1" x14ac:dyDescent="0.25">
      <c r="A6" s="142" t="s">
        <v>159</v>
      </c>
      <c r="B6" s="133" t="s">
        <v>249</v>
      </c>
      <c r="C6" s="136" t="s">
        <v>262</v>
      </c>
      <c r="D6" s="135">
        <v>8</v>
      </c>
      <c r="E6" s="140"/>
      <c r="F6" s="140"/>
    </row>
    <row r="7" spans="1:6" ht="45" hidden="1" x14ac:dyDescent="0.25">
      <c r="A7" s="142" t="s">
        <v>159</v>
      </c>
      <c r="B7" s="133" t="s">
        <v>245</v>
      </c>
      <c r="C7" s="136" t="s">
        <v>246</v>
      </c>
      <c r="D7" s="135">
        <v>13</v>
      </c>
      <c r="E7" s="140" t="s">
        <v>166</v>
      </c>
      <c r="F7" s="140">
        <v>6</v>
      </c>
    </row>
    <row r="8" spans="1:6" ht="25.5" hidden="1" x14ac:dyDescent="0.25">
      <c r="A8" s="142" t="s">
        <v>159</v>
      </c>
      <c r="B8" s="133" t="s">
        <v>168</v>
      </c>
      <c r="C8" s="136" t="s">
        <v>247</v>
      </c>
      <c r="D8" s="135">
        <v>3</v>
      </c>
      <c r="E8" s="140" t="s">
        <v>169</v>
      </c>
      <c r="F8" s="140">
        <v>6</v>
      </c>
    </row>
    <row r="9" spans="1:6" ht="47.25" hidden="1" customHeight="1" x14ac:dyDescent="0.25">
      <c r="A9" s="142" t="s">
        <v>159</v>
      </c>
      <c r="B9" s="133" t="s">
        <v>176</v>
      </c>
      <c r="C9" s="136" t="s">
        <v>250</v>
      </c>
      <c r="D9" s="135">
        <v>8</v>
      </c>
      <c r="E9" s="140" t="s">
        <v>174</v>
      </c>
      <c r="F9" s="140">
        <v>9</v>
      </c>
    </row>
    <row r="10" spans="1:6" ht="90" x14ac:dyDescent="0.25">
      <c r="A10" s="133" t="s">
        <v>158</v>
      </c>
      <c r="B10" s="134" t="s">
        <v>181</v>
      </c>
      <c r="C10" s="136" t="s">
        <v>311</v>
      </c>
      <c r="D10" s="135">
        <v>3</v>
      </c>
      <c r="E10" s="139" t="s">
        <v>310</v>
      </c>
      <c r="F10" s="138" t="s">
        <v>180</v>
      </c>
    </row>
    <row r="11" spans="1:6" s="176" customFormat="1" ht="123.75" customHeight="1" x14ac:dyDescent="0.25">
      <c r="A11" s="174" t="s">
        <v>158</v>
      </c>
      <c r="B11" s="174" t="s">
        <v>276</v>
      </c>
      <c r="C11" s="175" t="s">
        <v>324</v>
      </c>
      <c r="D11" s="176" t="s">
        <v>317</v>
      </c>
      <c r="E11" s="177" t="s">
        <v>184</v>
      </c>
      <c r="F11" s="177" t="s">
        <v>182</v>
      </c>
    </row>
    <row r="12" spans="1:6" ht="206.25" customHeight="1" x14ac:dyDescent="0.25">
      <c r="A12" s="133" t="s">
        <v>158</v>
      </c>
      <c r="B12" s="133" t="s">
        <v>126</v>
      </c>
      <c r="C12" s="136" t="s">
        <v>318</v>
      </c>
      <c r="D12" s="135">
        <v>13</v>
      </c>
      <c r="E12" s="139" t="s">
        <v>308</v>
      </c>
      <c r="F12" s="139" t="s">
        <v>307</v>
      </c>
    </row>
    <row r="13" spans="1:6" ht="38.25" x14ac:dyDescent="0.25">
      <c r="A13" s="133" t="s">
        <v>158</v>
      </c>
      <c r="B13" s="133" t="s">
        <v>282</v>
      </c>
      <c r="C13" s="136" t="s">
        <v>314</v>
      </c>
      <c r="D13" s="135">
        <v>2</v>
      </c>
      <c r="E13" s="139"/>
      <c r="F13" s="139"/>
    </row>
    <row r="14" spans="1:6" ht="74.25" customHeight="1" x14ac:dyDescent="0.25">
      <c r="A14" s="133" t="s">
        <v>158</v>
      </c>
      <c r="B14" s="133" t="s">
        <v>190</v>
      </c>
      <c r="C14" s="136" t="s">
        <v>191</v>
      </c>
      <c r="D14" s="135">
        <v>3</v>
      </c>
      <c r="E14" s="139" t="s">
        <v>192</v>
      </c>
      <c r="F14" s="139" t="s">
        <v>193</v>
      </c>
    </row>
    <row r="15" spans="1:6" ht="74.25" customHeight="1" x14ac:dyDescent="0.25">
      <c r="A15" s="133" t="s">
        <v>158</v>
      </c>
      <c r="B15" s="133" t="s">
        <v>294</v>
      </c>
      <c r="C15" s="136" t="s">
        <v>295</v>
      </c>
      <c r="D15" s="135">
        <v>3</v>
      </c>
      <c r="E15" s="139" t="s">
        <v>297</v>
      </c>
      <c r="F15" s="139">
        <v>20</v>
      </c>
    </row>
    <row r="16" spans="1:6" ht="153" x14ac:dyDescent="0.25">
      <c r="A16" s="133" t="s">
        <v>158</v>
      </c>
      <c r="B16" s="133" t="s">
        <v>305</v>
      </c>
      <c r="C16" s="143" t="s">
        <v>306</v>
      </c>
      <c r="D16" s="135">
        <v>5</v>
      </c>
      <c r="E16" s="139" t="s">
        <v>303</v>
      </c>
      <c r="F16" s="138" t="s">
        <v>304</v>
      </c>
    </row>
    <row r="17" spans="1:6" ht="135.75" customHeight="1" x14ac:dyDescent="0.25">
      <c r="A17" s="133" t="s">
        <v>158</v>
      </c>
      <c r="B17" s="133" t="s">
        <v>183</v>
      </c>
      <c r="C17" s="136" t="s">
        <v>292</v>
      </c>
      <c r="D17" s="135">
        <v>5</v>
      </c>
      <c r="E17" s="139" t="s">
        <v>293</v>
      </c>
      <c r="F17" s="139" t="s">
        <v>291</v>
      </c>
    </row>
    <row r="18" spans="1:6" ht="77.25" customHeight="1" x14ac:dyDescent="0.25">
      <c r="A18" s="133" t="s">
        <v>158</v>
      </c>
      <c r="B18" s="133" t="s">
        <v>277</v>
      </c>
      <c r="C18" s="136" t="s">
        <v>281</v>
      </c>
      <c r="D18" s="135">
        <v>3</v>
      </c>
      <c r="E18" s="139" t="s">
        <v>188</v>
      </c>
      <c r="F18" s="138">
        <v>8</v>
      </c>
    </row>
    <row r="19" spans="1:6" ht="77.25" customHeight="1" x14ac:dyDescent="0.25">
      <c r="A19" s="133" t="s">
        <v>158</v>
      </c>
      <c r="B19" s="134" t="s">
        <v>283</v>
      </c>
      <c r="C19" s="143" t="s">
        <v>284</v>
      </c>
      <c r="D19" s="135">
        <v>21</v>
      </c>
      <c r="E19" s="140" t="s">
        <v>286</v>
      </c>
      <c r="F19" s="140" t="s">
        <v>285</v>
      </c>
    </row>
    <row r="20" spans="1:6" ht="102.75" customHeight="1" x14ac:dyDescent="0.25">
      <c r="A20" s="133" t="s">
        <v>158</v>
      </c>
      <c r="B20" s="133" t="s">
        <v>186</v>
      </c>
      <c r="C20" s="143" t="s">
        <v>278</v>
      </c>
      <c r="D20" s="135">
        <v>5</v>
      </c>
      <c r="E20" s="139" t="s">
        <v>189</v>
      </c>
      <c r="F20" s="139">
        <v>11</v>
      </c>
    </row>
    <row r="21" spans="1:6" x14ac:dyDescent="0.25">
      <c r="A21" s="133" t="s">
        <v>158</v>
      </c>
      <c r="B21" s="133" t="s">
        <v>185</v>
      </c>
      <c r="C21" s="143" t="s">
        <v>289</v>
      </c>
      <c r="D21" s="135">
        <v>3</v>
      </c>
      <c r="E21" s="139" t="s">
        <v>290</v>
      </c>
      <c r="F21" s="139">
        <v>18</v>
      </c>
    </row>
    <row r="22" spans="1:6" ht="178.5" x14ac:dyDescent="0.25">
      <c r="A22" s="133" t="s">
        <v>158</v>
      </c>
      <c r="B22" s="134" t="s">
        <v>187</v>
      </c>
      <c r="C22" s="141" t="s">
        <v>301</v>
      </c>
      <c r="D22" s="135">
        <v>5</v>
      </c>
      <c r="E22" s="139" t="s">
        <v>302</v>
      </c>
      <c r="F22" s="140" t="s">
        <v>298</v>
      </c>
    </row>
    <row r="23" spans="1:6" ht="168.75" x14ac:dyDescent="0.25">
      <c r="A23" s="133" t="s">
        <v>158</v>
      </c>
      <c r="B23" s="133" t="s">
        <v>155</v>
      </c>
      <c r="C23" s="142" t="s">
        <v>300</v>
      </c>
      <c r="D23" s="135">
        <v>8</v>
      </c>
      <c r="E23" s="139" t="s">
        <v>299</v>
      </c>
      <c r="F23" s="139" t="s">
        <v>296</v>
      </c>
    </row>
    <row r="24" spans="1:6" ht="25.5" x14ac:dyDescent="0.25">
      <c r="A24" s="133" t="s">
        <v>158</v>
      </c>
      <c r="B24" s="133" t="s">
        <v>312</v>
      </c>
      <c r="C24" s="143" t="s">
        <v>313</v>
      </c>
      <c r="D24" s="135">
        <v>2</v>
      </c>
      <c r="E24" s="139" t="s">
        <v>315</v>
      </c>
      <c r="F24" s="139">
        <v>26</v>
      </c>
    </row>
    <row r="25" spans="1:6" x14ac:dyDescent="0.25">
      <c r="A25" s="133" t="s">
        <v>158</v>
      </c>
      <c r="B25" s="133" t="s">
        <v>280</v>
      </c>
      <c r="C25" s="167"/>
      <c r="D25" s="135" t="s">
        <v>287</v>
      </c>
      <c r="E25" s="139" t="s">
        <v>288</v>
      </c>
      <c r="F25" s="139"/>
    </row>
    <row r="26" spans="1:6" ht="55.5" hidden="1" customHeight="1" x14ac:dyDescent="0.25">
      <c r="A26" s="133" t="s">
        <v>157</v>
      </c>
      <c r="B26" s="142" t="s">
        <v>218</v>
      </c>
      <c r="C26" s="143" t="s">
        <v>220</v>
      </c>
      <c r="D26" s="146">
        <v>3</v>
      </c>
      <c r="E26" s="144" t="s">
        <v>221</v>
      </c>
      <c r="F26" s="139" t="s">
        <v>195</v>
      </c>
    </row>
    <row r="27" spans="1:6" ht="142.5" hidden="1" customHeight="1" x14ac:dyDescent="0.25">
      <c r="A27" s="134" t="s">
        <v>157</v>
      </c>
      <c r="B27" s="142" t="s">
        <v>127</v>
      </c>
      <c r="C27" s="143" t="s">
        <v>255</v>
      </c>
      <c r="D27" s="135">
        <v>13</v>
      </c>
      <c r="E27" s="144" t="s">
        <v>226</v>
      </c>
      <c r="F27" s="139" t="s">
        <v>198</v>
      </c>
    </row>
    <row r="28" spans="1:6" ht="111" hidden="1" customHeight="1" x14ac:dyDescent="0.25">
      <c r="A28" s="134" t="s">
        <v>157</v>
      </c>
      <c r="B28" s="142" t="s">
        <v>252</v>
      </c>
      <c r="C28" s="143" t="s">
        <v>258</v>
      </c>
      <c r="D28" s="135">
        <v>5</v>
      </c>
      <c r="E28" s="144" t="s">
        <v>257</v>
      </c>
      <c r="F28" s="139" t="s">
        <v>212</v>
      </c>
    </row>
    <row r="29" spans="1:6" ht="38.25" hidden="1" x14ac:dyDescent="0.25">
      <c r="A29" s="134" t="s">
        <v>157</v>
      </c>
      <c r="B29" s="142" t="s">
        <v>254</v>
      </c>
      <c r="C29" s="143" t="s">
        <v>253</v>
      </c>
      <c r="D29" s="135">
        <v>5</v>
      </c>
      <c r="E29" s="144" t="s">
        <v>256</v>
      </c>
      <c r="F29" s="139"/>
    </row>
    <row r="30" spans="1:6" ht="111" hidden="1" customHeight="1" x14ac:dyDescent="0.25">
      <c r="A30" s="134" t="s">
        <v>157</v>
      </c>
      <c r="B30" s="142" t="s">
        <v>219</v>
      </c>
      <c r="C30" s="143" t="s">
        <v>239</v>
      </c>
      <c r="D30" s="135">
        <v>5</v>
      </c>
      <c r="E30" s="144" t="s">
        <v>222</v>
      </c>
    </row>
    <row r="31" spans="1:6" ht="172.5" hidden="1" customHeight="1" x14ac:dyDescent="0.25">
      <c r="A31" s="134" t="s">
        <v>157</v>
      </c>
      <c r="B31" s="142" t="s">
        <v>251</v>
      </c>
      <c r="C31" s="145" t="s">
        <v>319</v>
      </c>
      <c r="D31" s="146">
        <v>5</v>
      </c>
      <c r="E31" s="147" t="s">
        <v>223</v>
      </c>
      <c r="F31" s="139" t="s">
        <v>205</v>
      </c>
    </row>
    <row r="32" spans="1:6" ht="38.25" hidden="1" x14ac:dyDescent="0.25">
      <c r="A32" s="134" t="s">
        <v>157</v>
      </c>
      <c r="B32" s="142" t="s">
        <v>224</v>
      </c>
      <c r="C32" s="143" t="s">
        <v>241</v>
      </c>
      <c r="D32" s="146">
        <v>3</v>
      </c>
      <c r="E32" s="148"/>
    </row>
    <row r="33" spans="1:6" ht="132" hidden="1" customHeight="1" x14ac:dyDescent="0.25">
      <c r="A33" s="134" t="s">
        <v>157</v>
      </c>
      <c r="B33" s="142" t="s">
        <v>259</v>
      </c>
      <c r="C33" s="143" t="s">
        <v>260</v>
      </c>
      <c r="D33" s="146">
        <v>5</v>
      </c>
      <c r="E33" s="147" t="s">
        <v>225</v>
      </c>
      <c r="F33" s="139" t="s">
        <v>199</v>
      </c>
    </row>
    <row r="34" spans="1:6" ht="111.75" hidden="1" customHeight="1" x14ac:dyDescent="0.25">
      <c r="A34" s="134" t="s">
        <v>157</v>
      </c>
      <c r="B34" s="142" t="s">
        <v>217</v>
      </c>
      <c r="C34" s="143" t="s">
        <v>227</v>
      </c>
      <c r="D34" s="146">
        <v>5</v>
      </c>
      <c r="E34" s="147" t="s">
        <v>228</v>
      </c>
      <c r="F34" s="139">
        <v>10</v>
      </c>
    </row>
    <row r="35" spans="1:6" ht="172.5" hidden="1" customHeight="1" x14ac:dyDescent="0.25">
      <c r="A35" s="134" t="s">
        <v>157</v>
      </c>
      <c r="B35" s="142" t="s">
        <v>232</v>
      </c>
      <c r="C35" s="145" t="s">
        <v>261</v>
      </c>
      <c r="D35" s="146">
        <v>8</v>
      </c>
      <c r="E35" s="147" t="s">
        <v>229</v>
      </c>
      <c r="F35" s="139" t="s">
        <v>194</v>
      </c>
    </row>
    <row r="36" spans="1:6" ht="255" hidden="1" x14ac:dyDescent="0.25">
      <c r="A36" s="134" t="s">
        <v>157</v>
      </c>
      <c r="B36" s="142" t="s">
        <v>234</v>
      </c>
      <c r="C36" s="143" t="s">
        <v>235</v>
      </c>
      <c r="D36" s="146">
        <v>13</v>
      </c>
      <c r="E36" s="147" t="s">
        <v>236</v>
      </c>
      <c r="F36" s="139" t="s">
        <v>213</v>
      </c>
    </row>
    <row r="37" spans="1:6" ht="47.25" hidden="1" customHeight="1" x14ac:dyDescent="0.25">
      <c r="A37" s="134" t="s">
        <v>157</v>
      </c>
      <c r="B37" s="142" t="s">
        <v>216</v>
      </c>
      <c r="C37" s="145" t="s">
        <v>233</v>
      </c>
      <c r="D37" s="146">
        <v>5</v>
      </c>
      <c r="E37" s="144" t="s">
        <v>200</v>
      </c>
      <c r="F37" s="139" t="s">
        <v>201</v>
      </c>
    </row>
    <row r="38" spans="1:6" ht="91.5" hidden="1" customHeight="1" x14ac:dyDescent="0.25">
      <c r="A38" s="134" t="s">
        <v>157</v>
      </c>
      <c r="B38" s="142" t="s">
        <v>196</v>
      </c>
      <c r="C38" s="145" t="s">
        <v>230</v>
      </c>
      <c r="D38" s="146">
        <v>5</v>
      </c>
      <c r="E38" s="147" t="s">
        <v>231</v>
      </c>
      <c r="F38" s="139" t="s">
        <v>197</v>
      </c>
    </row>
    <row r="39" spans="1:6" ht="221.25" hidden="1" customHeight="1" x14ac:dyDescent="0.25">
      <c r="A39" s="134" t="s">
        <v>157</v>
      </c>
      <c r="B39" s="149" t="s">
        <v>237</v>
      </c>
      <c r="C39" s="143" t="s">
        <v>238</v>
      </c>
      <c r="D39" s="135">
        <v>13</v>
      </c>
      <c r="E39" s="144" t="s">
        <v>207</v>
      </c>
      <c r="F39" s="138">
        <v>23</v>
      </c>
    </row>
    <row r="40" spans="1:6" ht="198.75" hidden="1" customHeight="1" x14ac:dyDescent="0.25">
      <c r="A40" s="134" t="s">
        <v>157</v>
      </c>
      <c r="B40" s="149" t="s">
        <v>210</v>
      </c>
      <c r="C40" s="142" t="s">
        <v>240</v>
      </c>
      <c r="D40" s="135">
        <v>13</v>
      </c>
      <c r="E40" s="147" t="s">
        <v>242</v>
      </c>
      <c r="F40" s="139" t="s">
        <v>211</v>
      </c>
    </row>
    <row r="41" spans="1:6" ht="127.5" hidden="1" x14ac:dyDescent="0.25">
      <c r="A41" s="134" t="s">
        <v>157</v>
      </c>
      <c r="B41" s="149" t="s">
        <v>208</v>
      </c>
      <c r="C41" s="143" t="s">
        <v>243</v>
      </c>
      <c r="D41" s="146">
        <v>8</v>
      </c>
      <c r="E41" s="147" t="s">
        <v>244</v>
      </c>
      <c r="F41" s="139" t="s">
        <v>209</v>
      </c>
    </row>
    <row r="42" spans="1:6" ht="38.25" hidden="1" x14ac:dyDescent="0.25">
      <c r="A42" s="149" t="s">
        <v>157</v>
      </c>
      <c r="B42" s="149" t="s">
        <v>206</v>
      </c>
      <c r="C42" s="142" t="s">
        <v>214</v>
      </c>
      <c r="D42" s="146">
        <v>3</v>
      </c>
      <c r="E42" s="148"/>
      <c r="F42" s="138">
        <v>23</v>
      </c>
    </row>
    <row r="43" spans="1:6" s="168" customFormat="1" ht="25.5" hidden="1" x14ac:dyDescent="0.25">
      <c r="A43" s="168" t="s">
        <v>157</v>
      </c>
      <c r="B43" s="168" t="s">
        <v>203</v>
      </c>
      <c r="C43" s="169" t="s">
        <v>204</v>
      </c>
      <c r="D43" s="170" t="s">
        <v>215</v>
      </c>
      <c r="E43" s="171" t="s">
        <v>202</v>
      </c>
      <c r="F43" s="172">
        <v>17</v>
      </c>
    </row>
    <row r="44" spans="1:6" x14ac:dyDescent="0.25">
      <c r="E44" s="139"/>
    </row>
    <row r="45" spans="1:6" x14ac:dyDescent="0.25">
      <c r="E45" s="139"/>
    </row>
    <row r="46" spans="1:6" x14ac:dyDescent="0.25">
      <c r="E46" s="139"/>
    </row>
    <row r="47" spans="1:6" x14ac:dyDescent="0.25">
      <c r="E47" s="139"/>
    </row>
    <row r="48" spans="1:6" x14ac:dyDescent="0.25">
      <c r="E48" s="139"/>
    </row>
    <row r="49" spans="5:5" x14ac:dyDescent="0.25">
      <c r="E49" s="139"/>
    </row>
    <row r="50" spans="5:5" x14ac:dyDescent="0.25">
      <c r="E50" s="139"/>
    </row>
    <row r="51" spans="5:5" x14ac:dyDescent="0.25">
      <c r="E51" s="139"/>
    </row>
    <row r="52" spans="5:5" x14ac:dyDescent="0.25">
      <c r="E52" s="139"/>
    </row>
    <row r="53" spans="5:5" x14ac:dyDescent="0.25">
      <c r="E53" s="139"/>
    </row>
  </sheetData>
  <autoFilter ref="A1:F43" xr:uid="{769F49B6-09BD-459D-8ABC-E4739B455402}">
    <filterColumn colId="0">
      <filters>
        <filter val="ASB"/>
      </filters>
    </filterColumn>
  </autoFilter>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ADFA-CACB-4EBC-A69F-8AC88CAE1371}">
  <sheetPr>
    <tabColor theme="5"/>
  </sheetPr>
  <dimension ref="B2:V6"/>
  <sheetViews>
    <sheetView workbookViewId="0">
      <selection activeCell="E63" sqref="E63"/>
    </sheetView>
  </sheetViews>
  <sheetFormatPr defaultRowHeight="15" x14ac:dyDescent="0.25"/>
  <cols>
    <col min="1" max="1" width="4.140625" customWidth="1"/>
    <col min="2" max="2" width="11.140625" bestFit="1" customWidth="1"/>
    <col min="3" max="3" width="12" customWidth="1"/>
    <col min="4" max="5" width="7.7109375" customWidth="1"/>
    <col min="6" max="7" width="16" customWidth="1"/>
    <col min="8" max="10" width="12" customWidth="1"/>
    <col min="11" max="12" width="7.7109375" customWidth="1"/>
    <col min="13" max="13" width="12" customWidth="1"/>
    <col min="14" max="14" width="15.7109375" bestFit="1" customWidth="1"/>
    <col min="15" max="17" width="12" customWidth="1"/>
    <col min="18" max="19" width="7.7109375" customWidth="1"/>
    <col min="20" max="22" width="12" customWidth="1"/>
  </cols>
  <sheetData>
    <row r="2" spans="2:22" x14ac:dyDescent="0.25">
      <c r="C2" s="7" t="s">
        <v>263</v>
      </c>
      <c r="D2" s="9" t="s">
        <v>264</v>
      </c>
      <c r="E2" s="9" t="s">
        <v>265</v>
      </c>
      <c r="F2" s="7" t="s">
        <v>266</v>
      </c>
      <c r="G2" s="7" t="s">
        <v>267</v>
      </c>
      <c r="H2" s="156" t="s">
        <v>268</v>
      </c>
      <c r="I2" s="7" t="s">
        <v>269</v>
      </c>
      <c r="J2" s="7" t="s">
        <v>263</v>
      </c>
      <c r="K2" s="9" t="s">
        <v>264</v>
      </c>
      <c r="L2" s="9" t="s">
        <v>265</v>
      </c>
      <c r="M2" s="7" t="s">
        <v>266</v>
      </c>
      <c r="N2" s="163" t="s">
        <v>267</v>
      </c>
      <c r="O2" s="7" t="s">
        <v>268</v>
      </c>
      <c r="P2" s="7" t="s">
        <v>269</v>
      </c>
      <c r="Q2" s="7" t="s">
        <v>263</v>
      </c>
      <c r="R2" s="9" t="s">
        <v>264</v>
      </c>
      <c r="S2" s="9" t="s">
        <v>265</v>
      </c>
      <c r="T2" s="7" t="s">
        <v>266</v>
      </c>
      <c r="U2" s="7" t="s">
        <v>267</v>
      </c>
      <c r="V2" s="7" t="s">
        <v>268</v>
      </c>
    </row>
    <row r="3" spans="2:22" x14ac:dyDescent="0.25">
      <c r="C3" s="150">
        <v>45919</v>
      </c>
      <c r="D3" s="151">
        <v>45920</v>
      </c>
      <c r="E3" s="151">
        <v>45921</v>
      </c>
      <c r="F3" s="150">
        <v>45922</v>
      </c>
      <c r="G3" s="150">
        <v>45923</v>
      </c>
      <c r="H3" s="157">
        <v>45924</v>
      </c>
      <c r="I3" s="150">
        <v>45925</v>
      </c>
      <c r="J3" s="150">
        <v>45926</v>
      </c>
      <c r="K3" s="151">
        <v>45927</v>
      </c>
      <c r="L3" s="151">
        <v>45928</v>
      </c>
      <c r="M3" s="150">
        <v>45929</v>
      </c>
      <c r="N3" s="164">
        <v>45930</v>
      </c>
      <c r="O3" s="150">
        <v>45931</v>
      </c>
      <c r="P3" s="150">
        <v>45932</v>
      </c>
      <c r="Q3" s="150">
        <v>45933</v>
      </c>
      <c r="R3" s="151">
        <v>45934</v>
      </c>
      <c r="S3" s="151">
        <v>45935</v>
      </c>
      <c r="T3" s="150">
        <v>45936</v>
      </c>
      <c r="U3" s="150">
        <v>45937</v>
      </c>
      <c r="V3" s="150">
        <v>45938</v>
      </c>
    </row>
    <row r="4" spans="2:22" s="69" customFormat="1" ht="43.5" customHeight="1" x14ac:dyDescent="0.25">
      <c r="B4" s="162" t="s">
        <v>271</v>
      </c>
      <c r="C4" s="160"/>
      <c r="D4" s="153"/>
      <c r="E4" s="153"/>
      <c r="F4" s="152" t="s">
        <v>270</v>
      </c>
      <c r="G4" s="152" t="s">
        <v>272</v>
      </c>
      <c r="H4" s="158"/>
      <c r="I4" s="152"/>
      <c r="J4" s="152"/>
      <c r="K4" s="153"/>
      <c r="L4" s="153"/>
      <c r="M4" s="152"/>
      <c r="N4" s="165"/>
      <c r="O4" s="152"/>
      <c r="P4" s="152"/>
      <c r="Q4" s="152"/>
      <c r="R4" s="153"/>
      <c r="S4" s="153"/>
      <c r="T4" s="152"/>
      <c r="U4" s="152"/>
      <c r="V4" s="152"/>
    </row>
    <row r="5" spans="2:22" s="69" customFormat="1" x14ac:dyDescent="0.25">
      <c r="B5" s="162" t="s">
        <v>273</v>
      </c>
      <c r="C5" s="161"/>
      <c r="D5" s="155"/>
      <c r="E5" s="155"/>
      <c r="F5" s="154"/>
      <c r="G5" s="154"/>
      <c r="H5" s="159" t="s">
        <v>274</v>
      </c>
      <c r="I5" s="154"/>
      <c r="J5" s="159" t="s">
        <v>274</v>
      </c>
      <c r="K5" s="155"/>
      <c r="L5" s="155"/>
      <c r="M5" s="159" t="s">
        <v>274</v>
      </c>
      <c r="N5" s="166" t="s">
        <v>274</v>
      </c>
      <c r="O5" s="159" t="s">
        <v>274</v>
      </c>
      <c r="P5" s="159" t="s">
        <v>274</v>
      </c>
      <c r="Q5" s="159" t="s">
        <v>274</v>
      </c>
      <c r="R5" s="155"/>
      <c r="S5" s="155"/>
      <c r="T5" s="154"/>
      <c r="U5" s="154"/>
      <c r="V5" s="154"/>
    </row>
    <row r="6" spans="2:22" x14ac:dyDescent="0.25">
      <c r="N6" s="163" t="s">
        <v>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C3D57-EF2F-4CEE-ADE0-C4E0F4ED88AD}">
  <sheetPr>
    <tabColor theme="3"/>
  </sheetPr>
  <dimension ref="A1:I27"/>
  <sheetViews>
    <sheetView workbookViewId="0">
      <selection activeCell="H27" sqref="H27"/>
    </sheetView>
  </sheetViews>
  <sheetFormatPr defaultRowHeight="15" x14ac:dyDescent="0.25"/>
  <cols>
    <col min="1" max="1" width="17.85546875" bestFit="1" customWidth="1"/>
    <col min="2" max="2" width="10" bestFit="1" customWidth="1"/>
    <col min="4" max="4" width="41" bestFit="1" customWidth="1"/>
    <col min="5" max="5" width="28.7109375" bestFit="1" customWidth="1"/>
    <col min="8" max="8" width="11.42578125" bestFit="1" customWidth="1"/>
    <col min="9" max="9" width="12.42578125" bestFit="1" customWidth="1"/>
  </cols>
  <sheetData>
    <row r="1" spans="1:9" x14ac:dyDescent="0.25">
      <c r="A1" t="s">
        <v>129</v>
      </c>
    </row>
    <row r="2" spans="1:9" x14ac:dyDescent="0.25">
      <c r="A2" t="s">
        <v>130</v>
      </c>
      <c r="B2">
        <v>28800</v>
      </c>
    </row>
    <row r="3" spans="1:9" x14ac:dyDescent="0.25">
      <c r="A3" t="s">
        <v>17</v>
      </c>
      <c r="B3">
        <v>120</v>
      </c>
    </row>
    <row r="4" spans="1:9" x14ac:dyDescent="0.25">
      <c r="A4" t="s">
        <v>131</v>
      </c>
      <c r="B4">
        <v>155</v>
      </c>
      <c r="H4" s="130"/>
      <c r="I4" s="130"/>
    </row>
    <row r="5" spans="1:9" x14ac:dyDescent="0.25">
      <c r="D5" t="s">
        <v>132</v>
      </c>
      <c r="E5" t="s">
        <v>133</v>
      </c>
      <c r="F5" t="s">
        <v>134</v>
      </c>
      <c r="G5" t="s">
        <v>135</v>
      </c>
      <c r="H5" s="130" t="s">
        <v>136</v>
      </c>
      <c r="I5" s="130" t="s">
        <v>137</v>
      </c>
    </row>
    <row r="6" spans="1:9" x14ac:dyDescent="0.25">
      <c r="D6" t="s">
        <v>138</v>
      </c>
      <c r="E6" t="s">
        <v>139</v>
      </c>
      <c r="F6">
        <v>150</v>
      </c>
      <c r="G6">
        <v>200</v>
      </c>
      <c r="H6" s="130">
        <v>23250</v>
      </c>
      <c r="I6" s="130">
        <v>31000</v>
      </c>
    </row>
    <row r="7" spans="1:9" x14ac:dyDescent="0.25">
      <c r="D7" t="s">
        <v>65</v>
      </c>
      <c r="E7" t="s">
        <v>140</v>
      </c>
      <c r="F7">
        <v>60</v>
      </c>
      <c r="G7">
        <v>80</v>
      </c>
      <c r="H7" s="130">
        <v>9300</v>
      </c>
      <c r="I7" s="130">
        <v>12400</v>
      </c>
    </row>
    <row r="8" spans="1:9" x14ac:dyDescent="0.25">
      <c r="D8" t="s">
        <v>391</v>
      </c>
      <c r="E8" t="s">
        <v>141</v>
      </c>
      <c r="F8">
        <v>2</v>
      </c>
      <c r="G8">
        <v>3</v>
      </c>
      <c r="H8" s="130">
        <v>57600</v>
      </c>
      <c r="I8" s="130">
        <v>86400</v>
      </c>
    </row>
    <row r="9" spans="1:9" x14ac:dyDescent="0.25">
      <c r="D9" t="s">
        <v>142</v>
      </c>
      <c r="E9" t="s">
        <v>143</v>
      </c>
      <c r="F9">
        <v>20</v>
      </c>
      <c r="G9">
        <v>40</v>
      </c>
      <c r="H9" s="130">
        <v>2400</v>
      </c>
      <c r="I9" s="130">
        <v>4800</v>
      </c>
    </row>
    <row r="10" spans="1:9" x14ac:dyDescent="0.25">
      <c r="D10" t="s">
        <v>144</v>
      </c>
      <c r="E10" t="s">
        <v>145</v>
      </c>
      <c r="F10">
        <v>20</v>
      </c>
      <c r="G10">
        <v>20</v>
      </c>
      <c r="H10" s="130">
        <v>2400</v>
      </c>
      <c r="I10" s="130">
        <v>2400</v>
      </c>
    </row>
    <row r="11" spans="1:9" x14ac:dyDescent="0.25">
      <c r="D11" t="s">
        <v>146</v>
      </c>
      <c r="E11" t="s">
        <v>147</v>
      </c>
      <c r="F11">
        <v>40</v>
      </c>
      <c r="G11">
        <v>40</v>
      </c>
      <c r="H11" s="130">
        <v>4800</v>
      </c>
      <c r="I11" s="130">
        <v>4800</v>
      </c>
    </row>
    <row r="12" spans="1:9" ht="15.75" thickBot="1" x14ac:dyDescent="0.3">
      <c r="D12" t="s">
        <v>24</v>
      </c>
      <c r="F12" s="39">
        <v>292</v>
      </c>
      <c r="G12" s="39">
        <v>383</v>
      </c>
      <c r="H12" s="131">
        <v>99750</v>
      </c>
      <c r="I12" s="131">
        <v>141800</v>
      </c>
    </row>
    <row r="13" spans="1:9" ht="15.75" thickTop="1" x14ac:dyDescent="0.25">
      <c r="H13" s="130"/>
      <c r="I13" s="130"/>
    </row>
    <row r="14" spans="1:9" x14ac:dyDescent="0.25">
      <c r="A14" t="s">
        <v>10</v>
      </c>
      <c r="B14" t="s">
        <v>6</v>
      </c>
      <c r="H14" s="130"/>
      <c r="I14" s="130"/>
    </row>
    <row r="15" spans="1:9" x14ac:dyDescent="0.25">
      <c r="A15" t="s">
        <v>148</v>
      </c>
    </row>
    <row r="16" spans="1:9" x14ac:dyDescent="0.25">
      <c r="A16" t="s">
        <v>12</v>
      </c>
      <c r="B16">
        <v>1</v>
      </c>
    </row>
    <row r="17" spans="1:4" x14ac:dyDescent="0.25">
      <c r="A17" t="s">
        <v>11</v>
      </c>
      <c r="B17">
        <v>0.5</v>
      </c>
    </row>
    <row r="18" spans="1:4" x14ac:dyDescent="0.25">
      <c r="A18" t="s">
        <v>7</v>
      </c>
      <c r="B18">
        <v>0.25</v>
      </c>
    </row>
    <row r="19" spans="1:4" x14ac:dyDescent="0.25">
      <c r="A19" t="s">
        <v>8</v>
      </c>
      <c r="B19">
        <v>0.125</v>
      </c>
    </row>
    <row r="20" spans="1:4" x14ac:dyDescent="0.25">
      <c r="A20" t="s">
        <v>9</v>
      </c>
      <c r="B20">
        <v>0.13</v>
      </c>
    </row>
    <row r="21" spans="1:4" x14ac:dyDescent="0.25">
      <c r="A21" t="s">
        <v>149</v>
      </c>
      <c r="B21">
        <v>2.0049999999999999</v>
      </c>
    </row>
    <row r="22" spans="1:4" x14ac:dyDescent="0.25">
      <c r="A22" t="s">
        <v>150</v>
      </c>
      <c r="B22">
        <v>2</v>
      </c>
    </row>
    <row r="25" spans="1:4" x14ac:dyDescent="0.25">
      <c r="C25" t="s">
        <v>151</v>
      </c>
      <c r="D25" t="s">
        <v>152</v>
      </c>
    </row>
    <row r="26" spans="1:4" x14ac:dyDescent="0.25">
      <c r="D26" t="s">
        <v>153</v>
      </c>
    </row>
    <row r="27" spans="1:4" x14ac:dyDescent="0.25">
      <c r="D27" t="s">
        <v>154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A0D1-BFD3-49F5-AE74-D74CCB0F9E22}">
  <sheetPr>
    <tabColor theme="1" tint="0.499984740745262"/>
  </sheetPr>
  <dimension ref="A1:G17"/>
  <sheetViews>
    <sheetView workbookViewId="0">
      <selection activeCell="I15" sqref="I15"/>
    </sheetView>
  </sheetViews>
  <sheetFormatPr defaultRowHeight="15" x14ac:dyDescent="0.25"/>
  <cols>
    <col min="1" max="1" width="37.28515625" bestFit="1" customWidth="1"/>
    <col min="2" max="2" width="14.5703125" style="41" customWidth="1"/>
    <col min="3" max="3" width="10.7109375" customWidth="1"/>
    <col min="5" max="5" width="10.42578125" bestFit="1" customWidth="1"/>
  </cols>
  <sheetData>
    <row r="1" spans="1:7" x14ac:dyDescent="0.25">
      <c r="A1" s="48" t="s">
        <v>95</v>
      </c>
      <c r="B1" s="49"/>
      <c r="C1" s="44"/>
      <c r="D1" s="44"/>
    </row>
    <row r="2" spans="1:7" x14ac:dyDescent="0.25">
      <c r="A2" t="s">
        <v>96</v>
      </c>
      <c r="B2" s="43">
        <f>62.67857*7</f>
        <v>438.74999000000003</v>
      </c>
    </row>
    <row r="3" spans="1:7" x14ac:dyDescent="0.25">
      <c r="A3" t="s">
        <v>97</v>
      </c>
      <c r="B3" s="41">
        <v>7</v>
      </c>
    </row>
    <row r="4" spans="1:7" x14ac:dyDescent="0.25">
      <c r="A4" t="s">
        <v>98</v>
      </c>
      <c r="B4" s="43">
        <f>SUM(B11:B12)</f>
        <v>3205.5</v>
      </c>
    </row>
    <row r="5" spans="1:7" x14ac:dyDescent="0.25">
      <c r="A5" s="45" t="s">
        <v>99</v>
      </c>
      <c r="B5" s="46">
        <f>B4/B2</f>
        <v>7.3059830725010384</v>
      </c>
    </row>
    <row r="6" spans="1:7" x14ac:dyDescent="0.25">
      <c r="A6" s="45" t="s">
        <v>101</v>
      </c>
      <c r="B6" s="46">
        <f>40*3/B5</f>
        <v>16.424894337856809</v>
      </c>
      <c r="E6" s="37"/>
    </row>
    <row r="10" spans="1:7" x14ac:dyDescent="0.25">
      <c r="A10" s="47" t="s">
        <v>100</v>
      </c>
      <c r="B10" s="201" t="s">
        <v>94</v>
      </c>
      <c r="C10" s="202" t="s">
        <v>93</v>
      </c>
    </row>
    <row r="11" spans="1:7" x14ac:dyDescent="0.25">
      <c r="A11" t="s">
        <v>88</v>
      </c>
      <c r="B11" s="41">
        <v>1932.75</v>
      </c>
      <c r="C11" s="38">
        <f>B11/$B$16+B12/B16</f>
        <v>0.5488634904327726</v>
      </c>
      <c r="D11" s="40"/>
      <c r="E11" s="37"/>
      <c r="G11" s="37"/>
    </row>
    <row r="12" spans="1:7" x14ac:dyDescent="0.25">
      <c r="A12" t="s">
        <v>89</v>
      </c>
      <c r="B12" s="41">
        <v>1272.75</v>
      </c>
      <c r="C12" s="38"/>
      <c r="E12" s="37"/>
      <c r="G12" s="37"/>
    </row>
    <row r="13" spans="1:7" x14ac:dyDescent="0.25">
      <c r="A13" t="s">
        <v>92</v>
      </c>
      <c r="B13" s="41">
        <v>1168.75</v>
      </c>
      <c r="C13" s="38">
        <f t="shared" ref="C13:C15" si="0">B13/$B$16</f>
        <v>0.20011985788279613</v>
      </c>
      <c r="D13" s="38"/>
      <c r="G13" s="37"/>
    </row>
    <row r="14" spans="1:7" x14ac:dyDescent="0.25">
      <c r="A14" t="s">
        <v>90</v>
      </c>
      <c r="B14" s="41">
        <v>1268</v>
      </c>
      <c r="C14" s="38">
        <f t="shared" si="0"/>
        <v>0.21711399340781645</v>
      </c>
      <c r="D14" s="38"/>
    </row>
    <row r="15" spans="1:7" x14ac:dyDescent="0.25">
      <c r="A15" t="s">
        <v>91</v>
      </c>
      <c r="B15" s="41">
        <v>198</v>
      </c>
      <c r="C15" s="38">
        <f t="shared" si="0"/>
        <v>3.3902658276614872E-2</v>
      </c>
      <c r="D15" s="38"/>
    </row>
    <row r="16" spans="1:7" ht="15.75" thickBot="1" x14ac:dyDescent="0.3">
      <c r="B16" s="42">
        <f>SUM(B11:B15)</f>
        <v>5840.25</v>
      </c>
      <c r="C16" s="39">
        <f>SUM(C11:C15)</f>
        <v>1</v>
      </c>
      <c r="D16" s="38"/>
    </row>
    <row r="17" spans="4:4" ht="15.75" thickTop="1" x14ac:dyDescent="0.25">
      <c r="D17" s="3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9A42-524D-4A1F-8F7E-48A83E71CD07}">
  <dimension ref="A1"/>
  <sheetViews>
    <sheetView workbookViewId="0">
      <selection activeCell="M26" sqref="M26"/>
    </sheetView>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5C31-82AF-4E79-8650-807BDC491094}">
  <dimension ref="C1:K33"/>
  <sheetViews>
    <sheetView showGridLines="0" workbookViewId="0">
      <selection activeCell="K31" sqref="K31"/>
    </sheetView>
  </sheetViews>
  <sheetFormatPr defaultRowHeight="15" x14ac:dyDescent="0.25"/>
  <cols>
    <col min="2" max="2" width="2" customWidth="1"/>
    <col min="3" max="3" width="44.42578125" bestFit="1" customWidth="1"/>
    <col min="4" max="4" width="18.28515625" bestFit="1" customWidth="1"/>
    <col min="5" max="5" width="23.140625" bestFit="1" customWidth="1"/>
    <col min="6" max="6" width="26.85546875" bestFit="1" customWidth="1"/>
    <col min="7" max="7" width="18.140625" customWidth="1"/>
    <col min="8" max="8" width="12.7109375" bestFit="1" customWidth="1"/>
    <col min="9" max="9" width="18.5703125" customWidth="1"/>
    <col min="10" max="10" width="9" customWidth="1"/>
    <col min="11" max="11" width="17.85546875" customWidth="1"/>
    <col min="12" max="12" width="46.5703125" bestFit="1" customWidth="1"/>
    <col min="13" max="13" width="26.85546875" bestFit="1" customWidth="1"/>
    <col min="14" max="14" width="12.5703125" bestFit="1" customWidth="1"/>
    <col min="15" max="15" width="12.7109375" bestFit="1" customWidth="1"/>
  </cols>
  <sheetData>
    <row r="1" spans="3:8" x14ac:dyDescent="0.25">
      <c r="C1" s="301" t="s">
        <v>34</v>
      </c>
      <c r="D1" s="302"/>
    </row>
    <row r="2" spans="3:8" x14ac:dyDescent="0.25">
      <c r="C2" s="6" t="s">
        <v>35</v>
      </c>
      <c r="D2" s="13"/>
    </row>
    <row r="3" spans="3:8" x14ac:dyDescent="0.25">
      <c r="C3" s="6" t="s">
        <v>36</v>
      </c>
      <c r="D3" s="14"/>
    </row>
    <row r="4" spans="3:8" x14ac:dyDescent="0.25">
      <c r="C4" s="6" t="s">
        <v>43</v>
      </c>
      <c r="D4" s="36" t="s">
        <v>41</v>
      </c>
    </row>
    <row r="6" spans="3:8" x14ac:dyDescent="0.25">
      <c r="C6" s="303" t="s">
        <v>49</v>
      </c>
      <c r="D6" s="303"/>
      <c r="E6" s="303" t="s">
        <v>50</v>
      </c>
      <c r="F6" s="303"/>
    </row>
    <row r="7" spans="3:8" x14ac:dyDescent="0.25">
      <c r="C7" s="6" t="s">
        <v>51</v>
      </c>
      <c r="D7" s="12">
        <v>120</v>
      </c>
      <c r="E7" s="6" t="s">
        <v>18</v>
      </c>
      <c r="F7" s="13">
        <v>110</v>
      </c>
      <c r="H7" s="19"/>
    </row>
    <row r="8" spans="3:8" x14ac:dyDescent="0.25">
      <c r="C8" s="6" t="s">
        <v>17</v>
      </c>
      <c r="D8" s="12">
        <v>97</v>
      </c>
      <c r="E8" s="6" t="s">
        <v>26</v>
      </c>
      <c r="F8" s="14">
        <f>'DNU_Team &amp; Velocity v1'!B11</f>
        <v>25</v>
      </c>
    </row>
    <row r="9" spans="3:8" x14ac:dyDescent="0.25">
      <c r="C9" s="6" t="s">
        <v>22</v>
      </c>
      <c r="D9" s="15">
        <f>ROUND('DNU_Team &amp; Velocity v1'!B8,0)</f>
        <v>3</v>
      </c>
      <c r="E9" s="6" t="s">
        <v>27</v>
      </c>
      <c r="F9" s="14">
        <f>'DNU_Team &amp; Velocity v1'!B12</f>
        <v>15</v>
      </c>
    </row>
    <row r="10" spans="3:8" x14ac:dyDescent="0.25">
      <c r="C10" s="6" t="s">
        <v>23</v>
      </c>
      <c r="D10" s="17">
        <v>1</v>
      </c>
      <c r="E10" s="6" t="s">
        <v>28</v>
      </c>
      <c r="F10" s="14">
        <f>ROUNDUP(F7/F8,0)</f>
        <v>5</v>
      </c>
    </row>
    <row r="11" spans="3:8" x14ac:dyDescent="0.25">
      <c r="C11" s="6" t="s">
        <v>54</v>
      </c>
      <c r="D11" s="35">
        <v>120</v>
      </c>
      <c r="E11" s="6" t="s">
        <v>29</v>
      </c>
      <c r="F11" s="14">
        <f>ROUNDUP(F7/F9,0)</f>
        <v>8</v>
      </c>
    </row>
    <row r="12" spans="3:8" x14ac:dyDescent="0.25">
      <c r="C12" s="6" t="s">
        <v>30</v>
      </c>
      <c r="D12" s="35">
        <f>(D10*D8*8*5)</f>
        <v>3880</v>
      </c>
      <c r="E12" s="6" t="s">
        <v>32</v>
      </c>
      <c r="F12" s="13">
        <v>2</v>
      </c>
    </row>
    <row r="13" spans="3:8" x14ac:dyDescent="0.25">
      <c r="D13" s="18"/>
      <c r="E13" s="6" t="s">
        <v>33</v>
      </c>
      <c r="F13" s="13">
        <v>2</v>
      </c>
    </row>
    <row r="14" spans="3:8" ht="15.75" thickBot="1" x14ac:dyDescent="0.3">
      <c r="D14" s="18"/>
    </row>
    <row r="15" spans="3:8" x14ac:dyDescent="0.25">
      <c r="C15" s="298" t="s">
        <v>45</v>
      </c>
      <c r="D15" s="299"/>
      <c r="E15" s="299"/>
      <c r="F15" s="299"/>
      <c r="G15" s="299"/>
      <c r="H15" s="300"/>
    </row>
    <row r="16" spans="3:8" x14ac:dyDescent="0.25">
      <c r="C16" s="22" t="s">
        <v>48</v>
      </c>
      <c r="D16" s="9" t="s">
        <v>19</v>
      </c>
      <c r="E16" s="9" t="s">
        <v>20</v>
      </c>
      <c r="F16" s="9" t="s">
        <v>25</v>
      </c>
      <c r="G16" s="9" t="s">
        <v>0</v>
      </c>
      <c r="H16" s="23" t="s">
        <v>1</v>
      </c>
    </row>
    <row r="17" spans="3:11" x14ac:dyDescent="0.25">
      <c r="C17" s="24" t="s">
        <v>52</v>
      </c>
      <c r="D17" s="13">
        <v>80</v>
      </c>
      <c r="E17" s="13">
        <v>100</v>
      </c>
      <c r="F17" s="6" t="s">
        <v>21</v>
      </c>
      <c r="G17" s="16">
        <f>D17*$D$7</f>
        <v>9600</v>
      </c>
      <c r="H17" s="25">
        <f>E17*$D$7</f>
        <v>12000</v>
      </c>
    </row>
    <row r="18" spans="3:11" x14ac:dyDescent="0.25">
      <c r="C18" s="24" t="s">
        <v>53</v>
      </c>
      <c r="D18" s="14">
        <f>F10</f>
        <v>5</v>
      </c>
      <c r="E18" s="14">
        <f>F11</f>
        <v>8</v>
      </c>
      <c r="F18" s="6"/>
      <c r="G18" s="16">
        <f>D18*D11</f>
        <v>600</v>
      </c>
      <c r="H18" s="25">
        <f>E18*D11</f>
        <v>960</v>
      </c>
    </row>
    <row r="19" spans="3:11" x14ac:dyDescent="0.25">
      <c r="C19" s="24" t="s">
        <v>31</v>
      </c>
      <c r="D19" s="14">
        <f>F12</f>
        <v>2</v>
      </c>
      <c r="E19" s="14">
        <f>F12</f>
        <v>2</v>
      </c>
      <c r="F19" s="6"/>
      <c r="G19" s="16">
        <f>D19*D12</f>
        <v>7760</v>
      </c>
      <c r="H19" s="25">
        <f>E19*D12</f>
        <v>7760</v>
      </c>
    </row>
    <row r="20" spans="3:11" x14ac:dyDescent="0.25">
      <c r="C20" s="24" t="s">
        <v>2</v>
      </c>
      <c r="D20" s="14">
        <f>F13</f>
        <v>2</v>
      </c>
      <c r="E20" s="14">
        <f>F13</f>
        <v>2</v>
      </c>
      <c r="F20" s="6"/>
      <c r="G20" s="16">
        <f>D20*D12</f>
        <v>7760</v>
      </c>
      <c r="H20" s="25">
        <f>E20*D12</f>
        <v>7760</v>
      </c>
    </row>
    <row r="21" spans="3:11" x14ac:dyDescent="0.25">
      <c r="C21" s="24" t="s">
        <v>3</v>
      </c>
      <c r="D21" s="13">
        <v>6</v>
      </c>
      <c r="E21" s="13">
        <v>8</v>
      </c>
      <c r="F21" s="6" t="s">
        <v>4</v>
      </c>
      <c r="G21" s="16">
        <f>D21*D$7</f>
        <v>720</v>
      </c>
      <c r="H21" s="25">
        <f>E21*$D$7</f>
        <v>960</v>
      </c>
      <c r="K21" t="s">
        <v>47</v>
      </c>
    </row>
    <row r="22" spans="3:11" ht="15.75" thickBot="1" x14ac:dyDescent="0.3">
      <c r="C22" s="26" t="s">
        <v>24</v>
      </c>
      <c r="D22" s="6"/>
      <c r="E22" s="6"/>
      <c r="F22" s="7"/>
      <c r="G22" s="8">
        <f>SUM(G17:G21)</f>
        <v>26440</v>
      </c>
      <c r="H22" s="27">
        <f>SUM(H17:H21)</f>
        <v>29440</v>
      </c>
    </row>
    <row r="23" spans="3:11" ht="16.5" thickTop="1" thickBot="1" x14ac:dyDescent="0.3">
      <c r="C23" s="28"/>
      <c r="D23" s="29"/>
      <c r="E23" s="29"/>
      <c r="F23" s="29"/>
      <c r="G23" s="29"/>
      <c r="H23" s="30"/>
    </row>
    <row r="24" spans="3:11" ht="15.75" thickBot="1" x14ac:dyDescent="0.3"/>
    <row r="25" spans="3:11" x14ac:dyDescent="0.25">
      <c r="C25" s="298" t="s">
        <v>46</v>
      </c>
      <c r="D25" s="299"/>
      <c r="E25" s="299"/>
      <c r="F25" s="300"/>
    </row>
    <row r="26" spans="3:11" x14ac:dyDescent="0.25">
      <c r="C26" s="22" t="str">
        <f t="shared" ref="C26:C32" si="0">C16</f>
        <v>Project Phase</v>
      </c>
      <c r="D26" s="9" t="s">
        <v>44</v>
      </c>
      <c r="E26" s="9" t="s">
        <v>0</v>
      </c>
      <c r="F26" s="23" t="s">
        <v>1</v>
      </c>
    </row>
    <row r="27" spans="3:11" x14ac:dyDescent="0.25">
      <c r="C27" s="24" t="str">
        <f t="shared" si="0"/>
        <v>Sprint 0 (hours)</v>
      </c>
      <c r="D27" s="6"/>
      <c r="E27" s="31">
        <f t="shared" ref="E27:F31" si="1">G17</f>
        <v>9600</v>
      </c>
      <c r="F27" s="33">
        <f t="shared" si="1"/>
        <v>12000</v>
      </c>
    </row>
    <row r="28" spans="3:11" x14ac:dyDescent="0.25">
      <c r="C28" s="24" t="s">
        <v>53</v>
      </c>
      <c r="D28" s="6"/>
      <c r="E28" s="31">
        <f t="shared" si="1"/>
        <v>600</v>
      </c>
      <c r="F28" s="33">
        <f t="shared" si="1"/>
        <v>960</v>
      </c>
    </row>
    <row r="29" spans="3:11" x14ac:dyDescent="0.25">
      <c r="C29" s="24" t="str">
        <f t="shared" si="0"/>
        <v>Final UAT</v>
      </c>
      <c r="D29" s="6"/>
      <c r="E29" s="31">
        <f t="shared" si="1"/>
        <v>7760</v>
      </c>
      <c r="F29" s="33">
        <f t="shared" si="1"/>
        <v>7760</v>
      </c>
    </row>
    <row r="30" spans="3:11" x14ac:dyDescent="0.25">
      <c r="C30" s="24" t="str">
        <f t="shared" si="0"/>
        <v>Production Deployment &amp; Post Go-Live Support </v>
      </c>
      <c r="D30" s="6"/>
      <c r="E30" s="31">
        <f t="shared" si="1"/>
        <v>7760</v>
      </c>
      <c r="F30" s="33">
        <f t="shared" si="1"/>
        <v>7760</v>
      </c>
    </row>
    <row r="31" spans="3:11" x14ac:dyDescent="0.25">
      <c r="C31" s="24" t="str">
        <f t="shared" si="0"/>
        <v>User guide creation</v>
      </c>
      <c r="D31" s="6"/>
      <c r="E31" s="31">
        <f t="shared" si="1"/>
        <v>720</v>
      </c>
      <c r="F31" s="33">
        <f t="shared" si="1"/>
        <v>960</v>
      </c>
    </row>
    <row r="32" spans="3:11" x14ac:dyDescent="0.25">
      <c r="C32" s="26" t="str">
        <f t="shared" si="0"/>
        <v>Total Cost for Release 1</v>
      </c>
      <c r="D32" s="7"/>
      <c r="E32" s="32">
        <f>G22</f>
        <v>26440</v>
      </c>
      <c r="F32" s="34">
        <f>H22</f>
        <v>29440</v>
      </c>
    </row>
    <row r="33" spans="3:6" ht="15.75" thickBot="1" x14ac:dyDescent="0.3">
      <c r="C33" s="28"/>
      <c r="D33" s="29"/>
      <c r="E33" s="29"/>
      <c r="F33" s="30"/>
    </row>
  </sheetData>
  <mergeCells count="5">
    <mergeCell ref="C15:H15"/>
    <mergeCell ref="C25:F25"/>
    <mergeCell ref="C1:D1"/>
    <mergeCell ref="C6:D6"/>
    <mergeCell ref="E6:F6"/>
  </mergeCells>
  <conditionalFormatting sqref="D7:D8">
    <cfRule type="expression" dxfId="11" priority="1">
      <formula>$D$4="$"</formula>
    </cfRule>
    <cfRule type="expression" dxfId="10" priority="2">
      <formula>$D$4="£"</formula>
    </cfRule>
    <cfRule type="expression" dxfId="9" priority="3">
      <formula>$D$4="R"</formula>
    </cfRule>
  </conditionalFormatting>
  <conditionalFormatting sqref="D11:D12">
    <cfRule type="expression" dxfId="8" priority="5">
      <formula>$D$4="$"</formula>
    </cfRule>
    <cfRule type="expression" dxfId="7" priority="6">
      <formula>$D$4="£"</formula>
    </cfRule>
    <cfRule type="expression" dxfId="6" priority="7">
      <formula>$D$4="R"</formula>
    </cfRule>
  </conditionalFormatting>
  <conditionalFormatting sqref="E27:F32">
    <cfRule type="expression" dxfId="5" priority="11">
      <formula>$D$4="$"</formula>
    </cfRule>
    <cfRule type="expression" dxfId="4" priority="12">
      <formula>$D$4="£"</formula>
    </cfRule>
    <cfRule type="expression" dxfId="3" priority="13">
      <formula>$D$4="R"</formula>
    </cfRule>
  </conditionalFormatting>
  <conditionalFormatting sqref="G17:H22">
    <cfRule type="expression" dxfId="2" priority="8">
      <formula>$D$4="$"</formula>
    </cfRule>
    <cfRule type="expression" dxfId="1" priority="9">
      <formula>$D$4="£"</formula>
    </cfRule>
    <cfRule type="expression" dxfId="0" priority="10">
      <formula>$D$4="R"</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57DCE36-7953-4FD8-9078-4D867EFADAE4}">
          <x14:formula1>
            <xm:f>Currency!$B$2:$B$4</xm:f>
          </x14:formula1>
          <xm:sqref>D4</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6177-A4DD-4543-8DEC-552B5EC861AC}">
  <dimension ref="A1:D13"/>
  <sheetViews>
    <sheetView workbookViewId="0">
      <selection activeCell="N14" sqref="N14"/>
    </sheetView>
  </sheetViews>
  <sheetFormatPr defaultRowHeight="15" x14ac:dyDescent="0.25"/>
  <cols>
    <col min="1" max="1" width="31.7109375" style="1" customWidth="1"/>
    <col min="2" max="2" width="21.42578125" style="1" customWidth="1"/>
    <col min="3" max="4" width="12.85546875" style="1" customWidth="1"/>
    <col min="5" max="5" width="9.42578125" customWidth="1"/>
  </cols>
  <sheetData>
    <row r="1" spans="1:4" x14ac:dyDescent="0.25">
      <c r="A1" s="2" t="s">
        <v>10</v>
      </c>
      <c r="B1" s="11" t="s">
        <v>6</v>
      </c>
      <c r="D1" s="2"/>
    </row>
    <row r="2" spans="1:4" x14ac:dyDescent="0.25">
      <c r="A2" s="1" t="s">
        <v>57</v>
      </c>
      <c r="B2" s="4">
        <v>1</v>
      </c>
      <c r="D2" s="2"/>
    </row>
    <row r="3" spans="1:4" x14ac:dyDescent="0.25">
      <c r="A3" s="1" t="s">
        <v>12</v>
      </c>
      <c r="B3" s="4">
        <v>1</v>
      </c>
      <c r="D3" s="3"/>
    </row>
    <row r="4" spans="1:4" x14ac:dyDescent="0.25">
      <c r="A4" s="1" t="s">
        <v>11</v>
      </c>
      <c r="B4" s="4">
        <v>0.5</v>
      </c>
      <c r="D4" s="3"/>
    </row>
    <row r="5" spans="1:4" x14ac:dyDescent="0.25">
      <c r="A5" s="1" t="s">
        <v>7</v>
      </c>
      <c r="B5" s="4">
        <v>0.25</v>
      </c>
      <c r="D5" s="3"/>
    </row>
    <row r="6" spans="1:4" x14ac:dyDescent="0.25">
      <c r="A6" s="1" t="s">
        <v>8</v>
      </c>
      <c r="B6" s="4">
        <f>B5*0.5</f>
        <v>0.125</v>
      </c>
      <c r="D6" s="3"/>
    </row>
    <row r="7" spans="1:4" x14ac:dyDescent="0.25">
      <c r="A7" s="1" t="s">
        <v>9</v>
      </c>
      <c r="B7" s="4">
        <v>0.2</v>
      </c>
    </row>
    <row r="8" spans="1:4" x14ac:dyDescent="0.25">
      <c r="A8" s="2" t="s">
        <v>13</v>
      </c>
      <c r="B8" s="10">
        <f>SUM(B2:B7)</f>
        <v>3.0750000000000002</v>
      </c>
    </row>
    <row r="9" spans="1:4" x14ac:dyDescent="0.25">
      <c r="C9" s="4"/>
    </row>
    <row r="10" spans="1:4" x14ac:dyDescent="0.25">
      <c r="A10" s="2" t="s">
        <v>5</v>
      </c>
      <c r="B10" s="2" t="s">
        <v>16</v>
      </c>
      <c r="C10" s="2"/>
      <c r="D10" s="5"/>
    </row>
    <row r="11" spans="1:4" x14ac:dyDescent="0.25">
      <c r="A11" s="1" t="s">
        <v>14</v>
      </c>
      <c r="B11" s="1">
        <v>25</v>
      </c>
      <c r="D11" s="3"/>
    </row>
    <row r="12" spans="1:4" x14ac:dyDescent="0.25">
      <c r="A12" s="1" t="s">
        <v>15</v>
      </c>
      <c r="B12" s="1">
        <v>15</v>
      </c>
    </row>
    <row r="13" spans="1:4" x14ac:dyDescent="0.25">
      <c r="D13" s="3"/>
    </row>
  </sheetData>
  <phoneticPr fontId="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81967-FFB9-480C-8D95-EF72778D202F}">
  <dimension ref="A2:B4"/>
  <sheetViews>
    <sheetView workbookViewId="0">
      <selection activeCell="F25" sqref="F25"/>
    </sheetView>
  </sheetViews>
  <sheetFormatPr defaultRowHeight="15" x14ac:dyDescent="0.25"/>
  <sheetData>
    <row r="2" spans="1:2" x14ac:dyDescent="0.25">
      <c r="A2" t="s">
        <v>37</v>
      </c>
      <c r="B2" s="20" t="s">
        <v>42</v>
      </c>
    </row>
    <row r="3" spans="1:2" x14ac:dyDescent="0.25">
      <c r="A3" t="s">
        <v>38</v>
      </c>
      <c r="B3" s="21" t="s">
        <v>41</v>
      </c>
    </row>
    <row r="4" spans="1:2" x14ac:dyDescent="0.25">
      <c r="A4" t="s">
        <v>39</v>
      </c>
      <c r="B4" s="20" t="s">
        <v>40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15C47CB9-CB87-4A69-8952-5A20359B75E5}">
  <ds:schemaRefs>
    <ds:schemaRef ds:uri="Microsoft.SharePoint.Taxonomy.ContentTypeSync"/>
  </ds:schemaRefs>
</ds:datastoreItem>
</file>

<file path=customXml/itemProps2.xml><?xml version="1.0" encoding="utf-8"?>
<ds:datastoreItem xmlns:ds="http://schemas.openxmlformats.org/officeDocument/2006/customXml" ds:itemID="{E1C16EEB-B7E9-4D26-9E32-9537C3571A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CBB8FA-0BE6-4FFA-B672-F251BED2EE0A}">
  <ds:schemaRefs>
    <ds:schemaRef ds:uri="http://schemas.microsoft.com/sharepoint/v3/contenttype/forms"/>
  </ds:schemaRefs>
</ds:datastoreItem>
</file>

<file path=customXml/itemProps4.xml><?xml version="1.0" encoding="utf-8"?>
<ds:datastoreItem xmlns:ds="http://schemas.openxmlformats.org/officeDocument/2006/customXml" ds:itemID="{43EC73B4-88A6-4256-B10D-3BE936A451DE}">
  <ds:schemaRefs>
    <ds:schemaRef ds:uri="http://schemas.microsoft.com/DataMashup"/>
  </ds:schemaRefs>
</ds:datastoreItem>
</file>

<file path=customXml/itemProps5.xml><?xml version="1.0" encoding="utf-8"?>
<ds:datastoreItem xmlns:ds="http://schemas.openxmlformats.org/officeDocument/2006/customXml" ds:itemID="{88195739-F48A-45FA-B14B-AA6F1092D482}">
  <ds:schemaRefs>
    <ds:schemaRef ds:uri="http://schemas.openxmlformats.org/package/2006/metadata/core-properties"/>
    <ds:schemaRef ds:uri="http://schemas.microsoft.com/office/2006/documentManagement/types"/>
    <ds:schemaRef ds:uri="http://purl.org/dc/elements/1.1/"/>
    <ds:schemaRef ds:uri="1ffbd5dc-7a64-4097-8396-87f6c90b212f"/>
    <ds:schemaRef ds:uri="http://purl.org/dc/dcmitype/"/>
    <ds:schemaRef ds:uri="http://www.w3.org/XML/1998/namespace"/>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Proposal v1.1 Estimate</vt:lpstr>
      <vt:lpstr>Proposal v1.1_Features</vt:lpstr>
      <vt:lpstr>Proposal v1_Estimate</vt:lpstr>
      <vt:lpstr>Proposal v1_Features</vt:lpstr>
      <vt:lpstr>Timeline to Deliver Proposal</vt:lpstr>
      <vt:lpstr>ROM Estimate</vt:lpstr>
      <vt:lpstr>SVOT analysis</vt:lpstr>
      <vt:lpstr>Sheet1</vt:lpstr>
      <vt:lpstr>DNU_SOW v1</vt:lpstr>
      <vt:lpstr>DNU_Team &amp; Velocity v1</vt:lpstr>
      <vt:lpstr>Currency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Benkenstein</dc:creator>
  <cp:keywords/>
  <dc:description/>
  <cp:lastModifiedBy>Shaun Barrett</cp:lastModifiedBy>
  <cp:revision/>
  <dcterms:created xsi:type="dcterms:W3CDTF">2020-08-13T15:11:43Z</dcterms:created>
  <dcterms:modified xsi:type="dcterms:W3CDTF">2025-11-20T06:39:58Z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 Document Type">
    <vt:lpwstr>4;#Generic Project Document|258c2ed6-b93b-4ffe-8901-a23f2dc98ec9</vt:lpwstr>
  </property>
  <property fmtid="{D5CDD505-2E9C-101B-9397-08002B2CF9AE}" pid="3" name="MediaServiceImageTags">
    <vt:lpwstr/>
  </property>
  <property fmtid="{D5CDD505-2E9C-101B-9397-08002B2CF9AE}" pid="4" name="ContentTypeId">
    <vt:lpwstr>0x010100B16301FA1C2D5E4DB9305F31D037531D0207030047E0126EE26B68468E30FEE8ADFBCCCC</vt:lpwstr>
  </property>
  <property fmtid="{D5CDD505-2E9C-101B-9397-08002B2CF9AE}" pid="5" name="lcf76f155ced4ddcb4097134ff3c332f">
    <vt:lpwstr/>
  </property>
  <property fmtid="{D5CDD505-2E9C-101B-9397-08002B2CF9AE}" pid="6" name="Division">
    <vt:lpwstr>5;#Enterprise Solutions|08c57b01-67e8-4a4f-abc6-ffb3392ace7f</vt:lpwstr>
  </property>
  <property fmtid="{D5CDD505-2E9C-101B-9397-08002B2CF9AE}" pid="7" name="Client">
    <vt:lpwstr>6;#Grainger PLC|a74f1cb5-e995-4f9e-8521-6d52e2c6bf08</vt:lpwstr>
  </property>
  <property fmtid="{D5CDD505-2E9C-101B-9397-08002B2CF9AE}" pid="8" name="Client Project">
    <vt:lpwstr/>
  </property>
  <property fmtid="{D5CDD505-2E9C-101B-9397-08002B2CF9AE}" pid="9" name="Business Document Type">
    <vt:lpwstr>5;#Project Delivery Document|464596ad-2211-4003-92ff-a963197d93b9</vt:lpwstr>
  </property>
  <property fmtid="{D5CDD505-2E9C-101B-9397-08002B2CF9AE}" pid="10" name="l992f389a8bb4e119e73ef90413f377d">
    <vt:lpwstr>Project Delivery Document|464596ad-2211-4003-92ff-a963197d93b9</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Order">
    <vt:r8>28100</vt:r8>
  </property>
  <property fmtid="{D5CDD505-2E9C-101B-9397-08002B2CF9AE}" pid="18" name="Project_x0020_Document_x0020_Type">
    <vt:lpwstr>4;#Generic Project Document|258c2ed6-b93b-4ffe-8901-a23f2dc98ec9</vt:lpwstr>
  </property>
  <property fmtid="{D5CDD505-2E9C-101B-9397-08002B2CF9AE}" pid="19" name="Client_x0020_Project">
    <vt:lpwstr/>
  </property>
  <property fmtid="{D5CDD505-2E9C-101B-9397-08002B2CF9AE}" pid="20" name="nae5750f31d8428b9a1182bd8e59d390">
    <vt:lpwstr>Enterprise Solutions|08c57b01-67e8-4a4f-abc6-ffb3392ace7f</vt:lpwstr>
  </property>
  <property fmtid="{D5CDD505-2E9C-101B-9397-08002B2CF9AE}" pid="21" name="k6ebf865df8440b3a55c1aa81c9bae7c">
    <vt:lpwstr>Generic Project Document|258c2ed6-b93b-4ffe-8901-a23f2dc98ec9</vt:lpwstr>
  </property>
  <property fmtid="{D5CDD505-2E9C-101B-9397-08002B2CF9AE}" pid="22" name="ica44df5449d49f98766f83f0bd254a7">
    <vt:lpwstr>Grainger PLC|a74f1cb5-e995-4f9e-8521-6d52e2c6bf08</vt:lpwstr>
  </property>
</Properties>
</file>