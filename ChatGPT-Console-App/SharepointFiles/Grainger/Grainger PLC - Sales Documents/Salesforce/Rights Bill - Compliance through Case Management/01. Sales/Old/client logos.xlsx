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Sales Documents/Salesforce/Service Cloud Implementation - RRB/01. Sales/Old/"/>
    </mc:Choice>
  </mc:AlternateContent>
  <xr:revisionPtr revIDLastSave="0" documentId="8_{7ED3CE92-9F33-4110-963F-D6BA231E89EB}" xr6:coauthVersionLast="47" xr6:coauthVersionMax="47" xr10:uidLastSave="{00000000-0000-0000-0000-000000000000}"/>
  <bookViews>
    <workbookView xWindow="28680" yWindow="1335" windowWidth="29040" windowHeight="15720" xr2:uid="{3D9B214B-ED79-4D26-A613-E7C6E580B3E0}"/>
  </bookViews>
  <sheets>
    <sheet name="Sheet1 (2)" sheetId="2" r:id="rId1"/>
    <sheet name="Sheet3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7" i="3" l="1"/>
  <c r="S29" i="3" s="1"/>
  <c r="R27" i="3"/>
  <c r="R29" i="3" s="1"/>
  <c r="S28" i="3"/>
  <c r="R28" i="3"/>
  <c r="G12" i="3"/>
  <c r="F15" i="3"/>
  <c r="F13" i="3"/>
  <c r="E5" i="3"/>
  <c r="D10" i="3"/>
  <c r="D14" i="3"/>
  <c r="E4" i="3"/>
</calcChain>
</file>

<file path=xl/sharedStrings.xml><?xml version="1.0" encoding="utf-8"?>
<sst xmlns="http://schemas.openxmlformats.org/spreadsheetml/2006/main" count="12" uniqueCount="11">
  <si>
    <t>sprint zero</t>
  </si>
  <si>
    <t>build</t>
  </si>
  <si>
    <t xml:space="preserve">uat </t>
  </si>
  <si>
    <t>support</t>
  </si>
  <si>
    <t>discovery</t>
  </si>
  <si>
    <t>2-3 sprints</t>
  </si>
  <si>
    <t>3-5 sprints</t>
  </si>
  <si>
    <t>weeks</t>
  </si>
  <si>
    <t>4 W</t>
  </si>
  <si>
    <t>4W</t>
  </si>
  <si>
    <t>3W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</si>
</sst>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16" fontId="0" fillId="0" borderId="1" xfId="0" quotePrefix="1" applyNumberFormat="1" applyBorder="1"/>
    <xf numFmtId="0" fontId="0" fillId="0" borderId="1" xfId="0" quotePrefix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7.png"/><Relationship Id="rId1" Type="http://schemas.openxmlformats.org/officeDocument/2006/relationships/image" Target="../media/image1.jpe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400708</xdr:colOff>
      <xdr:row>16</xdr:row>
      <xdr:rowOff>102325</xdr:rowOff>
    </xdr:from>
    <xdr:to>
      <xdr:col>18</xdr:col>
      <xdr:colOff>31584</xdr:colOff>
      <xdr:row>33</xdr:row>
      <xdr:rowOff>134278</xdr:rowOff>
    </xdr:to>
    <xdr:pic>
      <xdr:nvPicPr>
        <xdr:cNvPr id="2" name="Picture 1" descr="A collection of logos&#10;&#10;AI-generated content may be incorrect.">
          <a:extLst>
            <a:ext uri="{FF2B5EF4-FFF2-40B4-BE49-F238E27FC236}">
              <a16:creationId xmlns:a16="http://schemas.microsoft.com/office/drawing/2014/main" id="{9A7ADB6C-3839-4EE7-8E4C-161A2B122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058308" y="3150325"/>
          <a:ext cx="6946076" cy="3270453"/>
        </a:xfrm>
        <a:prstGeom prst="rect">
          <a:avLst/>
        </a:prstGeom>
      </xdr:spPr>
    </xdr:pic>
    <xdr:clientData/>
  </xdr:twoCellAnchor>
  <xdr:twoCellAnchor>
    <xdr:from>
      <xdr:col>13</xdr:col>
      <xdr:colOff>508842</xdr:colOff>
      <xdr:row>17</xdr:row>
      <xdr:rowOff>71752</xdr:rowOff>
    </xdr:from>
    <xdr:to>
      <xdr:col>14</xdr:col>
      <xdr:colOff>289035</xdr:colOff>
      <xdr:row>18</xdr:row>
      <xdr:rowOff>35118</xdr:rowOff>
    </xdr:to>
    <xdr:sp macro="" textlink="">
      <xdr:nvSpPr>
        <xdr:cNvPr id="4" name="Multiplication Sign 3">
          <a:extLst>
            <a:ext uri="{FF2B5EF4-FFF2-40B4-BE49-F238E27FC236}">
              <a16:creationId xmlns:a16="http://schemas.microsoft.com/office/drawing/2014/main" id="{E17277AC-1B1D-4337-B455-3C016151D51C}"/>
            </a:ext>
          </a:extLst>
        </xdr:cNvPr>
        <xdr:cNvSpPr/>
      </xdr:nvSpPr>
      <xdr:spPr>
        <a:xfrm>
          <a:off x="8433642" y="3310252"/>
          <a:ext cx="389793" cy="153866"/>
        </a:xfrm>
        <a:prstGeom prst="mathMultiply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237239</xdr:colOff>
      <xdr:row>17</xdr:row>
      <xdr:rowOff>160688</xdr:rowOff>
    </xdr:from>
    <xdr:to>
      <xdr:col>12</xdr:col>
      <xdr:colOff>17433</xdr:colOff>
      <xdr:row>18</xdr:row>
      <xdr:rowOff>124054</xdr:rowOff>
    </xdr:to>
    <xdr:sp macro="" textlink="">
      <xdr:nvSpPr>
        <xdr:cNvPr id="5" name="Multiplication Sign 4">
          <a:extLst>
            <a:ext uri="{FF2B5EF4-FFF2-40B4-BE49-F238E27FC236}">
              <a16:creationId xmlns:a16="http://schemas.microsoft.com/office/drawing/2014/main" id="{AB137EC2-7CC8-4587-804B-7772CB4FEF67}"/>
            </a:ext>
          </a:extLst>
        </xdr:cNvPr>
        <xdr:cNvSpPr/>
      </xdr:nvSpPr>
      <xdr:spPr>
        <a:xfrm>
          <a:off x="6942839" y="3399188"/>
          <a:ext cx="389794" cy="153866"/>
        </a:xfrm>
        <a:prstGeom prst="mathMultiply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443959</xdr:colOff>
      <xdr:row>27</xdr:row>
      <xdr:rowOff>29359</xdr:rowOff>
    </xdr:from>
    <xdr:to>
      <xdr:col>8</xdr:col>
      <xdr:colOff>224154</xdr:colOff>
      <xdr:row>27</xdr:row>
      <xdr:rowOff>183225</xdr:rowOff>
    </xdr:to>
    <xdr:sp macro="" textlink="">
      <xdr:nvSpPr>
        <xdr:cNvPr id="6" name="Multiplication Sign 5">
          <a:extLst>
            <a:ext uri="{FF2B5EF4-FFF2-40B4-BE49-F238E27FC236}">
              <a16:creationId xmlns:a16="http://schemas.microsoft.com/office/drawing/2014/main" id="{9D3770B3-F1B4-4EE5-80FF-F9D99514D7B1}"/>
            </a:ext>
          </a:extLst>
        </xdr:cNvPr>
        <xdr:cNvSpPr/>
      </xdr:nvSpPr>
      <xdr:spPr>
        <a:xfrm>
          <a:off x="4711159" y="5172859"/>
          <a:ext cx="389795" cy="153866"/>
        </a:xfrm>
        <a:prstGeom prst="mathMultiply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b="1"/>
        </a:p>
      </xdr:txBody>
    </xdr:sp>
    <xdr:clientData/>
  </xdr:twoCellAnchor>
  <xdr:twoCellAnchor>
    <xdr:from>
      <xdr:col>10</xdr:col>
      <xdr:colOff>198179</xdr:colOff>
      <xdr:row>31</xdr:row>
      <xdr:rowOff>65286</xdr:rowOff>
    </xdr:from>
    <xdr:to>
      <xdr:col>10</xdr:col>
      <xdr:colOff>589286</xdr:colOff>
      <xdr:row>32</xdr:row>
      <xdr:rowOff>28652</xdr:rowOff>
    </xdr:to>
    <xdr:sp macro="" textlink="">
      <xdr:nvSpPr>
        <xdr:cNvPr id="7" name="Multiplication Sign 6">
          <a:extLst>
            <a:ext uri="{FF2B5EF4-FFF2-40B4-BE49-F238E27FC236}">
              <a16:creationId xmlns:a16="http://schemas.microsoft.com/office/drawing/2014/main" id="{8C2F35BE-8AF1-4E24-B1DF-63A0880C32EF}"/>
            </a:ext>
          </a:extLst>
        </xdr:cNvPr>
        <xdr:cNvSpPr/>
      </xdr:nvSpPr>
      <xdr:spPr>
        <a:xfrm>
          <a:off x="6294179" y="5970786"/>
          <a:ext cx="391107" cy="153866"/>
        </a:xfrm>
        <a:prstGeom prst="mathMultiply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b="1"/>
        </a:p>
      </xdr:txBody>
    </xdr:sp>
    <xdr:clientData/>
  </xdr:twoCellAnchor>
  <xdr:twoCellAnchor>
    <xdr:from>
      <xdr:col>13</xdr:col>
      <xdr:colOff>503030</xdr:colOff>
      <xdr:row>23</xdr:row>
      <xdr:rowOff>135170</xdr:rowOff>
    </xdr:from>
    <xdr:to>
      <xdr:col>14</xdr:col>
      <xdr:colOff>283223</xdr:colOff>
      <xdr:row>24</xdr:row>
      <xdr:rowOff>98536</xdr:rowOff>
    </xdr:to>
    <xdr:sp macro="" textlink="">
      <xdr:nvSpPr>
        <xdr:cNvPr id="8" name="Multiplication Sign 7">
          <a:extLst>
            <a:ext uri="{FF2B5EF4-FFF2-40B4-BE49-F238E27FC236}">
              <a16:creationId xmlns:a16="http://schemas.microsoft.com/office/drawing/2014/main" id="{037E7DCC-F9AB-4A26-99C6-23DB1756F4BE}"/>
            </a:ext>
          </a:extLst>
        </xdr:cNvPr>
        <xdr:cNvSpPr/>
      </xdr:nvSpPr>
      <xdr:spPr>
        <a:xfrm>
          <a:off x="8427830" y="4516670"/>
          <a:ext cx="389793" cy="153866"/>
        </a:xfrm>
        <a:prstGeom prst="mathMultiply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b="1"/>
        </a:p>
      </xdr:txBody>
    </xdr:sp>
    <xdr:clientData/>
  </xdr:twoCellAnchor>
  <xdr:twoCellAnchor>
    <xdr:from>
      <xdr:col>7</xdr:col>
      <xdr:colOff>315309</xdr:colOff>
      <xdr:row>20</xdr:row>
      <xdr:rowOff>78827</xdr:rowOff>
    </xdr:from>
    <xdr:to>
      <xdr:col>8</xdr:col>
      <xdr:colOff>95503</xdr:colOff>
      <xdr:row>21</xdr:row>
      <xdr:rowOff>42193</xdr:rowOff>
    </xdr:to>
    <xdr:sp macro="" textlink="">
      <xdr:nvSpPr>
        <xdr:cNvPr id="13" name="Multiplication Sign 12">
          <a:extLst>
            <a:ext uri="{FF2B5EF4-FFF2-40B4-BE49-F238E27FC236}">
              <a16:creationId xmlns:a16="http://schemas.microsoft.com/office/drawing/2014/main" id="{706CC0A7-D116-4745-A8FA-5B8F9E7F9BE9}"/>
            </a:ext>
          </a:extLst>
        </xdr:cNvPr>
        <xdr:cNvSpPr/>
      </xdr:nvSpPr>
      <xdr:spPr>
        <a:xfrm>
          <a:off x="4582509" y="3888827"/>
          <a:ext cx="389794" cy="153866"/>
        </a:xfrm>
        <a:prstGeom prst="mathMultiply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203200</xdr:colOff>
      <xdr:row>20</xdr:row>
      <xdr:rowOff>133350</xdr:rowOff>
    </xdr:from>
    <xdr:to>
      <xdr:col>10</xdr:col>
      <xdr:colOff>594307</xdr:colOff>
      <xdr:row>21</xdr:row>
      <xdr:rowOff>96716</xdr:rowOff>
    </xdr:to>
    <xdr:sp macro="" textlink="">
      <xdr:nvSpPr>
        <xdr:cNvPr id="14" name="Multiplication Sign 13">
          <a:extLst>
            <a:ext uri="{FF2B5EF4-FFF2-40B4-BE49-F238E27FC236}">
              <a16:creationId xmlns:a16="http://schemas.microsoft.com/office/drawing/2014/main" id="{C0AE63FC-DAE6-4A7B-9A11-CB6A919F6788}"/>
            </a:ext>
          </a:extLst>
        </xdr:cNvPr>
        <xdr:cNvSpPr/>
      </xdr:nvSpPr>
      <xdr:spPr>
        <a:xfrm>
          <a:off x="6299200" y="3943350"/>
          <a:ext cx="391107" cy="153866"/>
        </a:xfrm>
        <a:prstGeom prst="mathMultiply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10</xdr:col>
      <xdr:colOff>139700</xdr:colOff>
      <xdr:row>30</xdr:row>
      <xdr:rowOff>186391</xdr:rowOff>
    </xdr:from>
    <xdr:to>
      <xdr:col>11</xdr:col>
      <xdr:colOff>88900</xdr:colOff>
      <xdr:row>32</xdr:row>
      <xdr:rowOff>183402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D0C52B9-D70E-23CF-C24A-2FCD387C7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35700" y="5901391"/>
          <a:ext cx="558800" cy="378011"/>
        </a:xfrm>
        <a:prstGeom prst="rect">
          <a:avLst/>
        </a:prstGeom>
      </xdr:spPr>
    </xdr:pic>
    <xdr:clientData/>
  </xdr:twoCellAnchor>
  <xdr:twoCellAnchor>
    <xdr:from>
      <xdr:col>11</xdr:col>
      <xdr:colOff>267542</xdr:colOff>
      <xdr:row>20</xdr:row>
      <xdr:rowOff>122552</xdr:rowOff>
    </xdr:from>
    <xdr:to>
      <xdr:col>12</xdr:col>
      <xdr:colOff>47735</xdr:colOff>
      <xdr:row>21</xdr:row>
      <xdr:rowOff>85918</xdr:rowOff>
    </xdr:to>
    <xdr:sp macro="" textlink="">
      <xdr:nvSpPr>
        <xdr:cNvPr id="19" name="Multiplication Sign 18">
          <a:extLst>
            <a:ext uri="{FF2B5EF4-FFF2-40B4-BE49-F238E27FC236}">
              <a16:creationId xmlns:a16="http://schemas.microsoft.com/office/drawing/2014/main" id="{CC6D8FFE-EEDD-4638-9B3A-153A261C0FA4}"/>
            </a:ext>
          </a:extLst>
        </xdr:cNvPr>
        <xdr:cNvSpPr/>
      </xdr:nvSpPr>
      <xdr:spPr>
        <a:xfrm>
          <a:off x="6973142" y="3932552"/>
          <a:ext cx="389793" cy="153866"/>
        </a:xfrm>
        <a:prstGeom prst="mathMultiply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11</xdr:col>
      <xdr:colOff>50801</xdr:colOff>
      <xdr:row>16</xdr:row>
      <xdr:rowOff>44450</xdr:rowOff>
    </xdr:from>
    <xdr:to>
      <xdr:col>12</xdr:col>
      <xdr:colOff>196850</xdr:colOff>
      <xdr:row>19</xdr:row>
      <xdr:rowOff>65379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ECCED9B-0E15-9178-6EE1-E68D12BA0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56401" y="3092450"/>
          <a:ext cx="755649" cy="592429"/>
        </a:xfrm>
        <a:prstGeom prst="rect">
          <a:avLst/>
        </a:prstGeom>
      </xdr:spPr>
    </xdr:pic>
    <xdr:clientData/>
  </xdr:twoCellAnchor>
  <xdr:twoCellAnchor editAs="oneCell">
    <xdr:from>
      <xdr:col>13</xdr:col>
      <xdr:colOff>482600</xdr:colOff>
      <xdr:row>23</xdr:row>
      <xdr:rowOff>31750</xdr:rowOff>
    </xdr:from>
    <xdr:to>
      <xdr:col>14</xdr:col>
      <xdr:colOff>584200</xdr:colOff>
      <xdr:row>24</xdr:row>
      <xdr:rowOff>140405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8B878E3-C450-7303-ACA2-2395482A1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07400" y="4413250"/>
          <a:ext cx="711200" cy="299155"/>
        </a:xfrm>
        <a:prstGeom prst="rect">
          <a:avLst/>
        </a:prstGeom>
      </xdr:spPr>
    </xdr:pic>
    <xdr:clientData/>
  </xdr:twoCellAnchor>
  <xdr:twoCellAnchor editAs="oneCell">
    <xdr:from>
      <xdr:col>13</xdr:col>
      <xdr:colOff>336550</xdr:colOff>
      <xdr:row>16</xdr:row>
      <xdr:rowOff>95251</xdr:rowOff>
    </xdr:from>
    <xdr:to>
      <xdr:col>15</xdr:col>
      <xdr:colOff>120650</xdr:colOff>
      <xdr:row>19</xdr:row>
      <xdr:rowOff>82551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2614920-120B-AD7A-D735-2028263A0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61350" y="3143251"/>
          <a:ext cx="1003300" cy="558800"/>
        </a:xfrm>
        <a:prstGeom prst="rect">
          <a:avLst/>
        </a:prstGeom>
      </xdr:spPr>
    </xdr:pic>
    <xdr:clientData/>
  </xdr:twoCellAnchor>
  <xdr:twoCellAnchor>
    <xdr:from>
      <xdr:col>13</xdr:col>
      <xdr:colOff>134192</xdr:colOff>
      <xdr:row>20</xdr:row>
      <xdr:rowOff>59052</xdr:rowOff>
    </xdr:from>
    <xdr:to>
      <xdr:col>13</xdr:col>
      <xdr:colOff>523985</xdr:colOff>
      <xdr:row>21</xdr:row>
      <xdr:rowOff>22418</xdr:rowOff>
    </xdr:to>
    <xdr:sp macro="" textlink="">
      <xdr:nvSpPr>
        <xdr:cNvPr id="24" name="Multiplication Sign 23">
          <a:extLst>
            <a:ext uri="{FF2B5EF4-FFF2-40B4-BE49-F238E27FC236}">
              <a16:creationId xmlns:a16="http://schemas.microsoft.com/office/drawing/2014/main" id="{16543B7E-9B87-4AD1-BA2C-FB82153948A8}"/>
            </a:ext>
          </a:extLst>
        </xdr:cNvPr>
        <xdr:cNvSpPr/>
      </xdr:nvSpPr>
      <xdr:spPr>
        <a:xfrm>
          <a:off x="8058992" y="3869052"/>
          <a:ext cx="389793" cy="153866"/>
        </a:xfrm>
        <a:prstGeom prst="mathMultiply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14</xdr:col>
      <xdr:colOff>438992</xdr:colOff>
      <xdr:row>20</xdr:row>
      <xdr:rowOff>84452</xdr:rowOff>
    </xdr:from>
    <xdr:to>
      <xdr:col>15</xdr:col>
      <xdr:colOff>219185</xdr:colOff>
      <xdr:row>21</xdr:row>
      <xdr:rowOff>47818</xdr:rowOff>
    </xdr:to>
    <xdr:sp macro="" textlink="">
      <xdr:nvSpPr>
        <xdr:cNvPr id="25" name="Multiplication Sign 24">
          <a:extLst>
            <a:ext uri="{FF2B5EF4-FFF2-40B4-BE49-F238E27FC236}">
              <a16:creationId xmlns:a16="http://schemas.microsoft.com/office/drawing/2014/main" id="{96B03B01-834E-494E-9CA3-ECE646D85526}"/>
            </a:ext>
          </a:extLst>
        </xdr:cNvPr>
        <xdr:cNvSpPr/>
      </xdr:nvSpPr>
      <xdr:spPr>
        <a:xfrm>
          <a:off x="8973392" y="3894452"/>
          <a:ext cx="389793" cy="153866"/>
        </a:xfrm>
        <a:prstGeom prst="mathMultiply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552450</xdr:colOff>
      <xdr:row>20</xdr:row>
      <xdr:rowOff>44450</xdr:rowOff>
    </xdr:from>
    <xdr:to>
      <xdr:col>9</xdr:col>
      <xdr:colOff>332643</xdr:colOff>
      <xdr:row>21</xdr:row>
      <xdr:rowOff>7816</xdr:rowOff>
    </xdr:to>
    <xdr:sp macro="" textlink="">
      <xdr:nvSpPr>
        <xdr:cNvPr id="26" name="Multiplication Sign 25">
          <a:extLst>
            <a:ext uri="{FF2B5EF4-FFF2-40B4-BE49-F238E27FC236}">
              <a16:creationId xmlns:a16="http://schemas.microsoft.com/office/drawing/2014/main" id="{AC920268-FD4E-4BEC-BDB9-6E3C0B7F0BA8}"/>
            </a:ext>
          </a:extLst>
        </xdr:cNvPr>
        <xdr:cNvSpPr/>
      </xdr:nvSpPr>
      <xdr:spPr>
        <a:xfrm>
          <a:off x="5429250" y="3854450"/>
          <a:ext cx="389793" cy="153866"/>
        </a:xfrm>
        <a:prstGeom prst="mathMultiply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7</xdr:col>
      <xdr:colOff>165100</xdr:colOff>
      <xdr:row>26</xdr:row>
      <xdr:rowOff>114299</xdr:rowOff>
    </xdr:from>
    <xdr:to>
      <xdr:col>8</xdr:col>
      <xdr:colOff>450850</xdr:colOff>
      <xdr:row>29</xdr:row>
      <xdr:rowOff>14036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1949067B-17C5-FC0C-97B7-DC1DD89D3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32300" y="5067299"/>
          <a:ext cx="895350" cy="471237"/>
        </a:xfrm>
        <a:prstGeom prst="rect">
          <a:avLst/>
        </a:prstGeom>
      </xdr:spPr>
    </xdr:pic>
    <xdr:clientData/>
  </xdr:twoCellAnchor>
  <xdr:twoCellAnchor editAs="oneCell">
    <xdr:from>
      <xdr:col>7</xdr:col>
      <xdr:colOff>149181</xdr:colOff>
      <xdr:row>3</xdr:row>
      <xdr:rowOff>91530</xdr:rowOff>
    </xdr:from>
    <xdr:to>
      <xdr:col>17</xdr:col>
      <xdr:colOff>330157</xdr:colOff>
      <xdr:row>17</xdr:row>
      <xdr:rowOff>49620</xdr:rowOff>
    </xdr:to>
    <xdr:pic>
      <xdr:nvPicPr>
        <xdr:cNvPr id="3" name="Picture 2" descr="A group of logos with text&#10;&#10;Description automatically generated with medium confidence">
          <a:extLst>
            <a:ext uri="{FF2B5EF4-FFF2-40B4-BE49-F238E27FC236}">
              <a16:creationId xmlns:a16="http://schemas.microsoft.com/office/drawing/2014/main" id="{04C7D06F-6D07-4982-AE6D-C3B3228D83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933" t="1690" r="1394" b="3232"/>
        <a:stretch/>
      </xdr:blipFill>
      <xdr:spPr bwMode="auto">
        <a:xfrm>
          <a:off x="4416381" y="663030"/>
          <a:ext cx="6276976" cy="2625090"/>
        </a:xfrm>
        <a:prstGeom prst="rect">
          <a:avLst/>
        </a:prstGeom>
        <a:ln>
          <a:solidFill>
            <a:schemeClr val="bg1"/>
          </a:solidFill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7</xdr:col>
      <xdr:colOff>69851</xdr:colOff>
      <xdr:row>18</xdr:row>
      <xdr:rowOff>158750</xdr:rowOff>
    </xdr:from>
    <xdr:to>
      <xdr:col>17</xdr:col>
      <xdr:colOff>457201</xdr:colOff>
      <xdr:row>20</xdr:row>
      <xdr:rowOff>84050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43D2B83-9410-4277-2E7C-1B85E4D0E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337051" y="3587750"/>
          <a:ext cx="6483350" cy="306300"/>
        </a:xfrm>
        <a:prstGeom prst="rect">
          <a:avLst/>
        </a:prstGeom>
      </xdr:spPr>
    </xdr:pic>
    <xdr:clientData/>
  </xdr:twoCellAnchor>
  <xdr:twoCellAnchor editAs="oneCell">
    <xdr:from>
      <xdr:col>7</xdr:col>
      <xdr:colOff>107950</xdr:colOff>
      <xdr:row>23</xdr:row>
      <xdr:rowOff>33456</xdr:rowOff>
    </xdr:from>
    <xdr:to>
      <xdr:col>17</xdr:col>
      <xdr:colOff>285750</xdr:colOff>
      <xdr:row>25</xdr:row>
      <xdr:rowOff>82696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E9F001D3-C3BE-851B-9E7F-0FD953911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368645" y="4414956"/>
          <a:ext cx="6264507" cy="430240"/>
        </a:xfrm>
        <a:prstGeom prst="rect">
          <a:avLst/>
        </a:prstGeom>
      </xdr:spPr>
    </xdr:pic>
    <xdr:clientData/>
  </xdr:twoCellAnchor>
  <xdr:twoCellAnchor>
    <xdr:from>
      <xdr:col>7</xdr:col>
      <xdr:colOff>127000</xdr:colOff>
      <xdr:row>3</xdr:row>
      <xdr:rowOff>76200</xdr:rowOff>
    </xdr:from>
    <xdr:to>
      <xdr:col>17</xdr:col>
      <xdr:colOff>323850</xdr:colOff>
      <xdr:row>26</xdr:row>
      <xdr:rowOff>19050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DA0C351A-9D2C-3BA6-005A-011A6A3C0A2B}"/>
            </a:ext>
          </a:extLst>
        </xdr:cNvPr>
        <xdr:cNvSpPr/>
      </xdr:nvSpPr>
      <xdr:spPr>
        <a:xfrm>
          <a:off x="4394200" y="647700"/>
          <a:ext cx="6292850" cy="4324350"/>
        </a:xfrm>
        <a:prstGeom prst="rect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7</xdr:col>
      <xdr:colOff>152400</xdr:colOff>
      <xdr:row>20</xdr:row>
      <xdr:rowOff>84255</xdr:rowOff>
    </xdr:from>
    <xdr:to>
      <xdr:col>17</xdr:col>
      <xdr:colOff>228600</xdr:colOff>
      <xdr:row>23</xdr:row>
      <xdr:rowOff>27105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81CE238B-9A51-FF84-50F1-0C6593773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413095" y="3894255"/>
          <a:ext cx="6162907" cy="514350"/>
        </a:xfrm>
        <a:prstGeom prst="rect">
          <a:avLst/>
        </a:prstGeom>
      </xdr:spPr>
    </xdr:pic>
    <xdr:clientData/>
  </xdr:twoCellAnchor>
  <xdr:twoCellAnchor editAs="oneCell">
    <xdr:from>
      <xdr:col>18</xdr:col>
      <xdr:colOff>151085</xdr:colOff>
      <xdr:row>9</xdr:row>
      <xdr:rowOff>52551</xdr:rowOff>
    </xdr:from>
    <xdr:to>
      <xdr:col>29</xdr:col>
      <xdr:colOff>392874</xdr:colOff>
      <xdr:row>26</xdr:row>
      <xdr:rowOff>84504</xdr:rowOff>
    </xdr:to>
    <xdr:pic>
      <xdr:nvPicPr>
        <xdr:cNvPr id="37" name="Picture 36" descr="A collection of logos&#10;&#10;AI-generated content may be incorrect.">
          <a:extLst>
            <a:ext uri="{FF2B5EF4-FFF2-40B4-BE49-F238E27FC236}">
              <a16:creationId xmlns:a16="http://schemas.microsoft.com/office/drawing/2014/main" id="{6F18561A-6622-4FEF-891C-2B19A5738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147533" y="1767051"/>
          <a:ext cx="6961841" cy="3270453"/>
        </a:xfrm>
        <a:prstGeom prst="rect">
          <a:avLst/>
        </a:prstGeom>
      </xdr:spPr>
    </xdr:pic>
    <xdr:clientData/>
  </xdr:twoCellAnchor>
  <xdr:twoCellAnchor>
    <xdr:from>
      <xdr:col>11</xdr:col>
      <xdr:colOff>270435</xdr:colOff>
      <xdr:row>17</xdr:row>
      <xdr:rowOff>114046</xdr:rowOff>
    </xdr:from>
    <xdr:to>
      <xdr:col>12</xdr:col>
      <xdr:colOff>50628</xdr:colOff>
      <xdr:row>18</xdr:row>
      <xdr:rowOff>77412</xdr:rowOff>
    </xdr:to>
    <xdr:sp macro="" textlink="">
      <xdr:nvSpPr>
        <xdr:cNvPr id="38" name="Multiplication Sign 37">
          <a:extLst>
            <a:ext uri="{FF2B5EF4-FFF2-40B4-BE49-F238E27FC236}">
              <a16:creationId xmlns:a16="http://schemas.microsoft.com/office/drawing/2014/main" id="{D98D9F87-F46E-4256-9BA8-5AEF00C57B72}"/>
            </a:ext>
          </a:extLst>
        </xdr:cNvPr>
        <xdr:cNvSpPr/>
      </xdr:nvSpPr>
      <xdr:spPr>
        <a:xfrm>
          <a:off x="6990487" y="3352546"/>
          <a:ext cx="391107" cy="153866"/>
        </a:xfrm>
        <a:prstGeom prst="mathMultiply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b="1"/>
        </a:p>
      </xdr:txBody>
    </xdr:sp>
    <xdr:clientData/>
  </xdr:twoCellAnchor>
  <xdr:twoCellAnchor editAs="oneCell">
    <xdr:from>
      <xdr:col>18</xdr:col>
      <xdr:colOff>0</xdr:colOff>
      <xdr:row>5</xdr:row>
      <xdr:rowOff>0</xdr:rowOff>
    </xdr:from>
    <xdr:to>
      <xdr:col>19</xdr:col>
      <xdr:colOff>465561</xdr:colOff>
      <xdr:row>8</xdr:row>
      <xdr:rowOff>80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51B6D080-AB0E-89E4-8F78-E8749D1AF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96448" y="952500"/>
          <a:ext cx="1076475" cy="571580"/>
        </a:xfrm>
        <a:prstGeom prst="rect">
          <a:avLst/>
        </a:prstGeom>
      </xdr:spPr>
    </xdr:pic>
    <xdr:clientData/>
  </xdr:twoCellAnchor>
  <xdr:twoCellAnchor editAs="oneCell">
    <xdr:from>
      <xdr:col>11</xdr:col>
      <xdr:colOff>61713</xdr:colOff>
      <xdr:row>17</xdr:row>
      <xdr:rowOff>67073</xdr:rowOff>
    </xdr:from>
    <xdr:to>
      <xdr:col>12</xdr:col>
      <xdr:colOff>185487</xdr:colOff>
      <xdr:row>18</xdr:row>
      <xdr:rowOff>121453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BA577AD5-2E0E-5CD3-7C56-7D8BF1428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789371" y="3305573"/>
          <a:ext cx="735379" cy="244880"/>
        </a:xfrm>
        <a:prstGeom prst="rect">
          <a:avLst/>
        </a:prstGeom>
      </xdr:spPr>
    </xdr:pic>
    <xdr:clientData/>
  </xdr:twoCellAnchor>
  <xdr:twoCellAnchor editAs="oneCell">
    <xdr:from>
      <xdr:col>10</xdr:col>
      <xdr:colOff>215566</xdr:colOff>
      <xdr:row>25</xdr:row>
      <xdr:rowOff>0</xdr:rowOff>
    </xdr:from>
    <xdr:to>
      <xdr:col>11</xdr:col>
      <xdr:colOff>100263</xdr:colOff>
      <xdr:row>25</xdr:row>
      <xdr:rowOff>56541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D4EB1665-1EEF-25D2-1B42-E3313DB30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331619" y="4762500"/>
          <a:ext cx="496302" cy="56541"/>
        </a:xfrm>
        <a:prstGeom prst="rect">
          <a:avLst/>
        </a:prstGeom>
      </xdr:spPr>
    </xdr:pic>
    <xdr:clientData/>
  </xdr:twoCellAnchor>
  <xdr:twoCellAnchor editAs="oneCell">
    <xdr:from>
      <xdr:col>10</xdr:col>
      <xdr:colOff>594835</xdr:colOff>
      <xdr:row>18</xdr:row>
      <xdr:rowOff>92656</xdr:rowOff>
    </xdr:from>
    <xdr:to>
      <xdr:col>12</xdr:col>
      <xdr:colOff>124205</xdr:colOff>
      <xdr:row>18</xdr:row>
      <xdr:rowOff>178393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A8CAAD3D-3791-E9A2-4356-C63C4865F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710888" y="3521656"/>
          <a:ext cx="752580" cy="85737"/>
        </a:xfrm>
        <a:prstGeom prst="rect">
          <a:avLst/>
        </a:prstGeom>
      </xdr:spPr>
    </xdr:pic>
    <xdr:clientData/>
  </xdr:twoCellAnchor>
  <xdr:twoCellAnchor editAs="oneCell">
    <xdr:from>
      <xdr:col>19</xdr:col>
      <xdr:colOff>158691</xdr:colOff>
      <xdr:row>17</xdr:row>
      <xdr:rowOff>87643</xdr:rowOff>
    </xdr:from>
    <xdr:to>
      <xdr:col>20</xdr:col>
      <xdr:colOff>185350</xdr:colOff>
      <xdr:row>19</xdr:row>
      <xdr:rowOff>1959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418DAAC3-B564-72BD-994F-CF6D1AC83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779191" y="3326143"/>
          <a:ext cx="638264" cy="295316"/>
        </a:xfrm>
        <a:prstGeom prst="rect">
          <a:avLst/>
        </a:prstGeom>
      </xdr:spPr>
    </xdr:pic>
    <xdr:clientData/>
  </xdr:twoCellAnchor>
  <xdr:twoCellAnchor editAs="oneCell">
    <xdr:from>
      <xdr:col>18</xdr:col>
      <xdr:colOff>371248</xdr:colOff>
      <xdr:row>18</xdr:row>
      <xdr:rowOff>164846</xdr:rowOff>
    </xdr:from>
    <xdr:to>
      <xdr:col>19</xdr:col>
      <xdr:colOff>397907</xdr:colOff>
      <xdr:row>20</xdr:row>
      <xdr:rowOff>79162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8AEBE0C6-E68C-484A-52C1-3F9EC1DA6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380143" y="3593846"/>
          <a:ext cx="638264" cy="295316"/>
        </a:xfrm>
        <a:prstGeom prst="rect">
          <a:avLst/>
        </a:prstGeom>
      </xdr:spPr>
    </xdr:pic>
    <xdr:clientData/>
  </xdr:twoCellAnchor>
  <xdr:twoCellAnchor editAs="oneCell">
    <xdr:from>
      <xdr:col>11</xdr:col>
      <xdr:colOff>291038</xdr:colOff>
      <xdr:row>16</xdr:row>
      <xdr:rowOff>174871</xdr:rowOff>
    </xdr:from>
    <xdr:to>
      <xdr:col>12</xdr:col>
      <xdr:colOff>432013</xdr:colOff>
      <xdr:row>17</xdr:row>
      <xdr:rowOff>70108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7883438A-7A4B-4DA9-B63B-67778D011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018696" y="3222871"/>
          <a:ext cx="752580" cy="857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400708</xdr:colOff>
      <xdr:row>16</xdr:row>
      <xdr:rowOff>102325</xdr:rowOff>
    </xdr:from>
    <xdr:to>
      <xdr:col>18</xdr:col>
      <xdr:colOff>31584</xdr:colOff>
      <xdr:row>33</xdr:row>
      <xdr:rowOff>134278</xdr:rowOff>
    </xdr:to>
    <xdr:pic>
      <xdr:nvPicPr>
        <xdr:cNvPr id="3" name="Picture 2" descr="A collection of logos&#10;&#10;AI-generated content may be incorrect.">
          <a:extLst>
            <a:ext uri="{FF2B5EF4-FFF2-40B4-BE49-F238E27FC236}">
              <a16:creationId xmlns:a16="http://schemas.microsoft.com/office/drawing/2014/main" id="{62D2772E-D5DA-F47D-B604-FA1F619BB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4066191" y="3150325"/>
          <a:ext cx="6961841" cy="3270453"/>
        </a:xfrm>
        <a:prstGeom prst="rect">
          <a:avLst/>
        </a:prstGeom>
      </xdr:spPr>
    </xdr:pic>
    <xdr:clientData/>
  </xdr:twoCellAnchor>
  <xdr:twoCellAnchor editAs="oneCell">
    <xdr:from>
      <xdr:col>7</xdr:col>
      <xdr:colOff>247497</xdr:colOff>
      <xdr:row>2</xdr:row>
      <xdr:rowOff>118243</xdr:rowOff>
    </xdr:from>
    <xdr:to>
      <xdr:col>17</xdr:col>
      <xdr:colOff>428473</xdr:colOff>
      <xdr:row>16</xdr:row>
      <xdr:rowOff>76333</xdr:rowOff>
    </xdr:to>
    <xdr:pic>
      <xdr:nvPicPr>
        <xdr:cNvPr id="2" name="Picture 1" descr="A group of logos with text&#10;&#10;Description automatically generated with medium confidence">
          <a:extLst>
            <a:ext uri="{FF2B5EF4-FFF2-40B4-BE49-F238E27FC236}">
              <a16:creationId xmlns:a16="http://schemas.microsoft.com/office/drawing/2014/main" id="{D310A7DC-52DA-28BA-BC51-804163E619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933" t="1690" r="1394" b="3232"/>
        <a:stretch/>
      </xdr:blipFill>
      <xdr:spPr bwMode="auto">
        <a:xfrm>
          <a:off x="4523894" y="499243"/>
          <a:ext cx="6290113" cy="2625090"/>
        </a:xfrm>
        <a:prstGeom prst="rect">
          <a:avLst/>
        </a:prstGeom>
        <a:ln>
          <a:solidFill>
            <a:schemeClr val="bg1"/>
          </a:solidFill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13</xdr:col>
      <xdr:colOff>508842</xdr:colOff>
      <xdr:row>17</xdr:row>
      <xdr:rowOff>71752</xdr:rowOff>
    </xdr:from>
    <xdr:to>
      <xdr:col>14</xdr:col>
      <xdr:colOff>289035</xdr:colOff>
      <xdr:row>18</xdr:row>
      <xdr:rowOff>35118</xdr:rowOff>
    </xdr:to>
    <xdr:sp macro="" textlink="">
      <xdr:nvSpPr>
        <xdr:cNvPr id="4" name="Multiplication Sign 3">
          <a:extLst>
            <a:ext uri="{FF2B5EF4-FFF2-40B4-BE49-F238E27FC236}">
              <a16:creationId xmlns:a16="http://schemas.microsoft.com/office/drawing/2014/main" id="{E917FA8C-E03B-E7C1-D89B-3171C4779C4C}"/>
            </a:ext>
          </a:extLst>
        </xdr:cNvPr>
        <xdr:cNvSpPr/>
      </xdr:nvSpPr>
      <xdr:spPr>
        <a:xfrm>
          <a:off x="8450721" y="3310252"/>
          <a:ext cx="391107" cy="153866"/>
        </a:xfrm>
        <a:prstGeom prst="mathMultiply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237239</xdr:colOff>
      <xdr:row>17</xdr:row>
      <xdr:rowOff>160688</xdr:rowOff>
    </xdr:from>
    <xdr:to>
      <xdr:col>12</xdr:col>
      <xdr:colOff>17433</xdr:colOff>
      <xdr:row>18</xdr:row>
      <xdr:rowOff>124054</xdr:rowOff>
    </xdr:to>
    <xdr:sp macro="" textlink="">
      <xdr:nvSpPr>
        <xdr:cNvPr id="5" name="Multiplication Sign 4">
          <a:extLst>
            <a:ext uri="{FF2B5EF4-FFF2-40B4-BE49-F238E27FC236}">
              <a16:creationId xmlns:a16="http://schemas.microsoft.com/office/drawing/2014/main" id="{B1616F10-CD4D-4D97-B3E6-49633CE154AE}"/>
            </a:ext>
          </a:extLst>
        </xdr:cNvPr>
        <xdr:cNvSpPr/>
      </xdr:nvSpPr>
      <xdr:spPr>
        <a:xfrm>
          <a:off x="6957291" y="3399188"/>
          <a:ext cx="391108" cy="153866"/>
        </a:xfrm>
        <a:prstGeom prst="mathMultiply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443959</xdr:colOff>
      <xdr:row>27</xdr:row>
      <xdr:rowOff>29359</xdr:rowOff>
    </xdr:from>
    <xdr:to>
      <xdr:col>8</xdr:col>
      <xdr:colOff>224154</xdr:colOff>
      <xdr:row>27</xdr:row>
      <xdr:rowOff>183225</xdr:rowOff>
    </xdr:to>
    <xdr:sp macro="" textlink="">
      <xdr:nvSpPr>
        <xdr:cNvPr id="6" name="Multiplication Sign 5">
          <a:extLst>
            <a:ext uri="{FF2B5EF4-FFF2-40B4-BE49-F238E27FC236}">
              <a16:creationId xmlns:a16="http://schemas.microsoft.com/office/drawing/2014/main" id="{B040D4E2-28DF-4B4C-A8DD-2CC7DC6B4726}"/>
            </a:ext>
          </a:extLst>
        </xdr:cNvPr>
        <xdr:cNvSpPr/>
      </xdr:nvSpPr>
      <xdr:spPr>
        <a:xfrm>
          <a:off x="4720356" y="5172859"/>
          <a:ext cx="391108" cy="153866"/>
        </a:xfrm>
        <a:prstGeom prst="mathMultiply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b="1"/>
        </a:p>
      </xdr:txBody>
    </xdr:sp>
    <xdr:clientData/>
  </xdr:twoCellAnchor>
  <xdr:twoCellAnchor>
    <xdr:from>
      <xdr:col>10</xdr:col>
      <xdr:colOff>198179</xdr:colOff>
      <xdr:row>31</xdr:row>
      <xdr:rowOff>65286</xdr:rowOff>
    </xdr:from>
    <xdr:to>
      <xdr:col>10</xdr:col>
      <xdr:colOff>589286</xdr:colOff>
      <xdr:row>32</xdr:row>
      <xdr:rowOff>28652</xdr:rowOff>
    </xdr:to>
    <xdr:sp macro="" textlink="">
      <xdr:nvSpPr>
        <xdr:cNvPr id="7" name="Multiplication Sign 6">
          <a:extLst>
            <a:ext uri="{FF2B5EF4-FFF2-40B4-BE49-F238E27FC236}">
              <a16:creationId xmlns:a16="http://schemas.microsoft.com/office/drawing/2014/main" id="{A9E754B4-6EEF-4440-8CFF-8D9AC0F7E1E2}"/>
            </a:ext>
          </a:extLst>
        </xdr:cNvPr>
        <xdr:cNvSpPr/>
      </xdr:nvSpPr>
      <xdr:spPr>
        <a:xfrm>
          <a:off x="6307317" y="5970786"/>
          <a:ext cx="391107" cy="153866"/>
        </a:xfrm>
        <a:prstGeom prst="mathMultiply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b="1"/>
        </a:p>
      </xdr:txBody>
    </xdr:sp>
    <xdr:clientData/>
  </xdr:twoCellAnchor>
  <xdr:twoCellAnchor>
    <xdr:from>
      <xdr:col>13</xdr:col>
      <xdr:colOff>503030</xdr:colOff>
      <xdr:row>23</xdr:row>
      <xdr:rowOff>135170</xdr:rowOff>
    </xdr:from>
    <xdr:to>
      <xdr:col>14</xdr:col>
      <xdr:colOff>283223</xdr:colOff>
      <xdr:row>24</xdr:row>
      <xdr:rowOff>98536</xdr:rowOff>
    </xdr:to>
    <xdr:sp macro="" textlink="">
      <xdr:nvSpPr>
        <xdr:cNvPr id="8" name="Multiplication Sign 7">
          <a:extLst>
            <a:ext uri="{FF2B5EF4-FFF2-40B4-BE49-F238E27FC236}">
              <a16:creationId xmlns:a16="http://schemas.microsoft.com/office/drawing/2014/main" id="{0911D320-D2ED-429C-A76B-93E94ABB696A}"/>
            </a:ext>
          </a:extLst>
        </xdr:cNvPr>
        <xdr:cNvSpPr/>
      </xdr:nvSpPr>
      <xdr:spPr>
        <a:xfrm>
          <a:off x="8444909" y="4516670"/>
          <a:ext cx="391107" cy="153866"/>
        </a:xfrm>
        <a:prstGeom prst="mathMultiply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b="1"/>
        </a:p>
      </xdr:txBody>
    </xdr:sp>
    <xdr:clientData/>
  </xdr:twoCellAnchor>
  <xdr:twoCellAnchor>
    <xdr:from>
      <xdr:col>17</xdr:col>
      <xdr:colOff>446690</xdr:colOff>
      <xdr:row>3</xdr:row>
      <xdr:rowOff>19707</xdr:rowOff>
    </xdr:from>
    <xdr:to>
      <xdr:col>19</xdr:col>
      <xdr:colOff>249621</xdr:colOff>
      <xdr:row>7</xdr:row>
      <xdr:rowOff>124810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8FE1150-2AE2-4A51-4625-E7D574731158}"/>
            </a:ext>
          </a:extLst>
        </xdr:cNvPr>
        <xdr:cNvSpPr/>
      </xdr:nvSpPr>
      <xdr:spPr>
        <a:xfrm>
          <a:off x="10832224" y="591207"/>
          <a:ext cx="1024759" cy="8671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17</xdr:col>
      <xdr:colOff>499243</xdr:colOff>
      <xdr:row>11</xdr:row>
      <xdr:rowOff>82617</xdr:rowOff>
    </xdr:from>
    <xdr:to>
      <xdr:col>19</xdr:col>
      <xdr:colOff>220522</xdr:colOff>
      <xdr:row>13</xdr:row>
      <xdr:rowOff>44565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FCAAA35-4B89-71AB-5EDF-732B5425F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84777" y="2178117"/>
          <a:ext cx="943107" cy="342948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21</xdr:col>
      <xdr:colOff>54700</xdr:colOff>
      <xdr:row>10</xdr:row>
      <xdr:rowOff>181027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2459C54-2C0D-7D90-93A2-07B61F623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607362" y="1714500"/>
          <a:ext cx="1276528" cy="371527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</xdr:row>
      <xdr:rowOff>0</xdr:rowOff>
    </xdr:from>
    <xdr:to>
      <xdr:col>21</xdr:col>
      <xdr:colOff>522719</xdr:colOff>
      <xdr:row>12</xdr:row>
      <xdr:rowOff>123869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7F4CCBB-EA1F-67AE-0AC7-A4B9D4CA6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18276" y="2095500"/>
          <a:ext cx="1133633" cy="314369"/>
        </a:xfrm>
        <a:prstGeom prst="rect">
          <a:avLst/>
        </a:prstGeom>
      </xdr:spPr>
    </xdr:pic>
    <xdr:clientData/>
  </xdr:twoCellAnchor>
  <xdr:twoCellAnchor>
    <xdr:from>
      <xdr:col>7</xdr:col>
      <xdr:colOff>315309</xdr:colOff>
      <xdr:row>20</xdr:row>
      <xdr:rowOff>78827</xdr:rowOff>
    </xdr:from>
    <xdr:to>
      <xdr:col>8</xdr:col>
      <xdr:colOff>95503</xdr:colOff>
      <xdr:row>21</xdr:row>
      <xdr:rowOff>42193</xdr:rowOff>
    </xdr:to>
    <xdr:sp macro="" textlink="">
      <xdr:nvSpPr>
        <xdr:cNvPr id="13" name="Multiplication Sign 12">
          <a:extLst>
            <a:ext uri="{FF2B5EF4-FFF2-40B4-BE49-F238E27FC236}">
              <a16:creationId xmlns:a16="http://schemas.microsoft.com/office/drawing/2014/main" id="{B3AF89CE-5FC7-4084-9B33-CC1D61125927}"/>
            </a:ext>
          </a:extLst>
        </xdr:cNvPr>
        <xdr:cNvSpPr/>
      </xdr:nvSpPr>
      <xdr:spPr>
        <a:xfrm>
          <a:off x="4591706" y="3888827"/>
          <a:ext cx="391107" cy="153866"/>
        </a:xfrm>
        <a:prstGeom prst="mathMultiply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FD96E-B9EF-41A1-886F-3CDDA682920E}">
  <dimension ref="T10:U18"/>
  <sheetViews>
    <sheetView tabSelected="1" topLeftCell="F4" zoomScale="170" zoomScaleNormal="170" workbookViewId="0">
      <selection activeCell="G20" sqref="G20"/>
    </sheetView>
  </sheetViews>
  <sheetFormatPr defaultRowHeight="15" x14ac:dyDescent="0.25"/>
  <sheetData>
    <row r="10" spans="21:21" x14ac:dyDescent="0.25">
      <c r="U10" s="1"/>
    </row>
    <row r="18" spans="20:20" x14ac:dyDescent="0.25">
      <c r="T18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1C515-D187-4395-9795-93E34D74D18A}">
  <dimension ref="B3:S30"/>
  <sheetViews>
    <sheetView workbookViewId="0">
      <selection activeCell="T25" sqref="T25"/>
    </sheetView>
  </sheetViews>
  <sheetFormatPr defaultRowHeight="15" x14ac:dyDescent="0.25"/>
  <cols>
    <col min="2" max="7" width="11.42578125" customWidth="1"/>
  </cols>
  <sheetData>
    <row r="3" spans="2:7" x14ac:dyDescent="0.25">
      <c r="B3" t="s">
        <v>4</v>
      </c>
      <c r="C3" t="s">
        <v>0</v>
      </c>
      <c r="D3" t="s">
        <v>1</v>
      </c>
      <c r="E3" t="s">
        <v>7</v>
      </c>
      <c r="F3" t="s">
        <v>2</v>
      </c>
      <c r="G3" t="s">
        <v>3</v>
      </c>
    </row>
    <row r="4" spans="2:7" x14ac:dyDescent="0.25">
      <c r="B4" s="2" t="s">
        <v>8</v>
      </c>
      <c r="C4" s="2" t="s">
        <v>10</v>
      </c>
      <c r="D4" s="4" t="s">
        <v>6</v>
      </c>
      <c r="E4" s="4">
        <f>4*3</f>
        <v>12</v>
      </c>
      <c r="F4" s="2">
        <v>3</v>
      </c>
      <c r="G4" s="2">
        <v>2</v>
      </c>
    </row>
    <row r="5" spans="2:7" x14ac:dyDescent="0.25">
      <c r="B5" s="2" t="s">
        <v>9</v>
      </c>
      <c r="C5" s="2" t="s">
        <v>10</v>
      </c>
      <c r="D5" s="3" t="s">
        <v>5</v>
      </c>
      <c r="E5" s="4">
        <f>2*3</f>
        <v>6</v>
      </c>
      <c r="F5" s="2">
        <v>3</v>
      </c>
      <c r="G5" s="2">
        <v>2</v>
      </c>
    </row>
    <row r="10" spans="2:7" x14ac:dyDescent="0.25">
      <c r="D10">
        <f>150/8</f>
        <v>18.75</v>
      </c>
    </row>
    <row r="12" spans="2:7" x14ac:dyDescent="0.25">
      <c r="G12">
        <f>4*40*1</f>
        <v>160</v>
      </c>
    </row>
    <row r="13" spans="2:7" x14ac:dyDescent="0.25">
      <c r="F13">
        <f>4*40*0.75</f>
        <v>120</v>
      </c>
    </row>
    <row r="14" spans="2:7" x14ac:dyDescent="0.25">
      <c r="D14">
        <f>75/8</f>
        <v>9.375</v>
      </c>
    </row>
    <row r="15" spans="2:7" x14ac:dyDescent="0.25">
      <c r="F15">
        <f>200/40/4</f>
        <v>1.25</v>
      </c>
    </row>
    <row r="27" spans="18:19" x14ac:dyDescent="0.25">
      <c r="R27">
        <f>3*40*0.75</f>
        <v>90</v>
      </c>
      <c r="S27">
        <f>3*40*1</f>
        <v>120</v>
      </c>
    </row>
    <row r="28" spans="18:19" x14ac:dyDescent="0.25">
      <c r="R28">
        <f>4*40*0.75</f>
        <v>120</v>
      </c>
      <c r="S28">
        <f>4*40*1</f>
        <v>160</v>
      </c>
    </row>
    <row r="29" spans="18:19" ht="15.75" thickBot="1" x14ac:dyDescent="0.3">
      <c r="R29" s="5">
        <f>SUM(R26:R28)</f>
        <v>210</v>
      </c>
      <c r="S29" s="5">
        <f>SUM(S26:S28)</f>
        <v>280</v>
      </c>
    </row>
    <row r="30" spans="18:19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2235D-EB8B-49EF-91D6-D0BF9D336F32}">
  <dimension ref="T10:U18"/>
  <sheetViews>
    <sheetView topLeftCell="G16" zoomScale="145" zoomScaleNormal="145" workbookViewId="0">
      <selection activeCell="W20" sqref="W20"/>
    </sheetView>
  </sheetViews>
  <sheetFormatPr defaultRowHeight="15" x14ac:dyDescent="0.25"/>
  <sheetData>
    <row r="10" spans="21:21" x14ac:dyDescent="0.25">
      <c r="U10" s="1"/>
    </row>
    <row r="18" spans="20:20" x14ac:dyDescent="0.25">
      <c r="T18" s="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47E0126EE26B68468E30FEE8ADFBCCCC" ma:contentTypeVersion="3" ma:contentTypeDescription="A document associated with a project for a client." ma:contentTypeScope="" ma:versionID="268f348e925944570301af8ff2adc88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93b052738fdbaae4d27c6d5b8c67869a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4CA2B8BD-96F9-4D37-B2B8-1283DDA407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A0E77C-5E77-4E53-B818-D7CC775CBD75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6DEAD27F-3293-44C2-8A46-23B1AAA7949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40348AC-595F-483E-B90D-EA3134B22245}">
  <ds:schemaRefs>
    <ds:schemaRef ds:uri="http://www.w3.org/XML/1998/namespace"/>
    <ds:schemaRef ds:uri="http://schemas.microsoft.com/office/2006/documentManagement/types"/>
    <ds:schemaRef ds:uri="http://purl.org/dc/terms/"/>
    <ds:schemaRef ds:uri="1ffbd5dc-7a64-4097-8396-87f6c90b212f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(2)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Nikki Papenfus</dc:creator>
  <cp:lastModifiedBy>Nikki Papenfus</cp:lastModifiedBy>
  <dcterms:created xsi:type="dcterms:W3CDTF">2025-09-25T08:03:31Z</dcterms:created>
  <dcterms:modified xsi:type="dcterms:W3CDTF">2025-09-26T09:50:30Z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0x010100B16301FA1C2D5E4DB9305F31D037531D0207030047E0126EE26B68468E30FEE8ADFBCCCC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Client">
    <vt:lpwstr>6;#Grainger PLC|a74f1cb5-e995-4f9e-8521-6d52e2c6bf08</vt:lpwstr>
  </property>
  <property fmtid="{D5CDD505-2E9C-101B-9397-08002B2CF9AE}" pid="5" name="Client Project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MediaServiceImageTags">
    <vt:lpwstr/>
  </property>
  <property fmtid="{D5CDD505-2E9C-101B-9397-08002B2CF9AE}" pid="10" name="lcf76f155ced4ddcb4097134ff3c332f">
    <vt:lpwstr/>
  </property>
</Properties>
</file>