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Sales Documents/Salesforce/Incentives/"/>
    </mc:Choice>
  </mc:AlternateContent>
  <xr:revisionPtr revIDLastSave="192" documentId="8_{308A71AD-8E76-4138-AA3A-BEAA11703E02}" xr6:coauthVersionLast="47" xr6:coauthVersionMax="47" xr10:uidLastSave="{4381F1A0-5925-41D2-BA8E-C8358AD2E767}"/>
  <bookViews>
    <workbookView xWindow="-120" yWindow="-120" windowWidth="29040" windowHeight="15720" tabRatio="699" xr2:uid="{82DBA3FB-BAAE-4513-8EBD-08C2C1522918}"/>
  </bookViews>
  <sheets>
    <sheet name="SOW Cost" sheetId="14" r:id="rId1"/>
    <sheet name="Project Timeline" sheetId="13" r:id="rId2"/>
    <sheet name="DNU_SOW v1" sheetId="6" state="hidden" r:id="rId3"/>
    <sheet name="DNU_Team &amp; Velocity v1" sheetId="2" state="hidden" r:id="rId4"/>
    <sheet name="Currency" sheetId="7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4" l="1"/>
  <c r="F11" i="14"/>
  <c r="F12" i="14"/>
  <c r="F22" i="14" s="1"/>
  <c r="K11" i="14"/>
  <c r="C12" i="14"/>
  <c r="C23" i="14"/>
  <c r="E23" i="14"/>
  <c r="E24" i="14"/>
  <c r="F21" i="14"/>
  <c r="E21" i="14"/>
  <c r="F9" i="14"/>
  <c r="O26" i="14"/>
  <c r="O25" i="14"/>
  <c r="O22" i="14"/>
  <c r="J26" i="14"/>
  <c r="F25" i="14"/>
  <c r="F35" i="14" s="1"/>
  <c r="F24" i="14"/>
  <c r="F6" i="14"/>
  <c r="C5" i="14"/>
  <c r="E25" i="14"/>
  <c r="E35" i="14" s="1"/>
  <c r="D32" i="14"/>
  <c r="C36" i="14"/>
  <c r="F10" i="14"/>
  <c r="I32" i="14"/>
  <c r="D24" i="14"/>
  <c r="D34" i="14" s="1"/>
  <c r="C34" i="14"/>
  <c r="D23" i="14"/>
  <c r="D33" i="14" s="1"/>
  <c r="C33" i="14"/>
  <c r="B36" i="14"/>
  <c r="J25" i="14"/>
  <c r="F20" i="14"/>
  <c r="F30" i="14" s="1"/>
  <c r="E20" i="14"/>
  <c r="E30" i="14" s="1"/>
  <c r="F19" i="14"/>
  <c r="F29" i="14" s="1"/>
  <c r="E19" i="14"/>
  <c r="E29" i="14" s="1"/>
  <c r="I14" i="14"/>
  <c r="E12" i="14"/>
  <c r="B12" i="14"/>
  <c r="M11" i="14"/>
  <c r="K10" i="14"/>
  <c r="K9" i="14"/>
  <c r="K8" i="14"/>
  <c r="K7" i="14"/>
  <c r="K6" i="14"/>
  <c r="K5" i="14"/>
  <c r="K4" i="14"/>
  <c r="B2" i="14"/>
  <c r="E22" i="14" l="1"/>
  <c r="E32" i="14" s="1"/>
  <c r="I34" i="14"/>
  <c r="I35" i="14" s="1"/>
  <c r="I36" i="14" s="1"/>
  <c r="C38" i="14"/>
  <c r="E31" i="14"/>
  <c r="L15" i="14"/>
  <c r="L17" i="14" s="1"/>
  <c r="K32" i="14" l="1"/>
  <c r="K34" i="14" s="1"/>
  <c r="K35" i="14" s="1"/>
  <c r="K36" i="14" s="1"/>
  <c r="D36" i="14"/>
  <c r="D38" i="14" s="1"/>
  <c r="F31" i="14"/>
  <c r="L6" i="14"/>
  <c r="L7" i="14"/>
  <c r="L4" i="14"/>
  <c r="L10" i="14"/>
  <c r="B6" i="2"/>
  <c r="B8" i="2"/>
  <c r="D19" i="6"/>
  <c r="D12" i="6"/>
  <c r="C32" i="6"/>
  <c r="C31" i="6"/>
  <c r="C30" i="6"/>
  <c r="C29" i="6"/>
  <c r="C27" i="6"/>
  <c r="D5" i="14" l="1"/>
  <c r="L11" i="14"/>
  <c r="H21" i="6"/>
  <c r="F31" i="6" s="1"/>
  <c r="G21" i="6"/>
  <c r="E31" i="6" s="1"/>
  <c r="E20" i="6"/>
  <c r="D20" i="6"/>
  <c r="E19" i="6"/>
  <c r="C26" i="6"/>
  <c r="H17" i="6"/>
  <c r="F27" i="6" s="1"/>
  <c r="G17" i="6"/>
  <c r="E27" i="6" s="1"/>
  <c r="F9" i="6"/>
  <c r="F11" i="6" s="1"/>
  <c r="E18" i="6" s="1"/>
  <c r="F8" i="6"/>
  <c r="D9" i="6"/>
  <c r="F26" i="14" l="1"/>
  <c r="F32" i="14"/>
  <c r="F23" i="14"/>
  <c r="F33" i="14" s="1"/>
  <c r="F34" i="14"/>
  <c r="E34" i="14"/>
  <c r="F10" i="6"/>
  <c r="D18" i="6" s="1"/>
  <c r="G18" i="6" s="1"/>
  <c r="E28" i="6" s="1"/>
  <c r="H18" i="6"/>
  <c r="F28" i="6" s="1"/>
  <c r="H19" i="6"/>
  <c r="F29" i="6" s="1"/>
  <c r="G20" i="6"/>
  <c r="E30" i="6" s="1"/>
  <c r="H20" i="6"/>
  <c r="F30" i="6" s="1"/>
  <c r="G19" i="6"/>
  <c r="E29" i="6" s="1"/>
  <c r="E33" i="14" l="1"/>
  <c r="E36" i="14" s="1"/>
  <c r="E26" i="14"/>
  <c r="F36" i="14"/>
  <c r="G22" i="6"/>
  <c r="E32" i="6" s="1"/>
  <c r="H22" i="6"/>
  <c r="F3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tc={BAF56DF6-CF5E-4DCD-918F-123D3A97F77A}</author>
    <author>tc={6371F4C0-76EF-4713-89E9-218FA6A3F813}</author>
    <author>Nikki Papenfus</author>
    <author>tc={AD42F3EA-BFBB-409F-8DAA-8FE8691D079A}</author>
  </authors>
  <commentList>
    <comment ref="E4" authorId="0" shapeId="0" xr:uid="{BAF56DF6-CF5E-4DCD-918F-123D3A97F77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 the extent of discovery already completed, and knowledge of the client's business &amp; Org.</t>
      </text>
    </comment>
    <comment ref="E5" authorId="1" shapeId="0" xr:uid="{6371F4C0-76EF-4713-89E9-218FA6A3F81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 extent of custom component development, use of 3rd party apps, 3rd party integrations.</t>
      </text>
    </comment>
    <comment ref="B11" authorId="2" shapeId="0" xr:uid="{47444FCA-06F8-41F3-8005-9593835794DA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Seems high for support. Should we allow for different FTEs for UAT &amp; support?</t>
        </r>
      </text>
    </comment>
    <comment ref="I15" authorId="3" shapeId="0" xr:uid="{AD42F3EA-BFBB-409F-8DAA-8FE8691D079A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point story = 5 days to dev, QA, fix bugs &amp; deploy</t>
      </text>
    </comment>
    <comment ref="K15" authorId="2" shapeId="0" xr:uid="{E381AB9D-2359-4187-B6FA-6B8AAB6C329D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TO BE DECIDED 
SVOT project: Average points delivered by 1 Dev FTE in a 3 week sprint = 16.4 points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Nikki Papenfus</author>
  </authors>
  <commentList>
    <comment ref="F7" authorId="0" shapeId="0" xr:uid="{C6CE76B7-7D18-4C67-96CA-0F47790B1466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Need to add a contingency factor - this is a SOW / proposal-level estimate.
Add a % for unknown 'must have' requirements, which may vary depending on the extent of discovery already done, knowledge of the client's business &amp; org.
Add a % for unanticipated complexity of known features, which may vary depending on extent of custom components, external plug ins, 3rd party integration.</t>
        </r>
      </text>
    </comment>
    <comment ref="F8" authorId="0" shapeId="0" xr:uid="{92354FEB-48B9-4747-87F4-D49BEF5FDDBC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The veloocity #s should be a formula based on number of developers / dev FTEs</t>
        </r>
      </text>
    </comment>
    <comment ref="D9" authorId="0" shapeId="0" xr:uid="{DA7B35AE-5F11-4615-9C05-AE6A58CC1739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this should round up to the nearerst 0,5 or 0,25   </t>
        </r>
      </text>
    </comment>
    <comment ref="D11" authorId="0" shapeId="0" xr:uid="{81B9219B-171F-4A17-AE78-EEE4912FDDE4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this needs to be a formula</t>
        </r>
      </text>
    </comment>
    <comment ref="E32" authorId="0" shapeId="0" xr:uid="{4D757BBB-3D70-4496-ADC4-28436C59BCFA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these totals should be a sum of the above in case we change them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Nikki Papenfus</author>
  </authors>
  <commentList>
    <comment ref="B1" authorId="0" shapeId="0" xr:uid="{59FE14F0-A0F8-48BF-827E-89C1B7A56E86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Is this FTE or allocation? If allocation, then the # of resources is mising from the equation</t>
        </r>
      </text>
    </comment>
    <comment ref="B6" authorId="0" shapeId="0" xr:uid="{F0F1BB12-2DD1-430C-83D5-B84308C86CCB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these inputs need to go on the main page.  This will vary based on project complexity / size / etc, e.g. renewals was a 75% BA allocation for the project. Other projects might not be.
If this is a formula, then the inputs to the formula should be transparant and editable </t>
        </r>
      </text>
    </comment>
    <comment ref="B11" authorId="0" shapeId="0" xr:uid="{555BD363-7D58-485F-8927-646A0EE65A72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This needs to be a formula based on number of devs.
or this need to be the number of points for one dev?
Question = do we modify the velocity depending the junior / senior dev mix?
Yes - this will be updated per project and taking team into consideration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EAEC71-99D6-45F0-B5F6-7CA824947569}" keepAlive="1" name="Query - Reporting Backlog Items" description="Connection to the 'Reporting Backlog Items' query in the workbook." type="5" refreshedVersion="7" background="1" saveData="1">
    <dbPr connection="Provider=Microsoft.Mashup.OleDb.1;Data Source=$Workbook$;Location=&quot;Reporting Backlog Items&quot;;Extended Properties=&quot;&quot;" command="SELECT * FROM [Reporting Backlog Items]"/>
  </connection>
</connections>
</file>

<file path=xl/sharedStrings.xml><?xml version="1.0" encoding="utf-8"?>
<sst xmlns="http://schemas.openxmlformats.org/spreadsheetml/2006/main" count="176" uniqueCount="148">
  <si>
    <t>Points</t>
  </si>
  <si>
    <t>Sprint Team</t>
  </si>
  <si>
    <t>Key</t>
  </si>
  <si>
    <t>Currency</t>
  </si>
  <si>
    <t>£</t>
  </si>
  <si>
    <t>Estimated Feature Points</t>
  </si>
  <si>
    <t>Role</t>
  </si>
  <si>
    <t># People</t>
  </si>
  <si>
    <t>Allocation</t>
  </si>
  <si>
    <t>FTE</t>
  </si>
  <si>
    <t>Split</t>
  </si>
  <si>
    <t>Target</t>
  </si>
  <si>
    <t>Enter value</t>
  </si>
  <si>
    <t xml:space="preserve">Sprint 0 Rate per Hour (T&amp;M) </t>
  </si>
  <si>
    <t>Unanticipated Scope</t>
  </si>
  <si>
    <t>Dev Senior</t>
  </si>
  <si>
    <t>Default value across projects</t>
  </si>
  <si>
    <t>Project Rate per Hour</t>
  </si>
  <si>
    <t>Unanticipated Complexity</t>
  </si>
  <si>
    <t>Dev Junior</t>
  </si>
  <si>
    <t>Calculated (formula)</t>
  </si>
  <si>
    <t>Weeks per Sprint</t>
  </si>
  <si>
    <t>Total Points</t>
  </si>
  <si>
    <t>QA</t>
  </si>
  <si>
    <t>Jacob</t>
  </si>
  <si>
    <t>People involved in Estimate</t>
  </si>
  <si>
    <t>UAT &amp; Production Support</t>
  </si>
  <si>
    <t>Build - Sprints</t>
  </si>
  <si>
    <t>BA</t>
  </si>
  <si>
    <t>Sam Duncan</t>
  </si>
  <si>
    <t>UAT Weeks</t>
  </si>
  <si>
    <t>Optimistic Sprint #</t>
  </si>
  <si>
    <t>Architect</t>
  </si>
  <si>
    <t>Shaun Barrett</t>
  </si>
  <si>
    <t xml:space="preserve">Prod Support Weeks </t>
  </si>
  <si>
    <t>Pessimistic Sprint #</t>
  </si>
  <si>
    <t>PM</t>
  </si>
  <si>
    <t>Team Size (FTEs) - UAT</t>
  </si>
  <si>
    <t>Team Size (FTEs)</t>
  </si>
  <si>
    <t xml:space="preserve">Team Size </t>
  </si>
  <si>
    <t>Velocity</t>
  </si>
  <si>
    <t>Notes</t>
  </si>
  <si>
    <t>Range</t>
  </si>
  <si>
    <t>Points per Sprint</t>
  </si>
  <si>
    <t xml:space="preserve">Optimistic </t>
  </si>
  <si>
    <t>1 Senior Dev FTE</t>
  </si>
  <si>
    <t>1 Junior Dev FTE</t>
  </si>
  <si>
    <t xml:space="preserve">Pessimistic </t>
  </si>
  <si>
    <t>% of Optimistic</t>
  </si>
  <si>
    <t>Internal</t>
  </si>
  <si>
    <t>Project Phase</t>
  </si>
  <si>
    <t>Min Effort</t>
  </si>
  <si>
    <t>Max Effort</t>
  </si>
  <si>
    <t xml:space="preserve">Sprint 0 </t>
  </si>
  <si>
    <t>Consultancy (Min)</t>
  </si>
  <si>
    <t xml:space="preserve">Consultancy  (Hours) </t>
  </si>
  <si>
    <t>Weeks (Min)</t>
  </si>
  <si>
    <t>Sprint 0</t>
  </si>
  <si>
    <t>BA Allocation (Min)</t>
  </si>
  <si>
    <t xml:space="preserve">Build (Sprints) </t>
  </si>
  <si>
    <t>BA Allocation (Max)</t>
  </si>
  <si>
    <t>Pax:</t>
  </si>
  <si>
    <t>Backlog (Hrs)</t>
  </si>
  <si>
    <t>pax</t>
  </si>
  <si>
    <t>Final UAT (Weeks) 0,5 FTE</t>
  </si>
  <si>
    <t xml:space="preserve">Client Meetings (hrs/week) </t>
  </si>
  <si>
    <t xml:space="preserve">Client Meetings (Hrs) </t>
  </si>
  <si>
    <t>Prod Deployment &amp; Support (Weeks) 0,25 FTE</t>
  </si>
  <si>
    <t xml:space="preserve">Internal Meetings (hrs/week) </t>
  </si>
  <si>
    <t xml:space="preserve">Internal Meetings (Hrs) </t>
  </si>
  <si>
    <t>Update Lettings User Guide (Hours)</t>
  </si>
  <si>
    <t>Total Hours (Min)</t>
  </si>
  <si>
    <t>Document (Hrs)</t>
  </si>
  <si>
    <t>Total</t>
  </si>
  <si>
    <t>Total Hours (Max)</t>
  </si>
  <si>
    <t>Total Hours (min)</t>
  </si>
  <si>
    <t>External Quote</t>
  </si>
  <si>
    <t>Timelines</t>
  </si>
  <si>
    <t>Duration (Weeks)</t>
  </si>
  <si>
    <t>Target Start Date</t>
  </si>
  <si>
    <t>Consultancy</t>
  </si>
  <si>
    <t>Estimated End Date</t>
  </si>
  <si>
    <t>Release 1</t>
  </si>
  <si>
    <t>Lower Bound</t>
  </si>
  <si>
    <t>Upper Bound</t>
  </si>
  <si>
    <t>Build</t>
  </si>
  <si>
    <t>Consultancy / Sprint 0</t>
  </si>
  <si>
    <t>Final UAT</t>
  </si>
  <si>
    <t>Xmas Break (days)</t>
  </si>
  <si>
    <t>Prod Deployment &amp; Support</t>
  </si>
  <si>
    <t>Update Lettings User Guide</t>
  </si>
  <si>
    <t>UAT/Go Live</t>
  </si>
  <si>
    <t>Support</t>
  </si>
  <si>
    <t xml:space="preserve">Xmas </t>
  </si>
  <si>
    <t xml:space="preserve">Months Duration </t>
  </si>
  <si>
    <t>Project Rate</t>
  </si>
  <si>
    <t>Total Cost for Release 1</t>
  </si>
  <si>
    <t>Team Composition</t>
  </si>
  <si>
    <t>Enter Value</t>
  </si>
  <si>
    <t>Do not update (Formula)</t>
  </si>
  <si>
    <t>Rates &amp; Team</t>
  </si>
  <si>
    <t>Velocity &amp; Duration</t>
  </si>
  <si>
    <t xml:space="preserve">Sprint 0 Rate (T&amp;M) </t>
  </si>
  <si>
    <t>Estimated Story Points</t>
  </si>
  <si>
    <r>
      <t xml:space="preserve">Optimistic </t>
    </r>
    <r>
      <rPr>
        <b/>
        <sz val="11"/>
        <color theme="1"/>
        <rFont val="Calibri"/>
        <family val="2"/>
        <scheme val="minor"/>
      </rPr>
      <t>Velocity</t>
    </r>
  </si>
  <si>
    <t>Team Size - Build</t>
  </si>
  <si>
    <r>
      <t xml:space="preserve">Pesimistic </t>
    </r>
    <r>
      <rPr>
        <b/>
        <sz val="11"/>
        <color theme="1"/>
        <rFont val="Calibri"/>
        <family val="2"/>
        <scheme val="minor"/>
      </rPr>
      <t>Velocity</t>
    </r>
  </si>
  <si>
    <t>Team Size - UAT &amp; Prod Support</t>
  </si>
  <si>
    <r>
      <t xml:space="preserve">Optimistic </t>
    </r>
    <r>
      <rPr>
        <b/>
        <sz val="11"/>
        <color theme="1"/>
        <rFont val="Calibri"/>
        <family val="2"/>
        <scheme val="minor"/>
      </rPr>
      <t>Sprint #</t>
    </r>
  </si>
  <si>
    <t>Cost Per 3 Week Sprint</t>
  </si>
  <si>
    <r>
      <t xml:space="preserve">Pesimistic </t>
    </r>
    <r>
      <rPr>
        <b/>
        <sz val="11"/>
        <color theme="1"/>
        <rFont val="Calibri"/>
        <family val="2"/>
        <scheme val="minor"/>
      </rPr>
      <t>Sprint #</t>
    </r>
  </si>
  <si>
    <t>Cost for UAT &amp; Prod (per week)</t>
  </si>
  <si>
    <t>Prod Support Weeks</t>
  </si>
  <si>
    <t>Lower Bound Effort</t>
  </si>
  <si>
    <t>Upper Bound Effort</t>
  </si>
  <si>
    <t>Sprint 0 (hours)</t>
  </si>
  <si>
    <t>4 weeks</t>
  </si>
  <si>
    <r>
      <t>Release 1:</t>
    </r>
    <r>
      <rPr>
        <strike/>
        <sz val="11"/>
        <color theme="1"/>
        <rFont val="Calibri"/>
        <family val="2"/>
        <scheme val="minor"/>
      </rPr>
      <t xml:space="preserve"> 5 to 8 Sprints</t>
    </r>
  </si>
  <si>
    <t>Production Deployment &amp; Post Go-Live Support </t>
  </si>
  <si>
    <t>User guide creation</t>
  </si>
  <si>
    <t>Done in parallel with sprints </t>
  </si>
  <si>
    <t>`</t>
  </si>
  <si>
    <t>External</t>
  </si>
  <si>
    <t>Duration</t>
  </si>
  <si>
    <t>Team Size</t>
  </si>
  <si>
    <t>Story Points per Sprint</t>
  </si>
  <si>
    <t>Dollar</t>
  </si>
  <si>
    <t>$</t>
  </si>
  <si>
    <t>Pound</t>
  </si>
  <si>
    <t>Rand</t>
  </si>
  <si>
    <t>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</si>
  <si>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</si>
  <si>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</si>
  <si>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</si>
  <si>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</si>
  <si>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</si>
  <si>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</si>
  <si>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</si>
  <si>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</si>
  <si>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</si>
  <si>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</si>
  <si>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</si>
  <si>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</si>
  <si>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Sprint 1</t>
  </si>
  <si>
    <t>Sprint 2</t>
  </si>
  <si>
    <t>Production Support</t>
  </si>
  <si>
    <t>Sprint 2 UAT</t>
  </si>
  <si>
    <t>Sprint 1 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</si>
</sst>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£-809]#,##0.00"/>
    <numFmt numFmtId="165" formatCode="_-* #,##0.0_-;\-* #,##0.0_-;_-* &quot;-&quot;??_-;_-@_-"/>
    <numFmt numFmtId="166" formatCode="_-* #,##0_-;\-* #,##0_-;_-* &quot;-&quot;??_-;_-@_-"/>
    <numFmt numFmtId="167" formatCode="[$-1C09]dd\ mmmm\ yyyy;@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color theme="1"/>
      <name val="Calibri"/>
      <family val="2"/>
      <scheme val="minor"/>
    </font>
    <font>
      <b/>
      <i/>
      <sz val="11"/>
      <color theme="1" tint="0.34998626667073579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19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9" fontId="0" fillId="0" borderId="0" xfId="1" applyFont="1" applyAlignment="1">
      <alignment wrapText="1"/>
    </xf>
    <xf numFmtId="164" fontId="2" fillId="0" borderId="0" xfId="0" applyNumberFormat="1" applyFont="1" applyAlignment="1">
      <alignment wrapText="1"/>
    </xf>
    <xf numFmtId="0" fontId="0" fillId="0" borderId="1" xfId="0" applyBorder="1"/>
    <xf numFmtId="0" fontId="2" fillId="0" borderId="1" xfId="0" applyFont="1" applyBorder="1"/>
    <xf numFmtId="164" fontId="2" fillId="0" borderId="2" xfId="0" applyNumberFormat="1" applyFont="1" applyBorder="1"/>
    <xf numFmtId="0" fontId="2" fillId="2" borderId="1" xfId="0" applyFont="1" applyFill="1" applyBorder="1"/>
    <xf numFmtId="2" fontId="2" fillId="0" borderId="0" xfId="1" applyNumberFormat="1" applyFont="1" applyAlignment="1">
      <alignment wrapText="1"/>
    </xf>
    <xf numFmtId="0" fontId="2" fillId="0" borderId="0" xfId="0" applyFont="1" applyAlignment="1">
      <alignment horizontal="right" wrapText="1"/>
    </xf>
    <xf numFmtId="164" fontId="0" fillId="3" borderId="1" xfId="0" applyNumberFormat="1" applyFill="1" applyBorder="1" applyAlignment="1">
      <alignment wrapText="1"/>
    </xf>
    <xf numFmtId="0" fontId="0" fillId="3" borderId="1" xfId="0" applyFill="1" applyBorder="1"/>
    <xf numFmtId="0" fontId="0" fillId="2" borderId="1" xfId="0" applyFill="1" applyBorder="1"/>
    <xf numFmtId="2" fontId="0" fillId="2" borderId="1" xfId="0" applyNumberFormat="1" applyFill="1" applyBorder="1"/>
    <xf numFmtId="164" fontId="0" fillId="2" borderId="1" xfId="0" applyNumberFormat="1" applyFill="1" applyBorder="1"/>
    <xf numFmtId="2" fontId="0" fillId="3" borderId="1" xfId="0" applyNumberFormat="1" applyFill="1" applyBorder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2" fillId="2" borderId="6" xfId="0" applyFont="1" applyFill="1" applyBorder="1"/>
    <xf numFmtId="0" fontId="2" fillId="2" borderId="7" xfId="0" applyFont="1" applyFill="1" applyBorder="1"/>
    <xf numFmtId="0" fontId="0" fillId="0" borderId="6" xfId="0" applyBorder="1"/>
    <xf numFmtId="164" fontId="0" fillId="2" borderId="7" xfId="0" applyNumberFormat="1" applyFill="1" applyBorder="1"/>
    <xf numFmtId="0" fontId="2" fillId="0" borderId="6" xfId="0" applyFont="1" applyBorder="1"/>
    <xf numFmtId="164" fontId="2" fillId="0" borderId="8" xfId="0" applyNumberFormat="1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1" xfId="0" applyNumberFormat="1" applyBorder="1"/>
    <xf numFmtId="164" fontId="2" fillId="0" borderId="1" xfId="0" applyNumberFormat="1" applyFont="1" applyBorder="1"/>
    <xf numFmtId="164" fontId="0" fillId="0" borderId="7" xfId="0" applyNumberFormat="1" applyBorder="1"/>
    <xf numFmtId="164" fontId="2" fillId="0" borderId="7" xfId="0" applyNumberFormat="1" applyFont="1" applyBorder="1"/>
    <xf numFmtId="164" fontId="0" fillId="2" borderId="1" xfId="0" applyNumberFormat="1" applyFill="1" applyBorder="1" applyAlignment="1">
      <alignment wrapText="1"/>
    </xf>
    <xf numFmtId="0" fontId="2" fillId="3" borderId="1" xfId="0" applyFont="1" applyFill="1" applyBorder="1"/>
    <xf numFmtId="9" fontId="10" fillId="3" borderId="1" xfId="1" applyFont="1" applyFill="1" applyBorder="1" applyAlignment="1">
      <alignment vertical="center" wrapText="1"/>
    </xf>
    <xf numFmtId="9" fontId="10" fillId="2" borderId="1" xfId="1" applyFont="1" applyFill="1" applyBorder="1" applyAlignment="1">
      <alignment vertical="center"/>
    </xf>
    <xf numFmtId="9" fontId="10" fillId="0" borderId="7" xfId="1" applyFont="1" applyFill="1" applyBorder="1" applyAlignment="1">
      <alignment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1" fillId="4" borderId="6" xfId="0" applyFont="1" applyFill="1" applyBorder="1" applyAlignment="1">
      <alignment vertical="center" wrapText="1"/>
    </xf>
    <xf numFmtId="9" fontId="10" fillId="2" borderId="36" xfId="1" applyFont="1" applyFill="1" applyBorder="1" applyAlignment="1">
      <alignment vertical="center"/>
    </xf>
    <xf numFmtId="9" fontId="10" fillId="0" borderId="20" xfId="1" applyFont="1" applyFill="1" applyBorder="1" applyAlignment="1">
      <alignment vertical="center"/>
    </xf>
    <xf numFmtId="43" fontId="10" fillId="2" borderId="1" xfId="2" applyFont="1" applyFill="1" applyBorder="1" applyAlignment="1">
      <alignment vertical="center" wrapText="1"/>
    </xf>
    <xf numFmtId="166" fontId="10" fillId="2" borderId="7" xfId="2" applyNumberFormat="1" applyFont="1" applyFill="1" applyBorder="1" applyAlignment="1">
      <alignment vertical="center" wrapText="1"/>
    </xf>
    <xf numFmtId="43" fontId="10" fillId="2" borderId="36" xfId="2" applyFont="1" applyFill="1" applyBorder="1" applyAlignment="1">
      <alignment vertical="center" wrapText="1"/>
    </xf>
    <xf numFmtId="166" fontId="10" fillId="2" borderId="20" xfId="2" applyNumberFormat="1" applyFont="1" applyFill="1" applyBorder="1" applyAlignment="1">
      <alignment vertical="center" wrapText="1"/>
    </xf>
    <xf numFmtId="0" fontId="11" fillId="4" borderId="6" xfId="0" applyFont="1" applyFill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11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38" xfId="0" applyFont="1" applyBorder="1" applyAlignment="1">
      <alignment vertical="center"/>
    </xf>
    <xf numFmtId="166" fontId="10" fillId="2" borderId="12" xfId="2" applyNumberFormat="1" applyFont="1" applyFill="1" applyBorder="1" applyAlignment="1">
      <alignment vertical="center"/>
    </xf>
    <xf numFmtId="166" fontId="10" fillId="2" borderId="32" xfId="2" applyNumberFormat="1" applyFont="1" applyFill="1" applyBorder="1" applyAlignment="1">
      <alignment vertical="center"/>
    </xf>
    <xf numFmtId="166" fontId="11" fillId="2" borderId="41" xfId="2" applyNumberFormat="1" applyFont="1" applyFill="1" applyBorder="1" applyAlignment="1">
      <alignment vertical="center"/>
    </xf>
    <xf numFmtId="166" fontId="10" fillId="2" borderId="1" xfId="2" applyNumberFormat="1" applyFont="1" applyFill="1" applyBorder="1" applyAlignment="1">
      <alignment vertical="center"/>
    </xf>
    <xf numFmtId="0" fontId="10" fillId="0" borderId="24" xfId="0" applyFont="1" applyBorder="1" applyAlignment="1">
      <alignment vertical="center" wrapText="1"/>
    </xf>
    <xf numFmtId="166" fontId="10" fillId="3" borderId="7" xfId="2" applyNumberFormat="1" applyFont="1" applyFill="1" applyBorder="1" applyAlignment="1">
      <alignment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9" fillId="0" borderId="28" xfId="0" applyFont="1" applyBorder="1" applyAlignment="1">
      <alignment vertical="center"/>
    </xf>
    <xf numFmtId="9" fontId="10" fillId="3" borderId="7" xfId="1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9" fontId="10" fillId="3" borderId="20" xfId="1" applyFont="1" applyFill="1" applyBorder="1" applyAlignment="1">
      <alignment vertical="center" wrapText="1"/>
    </xf>
    <xf numFmtId="0" fontId="9" fillId="0" borderId="29" xfId="0" applyFont="1" applyBorder="1" applyAlignment="1">
      <alignment vertical="center"/>
    </xf>
    <xf numFmtId="0" fontId="11" fillId="2" borderId="31" xfId="0" applyFont="1" applyFill="1" applyBorder="1" applyAlignment="1">
      <alignment vertical="center"/>
    </xf>
    <xf numFmtId="43" fontId="11" fillId="2" borderId="39" xfId="1" applyNumberFormat="1" applyFont="1" applyFill="1" applyBorder="1" applyAlignment="1">
      <alignment vertical="center" wrapText="1"/>
    </xf>
    <xf numFmtId="2" fontId="11" fillId="0" borderId="10" xfId="1" applyNumberFormat="1" applyFont="1" applyFill="1" applyBorder="1" applyAlignment="1">
      <alignment vertical="center" wrapText="1"/>
    </xf>
    <xf numFmtId="9" fontId="11" fillId="2" borderId="39" xfId="1" applyFont="1" applyFill="1" applyBorder="1" applyAlignment="1">
      <alignment vertical="center" wrapText="1"/>
    </xf>
    <xf numFmtId="43" fontId="10" fillId="2" borderId="7" xfId="2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43" fontId="0" fillId="0" borderId="0" xfId="0" applyNumberFormat="1" applyAlignment="1">
      <alignment vertical="center"/>
    </xf>
    <xf numFmtId="0" fontId="10" fillId="0" borderId="15" xfId="0" applyFont="1" applyBorder="1" applyAlignment="1">
      <alignment vertical="center"/>
    </xf>
    <xf numFmtId="166" fontId="10" fillId="2" borderId="7" xfId="2" applyNumberFormat="1" applyFont="1" applyFill="1" applyBorder="1" applyAlignment="1">
      <alignment vertical="center"/>
    </xf>
    <xf numFmtId="165" fontId="10" fillId="3" borderId="7" xfId="2" applyNumberFormat="1" applyFont="1" applyFill="1" applyBorder="1" applyAlignment="1">
      <alignment vertical="center" wrapText="1"/>
    </xf>
    <xf numFmtId="166" fontId="10" fillId="3" borderId="36" xfId="0" applyNumberFormat="1" applyFont="1" applyFill="1" applyBorder="1" applyAlignment="1">
      <alignment vertical="center"/>
    </xf>
    <xf numFmtId="166" fontId="10" fillId="2" borderId="20" xfId="2" applyNumberFormat="1" applyFont="1" applyFill="1" applyBorder="1" applyAlignment="1">
      <alignment vertical="center"/>
    </xf>
    <xf numFmtId="0" fontId="10" fillId="0" borderId="39" xfId="0" applyFont="1" applyBorder="1" applyAlignment="1">
      <alignment vertical="center"/>
    </xf>
    <xf numFmtId="166" fontId="11" fillId="2" borderId="31" xfId="2" applyNumberFormat="1" applyFont="1" applyFill="1" applyBorder="1" applyAlignment="1">
      <alignment vertical="center"/>
    </xf>
    <xf numFmtId="0" fontId="10" fillId="0" borderId="10" xfId="0" applyFont="1" applyBorder="1" applyAlignment="1">
      <alignment vertical="center"/>
    </xf>
    <xf numFmtId="166" fontId="10" fillId="2" borderId="31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vertical="center"/>
    </xf>
    <xf numFmtId="9" fontId="10" fillId="0" borderId="36" xfId="1" applyFont="1" applyFill="1" applyBorder="1" applyAlignment="1">
      <alignment horizontal="right" vertical="center" wrapText="1"/>
    </xf>
    <xf numFmtId="0" fontId="9" fillId="3" borderId="42" xfId="0" applyFont="1" applyFill="1" applyBorder="1" applyAlignment="1">
      <alignment vertical="center"/>
    </xf>
    <xf numFmtId="0" fontId="9" fillId="2" borderId="44" xfId="0" applyFont="1" applyFill="1" applyBorder="1" applyAlignment="1">
      <alignment vertical="center"/>
    </xf>
    <xf numFmtId="43" fontId="10" fillId="0" borderId="39" xfId="1" applyNumberFormat="1" applyFont="1" applyFill="1" applyBorder="1" applyAlignment="1">
      <alignment vertical="center" wrapText="1"/>
    </xf>
    <xf numFmtId="0" fontId="9" fillId="0" borderId="43" xfId="0" applyFont="1" applyBorder="1" applyAlignment="1">
      <alignment vertical="center" wrapText="1"/>
    </xf>
    <xf numFmtId="0" fontId="9" fillId="5" borderId="45" xfId="0" applyFont="1" applyFill="1" applyBorder="1" applyAlignment="1">
      <alignment vertical="center"/>
    </xf>
    <xf numFmtId="9" fontId="11" fillId="0" borderId="40" xfId="1" applyFont="1" applyFill="1" applyBorder="1" applyAlignment="1">
      <alignment vertical="center" wrapText="1"/>
    </xf>
    <xf numFmtId="0" fontId="11" fillId="4" borderId="46" xfId="0" applyFont="1" applyFill="1" applyBorder="1" applyAlignment="1">
      <alignment vertical="center"/>
    </xf>
    <xf numFmtId="0" fontId="10" fillId="3" borderId="47" xfId="0" applyFont="1" applyFill="1" applyBorder="1" applyAlignment="1">
      <alignment vertical="center"/>
    </xf>
    <xf numFmtId="0" fontId="10" fillId="3" borderId="48" xfId="0" applyFont="1" applyFill="1" applyBorder="1" applyAlignment="1">
      <alignment vertical="center"/>
    </xf>
    <xf numFmtId="9" fontId="10" fillId="3" borderId="23" xfId="1" applyFont="1" applyFill="1" applyBorder="1" applyAlignment="1">
      <alignment vertical="center"/>
    </xf>
    <xf numFmtId="0" fontId="10" fillId="3" borderId="14" xfId="0" applyFont="1" applyFill="1" applyBorder="1" applyAlignment="1">
      <alignment vertical="center" wrapText="1"/>
    </xf>
    <xf numFmtId="0" fontId="10" fillId="3" borderId="36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right" vertical="center"/>
    </xf>
    <xf numFmtId="43" fontId="10" fillId="3" borderId="7" xfId="2" applyFont="1" applyFill="1" applyBorder="1" applyAlignment="1">
      <alignment horizontal="right" vertical="center" wrapText="1"/>
    </xf>
    <xf numFmtId="166" fontId="10" fillId="5" borderId="20" xfId="2" applyNumberFormat="1" applyFont="1" applyFill="1" applyBorder="1" applyAlignment="1">
      <alignment horizontal="right" vertical="center" wrapText="1"/>
    </xf>
    <xf numFmtId="0" fontId="0" fillId="0" borderId="13" xfId="0" applyBorder="1" applyAlignment="1">
      <alignment vertical="center"/>
    </xf>
    <xf numFmtId="0" fontId="11" fillId="0" borderId="0" xfId="0" applyFont="1" applyAlignment="1">
      <alignment vertical="center"/>
    </xf>
    <xf numFmtId="43" fontId="10" fillId="3" borderId="7" xfId="2" applyFont="1" applyFill="1" applyBorder="1" applyAlignment="1">
      <alignment vertical="center" wrapText="1"/>
    </xf>
    <xf numFmtId="166" fontId="10" fillId="3" borderId="1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5" borderId="0" xfId="0" applyFont="1" applyFill="1" applyAlignment="1">
      <alignment vertical="center"/>
    </xf>
    <xf numFmtId="166" fontId="10" fillId="7" borderId="1" xfId="0" applyNumberFormat="1" applyFont="1" applyFill="1" applyBorder="1" applyAlignment="1">
      <alignment vertical="center"/>
    </xf>
    <xf numFmtId="9" fontId="0" fillId="0" borderId="0" xfId="1" applyFont="1" applyAlignment="1">
      <alignment vertical="center"/>
    </xf>
    <xf numFmtId="0" fontId="10" fillId="2" borderId="14" xfId="0" applyFont="1" applyFill="1" applyBorder="1" applyAlignment="1">
      <alignment vertical="center"/>
    </xf>
    <xf numFmtId="0" fontId="11" fillId="5" borderId="51" xfId="0" applyFont="1" applyFill="1" applyBorder="1" applyAlignment="1">
      <alignment vertical="center"/>
    </xf>
    <xf numFmtId="0" fontId="11" fillId="2" borderId="52" xfId="0" applyFont="1" applyFill="1" applyBorder="1" applyAlignment="1">
      <alignment vertical="center"/>
    </xf>
    <xf numFmtId="166" fontId="11" fillId="2" borderId="53" xfId="2" applyNumberFormat="1" applyFont="1" applyFill="1" applyBorder="1" applyAlignment="1">
      <alignment vertical="center"/>
    </xf>
    <xf numFmtId="166" fontId="11" fillId="2" borderId="40" xfId="2" applyNumberFormat="1" applyFont="1" applyFill="1" applyBorder="1" applyAlignment="1">
      <alignment vertical="center"/>
    </xf>
    <xf numFmtId="166" fontId="10" fillId="0" borderId="0" xfId="0" applyNumberFormat="1" applyFont="1" applyAlignment="1">
      <alignment vertical="center"/>
    </xf>
    <xf numFmtId="165" fontId="10" fillId="0" borderId="1" xfId="2" applyNumberFormat="1" applyFont="1" applyFill="1" applyBorder="1" applyAlignment="1">
      <alignment horizontal="left" vertical="center" wrapText="1"/>
    </xf>
    <xf numFmtId="165" fontId="10" fillId="0" borderId="14" xfId="2" applyNumberFormat="1" applyFont="1" applyFill="1" applyBorder="1" applyAlignment="1">
      <alignment horizontal="left" vertical="center" wrapText="1"/>
    </xf>
    <xf numFmtId="9" fontId="10" fillId="0" borderId="0" xfId="1" applyFont="1" applyAlignment="1">
      <alignment horizontal="center" vertical="center"/>
    </xf>
    <xf numFmtId="43" fontId="10" fillId="3" borderId="1" xfId="0" applyNumberFormat="1" applyFont="1" applyFill="1" applyBorder="1" applyAlignment="1">
      <alignment vertical="center"/>
    </xf>
    <xf numFmtId="0" fontId="2" fillId="0" borderId="55" xfId="0" applyFont="1" applyBorder="1" applyAlignment="1">
      <alignment vertical="center"/>
    </xf>
    <xf numFmtId="165" fontId="2" fillId="0" borderId="56" xfId="2" applyNumberFormat="1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0" fillId="0" borderId="59" xfId="0" applyFont="1" applyBorder="1" applyAlignment="1">
      <alignment vertical="center"/>
    </xf>
    <xf numFmtId="166" fontId="10" fillId="3" borderId="60" xfId="2" applyNumberFormat="1" applyFont="1" applyFill="1" applyBorder="1" applyAlignment="1">
      <alignment vertical="center" wrapText="1"/>
    </xf>
    <xf numFmtId="165" fontId="10" fillId="3" borderId="12" xfId="2" applyNumberFormat="1" applyFont="1" applyFill="1" applyBorder="1" applyAlignment="1">
      <alignment vertical="center" wrapText="1"/>
    </xf>
    <xf numFmtId="0" fontId="0" fillId="0" borderId="30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65" fontId="10" fillId="3" borderId="35" xfId="2" applyNumberFormat="1" applyFont="1" applyFill="1" applyBorder="1" applyAlignment="1">
      <alignment vertical="center" wrapText="1"/>
    </xf>
    <xf numFmtId="165" fontId="10" fillId="3" borderId="1" xfId="2" applyNumberFormat="1" applyFont="1" applyFill="1" applyBorder="1" applyAlignment="1">
      <alignment vertical="center" wrapText="1"/>
    </xf>
    <xf numFmtId="0" fontId="0" fillId="0" borderId="33" xfId="0" applyBorder="1" applyAlignment="1">
      <alignment vertical="center"/>
    </xf>
    <xf numFmtId="0" fontId="0" fillId="0" borderId="15" xfId="0" applyBorder="1" applyAlignment="1">
      <alignment vertical="center"/>
    </xf>
    <xf numFmtId="0" fontId="10" fillId="0" borderId="24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166" fontId="10" fillId="2" borderId="36" xfId="2" applyNumberFormat="1" applyFont="1" applyFill="1" applyBorder="1" applyAlignment="1">
      <alignment vertical="center" wrapText="1"/>
    </xf>
    <xf numFmtId="167" fontId="10" fillId="2" borderId="32" xfId="0" applyNumberFormat="1" applyFont="1" applyFill="1" applyBorder="1" applyAlignment="1">
      <alignment horizontal="center" vertical="center"/>
    </xf>
    <xf numFmtId="167" fontId="10" fillId="2" borderId="34" xfId="0" applyNumberFormat="1" applyFont="1" applyFill="1" applyBorder="1" applyAlignment="1">
      <alignment horizontal="center" vertical="center"/>
    </xf>
    <xf numFmtId="166" fontId="10" fillId="2" borderId="12" xfId="2" applyNumberFormat="1" applyFont="1" applyFill="1" applyBorder="1" applyAlignment="1">
      <alignment horizontal="center" vertical="center"/>
    </xf>
    <xf numFmtId="166" fontId="10" fillId="2" borderId="13" xfId="2" applyNumberFormat="1" applyFont="1" applyFill="1" applyBorder="1" applyAlignment="1">
      <alignment horizontal="center" vertical="center"/>
    </xf>
    <xf numFmtId="166" fontId="10" fillId="2" borderId="35" xfId="2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37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24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167" fontId="10" fillId="3" borderId="32" xfId="0" applyNumberFormat="1" applyFont="1" applyFill="1" applyBorder="1" applyAlignment="1">
      <alignment horizontal="center" vertical="center"/>
    </xf>
    <xf numFmtId="167" fontId="10" fillId="3" borderId="34" xfId="0" applyNumberFormat="1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vertical="center"/>
    </xf>
    <xf numFmtId="9" fontId="10" fillId="0" borderId="7" xfId="1" applyFont="1" applyFill="1" applyBorder="1" applyAlignment="1">
      <alignment vertical="center"/>
    </xf>
    <xf numFmtId="0" fontId="10" fillId="0" borderId="32" xfId="0" applyFont="1" applyBorder="1" applyAlignment="1">
      <alignment horizontal="left" vertical="center"/>
    </xf>
    <xf numFmtId="166" fontId="10" fillId="2" borderId="32" xfId="2" applyNumberFormat="1" applyFont="1" applyFill="1" applyBorder="1" applyAlignment="1">
      <alignment horizontal="center" vertical="center" wrapText="1"/>
    </xf>
    <xf numFmtId="166" fontId="10" fillId="2" borderId="34" xfId="2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66" fontId="10" fillId="2" borderId="1" xfId="2" applyNumberFormat="1" applyFont="1" applyFill="1" applyBorder="1" applyAlignment="1">
      <alignment horizontal="center" vertical="center" wrapText="1"/>
    </xf>
    <xf numFmtId="166" fontId="10" fillId="2" borderId="7" xfId="2" applyNumberFormat="1" applyFont="1" applyFill="1" applyBorder="1" applyAlignment="1">
      <alignment horizontal="center" vertical="center" wrapText="1"/>
    </xf>
    <xf numFmtId="166" fontId="10" fillId="2" borderId="14" xfId="2" applyNumberFormat="1" applyFont="1" applyFill="1" applyBorder="1" applyAlignment="1">
      <alignment horizontal="center" vertical="center" wrapText="1"/>
    </xf>
    <xf numFmtId="166" fontId="10" fillId="2" borderId="22" xfId="2" applyNumberFormat="1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center" wrapText="1"/>
    </xf>
    <xf numFmtId="9" fontId="10" fillId="2" borderId="14" xfId="1" applyFont="1" applyFill="1" applyBorder="1" applyAlignment="1">
      <alignment horizontal="right" vertical="center"/>
    </xf>
    <xf numFmtId="9" fontId="10" fillId="2" borderId="54" xfId="1" applyFont="1" applyFill="1" applyBorder="1" applyAlignment="1">
      <alignment horizontal="right" vertical="center"/>
    </xf>
    <xf numFmtId="9" fontId="10" fillId="2" borderId="50" xfId="1" applyFont="1" applyFill="1" applyBorder="1" applyAlignment="1">
      <alignment horizontal="right" vertical="center"/>
    </xf>
    <xf numFmtId="167" fontId="10" fillId="5" borderId="0" xfId="0" applyNumberFormat="1" applyFont="1" applyFill="1" applyAlignment="1">
      <alignment horizontal="center" vertical="center"/>
    </xf>
    <xf numFmtId="0" fontId="11" fillId="4" borderId="55" xfId="0" applyFont="1" applyFill="1" applyBorder="1" applyAlignment="1">
      <alignment horizontal="center" vertical="center"/>
    </xf>
    <xf numFmtId="0" fontId="11" fillId="4" borderId="56" xfId="0" applyFont="1" applyFill="1" applyBorder="1" applyAlignment="1">
      <alignment horizontal="center" vertical="center"/>
    </xf>
    <xf numFmtId="0" fontId="11" fillId="4" borderId="57" xfId="0" applyFont="1" applyFill="1" applyBorder="1" applyAlignment="1">
      <alignment horizontal="center" vertical="center"/>
    </xf>
    <xf numFmtId="167" fontId="10" fillId="2" borderId="12" xfId="0" applyNumberFormat="1" applyFont="1" applyFill="1" applyBorder="1" applyAlignment="1">
      <alignment horizontal="center" vertical="center"/>
    </xf>
    <xf numFmtId="167" fontId="10" fillId="2" borderId="35" xfId="0" applyNumberFormat="1" applyFont="1" applyFill="1" applyBorder="1" applyAlignment="1">
      <alignment horizontal="center" vertical="center"/>
    </xf>
    <xf numFmtId="167" fontId="10" fillId="2" borderId="13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 wrapText="1"/>
    </xf>
    <xf numFmtId="0" fontId="11" fillId="4" borderId="35" xfId="0" applyFont="1" applyFill="1" applyBorder="1" applyAlignment="1">
      <alignment horizontal="center" vertical="center" wrapText="1"/>
    </xf>
    <xf numFmtId="167" fontId="10" fillId="2" borderId="2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8" borderId="1" xfId="0" applyFill="1" applyBorder="1"/>
    <xf numFmtId="0" fontId="0" fillId="0" borderId="0" xfId="0" applyBorder="1"/>
    <xf numFmtId="0" fontId="0" fillId="0" borderId="0" xfId="0" applyBorder="1" applyAlignment="1"/>
    <xf numFmtId="0" fontId="0" fillId="9" borderId="1" xfId="0" applyFill="1" applyBorder="1" applyAlignment="1">
      <alignment horizontal="center"/>
    </xf>
    <xf numFmtId="0" fontId="0" fillId="0" borderId="61" xfId="0" applyBorder="1"/>
    <xf numFmtId="0" fontId="0" fillId="0" borderId="49" xfId="0" applyBorder="1"/>
    <xf numFmtId="0" fontId="0" fillId="0" borderId="62" xfId="0" applyBorder="1"/>
    <xf numFmtId="0" fontId="0" fillId="0" borderId="59" xfId="0" applyBorder="1"/>
    <xf numFmtId="0" fontId="0" fillId="0" borderId="63" xfId="0" applyBorder="1"/>
    <xf numFmtId="0" fontId="0" fillId="8" borderId="13" xfId="0" applyFill="1" applyBorder="1"/>
    <xf numFmtId="0" fontId="0" fillId="6" borderId="12" xfId="0" applyFill="1" applyBorder="1" applyAlignment="1">
      <alignment horizontal="center"/>
    </xf>
    <xf numFmtId="0" fontId="0" fillId="0" borderId="49" xfId="0" applyBorder="1" applyAlignment="1"/>
    <xf numFmtId="0" fontId="0" fillId="0" borderId="61" xfId="0" applyBorder="1" applyAlignment="1"/>
    <xf numFmtId="0" fontId="0" fillId="3" borderId="50" xfId="0" applyFill="1" applyBorder="1" applyAlignment="1">
      <alignment horizontal="center"/>
    </xf>
    <xf numFmtId="0" fontId="0" fillId="3" borderId="62" xfId="0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12">
    <dxf>
      <numFmt numFmtId="169" formatCode="&quot;R&quot;#,##0.00"/>
      <fill>
        <patternFill patternType="solid">
          <bgColor theme="0" tint="-0.14996795556505021"/>
        </patternFill>
      </fill>
    </dxf>
    <dxf>
      <numFmt numFmtId="170" formatCode="\£#,##0.00"/>
      <fill>
        <patternFill patternType="solid">
          <bgColor theme="0" tint="-0.14996795556505021"/>
        </patternFill>
      </fill>
    </dxf>
    <dxf>
      <numFmt numFmtId="171" formatCode="&quot;$&quot;#,##0.00"/>
      <fill>
        <patternFill patternType="solid">
          <bgColor theme="0" tint="-0.14996795556505021"/>
        </patternFill>
      </fill>
    </dxf>
    <dxf>
      <numFmt numFmtId="169" formatCode="&quot;R&quot;#,##0.00"/>
      <fill>
        <patternFill patternType="none">
          <bgColor auto="1"/>
        </patternFill>
      </fill>
    </dxf>
    <dxf>
      <numFmt numFmtId="170" formatCode="\£#,##0.00"/>
      <fill>
        <patternFill patternType="none">
          <bgColor auto="1"/>
        </patternFill>
      </fill>
    </dxf>
    <dxf>
      <numFmt numFmtId="171" formatCode="&quot;$&quot;#,##0.00"/>
      <fill>
        <patternFill patternType="none">
          <bgColor auto="1"/>
        </patternFill>
      </fill>
    </dxf>
    <dxf>
      <numFmt numFmtId="169" formatCode="&quot;R&quot;#,##0.00"/>
      <fill>
        <patternFill patternType="solid">
          <bgColor theme="0" tint="-0.14996795556505021"/>
        </patternFill>
      </fill>
    </dxf>
    <dxf>
      <numFmt numFmtId="170" formatCode="\£#,##0.00"/>
      <fill>
        <patternFill patternType="solid">
          <bgColor theme="0" tint="-0.14996795556505021"/>
        </patternFill>
      </fill>
    </dxf>
    <dxf>
      <numFmt numFmtId="171" formatCode="&quot;$&quot;#,##0.00"/>
      <fill>
        <patternFill patternType="solid">
          <bgColor theme="0" tint="-0.14996795556505021"/>
        </patternFill>
      </fill>
    </dxf>
    <dxf>
      <numFmt numFmtId="169" formatCode="&quot;R&quot;#,##0.00"/>
      <fill>
        <patternFill patternType="solid">
          <bgColor theme="9" tint="0.79998168889431442"/>
        </patternFill>
      </fill>
    </dxf>
    <dxf>
      <numFmt numFmtId="170" formatCode="\£#,##0.00"/>
      <fill>
        <patternFill patternType="solid">
          <bgColor theme="9" tint="0.79998168889431442"/>
        </patternFill>
      </fill>
    </dxf>
    <dxf>
      <numFmt numFmtId="171" formatCode="&quot;$&quot;#,##0.00"/>
      <fill>
        <patternFill patternType="solid"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685800</xdr:colOff>
      <xdr:row>3</xdr:row>
      <xdr:rowOff>47625</xdr:rowOff>
    </xdr:from>
    <xdr:to>
      <xdr:col>9</xdr:col>
      <xdr:colOff>238125</xdr:colOff>
      <xdr:row>5</xdr:row>
      <xdr:rowOff>1</xdr:rowOff>
    </xdr:to>
    <xdr:sp macro="" textlink="">
      <xdr:nvSpPr>
        <xdr:cNvPr id="43" name="Star: 5 Points 1">
          <a:extLst>
            <a:ext uri="{FF2B5EF4-FFF2-40B4-BE49-F238E27FC236}">
              <a16:creationId xmlns:a16="http://schemas.microsoft.com/office/drawing/2014/main" id="{820B1657-05C1-71EB-392C-065550796F2C}"/>
            </a:ext>
          </a:extLst>
        </xdr:cNvPr>
        <xdr:cNvSpPr/>
      </xdr:nvSpPr>
      <xdr:spPr>
        <a:xfrm>
          <a:off x="5562600" y="619125"/>
          <a:ext cx="333375" cy="333376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8</xdr:col>
      <xdr:colOff>180974</xdr:colOff>
      <xdr:row>1</xdr:row>
      <xdr:rowOff>185737</xdr:rowOff>
    </xdr:from>
    <xdr:to>
      <xdr:col>10</xdr:col>
      <xdr:colOff>142875</xdr:colOff>
      <xdr:row>3</xdr:row>
      <xdr:rowOff>57150</xdr:rowOff>
    </xdr:to>
    <xdr:sp macro="" textlink="">
      <xdr:nvSpPr>
        <xdr:cNvPr id="35" name="TextBox 2">
          <a:extLst>
            <a:ext uri="{FF2B5EF4-FFF2-40B4-BE49-F238E27FC236}">
              <a16:creationId xmlns:a16="http://schemas.microsoft.com/office/drawing/2014/main" id="{6B44DC5E-F40A-5751-19C2-34C3770E5D63}"/>
            </a:ext>
          </a:extLst>
        </xdr:cNvPr>
        <xdr:cNvSpPr txBox="1"/>
      </xdr:nvSpPr>
      <xdr:spPr>
        <a:xfrm>
          <a:off x="4448174" y="376237"/>
          <a:ext cx="1181101" cy="2524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 b="1"/>
            <a:t>Sprint 1 Go Live</a:t>
          </a:r>
        </a:p>
      </xdr:txBody>
    </xdr:sp>
    <xdr:clientData/>
  </xdr:twoCellAnchor>
  <xdr:twoCellAnchor>
    <xdr:from>
      <xdr:col>11</xdr:col>
      <xdr:colOff>723900</xdr:colOff>
      <xdr:row>5</xdr:row>
      <xdr:rowOff>66675</xdr:rowOff>
    </xdr:from>
    <xdr:to>
      <xdr:col>12</xdr:col>
      <xdr:colOff>276225</xdr:colOff>
      <xdr:row>7</xdr:row>
      <xdr:rowOff>19051</xdr:rowOff>
    </xdr:to>
    <xdr:sp macro="" textlink="">
      <xdr:nvSpPr>
        <xdr:cNvPr id="46" name="Star: 5 Points 3">
          <a:extLst>
            <a:ext uri="{FF2B5EF4-FFF2-40B4-BE49-F238E27FC236}">
              <a16:creationId xmlns:a16="http://schemas.microsoft.com/office/drawing/2014/main" id="{02460D93-3CA3-4BE0-AD44-769B50B281DD}"/>
            </a:ext>
          </a:extLst>
        </xdr:cNvPr>
        <xdr:cNvSpPr/>
      </xdr:nvSpPr>
      <xdr:spPr>
        <a:xfrm>
          <a:off x="7600950" y="1019175"/>
          <a:ext cx="333375" cy="333376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11</xdr:col>
      <xdr:colOff>228599</xdr:colOff>
      <xdr:row>3</xdr:row>
      <xdr:rowOff>185737</xdr:rowOff>
    </xdr:from>
    <xdr:to>
      <xdr:col>13</xdr:col>
      <xdr:colOff>190500</xdr:colOff>
      <xdr:row>5</xdr:row>
      <xdr:rowOff>57150</xdr:rowOff>
    </xdr:to>
    <xdr:sp macro="" textlink="">
      <xdr:nvSpPr>
        <xdr:cNvPr id="45" name="TextBox 4">
          <a:extLst>
            <a:ext uri="{FF2B5EF4-FFF2-40B4-BE49-F238E27FC236}">
              <a16:creationId xmlns:a16="http://schemas.microsoft.com/office/drawing/2014/main" id="{8D16A851-9C71-4C8E-8012-7B08CA0A3783}"/>
            </a:ext>
          </a:extLst>
        </xdr:cNvPr>
        <xdr:cNvSpPr txBox="1"/>
      </xdr:nvSpPr>
      <xdr:spPr>
        <a:xfrm>
          <a:off x="7105649" y="757237"/>
          <a:ext cx="1352551" cy="2524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 b="1"/>
            <a:t>Sprint 2 Go Live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kki Papenfus" id="{88BA43A9-8EB4-4FF3-9B67-F49F9F0832F8}" userId="S::npapenfus@openboxsoftware.com::2a405823-0c8b-419b-afb6-8159926c2e1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" dT="2025-09-01T10:01:01.48" personId="{88BA43A9-8EB4-4FF3-9B67-F49F9F0832F8}" id="{BAF56DF6-CF5E-4DCD-918F-123D3A97F77A}">
    <text>Consider the extent of discovery already completed, and knowledge of the client's business &amp; Org.</text>
  </threadedComment>
  <threadedComment ref="E5" dT="2025-09-01T10:02:03.36" personId="{88BA43A9-8EB4-4FF3-9B67-F49F9F0832F8}" id="{6371F4C0-76EF-4713-89E9-218FA6A3F813}">
    <text>Consider extent of custom component development, use of 3rd party apps, 3rd party integrations.</text>
  </threadedComment>
  <threadedComment ref="I15" dT="2025-09-02T06:59:34.57" personId="{88BA43A9-8EB4-4FF3-9B67-F49F9F0832F8}" id="{AD42F3EA-BFBB-409F-8DAA-8FE8691D079A}">
    <text>5 point story = 5 days to dev, QA, fix bugs &amp; deploy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2286-D071-4DEC-BB30-73328C8C8F7A}">
  <sheetPr>
    <tabColor theme="8"/>
  </sheetPr>
  <dimension ref="B1:AG38"/>
  <sheetViews>
    <sheetView showGridLines="0" tabSelected="1" zoomScale="90" zoomScaleNormal="90" workbookViewId="0">
      <selection activeCell="B18" sqref="B18:F18"/>
    </sheetView>
  </sheetViews>
  <sheetFormatPr defaultRowHeight="15" x14ac:dyDescent="0.25"/>
  <cols>
    <col min="1" max="1" width="2" style="55" customWidth="1"/>
    <col min="2" max="2" width="49.85546875" style="55" bestFit="1" customWidth="1"/>
    <col min="3" max="4" width="11.140625" style="55" customWidth="1"/>
    <col min="5" max="5" width="25.140625" style="55" customWidth="1"/>
    <col min="6" max="6" width="19" style="55" customWidth="1"/>
    <col min="7" max="7" width="6.5703125" style="55" customWidth="1"/>
    <col min="8" max="8" width="19.7109375" style="55" customWidth="1"/>
    <col min="9" max="11" width="10.7109375" style="55" customWidth="1"/>
    <col min="12" max="13" width="9.7109375" style="55" customWidth="1"/>
    <col min="14" max="14" width="4.140625" style="55" customWidth="1"/>
    <col min="15" max="15" width="27.140625" style="55" bestFit="1" customWidth="1"/>
    <col min="16" max="16" width="8.5703125" style="55" customWidth="1"/>
    <col min="17" max="17" width="12.5703125" style="55" bestFit="1" customWidth="1"/>
    <col min="18" max="18" width="12.7109375" style="55" bestFit="1" customWidth="1"/>
    <col min="19" max="19" width="11.140625" style="55" bestFit="1" customWidth="1"/>
    <col min="20" max="16384" width="9.140625" style="55"/>
  </cols>
  <sheetData>
    <row r="1" spans="2:19" ht="9" customHeight="1" thickBot="1" x14ac:dyDescent="0.3"/>
    <row r="2" spans="2:19" x14ac:dyDescent="0.25">
      <c r="B2" s="149" t="str">
        <f>"Rates"&amp;" ("&amp;C3&amp;")"</f>
        <v>Rates (£)</v>
      </c>
      <c r="C2" s="150"/>
      <c r="D2" s="58"/>
      <c r="E2" s="149" t="s">
        <v>0</v>
      </c>
      <c r="F2" s="150"/>
      <c r="G2" s="58"/>
      <c r="H2" s="151" t="s">
        <v>1</v>
      </c>
      <c r="I2" s="152"/>
      <c r="J2" s="152"/>
      <c r="K2" s="152"/>
      <c r="L2" s="152"/>
      <c r="M2" s="153"/>
      <c r="O2" s="167" t="s">
        <v>2</v>
      </c>
      <c r="P2" s="168"/>
    </row>
    <row r="3" spans="2:19" x14ac:dyDescent="0.25">
      <c r="B3" s="56" t="s">
        <v>3</v>
      </c>
      <c r="C3" s="103" t="s">
        <v>4</v>
      </c>
      <c r="D3" s="58"/>
      <c r="E3" s="56" t="s">
        <v>5</v>
      </c>
      <c r="F3" s="49"/>
      <c r="G3" s="58"/>
      <c r="H3" s="52" t="s">
        <v>6</v>
      </c>
      <c r="I3" s="66" t="s">
        <v>7</v>
      </c>
      <c r="J3" s="66" t="s">
        <v>8</v>
      </c>
      <c r="K3" s="66" t="s">
        <v>9</v>
      </c>
      <c r="L3" s="66" t="s">
        <v>10</v>
      </c>
      <c r="M3" s="67" t="s">
        <v>11</v>
      </c>
      <c r="O3" s="68" t="s">
        <v>12</v>
      </c>
      <c r="P3" s="91"/>
    </row>
    <row r="4" spans="2:19" ht="15" customHeight="1" x14ac:dyDescent="0.25">
      <c r="B4" s="56" t="s">
        <v>13</v>
      </c>
      <c r="C4" s="104">
        <v>155</v>
      </c>
      <c r="D4" s="58"/>
      <c r="E4" s="56" t="s">
        <v>14</v>
      </c>
      <c r="F4" s="69"/>
      <c r="G4" s="58"/>
      <c r="H4" s="53" t="s">
        <v>15</v>
      </c>
      <c r="I4" s="70">
        <v>1</v>
      </c>
      <c r="J4" s="37">
        <v>1</v>
      </c>
      <c r="K4" s="48">
        <f>I4*J4</f>
        <v>1</v>
      </c>
      <c r="L4" s="169">
        <f>(K4+K5)/K11</f>
        <v>0.58823529411764697</v>
      </c>
      <c r="M4" s="170"/>
      <c r="O4" s="94" t="s">
        <v>16</v>
      </c>
      <c r="P4" s="95"/>
    </row>
    <row r="5" spans="2:19" ht="15.75" thickBot="1" x14ac:dyDescent="0.3">
      <c r="B5" s="56" t="s">
        <v>17</v>
      </c>
      <c r="C5" s="104">
        <f>97.5*1.05</f>
        <v>102.375</v>
      </c>
      <c r="D5" s="123">
        <f>C5/97.5</f>
        <v>1.05</v>
      </c>
      <c r="E5" s="57" t="s">
        <v>18</v>
      </c>
      <c r="F5" s="71"/>
      <c r="G5" s="58"/>
      <c r="H5" s="53" t="s">
        <v>19</v>
      </c>
      <c r="I5" s="70">
        <v>1</v>
      </c>
      <c r="J5" s="37">
        <v>0</v>
      </c>
      <c r="K5" s="48">
        <f>I5*J5</f>
        <v>0</v>
      </c>
      <c r="L5" s="169"/>
      <c r="M5" s="170"/>
      <c r="O5" s="72" t="s">
        <v>20</v>
      </c>
      <c r="P5" s="92"/>
    </row>
    <row r="6" spans="2:19" ht="15.75" thickBot="1" x14ac:dyDescent="0.3">
      <c r="B6" s="57" t="s">
        <v>21</v>
      </c>
      <c r="C6" s="105">
        <v>3</v>
      </c>
      <c r="D6" s="58"/>
      <c r="E6" s="59" t="s">
        <v>22</v>
      </c>
      <c r="F6" s="73">
        <f>ROUNDUP(F3*(1+F4+F5),0)</f>
        <v>0</v>
      </c>
      <c r="G6" s="58"/>
      <c r="H6" s="53" t="s">
        <v>23</v>
      </c>
      <c r="I6" s="70">
        <v>1</v>
      </c>
      <c r="J6" s="37">
        <v>0.3</v>
      </c>
      <c r="K6" s="48">
        <f>I6*J6</f>
        <v>0.3</v>
      </c>
      <c r="L6" s="38">
        <f>K6/K11</f>
        <v>0.1764705882352941</v>
      </c>
      <c r="M6" s="39"/>
    </row>
    <row r="7" spans="2:19" ht="15.75" thickBot="1" x14ac:dyDescent="0.3">
      <c r="B7" s="58"/>
      <c r="C7" s="58"/>
      <c r="D7" s="58"/>
      <c r="E7" s="58"/>
      <c r="F7" s="58"/>
      <c r="G7" s="58"/>
      <c r="H7" s="53" t="s">
        <v>24</v>
      </c>
      <c r="I7" s="70">
        <v>1</v>
      </c>
      <c r="J7" s="37">
        <v>0</v>
      </c>
      <c r="K7" s="48">
        <f>I7*J7</f>
        <v>0</v>
      </c>
      <c r="L7" s="184">
        <f>(K8+K9+K7)/K11</f>
        <v>0.17647058823529413</v>
      </c>
      <c r="M7" s="39"/>
      <c r="O7" s="97" t="s">
        <v>25</v>
      </c>
    </row>
    <row r="8" spans="2:19" x14ac:dyDescent="0.25">
      <c r="B8" s="149" t="s">
        <v>26</v>
      </c>
      <c r="C8" s="150"/>
      <c r="D8" s="58"/>
      <c r="E8" s="149" t="s">
        <v>27</v>
      </c>
      <c r="F8" s="150"/>
      <c r="G8" s="58"/>
      <c r="H8" s="53" t="s">
        <v>28</v>
      </c>
      <c r="I8" s="70">
        <v>1</v>
      </c>
      <c r="J8" s="37">
        <v>0.2</v>
      </c>
      <c r="K8" s="48">
        <f>I8*J8</f>
        <v>0.2</v>
      </c>
      <c r="L8" s="185"/>
      <c r="M8" s="170"/>
      <c r="O8" s="98" t="s">
        <v>29</v>
      </c>
    </row>
    <row r="9" spans="2:19" x14ac:dyDescent="0.25">
      <c r="B9" s="56" t="s">
        <v>30</v>
      </c>
      <c r="C9" s="65">
        <v>1</v>
      </c>
      <c r="D9" s="58"/>
      <c r="E9" s="56" t="s">
        <v>31</v>
      </c>
      <c r="F9" s="77">
        <f>SUM(C22:C22)</f>
        <v>2</v>
      </c>
      <c r="G9" s="58"/>
      <c r="H9" s="53" t="s">
        <v>32</v>
      </c>
      <c r="I9" s="101">
        <v>1</v>
      </c>
      <c r="J9" s="37">
        <v>0.1</v>
      </c>
      <c r="K9" s="48">
        <f t="shared" ref="K9:K10" si="0">I9*J9</f>
        <v>0.1</v>
      </c>
      <c r="L9" s="186"/>
      <c r="M9" s="170"/>
      <c r="O9" s="98" t="s">
        <v>33</v>
      </c>
    </row>
    <row r="10" spans="2:19" ht="15.75" thickBot="1" x14ac:dyDescent="0.3">
      <c r="B10" s="56" t="s">
        <v>34</v>
      </c>
      <c r="C10" s="65">
        <v>2</v>
      </c>
      <c r="D10" s="58"/>
      <c r="E10" s="56" t="s">
        <v>35</v>
      </c>
      <c r="F10" s="77">
        <f>SUM(D22:D22)</f>
        <v>2</v>
      </c>
      <c r="G10" s="58"/>
      <c r="H10" s="64" t="s">
        <v>36</v>
      </c>
      <c r="I10" s="102">
        <v>1</v>
      </c>
      <c r="J10" s="100">
        <v>0.1</v>
      </c>
      <c r="K10" s="50">
        <f t="shared" si="0"/>
        <v>0.1</v>
      </c>
      <c r="L10" s="46">
        <f>K10/K11</f>
        <v>5.8823529411764705E-2</v>
      </c>
      <c r="M10" s="47"/>
      <c r="O10" s="98" t="s">
        <v>24</v>
      </c>
    </row>
    <row r="11" spans="2:19" ht="15.75" thickBot="1" x14ac:dyDescent="0.3">
      <c r="B11" s="56" t="s">
        <v>37</v>
      </c>
      <c r="C11" s="108">
        <v>0.5</v>
      </c>
      <c r="D11" s="58"/>
      <c r="E11" s="56" t="s">
        <v>38</v>
      </c>
      <c r="F11" s="77">
        <f>K11</f>
        <v>1.7000000000000002</v>
      </c>
      <c r="G11" s="58"/>
      <c r="H11" s="54" t="s">
        <v>39</v>
      </c>
      <c r="I11" s="93"/>
      <c r="J11" s="75"/>
      <c r="K11" s="74">
        <f>SUM(K4:K10)</f>
        <v>1.7000000000000002</v>
      </c>
      <c r="L11" s="76">
        <f>SUM(L4:L10)</f>
        <v>1</v>
      </c>
      <c r="M11" s="96">
        <f>SUM(M4:M10)</f>
        <v>0</v>
      </c>
      <c r="O11" s="98"/>
    </row>
    <row r="12" spans="2:19" ht="15.75" thickBot="1" x14ac:dyDescent="0.3">
      <c r="B12" s="57" t="str">
        <f>"Cost per Week"&amp;" ("&amp;C3&amp;")"</f>
        <v>Cost per Week (£)</v>
      </c>
      <c r="C12" s="51">
        <f>(C11*C5*40)</f>
        <v>2047.5</v>
      </c>
      <c r="D12" s="58"/>
      <c r="E12" s="57" t="str">
        <f>"Cost per Sprint"&amp;" ("&amp;C3&amp;")"</f>
        <v>Cost per Sprint (£)</v>
      </c>
      <c r="F12" s="51">
        <f>CEILING(F11*C6*C5*40,10)</f>
        <v>20890</v>
      </c>
      <c r="G12" s="58"/>
      <c r="H12" s="58"/>
      <c r="I12" s="58"/>
      <c r="J12" s="58"/>
      <c r="K12" s="58"/>
      <c r="L12" s="58"/>
      <c r="M12" s="78"/>
      <c r="O12" s="99"/>
      <c r="S12" s="79"/>
    </row>
    <row r="13" spans="2:19" ht="15.75" thickBot="1" x14ac:dyDescent="0.3">
      <c r="F13" s="114"/>
      <c r="G13" s="58"/>
      <c r="H13" s="151" t="s">
        <v>40</v>
      </c>
      <c r="I13" s="152"/>
      <c r="J13" s="152"/>
      <c r="K13" s="152"/>
      <c r="L13" s="152"/>
      <c r="M13" s="153"/>
    </row>
    <row r="14" spans="2:19" x14ac:dyDescent="0.25">
      <c r="B14" s="151" t="s">
        <v>41</v>
      </c>
      <c r="C14" s="152"/>
      <c r="D14" s="152"/>
      <c r="E14" s="152"/>
      <c r="F14" s="153"/>
      <c r="G14" s="58"/>
      <c r="H14" s="45" t="s">
        <v>42</v>
      </c>
      <c r="I14" s="174" t="str">
        <f>"Points per Dev per "&amp;C6&amp;"-week Sprint"</f>
        <v>Points per Dev per 3-week Sprint</v>
      </c>
      <c r="J14" s="174"/>
      <c r="K14" s="174"/>
      <c r="L14" s="174" t="s">
        <v>43</v>
      </c>
      <c r="M14" s="175"/>
    </row>
    <row r="15" spans="2:19" ht="15" customHeight="1" x14ac:dyDescent="0.25">
      <c r="B15" s="154"/>
      <c r="C15" s="155"/>
      <c r="D15" s="155"/>
      <c r="E15" s="155"/>
      <c r="F15" s="156"/>
      <c r="G15" s="58"/>
      <c r="H15" s="176" t="s">
        <v>44</v>
      </c>
      <c r="I15" s="178" t="s">
        <v>45</v>
      </c>
      <c r="J15" s="178"/>
      <c r="K15" s="121">
        <v>20</v>
      </c>
      <c r="L15" s="179">
        <f>ROUNDUP(K15*K4+K16*K5,0)</f>
        <v>20</v>
      </c>
      <c r="M15" s="180"/>
    </row>
    <row r="16" spans="2:19" ht="15.75" thickBot="1" x14ac:dyDescent="0.3">
      <c r="B16" s="157"/>
      <c r="C16" s="158"/>
      <c r="D16" s="158"/>
      <c r="E16" s="158"/>
      <c r="F16" s="159"/>
      <c r="G16" s="58"/>
      <c r="H16" s="177"/>
      <c r="I16" s="183" t="s">
        <v>46</v>
      </c>
      <c r="J16" s="183"/>
      <c r="K16" s="122">
        <v>17</v>
      </c>
      <c r="L16" s="181"/>
      <c r="M16" s="182"/>
    </row>
    <row r="17" spans="2:33" ht="15.75" customHeight="1" thickBot="1" x14ac:dyDescent="0.3">
      <c r="B17" s="58"/>
      <c r="C17" s="58"/>
      <c r="D17" s="58"/>
      <c r="E17" s="58"/>
      <c r="F17" s="58"/>
      <c r="G17" s="58"/>
      <c r="H17" s="64" t="s">
        <v>47</v>
      </c>
      <c r="I17" s="171" t="s">
        <v>48</v>
      </c>
      <c r="J17" s="162"/>
      <c r="K17" s="90">
        <v>0.8</v>
      </c>
      <c r="L17" s="172">
        <f>ROUNDDOWN(L15*K17,0)</f>
        <v>16</v>
      </c>
      <c r="M17" s="173"/>
    </row>
    <row r="18" spans="2:33" ht="15.75" thickBot="1" x14ac:dyDescent="0.3">
      <c r="B18" s="151" t="s">
        <v>49</v>
      </c>
      <c r="C18" s="152"/>
      <c r="D18" s="152"/>
      <c r="E18" s="152"/>
      <c r="F18" s="153"/>
      <c r="G18" s="58"/>
    </row>
    <row r="19" spans="2:33" ht="15.75" thickBot="1" x14ac:dyDescent="0.3">
      <c r="B19" s="45" t="s">
        <v>50</v>
      </c>
      <c r="C19" s="40" t="s">
        <v>51</v>
      </c>
      <c r="D19" s="40" t="s">
        <v>52</v>
      </c>
      <c r="E19" s="40" t="str">
        <f>"Lower Bound"&amp;" ("&amp;C3&amp;")"</f>
        <v>Lower Bound (£)</v>
      </c>
      <c r="F19" s="41" t="str">
        <f>"Upper Bound"&amp;" ("&amp;C3&amp;")"</f>
        <v>Upper Bound (£)</v>
      </c>
      <c r="G19" s="58"/>
      <c r="H19" s="188" t="s">
        <v>53</v>
      </c>
      <c r="I19" s="189"/>
      <c r="J19" s="189"/>
      <c r="K19" s="189"/>
      <c r="L19" s="188" t="s">
        <v>54</v>
      </c>
      <c r="M19" s="189"/>
      <c r="N19" s="189"/>
      <c r="O19" s="189"/>
      <c r="P19" s="190"/>
    </row>
    <row r="20" spans="2:33" x14ac:dyDescent="0.25">
      <c r="B20" s="56" t="s">
        <v>55</v>
      </c>
      <c r="C20" s="109">
        <v>0</v>
      </c>
      <c r="D20" s="109">
        <v>0</v>
      </c>
      <c r="E20" s="60">
        <f>C20*$C$4</f>
        <v>0</v>
      </c>
      <c r="F20" s="81">
        <f>D20*$C$4</f>
        <v>0</v>
      </c>
      <c r="G20" s="58"/>
      <c r="H20" s="129" t="s">
        <v>56</v>
      </c>
      <c r="I20" s="130"/>
      <c r="J20" s="131">
        <v>3</v>
      </c>
      <c r="K20" s="58"/>
      <c r="L20" s="133"/>
      <c r="O20" s="79"/>
      <c r="P20" s="134"/>
    </row>
    <row r="21" spans="2:33" x14ac:dyDescent="0.25">
      <c r="B21" s="56" t="s">
        <v>57</v>
      </c>
      <c r="C21" s="109">
        <v>60</v>
      </c>
      <c r="D21" s="109">
        <v>80</v>
      </c>
      <c r="E21" s="60">
        <f>C21*$C$4</f>
        <v>9300</v>
      </c>
      <c r="F21" s="81">
        <f>D21*$C$4</f>
        <v>12400</v>
      </c>
      <c r="G21" s="58"/>
      <c r="H21" s="42" t="s">
        <v>58</v>
      </c>
      <c r="I21" s="80"/>
      <c r="J21" s="69">
        <v>0.3</v>
      </c>
      <c r="K21" s="58"/>
      <c r="L21" s="133"/>
      <c r="O21" s="79"/>
      <c r="P21" s="134"/>
    </row>
    <row r="22" spans="2:33" x14ac:dyDescent="0.25">
      <c r="B22" s="56" t="s">
        <v>59</v>
      </c>
      <c r="C22" s="124">
        <v>2</v>
      </c>
      <c r="D22" s="124">
        <v>2</v>
      </c>
      <c r="E22" s="60">
        <f>C22*$F$12</f>
        <v>41780</v>
      </c>
      <c r="F22" s="81">
        <f>D22*$F$12</f>
        <v>41780</v>
      </c>
      <c r="G22" s="58"/>
      <c r="H22" s="43" t="s">
        <v>60</v>
      </c>
      <c r="I22" s="58"/>
      <c r="J22" s="69">
        <v>0.45</v>
      </c>
      <c r="K22" s="58" t="s">
        <v>61</v>
      </c>
      <c r="L22" s="139" t="s">
        <v>62</v>
      </c>
      <c r="M22" s="140"/>
      <c r="N22" s="106"/>
      <c r="O22" s="138">
        <f>8*3</f>
        <v>24</v>
      </c>
      <c r="P22" s="134" t="s">
        <v>63</v>
      </c>
    </row>
    <row r="23" spans="2:33" x14ac:dyDescent="0.25">
      <c r="B23" s="56" t="s">
        <v>64</v>
      </c>
      <c r="C23" s="113">
        <f>C9</f>
        <v>1</v>
      </c>
      <c r="D23" s="113">
        <f>C9</f>
        <v>1</v>
      </c>
      <c r="E23" s="60">
        <f>C23*C12</f>
        <v>2047.5</v>
      </c>
      <c r="F23" s="81">
        <f>D23*C12</f>
        <v>2047.5</v>
      </c>
      <c r="G23" s="58"/>
      <c r="H23" s="42" t="s">
        <v>65</v>
      </c>
      <c r="I23" s="80"/>
      <c r="J23" s="82">
        <v>3</v>
      </c>
      <c r="K23" s="132">
        <v>4</v>
      </c>
      <c r="L23" s="42" t="s">
        <v>66</v>
      </c>
      <c r="M23" s="140"/>
      <c r="N23" s="106"/>
      <c r="O23" s="138">
        <v>5</v>
      </c>
      <c r="P23" s="137">
        <v>4</v>
      </c>
    </row>
    <row r="24" spans="2:33" x14ac:dyDescent="0.25">
      <c r="B24" s="56" t="s">
        <v>67</v>
      </c>
      <c r="C24" s="113">
        <f>C10</f>
        <v>2</v>
      </c>
      <c r="D24" s="113">
        <f>C10</f>
        <v>2</v>
      </c>
      <c r="E24" s="60">
        <f>C24*0.25*C5*40</f>
        <v>2047.5</v>
      </c>
      <c r="F24" s="81">
        <f>D24*0.25*C5*40</f>
        <v>2047.5</v>
      </c>
      <c r="G24" s="58"/>
      <c r="H24" s="43" t="s">
        <v>68</v>
      </c>
      <c r="I24" s="58"/>
      <c r="J24" s="82">
        <v>1</v>
      </c>
      <c r="K24" s="132">
        <v>3</v>
      </c>
      <c r="L24" s="43" t="s">
        <v>69</v>
      </c>
      <c r="O24" s="138">
        <v>4</v>
      </c>
      <c r="P24" s="137">
        <v>3</v>
      </c>
    </row>
    <row r="25" spans="2:33" ht="15.75" thickBot="1" x14ac:dyDescent="0.3">
      <c r="B25" s="111" t="s">
        <v>70</v>
      </c>
      <c r="C25" s="83">
        <v>16</v>
      </c>
      <c r="D25" s="83">
        <v>16</v>
      </c>
      <c r="E25" s="61">
        <f>C25*C$4</f>
        <v>2480</v>
      </c>
      <c r="F25" s="84">
        <f>D25*$C$4</f>
        <v>2480</v>
      </c>
      <c r="G25" s="58"/>
      <c r="H25" s="42" t="s">
        <v>71</v>
      </c>
      <c r="I25" s="80"/>
      <c r="J25" s="49">
        <f>J20*(40*J21+J23*K23+J24*K24)</f>
        <v>81</v>
      </c>
      <c r="K25" s="120"/>
      <c r="L25" s="139" t="s">
        <v>72</v>
      </c>
      <c r="M25" s="140"/>
      <c r="N25" s="106"/>
      <c r="O25" s="138">
        <f>16+8</f>
        <v>24</v>
      </c>
      <c r="P25" s="134"/>
      <c r="Q25" s="79"/>
    </row>
    <row r="26" spans="2:33" ht="15.75" thickBot="1" x14ac:dyDescent="0.3">
      <c r="B26" s="59" t="s">
        <v>73</v>
      </c>
      <c r="C26" s="85">
        <v>12</v>
      </c>
      <c r="D26" s="85">
        <v>12</v>
      </c>
      <c r="E26" s="62">
        <f>SUM(E20:E25)</f>
        <v>57655</v>
      </c>
      <c r="F26" s="86">
        <f>SUM(F20:F25)</f>
        <v>60755</v>
      </c>
      <c r="G26" s="58"/>
      <c r="H26" s="44" t="s">
        <v>74</v>
      </c>
      <c r="I26" s="87"/>
      <c r="J26" s="88">
        <f>J20*(40*J22+J23*K23+J24*K24)</f>
        <v>99</v>
      </c>
      <c r="K26" s="120"/>
      <c r="L26" s="141" t="s">
        <v>75</v>
      </c>
      <c r="M26" s="142"/>
      <c r="N26" s="135"/>
      <c r="O26" s="143">
        <f>O22+O23*P23+O24*P24+O25</f>
        <v>80</v>
      </c>
      <c r="P26" s="136"/>
    </row>
    <row r="27" spans="2:33" ht="15.75" thickBot="1" x14ac:dyDescent="0.3">
      <c r="B27" s="107"/>
      <c r="C27" s="107"/>
      <c r="D27" s="107"/>
      <c r="E27" s="107"/>
      <c r="F27" s="107"/>
      <c r="G27" s="58"/>
      <c r="H27" s="107"/>
      <c r="I27" s="107"/>
      <c r="J27" s="107"/>
      <c r="K27" s="107"/>
      <c r="L27" s="107"/>
      <c r="M27" s="58"/>
      <c r="O27" s="79"/>
    </row>
    <row r="28" spans="2:33" x14ac:dyDescent="0.25">
      <c r="B28" s="151" t="s">
        <v>76</v>
      </c>
      <c r="C28" s="152"/>
      <c r="D28" s="152"/>
      <c r="E28" s="152"/>
      <c r="F28" s="153"/>
      <c r="G28" s="58"/>
      <c r="H28" s="151" t="s">
        <v>77</v>
      </c>
      <c r="I28" s="152"/>
      <c r="J28" s="152"/>
      <c r="K28" s="152"/>
      <c r="L28" s="153"/>
      <c r="M28" s="58"/>
      <c r="O28" s="79"/>
    </row>
    <row r="29" spans="2:33" ht="15.75" thickBot="1" x14ac:dyDescent="0.3">
      <c r="B29" s="45"/>
      <c r="C29" s="165" t="s">
        <v>78</v>
      </c>
      <c r="D29" s="166"/>
      <c r="E29" s="40" t="str">
        <f t="shared" ref="E29:F31" si="1">E19</f>
        <v>Lower Bound (£)</v>
      </c>
      <c r="F29" s="41" t="str">
        <f t="shared" si="1"/>
        <v>Upper Bound (£)</v>
      </c>
      <c r="G29" s="107"/>
      <c r="H29" s="160" t="s">
        <v>79</v>
      </c>
      <c r="I29" s="161"/>
      <c r="J29" s="162"/>
      <c r="K29" s="163">
        <v>45962</v>
      </c>
      <c r="L29" s="164"/>
      <c r="M29" s="107"/>
      <c r="N29" s="107"/>
      <c r="O29" s="79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</row>
    <row r="30" spans="2:33" x14ac:dyDescent="0.25">
      <c r="B30" s="56" t="s">
        <v>80</v>
      </c>
      <c r="C30" s="110"/>
      <c r="D30" s="110"/>
      <c r="E30" s="63">
        <f t="shared" si="1"/>
        <v>0</v>
      </c>
      <c r="F30" s="63">
        <f t="shared" si="1"/>
        <v>0</v>
      </c>
      <c r="G30" s="107"/>
      <c r="H30" s="151" t="s">
        <v>81</v>
      </c>
      <c r="I30" s="152"/>
      <c r="J30" s="152"/>
      <c r="K30" s="152"/>
      <c r="L30" s="153"/>
      <c r="M30" s="107"/>
      <c r="N30" s="107"/>
      <c r="O30" s="79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</row>
    <row r="31" spans="2:33" x14ac:dyDescent="0.25">
      <c r="B31" s="56" t="s">
        <v>57</v>
      </c>
      <c r="C31" s="89">
        <v>3</v>
      </c>
      <c r="D31" s="89">
        <v>3</v>
      </c>
      <c r="E31" s="63">
        <f t="shared" si="1"/>
        <v>9300</v>
      </c>
      <c r="F31" s="63">
        <f t="shared" si="1"/>
        <v>12400</v>
      </c>
      <c r="G31" s="107"/>
      <c r="H31" s="45" t="s">
        <v>82</v>
      </c>
      <c r="I31" s="165" t="s">
        <v>83</v>
      </c>
      <c r="J31" s="194"/>
      <c r="K31" s="165" t="s">
        <v>84</v>
      </c>
      <c r="L31" s="195"/>
      <c r="M31" s="107"/>
      <c r="N31" s="107"/>
      <c r="O31" s="79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</row>
    <row r="32" spans="2:33" x14ac:dyDescent="0.25">
      <c r="B32" s="56" t="s">
        <v>85</v>
      </c>
      <c r="C32" s="89">
        <v>6</v>
      </c>
      <c r="D32" s="89">
        <f>SUM(D22:D22)*C6</f>
        <v>6</v>
      </c>
      <c r="E32" s="63">
        <f>SUM(E22:E22)</f>
        <v>41780</v>
      </c>
      <c r="F32" s="63">
        <f>SUM(F22:F22)</f>
        <v>41780</v>
      </c>
      <c r="G32" s="107"/>
      <c r="H32" s="56" t="s">
        <v>86</v>
      </c>
      <c r="I32" s="191">
        <f>K29+(C30+C31)*7-1</f>
        <v>45982</v>
      </c>
      <c r="J32" s="193"/>
      <c r="K32" s="191">
        <f>K29+(D30+D31)*7-1</f>
        <v>45982</v>
      </c>
      <c r="L32" s="192"/>
      <c r="M32" s="107"/>
      <c r="N32" s="107"/>
      <c r="O32" s="79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</row>
    <row r="33" spans="2:33" x14ac:dyDescent="0.25">
      <c r="B33" s="56" t="s">
        <v>87</v>
      </c>
      <c r="C33" s="89">
        <f>C23</f>
        <v>1</v>
      </c>
      <c r="D33" s="89">
        <f>D23</f>
        <v>1</v>
      </c>
      <c r="E33" s="63">
        <f>E23</f>
        <v>2047.5</v>
      </c>
      <c r="F33" s="63">
        <f>F23</f>
        <v>2047.5</v>
      </c>
      <c r="G33" s="107"/>
      <c r="H33" s="56" t="s">
        <v>88</v>
      </c>
      <c r="I33" s="146">
        <v>14</v>
      </c>
      <c r="J33" s="147"/>
      <c r="K33" s="146">
        <v>14</v>
      </c>
      <c r="L33" s="148"/>
      <c r="M33" s="107"/>
      <c r="N33" s="107"/>
      <c r="O33" s="79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</row>
    <row r="34" spans="2:33" x14ac:dyDescent="0.25">
      <c r="B34" s="56" t="s">
        <v>89</v>
      </c>
      <c r="C34" s="89">
        <f>C24</f>
        <v>2</v>
      </c>
      <c r="D34" s="89">
        <f>D24</f>
        <v>2</v>
      </c>
      <c r="E34" s="63">
        <f t="shared" ref="E34:F35" si="2">E24</f>
        <v>2047.5</v>
      </c>
      <c r="F34" s="63">
        <f t="shared" si="2"/>
        <v>2047.5</v>
      </c>
      <c r="G34" s="107"/>
      <c r="H34" s="56" t="s">
        <v>85</v>
      </c>
      <c r="I34" s="191">
        <f>I32+(C32)*7+I33</f>
        <v>46038</v>
      </c>
      <c r="J34" s="193"/>
      <c r="K34" s="191">
        <f>K32+D32*7+K33</f>
        <v>46038</v>
      </c>
      <c r="L34" s="192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</row>
    <row r="35" spans="2:33" ht="15.75" thickBot="1" x14ac:dyDescent="0.3">
      <c r="B35" s="111" t="s">
        <v>90</v>
      </c>
      <c r="C35" s="115">
        <v>0</v>
      </c>
      <c r="D35" s="115">
        <v>0</v>
      </c>
      <c r="E35" s="63">
        <f t="shared" si="2"/>
        <v>2480</v>
      </c>
      <c r="F35" s="63">
        <f t="shared" si="2"/>
        <v>2480</v>
      </c>
      <c r="G35" s="107"/>
      <c r="H35" s="56" t="s">
        <v>91</v>
      </c>
      <c r="I35" s="191">
        <f>I34+C33*7</f>
        <v>46045</v>
      </c>
      <c r="J35" s="193"/>
      <c r="K35" s="191">
        <f>K34+D33*7</f>
        <v>46045</v>
      </c>
      <c r="L35" s="192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</row>
    <row r="36" spans="2:33" ht="15.75" thickBot="1" x14ac:dyDescent="0.3">
      <c r="B36" s="116" t="str">
        <f>B26</f>
        <v>Total</v>
      </c>
      <c r="C36" s="117">
        <f>SUM(C30:C35)</f>
        <v>12</v>
      </c>
      <c r="D36" s="117">
        <f>SUM(D30:D35)</f>
        <v>12</v>
      </c>
      <c r="E36" s="118">
        <f>SUM(E30:E35)</f>
        <v>57655</v>
      </c>
      <c r="F36" s="119">
        <f>SUM(F30:F35)</f>
        <v>60755</v>
      </c>
      <c r="G36" s="107"/>
      <c r="H36" s="57" t="s">
        <v>92</v>
      </c>
      <c r="I36" s="144">
        <f>I35+C34*7</f>
        <v>46059</v>
      </c>
      <c r="J36" s="196"/>
      <c r="K36" s="144">
        <f>K35+D34*7</f>
        <v>46059</v>
      </c>
      <c r="L36" s="145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</row>
    <row r="37" spans="2:33" ht="15.75" thickBot="1" x14ac:dyDescent="0.3">
      <c r="B37" s="55" t="s">
        <v>93</v>
      </c>
      <c r="C37" s="55">
        <v>2</v>
      </c>
      <c r="D37" s="55">
        <v>2</v>
      </c>
      <c r="G37" s="107"/>
      <c r="H37" s="112"/>
      <c r="I37" s="187"/>
      <c r="J37" s="187"/>
      <c r="K37" s="187"/>
      <c r="L37" s="18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</row>
    <row r="38" spans="2:33" ht="15.75" thickBot="1" x14ac:dyDescent="0.3">
      <c r="B38" s="125" t="s">
        <v>94</v>
      </c>
      <c r="C38" s="126">
        <f>SUM(C36:C37)*12/52</f>
        <v>3.2307692307692308</v>
      </c>
      <c r="D38" s="126">
        <f>SUM(D36:D37)*12/52</f>
        <v>3.2307692307692308</v>
      </c>
      <c r="E38" s="127"/>
      <c r="F38" s="128"/>
      <c r="G38" s="107"/>
      <c r="H38" s="112"/>
      <c r="I38" s="187"/>
      <c r="J38" s="187"/>
      <c r="K38" s="187"/>
      <c r="L38" s="18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</row>
  </sheetData>
  <mergeCells count="46">
    <mergeCell ref="I37:J37"/>
    <mergeCell ref="K37:L37"/>
    <mergeCell ref="I38:J38"/>
    <mergeCell ref="K38:L38"/>
    <mergeCell ref="H19:K19"/>
    <mergeCell ref="L19:P19"/>
    <mergeCell ref="K32:L32"/>
    <mergeCell ref="I34:J34"/>
    <mergeCell ref="K34:L34"/>
    <mergeCell ref="H30:L30"/>
    <mergeCell ref="I31:J31"/>
    <mergeCell ref="K31:L31"/>
    <mergeCell ref="I32:J32"/>
    <mergeCell ref="I35:J35"/>
    <mergeCell ref="I36:J36"/>
    <mergeCell ref="K35:L35"/>
    <mergeCell ref="O2:P2"/>
    <mergeCell ref="L4:L5"/>
    <mergeCell ref="M4:M5"/>
    <mergeCell ref="I17:J17"/>
    <mergeCell ref="L17:M17"/>
    <mergeCell ref="M8:M9"/>
    <mergeCell ref="H13:M13"/>
    <mergeCell ref="I14:K14"/>
    <mergeCell ref="L14:M14"/>
    <mergeCell ref="H15:H16"/>
    <mergeCell ref="I15:J15"/>
    <mergeCell ref="L15:M16"/>
    <mergeCell ref="I16:J16"/>
    <mergeCell ref="L7:L9"/>
    <mergeCell ref="K36:L36"/>
    <mergeCell ref="I33:J33"/>
    <mergeCell ref="K33:L33"/>
    <mergeCell ref="B2:C2"/>
    <mergeCell ref="E2:F2"/>
    <mergeCell ref="H2:M2"/>
    <mergeCell ref="B8:C8"/>
    <mergeCell ref="E8:F8"/>
    <mergeCell ref="B14:F14"/>
    <mergeCell ref="B15:F16"/>
    <mergeCell ref="B18:F18"/>
    <mergeCell ref="B28:F28"/>
    <mergeCell ref="H28:L28"/>
    <mergeCell ref="H29:J29"/>
    <mergeCell ref="K29:L29"/>
    <mergeCell ref="C29:D29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4732BD-3902-4A51-AE5E-8AAAF48D8A00}">
          <x14:formula1>
            <xm:f>Currency!$B$2:$B$4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9A42-524D-4A1F-8F7E-48A83E71CD07}">
  <dimension ref="C2:N8"/>
  <sheetViews>
    <sheetView showGridLines="0" workbookViewId="0">
      <selection activeCell="N26" sqref="N26"/>
    </sheetView>
  </sheetViews>
  <sheetFormatPr defaultRowHeight="15" x14ac:dyDescent="0.25"/>
  <cols>
    <col min="3" max="8" width="9.140625" bestFit="1" customWidth="1"/>
    <col min="9" max="9" width="11.7109375" bestFit="1" customWidth="1"/>
    <col min="10" max="11" width="9.140625" bestFit="1" customWidth="1"/>
    <col min="12" max="12" width="11.7109375" bestFit="1" customWidth="1"/>
    <col min="13" max="14" width="9.140625" bestFit="1" customWidth="1"/>
  </cols>
  <sheetData>
    <row r="2" spans="3:14" x14ac:dyDescent="0.25">
      <c r="C2" s="7" t="s">
        <v>131</v>
      </c>
      <c r="D2" s="7" t="s">
        <v>132</v>
      </c>
      <c r="E2" s="7" t="s">
        <v>133</v>
      </c>
      <c r="F2" s="7" t="s">
        <v>134</v>
      </c>
      <c r="G2" s="7" t="s">
        <v>135</v>
      </c>
      <c r="H2" s="7" t="s">
        <v>136</v>
      </c>
      <c r="I2" s="7" t="s">
        <v>137</v>
      </c>
      <c r="J2" s="7" t="s">
        <v>138</v>
      </c>
      <c r="K2" s="7" t="s">
        <v>139</v>
      </c>
      <c r="L2" s="7" t="s">
        <v>140</v>
      </c>
      <c r="M2" s="7" t="s">
        <v>141</v>
      </c>
      <c r="N2" s="7" t="s">
        <v>142</v>
      </c>
    </row>
    <row r="3" spans="3:14" x14ac:dyDescent="0.25">
      <c r="C3" s="217" t="s">
        <v>57</v>
      </c>
      <c r="D3" s="217"/>
      <c r="E3" s="218"/>
      <c r="F3" s="209"/>
      <c r="G3" s="205"/>
      <c r="H3" s="205"/>
      <c r="I3" s="209"/>
      <c r="J3" s="205"/>
      <c r="K3" s="208"/>
      <c r="L3" s="205"/>
      <c r="M3" s="205"/>
      <c r="N3" s="208"/>
    </row>
    <row r="4" spans="3:14" x14ac:dyDescent="0.25">
      <c r="C4" s="209"/>
      <c r="D4" s="205"/>
      <c r="E4" s="205"/>
      <c r="F4" s="203" t="s">
        <v>143</v>
      </c>
      <c r="G4" s="203"/>
      <c r="H4" s="214"/>
      <c r="I4" s="215"/>
      <c r="J4" s="206"/>
      <c r="K4" s="216"/>
      <c r="L4" s="205"/>
      <c r="M4" s="205"/>
      <c r="N4" s="208"/>
    </row>
    <row r="5" spans="3:14" x14ac:dyDescent="0.25">
      <c r="C5" s="209"/>
      <c r="D5" s="205"/>
      <c r="E5" s="205"/>
      <c r="F5" s="209"/>
      <c r="G5" s="205"/>
      <c r="H5" s="205"/>
      <c r="I5" s="204" t="s">
        <v>147</v>
      </c>
      <c r="J5" s="205"/>
      <c r="K5" s="208"/>
      <c r="L5" s="205"/>
      <c r="M5" s="205"/>
      <c r="N5" s="208"/>
    </row>
    <row r="6" spans="3:14" x14ac:dyDescent="0.25">
      <c r="C6" s="209"/>
      <c r="D6" s="205"/>
      <c r="E6" s="205"/>
      <c r="F6" s="209"/>
      <c r="G6" s="205"/>
      <c r="H6" s="205"/>
      <c r="I6" s="203" t="s">
        <v>144</v>
      </c>
      <c r="J6" s="203"/>
      <c r="K6" s="203"/>
      <c r="L6" s="205"/>
      <c r="M6" s="205"/>
      <c r="N6" s="208"/>
    </row>
    <row r="7" spans="3:14" x14ac:dyDescent="0.25">
      <c r="C7" s="209"/>
      <c r="D7" s="205"/>
      <c r="E7" s="205"/>
      <c r="F7" s="209"/>
      <c r="G7" s="205"/>
      <c r="H7" s="205"/>
      <c r="I7" s="209"/>
      <c r="J7" s="205"/>
      <c r="K7" s="208"/>
      <c r="L7" s="213" t="s">
        <v>146</v>
      </c>
      <c r="M7" s="205"/>
      <c r="N7" s="208"/>
    </row>
    <row r="8" spans="3:14" x14ac:dyDescent="0.25">
      <c r="C8" s="210"/>
      <c r="D8" s="211"/>
      <c r="E8" s="211"/>
      <c r="F8" s="210"/>
      <c r="G8" s="211"/>
      <c r="H8" s="211"/>
      <c r="I8" s="210"/>
      <c r="J8" s="211"/>
      <c r="K8" s="212"/>
      <c r="L8" s="211"/>
      <c r="M8" s="207" t="s">
        <v>145</v>
      </c>
      <c r="N8" s="207"/>
    </row>
  </sheetData>
  <mergeCells count="4">
    <mergeCell ref="F4:H4"/>
    <mergeCell ref="I6:K6"/>
    <mergeCell ref="M8:N8"/>
    <mergeCell ref="C3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5C31-82AF-4E79-8650-807BDC491094}">
  <dimension ref="C1:K33"/>
  <sheetViews>
    <sheetView showGridLines="0" workbookViewId="0">
      <selection activeCell="K31" sqref="K31"/>
    </sheetView>
  </sheetViews>
  <sheetFormatPr defaultRowHeight="15" x14ac:dyDescent="0.25"/>
  <cols>
    <col min="2" max="2" width="2" customWidth="1"/>
    <col min="3" max="3" width="44.42578125" bestFit="1" customWidth="1"/>
    <col min="4" max="4" width="18.28515625" bestFit="1" customWidth="1"/>
    <col min="5" max="5" width="23.140625" bestFit="1" customWidth="1"/>
    <col min="6" max="6" width="26.85546875" bestFit="1" customWidth="1"/>
    <col min="7" max="7" width="18.140625" customWidth="1"/>
    <col min="8" max="8" width="12.7109375" bestFit="1" customWidth="1"/>
    <col min="9" max="9" width="18.5703125" customWidth="1"/>
    <col min="10" max="10" width="9" customWidth="1"/>
    <col min="11" max="11" width="17.85546875" customWidth="1"/>
    <col min="12" max="12" width="46.5703125" bestFit="1" customWidth="1"/>
    <col min="13" max="13" width="26.85546875" bestFit="1" customWidth="1"/>
    <col min="14" max="14" width="12.5703125" bestFit="1" customWidth="1"/>
    <col min="15" max="15" width="12.7109375" bestFit="1" customWidth="1"/>
  </cols>
  <sheetData>
    <row r="1" spans="3:8" x14ac:dyDescent="0.25">
      <c r="C1" s="200" t="s">
        <v>2</v>
      </c>
      <c r="D1" s="201"/>
    </row>
    <row r="2" spans="3:8" x14ac:dyDescent="0.25">
      <c r="C2" s="6" t="s">
        <v>98</v>
      </c>
      <c r="D2" s="13"/>
    </row>
    <row r="3" spans="3:8" x14ac:dyDescent="0.25">
      <c r="C3" s="6" t="s">
        <v>99</v>
      </c>
      <c r="D3" s="14"/>
    </row>
    <row r="4" spans="3:8" x14ac:dyDescent="0.25">
      <c r="C4" s="6" t="s">
        <v>3</v>
      </c>
      <c r="D4" s="36" t="s">
        <v>4</v>
      </c>
    </row>
    <row r="6" spans="3:8" x14ac:dyDescent="0.25">
      <c r="C6" s="202" t="s">
        <v>100</v>
      </c>
      <c r="D6" s="202"/>
      <c r="E6" s="202" t="s">
        <v>101</v>
      </c>
      <c r="F6" s="202"/>
    </row>
    <row r="7" spans="3:8" x14ac:dyDescent="0.25">
      <c r="C7" s="6" t="s">
        <v>102</v>
      </c>
      <c r="D7" s="12">
        <v>120</v>
      </c>
      <c r="E7" s="6" t="s">
        <v>103</v>
      </c>
      <c r="F7" s="13">
        <v>110</v>
      </c>
      <c r="H7" s="19"/>
    </row>
    <row r="8" spans="3:8" x14ac:dyDescent="0.25">
      <c r="C8" s="6" t="s">
        <v>95</v>
      </c>
      <c r="D8" s="12">
        <v>97</v>
      </c>
      <c r="E8" s="6" t="s">
        <v>104</v>
      </c>
      <c r="F8" s="14">
        <f>'DNU_Team &amp; Velocity v1'!B11</f>
        <v>25</v>
      </c>
    </row>
    <row r="9" spans="3:8" x14ac:dyDescent="0.25">
      <c r="C9" s="6" t="s">
        <v>105</v>
      </c>
      <c r="D9" s="15">
        <f>ROUND('DNU_Team &amp; Velocity v1'!B8,0)</f>
        <v>3</v>
      </c>
      <c r="E9" s="6" t="s">
        <v>106</v>
      </c>
      <c r="F9" s="14">
        <f>'DNU_Team &amp; Velocity v1'!B12</f>
        <v>15</v>
      </c>
    </row>
    <row r="10" spans="3:8" x14ac:dyDescent="0.25">
      <c r="C10" s="6" t="s">
        <v>107</v>
      </c>
      <c r="D10" s="17">
        <v>1</v>
      </c>
      <c r="E10" s="6" t="s">
        <v>108</v>
      </c>
      <c r="F10" s="14">
        <f>ROUNDUP(F7/F8,0)</f>
        <v>5</v>
      </c>
    </row>
    <row r="11" spans="3:8" x14ac:dyDescent="0.25">
      <c r="C11" s="6" t="s">
        <v>109</v>
      </c>
      <c r="D11" s="35">
        <v>120</v>
      </c>
      <c r="E11" s="6" t="s">
        <v>110</v>
      </c>
      <c r="F11" s="14">
        <f>ROUNDUP(F7/F9,0)</f>
        <v>8</v>
      </c>
    </row>
    <row r="12" spans="3:8" x14ac:dyDescent="0.25">
      <c r="C12" s="6" t="s">
        <v>111</v>
      </c>
      <c r="D12" s="35">
        <f>(D10*D8*8*5)</f>
        <v>3880</v>
      </c>
      <c r="E12" s="6" t="s">
        <v>30</v>
      </c>
      <c r="F12" s="13">
        <v>2</v>
      </c>
    </row>
    <row r="13" spans="3:8" x14ac:dyDescent="0.25">
      <c r="D13" s="18"/>
      <c r="E13" s="6" t="s">
        <v>112</v>
      </c>
      <c r="F13" s="13">
        <v>2</v>
      </c>
    </row>
    <row r="14" spans="3:8" ht="15.75" thickBot="1" x14ac:dyDescent="0.3">
      <c r="D14" s="18"/>
    </row>
    <row r="15" spans="3:8" x14ac:dyDescent="0.25">
      <c r="C15" s="197" t="s">
        <v>49</v>
      </c>
      <c r="D15" s="198"/>
      <c r="E15" s="198"/>
      <c r="F15" s="198"/>
      <c r="G15" s="198"/>
      <c r="H15" s="199"/>
    </row>
    <row r="16" spans="3:8" x14ac:dyDescent="0.25">
      <c r="C16" s="22" t="s">
        <v>50</v>
      </c>
      <c r="D16" s="9" t="s">
        <v>113</v>
      </c>
      <c r="E16" s="9" t="s">
        <v>114</v>
      </c>
      <c r="F16" s="9" t="s">
        <v>41</v>
      </c>
      <c r="G16" s="9" t="s">
        <v>83</v>
      </c>
      <c r="H16" s="23" t="s">
        <v>84</v>
      </c>
    </row>
    <row r="17" spans="3:11" x14ac:dyDescent="0.25">
      <c r="C17" s="24" t="s">
        <v>115</v>
      </c>
      <c r="D17" s="13">
        <v>80</v>
      </c>
      <c r="E17" s="13">
        <v>100</v>
      </c>
      <c r="F17" s="6" t="s">
        <v>116</v>
      </c>
      <c r="G17" s="16">
        <f>D17*$D$7</f>
        <v>9600</v>
      </c>
      <c r="H17" s="25">
        <f>E17*$D$7</f>
        <v>12000</v>
      </c>
    </row>
    <row r="18" spans="3:11" x14ac:dyDescent="0.25">
      <c r="C18" s="24" t="s">
        <v>117</v>
      </c>
      <c r="D18" s="14">
        <f>F10</f>
        <v>5</v>
      </c>
      <c r="E18" s="14">
        <f>F11</f>
        <v>8</v>
      </c>
      <c r="F18" s="6"/>
      <c r="G18" s="16">
        <f>D18*D11</f>
        <v>600</v>
      </c>
      <c r="H18" s="25">
        <f>E18*D11</f>
        <v>960</v>
      </c>
    </row>
    <row r="19" spans="3:11" x14ac:dyDescent="0.25">
      <c r="C19" s="24" t="s">
        <v>87</v>
      </c>
      <c r="D19" s="14">
        <f>F12</f>
        <v>2</v>
      </c>
      <c r="E19" s="14">
        <f>F12</f>
        <v>2</v>
      </c>
      <c r="F19" s="6"/>
      <c r="G19" s="16">
        <f>D19*D12</f>
        <v>7760</v>
      </c>
      <c r="H19" s="25">
        <f>E19*D12</f>
        <v>7760</v>
      </c>
    </row>
    <row r="20" spans="3:11" x14ac:dyDescent="0.25">
      <c r="C20" s="24" t="s">
        <v>118</v>
      </c>
      <c r="D20" s="14">
        <f>F13</f>
        <v>2</v>
      </c>
      <c r="E20" s="14">
        <f>F13</f>
        <v>2</v>
      </c>
      <c r="F20" s="6"/>
      <c r="G20" s="16">
        <f>D20*D12</f>
        <v>7760</v>
      </c>
      <c r="H20" s="25">
        <f>E20*D12</f>
        <v>7760</v>
      </c>
    </row>
    <row r="21" spans="3:11" x14ac:dyDescent="0.25">
      <c r="C21" s="24" t="s">
        <v>119</v>
      </c>
      <c r="D21" s="13">
        <v>6</v>
      </c>
      <c r="E21" s="13">
        <v>8</v>
      </c>
      <c r="F21" s="6" t="s">
        <v>120</v>
      </c>
      <c r="G21" s="16">
        <f>D21*D$7</f>
        <v>720</v>
      </c>
      <c r="H21" s="25">
        <f>E21*$D$7</f>
        <v>960</v>
      </c>
      <c r="K21" t="s">
        <v>121</v>
      </c>
    </row>
    <row r="22" spans="3:11" ht="15.75" thickBot="1" x14ac:dyDescent="0.3">
      <c r="C22" s="26" t="s">
        <v>96</v>
      </c>
      <c r="D22" s="6"/>
      <c r="E22" s="6"/>
      <c r="F22" s="7"/>
      <c r="G22" s="8">
        <f>SUM(G17:G21)</f>
        <v>26440</v>
      </c>
      <c r="H22" s="27">
        <f>SUM(H17:H21)</f>
        <v>29440</v>
      </c>
    </row>
    <row r="23" spans="3:11" ht="16.5" thickTop="1" thickBot="1" x14ac:dyDescent="0.3">
      <c r="C23" s="28"/>
      <c r="D23" s="29"/>
      <c r="E23" s="29"/>
      <c r="F23" s="29"/>
      <c r="G23" s="29"/>
      <c r="H23" s="30"/>
    </row>
    <row r="24" spans="3:11" ht="15.75" thickBot="1" x14ac:dyDescent="0.3"/>
    <row r="25" spans="3:11" x14ac:dyDescent="0.25">
      <c r="C25" s="197" t="s">
        <v>122</v>
      </c>
      <c r="D25" s="198"/>
      <c r="E25" s="198"/>
      <c r="F25" s="199"/>
    </row>
    <row r="26" spans="3:11" x14ac:dyDescent="0.25">
      <c r="C26" s="22" t="str">
        <f t="shared" ref="C26:C32" si="0">C16</f>
        <v>Project Phase</v>
      </c>
      <c r="D26" s="9" t="s">
        <v>123</v>
      </c>
      <c r="E26" s="9" t="s">
        <v>83</v>
      </c>
      <c r="F26" s="23" t="s">
        <v>84</v>
      </c>
    </row>
    <row r="27" spans="3:11" x14ac:dyDescent="0.25">
      <c r="C27" s="24" t="str">
        <f t="shared" si="0"/>
        <v>Sprint 0 (hours)</v>
      </c>
      <c r="D27" s="6"/>
      <c r="E27" s="31">
        <f t="shared" ref="E27:F31" si="1">G17</f>
        <v>9600</v>
      </c>
      <c r="F27" s="33">
        <f t="shared" si="1"/>
        <v>12000</v>
      </c>
    </row>
    <row r="28" spans="3:11" x14ac:dyDescent="0.25">
      <c r="C28" s="24" t="s">
        <v>117</v>
      </c>
      <c r="D28" s="6"/>
      <c r="E28" s="31">
        <f t="shared" si="1"/>
        <v>600</v>
      </c>
      <c r="F28" s="33">
        <f t="shared" si="1"/>
        <v>960</v>
      </c>
    </row>
    <row r="29" spans="3:11" x14ac:dyDescent="0.25">
      <c r="C29" s="24" t="str">
        <f t="shared" si="0"/>
        <v>Final UAT</v>
      </c>
      <c r="D29" s="6"/>
      <c r="E29" s="31">
        <f t="shared" si="1"/>
        <v>7760</v>
      </c>
      <c r="F29" s="33">
        <f t="shared" si="1"/>
        <v>7760</v>
      </c>
    </row>
    <row r="30" spans="3:11" x14ac:dyDescent="0.25">
      <c r="C30" s="24" t="str">
        <f t="shared" si="0"/>
        <v>Production Deployment &amp; Post Go-Live Support </v>
      </c>
      <c r="D30" s="6"/>
      <c r="E30" s="31">
        <f t="shared" si="1"/>
        <v>7760</v>
      </c>
      <c r="F30" s="33">
        <f t="shared" si="1"/>
        <v>7760</v>
      </c>
    </row>
    <row r="31" spans="3:11" x14ac:dyDescent="0.25">
      <c r="C31" s="24" t="str">
        <f t="shared" si="0"/>
        <v>User guide creation</v>
      </c>
      <c r="D31" s="6"/>
      <c r="E31" s="31">
        <f t="shared" si="1"/>
        <v>720</v>
      </c>
      <c r="F31" s="33">
        <f t="shared" si="1"/>
        <v>960</v>
      </c>
    </row>
    <row r="32" spans="3:11" x14ac:dyDescent="0.25">
      <c r="C32" s="26" t="str">
        <f t="shared" si="0"/>
        <v>Total Cost for Release 1</v>
      </c>
      <c r="D32" s="7"/>
      <c r="E32" s="32">
        <f>G22</f>
        <v>26440</v>
      </c>
      <c r="F32" s="34">
        <f>H22</f>
        <v>29440</v>
      </c>
    </row>
    <row r="33" spans="3:6" ht="15.75" thickBot="1" x14ac:dyDescent="0.3">
      <c r="C33" s="28"/>
      <c r="D33" s="29"/>
      <c r="E33" s="29"/>
      <c r="F33" s="30"/>
    </row>
  </sheetData>
  <mergeCells count="5">
    <mergeCell ref="C15:H15"/>
    <mergeCell ref="C25:F25"/>
    <mergeCell ref="C1:D1"/>
    <mergeCell ref="C6:D6"/>
    <mergeCell ref="E6:F6"/>
  </mergeCells>
  <conditionalFormatting sqref="D7:D8">
    <cfRule type="expression" dxfId="11" priority="1">
      <formula>$D$4="$"</formula>
    </cfRule>
    <cfRule type="expression" dxfId="10" priority="2">
      <formula>$D$4="£"</formula>
    </cfRule>
    <cfRule type="expression" dxfId="9" priority="3">
      <formula>$D$4="R"</formula>
    </cfRule>
  </conditionalFormatting>
  <conditionalFormatting sqref="D11:D12">
    <cfRule type="expression" dxfId="8" priority="5">
      <formula>$D$4="$"</formula>
    </cfRule>
    <cfRule type="expression" dxfId="7" priority="6">
      <formula>$D$4="£"</formula>
    </cfRule>
    <cfRule type="expression" dxfId="6" priority="7">
      <formula>$D$4="R"</formula>
    </cfRule>
  </conditionalFormatting>
  <conditionalFormatting sqref="E27:F32">
    <cfRule type="expression" dxfId="5" priority="11">
      <formula>$D$4="$"</formula>
    </cfRule>
    <cfRule type="expression" dxfId="4" priority="12">
      <formula>$D$4="£"</formula>
    </cfRule>
    <cfRule type="expression" dxfId="3" priority="13">
      <formula>$D$4="R"</formula>
    </cfRule>
  </conditionalFormatting>
  <conditionalFormatting sqref="G17:H22">
    <cfRule type="expression" dxfId="2" priority="8">
      <formula>$D$4="$"</formula>
    </cfRule>
    <cfRule type="expression" dxfId="1" priority="9">
      <formula>$D$4="£"</formula>
    </cfRule>
    <cfRule type="expression" dxfId="0" priority="10">
      <formula>$D$4="R"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57DCE36-7953-4FD8-9078-4D867EFADAE4}">
          <x14:formula1>
            <xm:f>Currency!$B$2:$B$4</xm:f>
          </x14:formula1>
          <xm:sqref>D4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6177-A4DD-4543-8DEC-552B5EC861AC}">
  <dimension ref="A1:D13"/>
  <sheetViews>
    <sheetView workbookViewId="0">
      <selection activeCell="N14" sqref="N14"/>
    </sheetView>
  </sheetViews>
  <sheetFormatPr defaultRowHeight="15" x14ac:dyDescent="0.25"/>
  <cols>
    <col min="1" max="1" width="31.7109375" style="1" customWidth="1"/>
    <col min="2" max="2" width="21.42578125" style="1" customWidth="1"/>
    <col min="3" max="4" width="12.85546875" style="1" customWidth="1"/>
    <col min="5" max="5" width="9.42578125" customWidth="1"/>
  </cols>
  <sheetData>
    <row r="1" spans="1:4" x14ac:dyDescent="0.25">
      <c r="A1" s="2" t="s">
        <v>97</v>
      </c>
      <c r="B1" s="11" t="s">
        <v>8</v>
      </c>
      <c r="D1" s="2"/>
    </row>
    <row r="2" spans="1:4" x14ac:dyDescent="0.25">
      <c r="A2" s="1" t="s">
        <v>32</v>
      </c>
      <c r="B2" s="4">
        <v>1</v>
      </c>
      <c r="D2" s="2"/>
    </row>
    <row r="3" spans="1:4" x14ac:dyDescent="0.25">
      <c r="A3" s="1" t="s">
        <v>15</v>
      </c>
      <c r="B3" s="4">
        <v>1</v>
      </c>
      <c r="D3" s="3"/>
    </row>
    <row r="4" spans="1:4" x14ac:dyDescent="0.25">
      <c r="A4" s="1" t="s">
        <v>19</v>
      </c>
      <c r="B4" s="4">
        <v>0.5</v>
      </c>
      <c r="D4" s="3"/>
    </row>
    <row r="5" spans="1:4" x14ac:dyDescent="0.25">
      <c r="A5" s="1" t="s">
        <v>23</v>
      </c>
      <c r="B5" s="4">
        <v>0.25</v>
      </c>
      <c r="D5" s="3"/>
    </row>
    <row r="6" spans="1:4" x14ac:dyDescent="0.25">
      <c r="A6" s="1" t="s">
        <v>28</v>
      </c>
      <c r="B6" s="4">
        <f>B5*0.5</f>
        <v>0.125</v>
      </c>
      <c r="D6" s="3"/>
    </row>
    <row r="7" spans="1:4" x14ac:dyDescent="0.25">
      <c r="A7" s="1" t="s">
        <v>36</v>
      </c>
      <c r="B7" s="4">
        <v>0.2</v>
      </c>
    </row>
    <row r="8" spans="1:4" x14ac:dyDescent="0.25">
      <c r="A8" s="2" t="s">
        <v>124</v>
      </c>
      <c r="B8" s="10">
        <f>SUM(B2:B7)</f>
        <v>3.0750000000000002</v>
      </c>
    </row>
    <row r="9" spans="1:4" x14ac:dyDescent="0.25">
      <c r="C9" s="4"/>
    </row>
    <row r="10" spans="1:4" x14ac:dyDescent="0.25">
      <c r="A10" s="2" t="s">
        <v>40</v>
      </c>
      <c r="B10" s="2" t="s">
        <v>125</v>
      </c>
      <c r="C10" s="2"/>
      <c r="D10" s="5"/>
    </row>
    <row r="11" spans="1:4" x14ac:dyDescent="0.25">
      <c r="A11" s="1" t="s">
        <v>44</v>
      </c>
      <c r="B11" s="1">
        <v>25</v>
      </c>
      <c r="D11" s="3"/>
    </row>
    <row r="12" spans="1:4" x14ac:dyDescent="0.25">
      <c r="A12" s="1" t="s">
        <v>47</v>
      </c>
      <c r="B12" s="1">
        <v>15</v>
      </c>
    </row>
    <row r="13" spans="1:4" x14ac:dyDescent="0.25">
      <c r="D13" s="3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1967-FFB9-480C-8D95-EF72778D202F}">
  <dimension ref="A2:B4"/>
  <sheetViews>
    <sheetView workbookViewId="0">
      <selection activeCell="F25" sqref="F25"/>
    </sheetView>
  </sheetViews>
  <sheetFormatPr defaultRowHeight="15" x14ac:dyDescent="0.25"/>
  <sheetData>
    <row r="2" spans="1:2" x14ac:dyDescent="0.25">
      <c r="A2" t="s">
        <v>126</v>
      </c>
      <c r="B2" s="20" t="s">
        <v>127</v>
      </c>
    </row>
    <row r="3" spans="1:2" x14ac:dyDescent="0.25">
      <c r="A3" t="s">
        <v>128</v>
      </c>
      <c r="B3" s="21" t="s">
        <v>4</v>
      </c>
    </row>
    <row r="4" spans="1:2" x14ac:dyDescent="0.25">
      <c r="A4" t="s">
        <v>129</v>
      </c>
      <c r="B4" s="20" t="s">
        <v>130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bd5dc-7a64-4097-8396-87f6c90b212f">
      <Value>6</Value>
      <Value>5</Value>
      <Value>4</Value>
    </TaxCatchAll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47E0126EE26B68468E30FEE8ADFBCCCC" ma:contentTypeVersion="3" ma:contentTypeDescription="A document associated with a project for a client." ma:contentTypeScope="" ma:versionID="268f348e925944570301af8ff2adc88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93b052738fdbaae4d27c6d5b8c67869a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C47CB9-CB87-4A69-8952-5A20359B75E5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43EC73B4-88A6-4256-B10D-3BE936A451D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8195739-F48A-45FA-B14B-AA6F1092D482}">
  <ds:schemaRefs>
    <ds:schemaRef ds:uri="http://schemas.microsoft.com/office/2006/metadata/properties"/>
    <ds:schemaRef ds:uri="http://schemas.microsoft.com/office/infopath/2007/PartnerControls"/>
    <ds:schemaRef ds:uri="1ffbd5dc-7a64-4097-8396-87f6c90b212f"/>
  </ds:schemaRefs>
</ds:datastoreItem>
</file>

<file path=customXml/itemProps4.xml><?xml version="1.0" encoding="utf-8"?>
<ds:datastoreItem xmlns:ds="http://schemas.openxmlformats.org/officeDocument/2006/customXml" ds:itemID="{E1C16EEB-B7E9-4D26-9E32-9537C3571A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1DCBB8FA-0BE6-4FFA-B672-F251BED2EE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SOW Cost</vt:lpstr>
      <vt:lpstr>Project Timeline</vt:lpstr>
      <vt:lpstr>DNU_SOW v1</vt:lpstr>
      <vt:lpstr>DNU_Team &amp; Velocity v1</vt:lpstr>
      <vt:lpstr>Currency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Benkenstein</dc:creator>
  <cp:keywords/>
  <dc:description/>
  <cp:lastModifiedBy>Jacob Smycz</cp:lastModifiedBy>
  <cp:revision/>
  <dcterms:created xsi:type="dcterms:W3CDTF">2020-08-13T15:11:43Z</dcterms:created>
  <dcterms:modified xsi:type="dcterms:W3CDTF">2025-10-17T16:18:12Z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0x010100B16301FA1C2D5E4DB9305F31D037531D0207030047E0126EE26B68468E30FEE8ADFBCCCC</vt:lpwstr>
  </property>
  <property fmtid="{D5CDD505-2E9C-101B-9397-08002B2CF9AE}" pid="5" name="lcf76f155ced4ddcb4097134ff3c332f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Business Document Type">
    <vt:lpwstr>5;#Project Delivery Document|464596ad-2211-4003-92ff-a963197d93b9</vt:lpwstr>
  </property>
  <property fmtid="{D5CDD505-2E9C-101B-9397-08002B2CF9AE}" pid="10" name="l992f389a8bb4e119e73ef90413f377d">
    <vt:lpwstr>Project Delivery Document|464596ad-2211-4003-92ff-a963197d93b9</vt:lpwstr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  <property fmtid="{D5CDD505-2E9C-101B-9397-08002B2CF9AE}" pid="17" name="Order">
    <vt:r8>28100</vt:r8>
  </property>
  <property fmtid="{D5CDD505-2E9C-101B-9397-08002B2CF9AE}" pid="18" name="Project_x0020_Document_x0020_Type">
    <vt:lpwstr>4;#Generic Project Document|258c2ed6-b93b-4ffe-8901-a23f2dc98ec9</vt:lpwstr>
  </property>
  <property fmtid="{D5CDD505-2E9C-101B-9397-08002B2CF9AE}" pid="19" name="Client_x0020_Project">
    <vt:lpwstr/>
  </property>
  <property fmtid="{D5CDD505-2E9C-101B-9397-08002B2CF9AE}" pid="20" name="nae5750f31d8428b9a1182bd8e59d390">
    <vt:lpwstr>Enterprise Solutions|08c57b01-67e8-4a4f-abc6-ffb3392ace7f</vt:lpwstr>
  </property>
  <property fmtid="{D5CDD505-2E9C-101B-9397-08002B2CF9AE}" pid="21" name="k6ebf865df8440b3a55c1aa81c9bae7c">
    <vt:lpwstr>Generic Project Document|258c2ed6-b93b-4ffe-8901-a23f2dc98ec9</vt:lpwstr>
  </property>
  <property fmtid="{D5CDD505-2E9C-101B-9397-08002B2CF9AE}" pid="22" name="ica44df5449d49f98766f83f0bd254a7">
    <vt:lpwstr>Grainger PLC|a74f1cb5-e995-4f9e-8521-6d52e2c6bf08</vt:lpwstr>
  </property>
</Properties>
</file>