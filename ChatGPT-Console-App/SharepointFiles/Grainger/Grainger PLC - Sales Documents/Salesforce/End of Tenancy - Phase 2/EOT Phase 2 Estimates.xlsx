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End of Tenancy - Phase 2/"/>
    </mc:Choice>
  </mc:AlternateContent>
  <xr:revisionPtr revIDLastSave="226" documentId="8_{8F03507F-D0C6-F94E-93A0-708B91321404}" xr6:coauthVersionLast="47" xr6:coauthVersionMax="47" xr10:uidLastSave="{D488D139-89D1-4DEE-BE93-E2CFEFDC3BDB}"/>
  <bookViews>
    <workbookView xWindow="28680" yWindow="-120" windowWidth="29040" windowHeight="15720" xr2:uid="{95FAABAA-D2F5-3B4A-9DCC-81D2D05E3879}"/>
  </bookViews>
  <sheets>
    <sheet name="SOW" sheetId="2" r:id="rId1"/>
    <sheet name="Sheet1" sheetId="1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H10" i="2"/>
  <c r="B1" i="2"/>
  <c r="I6" i="2"/>
  <c r="H6" i="2"/>
  <c r="I7" i="2"/>
  <c r="H7" i="2"/>
  <c r="H8" i="2"/>
  <c r="H5" i="2"/>
  <c r="I5" i="2" l="1"/>
  <c r="I4" i="2"/>
  <c r="H4" i="2"/>
  <c r="M5" i="2" l="1"/>
  <c r="M7" i="2" s="1"/>
</calcChain>
</file>

<file path=xl/sharedStrings.xml><?xml version="1.0" encoding="utf-8"?>
<sst xmlns="http://schemas.openxmlformats.org/spreadsheetml/2006/main" count="62" uniqueCount="58">
  <si>
    <t>Cost Per Sprint</t>
  </si>
  <si>
    <t>Team Composition</t>
  </si>
  <si>
    <t>Allocation</t>
  </si>
  <si>
    <t>Hour Rate</t>
  </si>
  <si>
    <t>Dev Senior</t>
  </si>
  <si>
    <t>Phase</t>
  </si>
  <si>
    <t>Duration (weeks)</t>
  </si>
  <si>
    <t>Lower</t>
  </si>
  <si>
    <t>Upper</t>
  </si>
  <si>
    <t>Lower Bound</t>
  </si>
  <si>
    <t>Upper Bound</t>
  </si>
  <si>
    <t>Dev Junior</t>
  </si>
  <si>
    <t>3 weeks</t>
  </si>
  <si>
    <t>QA</t>
  </si>
  <si>
    <t>BA</t>
  </si>
  <si>
    <t>UAT</t>
  </si>
  <si>
    <t>2 weeks</t>
  </si>
  <si>
    <t>PM</t>
  </si>
  <si>
    <t>Production Deployment &amp; Post Go-Live Support </t>
  </si>
  <si>
    <t>Total FTEs</t>
  </si>
  <si>
    <t>User guide updates</t>
  </si>
  <si>
    <t>Done in parallel with sprints </t>
  </si>
  <si>
    <t>SOW FTE</t>
  </si>
  <si>
    <t>Story Points</t>
  </si>
  <si>
    <t>FormAssembly or REST API</t>
  </si>
  <si>
    <t>If FormAssembly, we can do the work, if REST API then Code/Codification/3rd party will need to do the work</t>
  </si>
  <si>
    <t>Create EOT for unit (and EoT for pakring if applicable)</t>
  </si>
  <si>
    <t>Specify template, all tasks and dates will then be created via triggers/flows</t>
  </si>
  <si>
    <t>Effort</t>
  </si>
  <si>
    <t xml:space="preserve">Depends on whether we have to FormAssembly or not.  </t>
  </si>
  <si>
    <t>Adjusting the EOT templates (data only, no config)</t>
  </si>
  <si>
    <t>Either Apex triggers to validate based on permission sets, or custom permissions to drive button visibility</t>
  </si>
  <si>
    <t>Would need to adjust EoT template so that permissions can be specified on the template</t>
  </si>
  <si>
    <t>1. FormAssembly with various other Salesforce emails</t>
  </si>
  <si>
    <t>Chaser emails etc.</t>
  </si>
  <si>
    <t>New field</t>
  </si>
  <si>
    <t>GREP Integration</t>
  </si>
  <si>
    <t xml:space="preserve"> </t>
  </si>
  <si>
    <t>Adjust EoT template to remove task</t>
  </si>
  <si>
    <t>Customise close task flow to include email comms sent to tennat</t>
  </si>
  <si>
    <t>Maybe new custom fields</t>
  </si>
  <si>
    <t>"No Works" will require some adjustment to trigger that calculates overall timeline</t>
  </si>
  <si>
    <t>Custom object to hold metadata on files</t>
  </si>
  <si>
    <t>Need to decide whether files are stored in Salesforce or S3/shared folder (apex heap size implications for files sent to tenants via emails from Salesforce)</t>
  </si>
  <si>
    <t>Works should be tracked as a Work Order</t>
  </si>
  <si>
    <t>EOT can be completed before the void works are done, void works shouldn't be part of EoT tasks</t>
  </si>
  <si>
    <t>Who updates the work order with ETA etc.?</t>
  </si>
  <si>
    <t>GREP work</t>
  </si>
  <si>
    <t>Who marks the tasks as done?</t>
  </si>
  <si>
    <t>Should be work order</t>
  </si>
  <si>
    <t>Dependent on how #7 is handled</t>
  </si>
  <si>
    <t>Should be done with a Case</t>
  </si>
  <si>
    <t>3-9 weeks</t>
  </si>
  <si>
    <t>12 - 18 weeks</t>
  </si>
  <si>
    <t xml:space="preserve">Total </t>
  </si>
  <si>
    <t>Discovery (60-80 hours)</t>
  </si>
  <si>
    <t>Sprint 0 (20 hours)</t>
  </si>
  <si>
    <t>Build: 1 - 3 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</si>
</sst>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2" fontId="2" fillId="0" borderId="0" xfId="1" applyNumberFormat="1" applyFont="1" applyAlignment="1">
      <alignment wrapText="1"/>
    </xf>
    <xf numFmtId="0" fontId="2" fillId="0" borderId="1" xfId="0" applyFont="1" applyBorder="1"/>
    <xf numFmtId="164" fontId="2" fillId="0" borderId="2" xfId="0" applyNumberFormat="1" applyFont="1" applyBorder="1"/>
    <xf numFmtId="0" fontId="3" fillId="0" borderId="0" xfId="0" applyFont="1"/>
    <xf numFmtId="164" fontId="3" fillId="0" borderId="0" xfId="0" applyNumberFormat="1" applyFont="1" applyAlignment="1">
      <alignment wrapText="1"/>
    </xf>
    <xf numFmtId="164" fontId="3" fillId="0" borderId="0" xfId="0" applyNumberFormat="1" applyFont="1"/>
    <xf numFmtId="0" fontId="3" fillId="0" borderId="0" xfId="0" applyFont="1" applyAlignment="1">
      <alignment wrapText="1"/>
    </xf>
    <xf numFmtId="9" fontId="3" fillId="0" borderId="0" xfId="1" applyFont="1" applyAlignment="1">
      <alignment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16" fontId="3" fillId="0" borderId="1" xfId="0" quotePrefix="1" applyNumberFormat="1" applyFont="1" applyBorder="1"/>
    <xf numFmtId="0" fontId="2" fillId="0" borderId="1" xfId="0" quotePrefix="1" applyFont="1" applyBorder="1"/>
    <xf numFmtId="0" fontId="2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129490</xdr:colOff>
      <xdr:row>15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58AA3-477C-3BA4-226F-767ADE9CF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35490" cy="314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12</xdr:col>
      <xdr:colOff>405442</xdr:colOff>
      <xdr:row>27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C3CD06-3328-1B51-8691-16E0A7991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0800"/>
          <a:ext cx="10311442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29</xdr:row>
      <xdr:rowOff>190500</xdr:rowOff>
    </xdr:from>
    <xdr:to>
      <xdr:col>12</xdr:col>
      <xdr:colOff>491744</xdr:colOff>
      <xdr:row>37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33D578-FE6C-2E58-AB96-EC44C8AAF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" y="6083300"/>
          <a:ext cx="10258044" cy="1612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39</xdr:row>
      <xdr:rowOff>25400</xdr:rowOff>
    </xdr:from>
    <xdr:to>
      <xdr:col>12</xdr:col>
      <xdr:colOff>533400</xdr:colOff>
      <xdr:row>72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781F37-2CF3-FEAD-E141-DC7040C77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7950200"/>
          <a:ext cx="10248900" cy="6832600"/>
        </a:xfrm>
        <a:prstGeom prst="rect">
          <a:avLst/>
        </a:prstGeom>
      </xdr:spPr>
    </xdr:pic>
    <xdr:clientData/>
  </xdr:twoCellAnchor>
  <xdr:twoCellAnchor editAs="oneCell">
    <xdr:from>
      <xdr:col>0</xdr:col>
      <xdr:colOff>215899</xdr:colOff>
      <xdr:row>72</xdr:row>
      <xdr:rowOff>190500</xdr:rowOff>
    </xdr:from>
    <xdr:to>
      <xdr:col>12</xdr:col>
      <xdr:colOff>732694</xdr:colOff>
      <xdr:row>93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DAA1C8-DB44-C76A-5430-E344EF9B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5899" y="14820900"/>
          <a:ext cx="10422795" cy="41783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94</xdr:row>
      <xdr:rowOff>152400</xdr:rowOff>
    </xdr:from>
    <xdr:to>
      <xdr:col>13</xdr:col>
      <xdr:colOff>16212</xdr:colOff>
      <xdr:row>107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B85CD8-5DBC-6E72-7698-9CA2B3C5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" y="19253200"/>
          <a:ext cx="10735012" cy="2641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101600</xdr:rowOff>
    </xdr:from>
    <xdr:to>
      <xdr:col>13</xdr:col>
      <xdr:colOff>92570</xdr:colOff>
      <xdr:row>140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A58BD-9AD9-9FE8-326F-DCCAA9F83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2047200"/>
          <a:ext cx="10824070" cy="64262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140</xdr:row>
      <xdr:rowOff>190500</xdr:rowOff>
    </xdr:from>
    <xdr:to>
      <xdr:col>12</xdr:col>
      <xdr:colOff>698500</xdr:colOff>
      <xdr:row>151</xdr:row>
      <xdr:rowOff>70525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0AE64B-115B-C385-1688-6EDEF2691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700" y="28638500"/>
          <a:ext cx="10464800" cy="2115225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152</xdr:row>
      <xdr:rowOff>76200</xdr:rowOff>
    </xdr:from>
    <xdr:to>
      <xdr:col>12</xdr:col>
      <xdr:colOff>738240</xdr:colOff>
      <xdr:row>167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6FBB44E-4297-231C-20D0-D91DBB701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099" y="30962600"/>
          <a:ext cx="10606141" cy="316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152400</xdr:rowOff>
    </xdr:from>
    <xdr:to>
      <xdr:col>12</xdr:col>
      <xdr:colOff>549753</xdr:colOff>
      <xdr:row>205</xdr:row>
      <xdr:rowOff>50800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4512A0-0E23-7D22-3C60-592CA48A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4086800"/>
          <a:ext cx="10455753" cy="76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4FBA-FB00-4B6C-AD86-3772E7945816}">
  <dimension ref="A1:M11"/>
  <sheetViews>
    <sheetView tabSelected="1" workbookViewId="0">
      <selection activeCell="G21" sqref="G21"/>
    </sheetView>
  </sheetViews>
  <sheetFormatPr defaultColWidth="10.875" defaultRowHeight="15" x14ac:dyDescent="0.25"/>
  <cols>
    <col min="1" max="1" width="12.375" style="6" bestFit="1" customWidth="1"/>
    <col min="2" max="2" width="10.375" style="6" bestFit="1" customWidth="1"/>
    <col min="3" max="3" width="10.875" style="6"/>
    <col min="4" max="4" width="40.875" style="6" bestFit="1" customWidth="1"/>
    <col min="5" max="5" width="24" style="6" bestFit="1" customWidth="1"/>
    <col min="6" max="7" width="24" style="6" customWidth="1"/>
    <col min="8" max="8" width="11.125" style="6" bestFit="1" customWidth="1"/>
    <col min="9" max="9" width="11.375" style="6" bestFit="1" customWidth="1"/>
    <col min="10" max="11" width="10.875" style="6"/>
    <col min="12" max="12" width="16.125" style="6" customWidth="1"/>
    <col min="13" max="13" width="18.125" style="6" customWidth="1"/>
    <col min="14" max="16384" width="10.875" style="6"/>
  </cols>
  <sheetData>
    <row r="1" spans="1:13" x14ac:dyDescent="0.25">
      <c r="A1" s="6" t="s">
        <v>0</v>
      </c>
      <c r="B1" s="1">
        <f>M8*160*B2*3/4</f>
        <v>24720</v>
      </c>
      <c r="C1" s="1"/>
      <c r="L1" s="2" t="s">
        <v>1</v>
      </c>
      <c r="M1" s="2" t="s">
        <v>2</v>
      </c>
    </row>
    <row r="2" spans="1:13" x14ac:dyDescent="0.25">
      <c r="A2" s="6" t="s">
        <v>3</v>
      </c>
      <c r="B2" s="7">
        <v>103</v>
      </c>
      <c r="C2" s="7"/>
      <c r="L2" s="9" t="s">
        <v>4</v>
      </c>
      <c r="M2" s="10">
        <v>1</v>
      </c>
    </row>
    <row r="3" spans="1:13" x14ac:dyDescent="0.25">
      <c r="B3" s="8"/>
      <c r="C3" s="8"/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L3" s="9" t="s">
        <v>11</v>
      </c>
      <c r="M3" s="10">
        <v>0.5</v>
      </c>
    </row>
    <row r="4" spans="1:13" x14ac:dyDescent="0.25">
      <c r="B4" s="8"/>
      <c r="D4" s="11" t="s">
        <v>55</v>
      </c>
      <c r="E4" s="11" t="s">
        <v>12</v>
      </c>
      <c r="F4" s="11">
        <v>60</v>
      </c>
      <c r="G4" s="11">
        <v>80</v>
      </c>
      <c r="H4" s="12">
        <f>F4*B2</f>
        <v>6180</v>
      </c>
      <c r="I4" s="12">
        <f>G4*B2</f>
        <v>8240</v>
      </c>
      <c r="L4" s="9" t="s">
        <v>13</v>
      </c>
      <c r="M4" s="10">
        <v>0.25</v>
      </c>
    </row>
    <row r="5" spans="1:13" x14ac:dyDescent="0.25">
      <c r="D5" s="11" t="s">
        <v>56</v>
      </c>
      <c r="E5" s="11" t="s">
        <v>16</v>
      </c>
      <c r="F5" s="11">
        <v>20</v>
      </c>
      <c r="G5" s="11">
        <v>20</v>
      </c>
      <c r="H5" s="12">
        <f>F5*$B$2</f>
        <v>2060</v>
      </c>
      <c r="I5" s="12">
        <f>G5*$B$2</f>
        <v>2060</v>
      </c>
      <c r="L5" s="9" t="s">
        <v>14</v>
      </c>
      <c r="M5" s="10">
        <f>M4*0.5</f>
        <v>0.125</v>
      </c>
    </row>
    <row r="6" spans="1:13" x14ac:dyDescent="0.25">
      <c r="D6" s="11" t="s">
        <v>57</v>
      </c>
      <c r="E6" s="14" t="s">
        <v>52</v>
      </c>
      <c r="F6" s="11">
        <v>1</v>
      </c>
      <c r="G6" s="11">
        <v>3</v>
      </c>
      <c r="H6" s="12">
        <f>F6*$B$1</f>
        <v>24720</v>
      </c>
      <c r="I6" s="12">
        <f>G6*$B$1</f>
        <v>74160</v>
      </c>
      <c r="L6" s="9" t="s">
        <v>17</v>
      </c>
      <c r="M6" s="10">
        <v>0.13</v>
      </c>
    </row>
    <row r="7" spans="1:13" x14ac:dyDescent="0.25">
      <c r="D7" s="11" t="s">
        <v>15</v>
      </c>
      <c r="E7" s="11" t="s">
        <v>16</v>
      </c>
      <c r="F7" s="11">
        <v>40</v>
      </c>
      <c r="G7" s="11">
        <v>40</v>
      </c>
      <c r="H7" s="12">
        <f>F7*B2</f>
        <v>4120</v>
      </c>
      <c r="I7" s="12">
        <f>G7*B2</f>
        <v>4120</v>
      </c>
      <c r="L7" s="2" t="s">
        <v>19</v>
      </c>
      <c r="M7" s="3">
        <f>SUM(M2:M6)</f>
        <v>2.0049999999999999</v>
      </c>
    </row>
    <row r="8" spans="1:13" x14ac:dyDescent="0.25">
      <c r="D8" s="11" t="s">
        <v>18</v>
      </c>
      <c r="E8" s="11" t="s">
        <v>16</v>
      </c>
      <c r="F8" s="11">
        <v>20</v>
      </c>
      <c r="G8" s="11">
        <v>20</v>
      </c>
      <c r="H8" s="12">
        <f>F8*B2</f>
        <v>2060</v>
      </c>
      <c r="I8" s="12">
        <v>3600</v>
      </c>
      <c r="L8" s="13" t="s">
        <v>22</v>
      </c>
      <c r="M8" s="13">
        <v>2</v>
      </c>
    </row>
    <row r="9" spans="1:13" x14ac:dyDescent="0.25">
      <c r="D9" s="11" t="s">
        <v>20</v>
      </c>
      <c r="E9" s="11" t="s">
        <v>21</v>
      </c>
      <c r="F9" s="12"/>
      <c r="G9" s="11"/>
      <c r="H9" s="12">
        <v>1750</v>
      </c>
      <c r="I9" s="12">
        <v>1750</v>
      </c>
    </row>
    <row r="10" spans="1:13" ht="15.75" thickBot="1" x14ac:dyDescent="0.3">
      <c r="D10" s="4" t="s">
        <v>54</v>
      </c>
      <c r="E10" s="15" t="s">
        <v>53</v>
      </c>
      <c r="F10" s="4"/>
      <c r="G10" s="4"/>
      <c r="H10" s="5">
        <f>SUM(H4:H9)</f>
        <v>40890</v>
      </c>
      <c r="I10" s="5">
        <f>SUM(I4:I9)</f>
        <v>93930</v>
      </c>
    </row>
    <row r="11" spans="1:13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41B8-33B7-0B4F-A975-816706985B3B}">
  <dimension ref="N1:R170"/>
  <sheetViews>
    <sheetView workbookViewId="0">
      <selection activeCell="N10" sqref="N10"/>
    </sheetView>
  </sheetViews>
  <sheetFormatPr defaultColWidth="11" defaultRowHeight="15.75" x14ac:dyDescent="0.25"/>
  <cols>
    <col min="14" max="14" width="44" bestFit="1" customWidth="1"/>
    <col min="15" max="15" width="88.375" bestFit="1" customWidth="1"/>
    <col min="16" max="16" width="8.5" customWidth="1"/>
  </cols>
  <sheetData>
    <row r="1" spans="14:18" x14ac:dyDescent="0.25">
      <c r="Q1" t="s">
        <v>23</v>
      </c>
    </row>
    <row r="2" spans="14:18" x14ac:dyDescent="0.25">
      <c r="N2" t="s">
        <v>24</v>
      </c>
      <c r="O2" t="s">
        <v>25</v>
      </c>
    </row>
    <row r="3" spans="14:18" x14ac:dyDescent="0.25">
      <c r="N3" t="s">
        <v>26</v>
      </c>
      <c r="O3" t="s">
        <v>27</v>
      </c>
    </row>
    <row r="6" spans="14:18" x14ac:dyDescent="0.25">
      <c r="N6" t="s">
        <v>28</v>
      </c>
      <c r="O6">
        <v>4</v>
      </c>
      <c r="P6">
        <v>5</v>
      </c>
      <c r="Q6">
        <v>8</v>
      </c>
      <c r="R6">
        <v>8</v>
      </c>
    </row>
    <row r="7" spans="14:18" x14ac:dyDescent="0.25">
      <c r="N7" t="s">
        <v>29</v>
      </c>
    </row>
    <row r="21" spans="14:18" x14ac:dyDescent="0.25">
      <c r="N21" t="s">
        <v>30</v>
      </c>
    </row>
    <row r="24" spans="14:18" x14ac:dyDescent="0.25">
      <c r="N24" t="s">
        <v>28</v>
      </c>
      <c r="O24">
        <v>2</v>
      </c>
      <c r="P24">
        <v>3</v>
      </c>
      <c r="Q24">
        <v>5</v>
      </c>
      <c r="R24">
        <v>5</v>
      </c>
    </row>
    <row r="31" spans="14:18" x14ac:dyDescent="0.25">
      <c r="N31" t="s">
        <v>31</v>
      </c>
      <c r="Q31">
        <v>8</v>
      </c>
      <c r="R31">
        <v>8</v>
      </c>
    </row>
    <row r="32" spans="14:18" x14ac:dyDescent="0.25">
      <c r="N32" t="s">
        <v>32</v>
      </c>
    </row>
    <row r="43" spans="14:18" x14ac:dyDescent="0.25">
      <c r="Q43">
        <v>8</v>
      </c>
      <c r="R43">
        <v>8</v>
      </c>
    </row>
    <row r="44" spans="14:18" x14ac:dyDescent="0.25">
      <c r="N44" t="s">
        <v>33</v>
      </c>
    </row>
    <row r="45" spans="14:18" x14ac:dyDescent="0.25">
      <c r="N45" t="s">
        <v>34</v>
      </c>
    </row>
    <row r="58" spans="14:14" x14ac:dyDescent="0.25">
      <c r="N58" t="s">
        <v>35</v>
      </c>
    </row>
    <row r="60" spans="14:14" x14ac:dyDescent="0.25">
      <c r="N60" t="s">
        <v>36</v>
      </c>
    </row>
    <row r="75" spans="14:18" x14ac:dyDescent="0.25">
      <c r="O75" t="s">
        <v>37</v>
      </c>
    </row>
    <row r="76" spans="14:18" x14ac:dyDescent="0.25">
      <c r="N76" t="s">
        <v>38</v>
      </c>
      <c r="Q76">
        <v>5</v>
      </c>
      <c r="R76">
        <v>8</v>
      </c>
    </row>
    <row r="77" spans="14:18" x14ac:dyDescent="0.25">
      <c r="N77" t="s">
        <v>39</v>
      </c>
    </row>
    <row r="78" spans="14:18" x14ac:dyDescent="0.25">
      <c r="N78" t="s">
        <v>40</v>
      </c>
    </row>
    <row r="79" spans="14:18" x14ac:dyDescent="0.25">
      <c r="N79" t="s">
        <v>41</v>
      </c>
    </row>
    <row r="98" spans="14:18" x14ac:dyDescent="0.25">
      <c r="Q98">
        <v>8</v>
      </c>
      <c r="R98">
        <v>13</v>
      </c>
    </row>
    <row r="99" spans="14:18" x14ac:dyDescent="0.25">
      <c r="N99" t="s">
        <v>42</v>
      </c>
      <c r="R99" t="s">
        <v>37</v>
      </c>
    </row>
    <row r="100" spans="14:18" x14ac:dyDescent="0.25">
      <c r="N100" t="s">
        <v>43</v>
      </c>
    </row>
    <row r="112" spans="14:18" x14ac:dyDescent="0.25">
      <c r="N112" t="s">
        <v>44</v>
      </c>
      <c r="Q112">
        <v>8</v>
      </c>
      <c r="R112">
        <v>13</v>
      </c>
    </row>
    <row r="113" spans="14:14" x14ac:dyDescent="0.25">
      <c r="N113" t="s">
        <v>45</v>
      </c>
    </row>
    <row r="114" spans="14:14" x14ac:dyDescent="0.25">
      <c r="N114" t="s">
        <v>46</v>
      </c>
    </row>
    <row r="144" spans="14:18" x14ac:dyDescent="0.25">
      <c r="N144" t="s">
        <v>47</v>
      </c>
      <c r="Q144">
        <v>0</v>
      </c>
      <c r="R144">
        <v>0</v>
      </c>
    </row>
    <row r="155" spans="14:18" x14ac:dyDescent="0.25">
      <c r="N155" t="s">
        <v>48</v>
      </c>
    </row>
    <row r="156" spans="14:18" x14ac:dyDescent="0.25">
      <c r="N156" t="s">
        <v>49</v>
      </c>
    </row>
    <row r="157" spans="14:18" x14ac:dyDescent="0.25">
      <c r="N157" t="s">
        <v>50</v>
      </c>
      <c r="Q157">
        <v>5</v>
      </c>
      <c r="R157">
        <v>8</v>
      </c>
    </row>
    <row r="170" spans="14:18" x14ac:dyDescent="0.25">
      <c r="N170" t="s">
        <v>51</v>
      </c>
      <c r="Q170">
        <v>8</v>
      </c>
      <c r="R170">
        <v>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43038-A824-4116-BFE4-C277A8CD93D7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1ffbd5dc-7a64-4097-8396-87f6c90b212f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83DBDE8-A7EC-46E1-8EDE-DD94F10930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449546-DFD2-48A3-A6F2-266DD5F6811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0339D42-47BE-4688-B5EA-E6B90EA75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2025-06-24T13:45:35Z</dcterms:created>
  <dcterms:modified xsi:type="dcterms:W3CDTF">2025-11-12T06:58:14Z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0x010100B16301FA1C2D5E4DB9305F31D037531D0207030047E0126EE26B68468E30FEE8ADFBCCCC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