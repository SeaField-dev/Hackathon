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Sales Documents/Salesforce/Renters Rights Bill/"/>
    </mc:Choice>
  </mc:AlternateContent>
  <xr:revisionPtr revIDLastSave="818" documentId="8_{1A3F7ABC-7AA7-43EB-BB8F-B4669DCBA890}" xr6:coauthVersionLast="47" xr6:coauthVersionMax="47" xr10:uidLastSave="{7C31FFBB-4C2A-47CC-9404-A86AD3AE1369}"/>
  <bookViews>
    <workbookView xWindow="28680" yWindow="-120" windowWidth="29040" windowHeight="15720" tabRatio="699" xr2:uid="{82DBA3FB-BAAE-4513-8EBD-08C2C1522918}"/>
  </bookViews>
  <sheets>
    <sheet name="SOW" sheetId="6" r:id="rId1"/>
    <sheet name="Detail" sheetId="2" r:id="rId2"/>
    <sheet name="Burnup" sheetId="3" r:id="rId3"/>
    <sheet name="Post Sprint 0 Cost Summary" sheetId="1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6" l="1"/>
  <c r="B11" i="6"/>
  <c r="H9" i="6"/>
  <c r="H7" i="6"/>
  <c r="I7" i="6"/>
  <c r="I8" i="6"/>
  <c r="H8" i="6"/>
  <c r="B19" i="2"/>
  <c r="B18" i="2"/>
  <c r="B17" i="2"/>
  <c r="B2" i="6"/>
  <c r="I9" i="6"/>
  <c r="I6" i="6"/>
  <c r="H6" i="6"/>
  <c r="F14" i="6"/>
  <c r="B1" i="11"/>
  <c r="G14" i="6"/>
  <c r="B4" i="11"/>
  <c r="B3" i="11"/>
  <c r="G10" i="11"/>
  <c r="F10" i="11"/>
  <c r="C26" i="2"/>
  <c r="C28" i="2"/>
  <c r="O13" i="2"/>
  <c r="J4" i="2"/>
  <c r="I4" i="2"/>
  <c r="H4" i="2"/>
  <c r="G4" i="2"/>
  <c r="F4" i="2"/>
  <c r="F7" i="2"/>
  <c r="G7" i="2"/>
  <c r="H7" i="2" s="1"/>
  <c r="I7" i="2" s="1"/>
  <c r="J7" i="2" s="1"/>
  <c r="K7" i="2" s="1"/>
  <c r="L7" i="2" s="1"/>
  <c r="M7" i="2" s="1"/>
  <c r="N7" i="2" s="1"/>
  <c r="O7" i="2" s="1"/>
  <c r="P7" i="2" s="1"/>
  <c r="Q7" i="2" s="1"/>
  <c r="R7" i="2" s="1"/>
  <c r="S7" i="2" s="1"/>
  <c r="T7" i="2" s="1"/>
  <c r="U7" i="2" s="1"/>
  <c r="V7" i="2" s="1"/>
  <c r="W7" i="2" s="1"/>
  <c r="X7" i="2" s="1"/>
  <c r="Y7" i="2" s="1"/>
  <c r="Z7" i="2" s="1"/>
  <c r="AA7" i="2" s="1"/>
  <c r="AB7" i="2" s="1"/>
  <c r="AC7" i="2" s="1"/>
  <c r="AD7" i="2" s="1"/>
  <c r="AE7" i="2" s="1"/>
  <c r="AF7" i="2" s="1"/>
  <c r="AG7" i="2" s="1"/>
  <c r="AH7" i="2" s="1"/>
  <c r="AI7" i="2" s="1"/>
  <c r="AJ7" i="2" s="1"/>
  <c r="AK7" i="2" s="1"/>
  <c r="AL7" i="2" s="1"/>
  <c r="AC4" i="2"/>
  <c r="AD4" i="2"/>
  <c r="AE4" i="2"/>
  <c r="AF4" i="2"/>
  <c r="AG4" i="2"/>
  <c r="AH4" i="2"/>
  <c r="AI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AJ4" i="2"/>
  <c r="AK4" i="2"/>
  <c r="AL4" i="2"/>
  <c r="F8" i="2"/>
  <c r="G8" i="2" s="1"/>
  <c r="H8" i="2" s="1"/>
  <c r="I8" i="2" s="1"/>
  <c r="J8" i="2" s="1"/>
  <c r="K8" i="2" s="1"/>
  <c r="L8" i="2" s="1"/>
  <c r="M8" i="2" s="1"/>
  <c r="N8" i="2" s="1"/>
  <c r="O8" i="2" s="1"/>
  <c r="P8" i="2" s="1"/>
  <c r="Q8" i="2" s="1"/>
  <c r="R8" i="2" s="1"/>
  <c r="S8" i="2" s="1"/>
  <c r="T8" i="2" s="1"/>
  <c r="U8" i="2" s="1"/>
  <c r="V8" i="2" s="1"/>
  <c r="W8" i="2" s="1"/>
  <c r="X8" i="2" s="1"/>
  <c r="Y8" i="2" s="1"/>
  <c r="Z8" i="2" s="1"/>
  <c r="AA8" i="2" s="1"/>
  <c r="AB8" i="2" s="1"/>
  <c r="AC8" i="2" s="1"/>
  <c r="AD8" i="2" s="1"/>
  <c r="AE8" i="2" s="1"/>
  <c r="AF8" i="2" s="1"/>
  <c r="AG8" i="2" s="1"/>
  <c r="AH8" i="2" s="1"/>
  <c r="AI8" i="2" s="1"/>
  <c r="AJ8" i="2" s="1"/>
  <c r="AK8" i="2" s="1"/>
  <c r="AL8" i="2" s="1"/>
  <c r="F9" i="2"/>
  <c r="G9" i="2" s="1"/>
  <c r="H9" i="2" s="1"/>
  <c r="I9" i="2" s="1"/>
  <c r="J9" i="2" s="1"/>
  <c r="K9" i="2" s="1"/>
  <c r="L9" i="2" s="1"/>
  <c r="M9" i="2" s="1"/>
  <c r="N9" i="2" s="1"/>
  <c r="O9" i="2" s="1"/>
  <c r="P9" i="2" s="1"/>
  <c r="Q9" i="2" s="1"/>
  <c r="R9" i="2" s="1"/>
  <c r="S9" i="2" s="1"/>
  <c r="T9" i="2" s="1"/>
  <c r="U9" i="2" s="1"/>
  <c r="V9" i="2" s="1"/>
  <c r="W9" i="2" s="1"/>
  <c r="X9" i="2" s="1"/>
  <c r="Y9" i="2" s="1"/>
  <c r="Z9" i="2" s="1"/>
  <c r="AA9" i="2" s="1"/>
  <c r="AB9" i="2" s="1"/>
  <c r="AC9" i="2" s="1"/>
  <c r="AD9" i="2" s="1"/>
  <c r="AE9" i="2" s="1"/>
  <c r="AF9" i="2" s="1"/>
  <c r="AG9" i="2" s="1"/>
  <c r="AH9" i="2" s="1"/>
  <c r="AI9" i="2" s="1"/>
  <c r="AJ9" i="2" s="1"/>
  <c r="AK9" i="2" s="1"/>
  <c r="AL9" i="2" s="1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F13" i="2"/>
  <c r="G13" i="2"/>
  <c r="H13" i="2"/>
  <c r="I13" i="2"/>
  <c r="J13" i="2"/>
  <c r="K13" i="2"/>
  <c r="L13" i="2"/>
  <c r="M13" i="2"/>
  <c r="N13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3" i="2"/>
  <c r="AD14" i="2"/>
  <c r="AE13" i="2"/>
  <c r="AF13" i="2"/>
  <c r="AG13" i="2"/>
  <c r="AH13" i="2"/>
  <c r="AI13" i="2"/>
  <c r="AJ13" i="2"/>
  <c r="AK13" i="2"/>
  <c r="AL13" i="2"/>
  <c r="AE14" i="2"/>
  <c r="AF14" i="2"/>
  <c r="AG14" i="2"/>
  <c r="AH14" i="2"/>
  <c r="AI14" i="2"/>
  <c r="AJ14" i="2"/>
  <c r="AK14" i="2"/>
  <c r="AL14" i="2"/>
  <c r="F14" i="2"/>
  <c r="G14" i="2"/>
  <c r="H14" i="2"/>
  <c r="I14" i="2"/>
  <c r="J14" i="2"/>
  <c r="K14" i="2"/>
  <c r="L14" i="2"/>
  <c r="M14" i="2"/>
  <c r="I14" i="6" l="1"/>
  <c r="H14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EAEC71-99D6-45F0-B5F6-7CA824947569}" keepAlive="1" name="Query - Reporting Backlog Items" description="Connection to the 'Reporting Backlog Items' query in the workbook." type="5" refreshedVersion="7" background="1" saveData="1">
    <dbPr connection="Provider=Microsoft.Mashup.OleDb.1;Data Source=$Workbook$;Location=&quot;Reporting Backlog Items&quot;;Extended Properties=&quot;&quot;" command="SELECT * FROM [Reporting Backlog Items]"/>
  </connection>
</connections>
</file>

<file path=xl/sharedStrings.xml><?xml version="1.0" encoding="utf-8"?>
<sst xmlns="http://schemas.openxmlformats.org/spreadsheetml/2006/main" count="98" uniqueCount="91">
  <si>
    <t>Rates as per template</t>
  </si>
  <si>
    <t>Cost per sprint</t>
  </si>
  <si>
    <t>Day Rate</t>
  </si>
  <si>
    <t>Hour Rate</t>
  </si>
  <si>
    <t>Phase</t>
  </si>
  <si>
    <t>Duration (weeks)</t>
  </si>
  <si>
    <t>Min Hours</t>
  </si>
  <si>
    <t>Max hours</t>
  </si>
  <si>
    <t>Lower Bound Cost Rates</t>
  </si>
  <si>
    <t>Upper Bound Rates</t>
  </si>
  <si>
    <t>Sprint 0</t>
  </si>
  <si>
    <t>Release 1: 1 - 2 Sprints</t>
  </si>
  <si>
    <t>3-6</t>
  </si>
  <si>
    <t>Final UAT</t>
  </si>
  <si>
    <t>2 weeks Post Go-Live Support </t>
  </si>
  <si>
    <t>Sprint Team FTEs</t>
  </si>
  <si>
    <t>Est Vel</t>
  </si>
  <si>
    <t>Story Points</t>
  </si>
  <si>
    <t>Est Sprints</t>
  </si>
  <si>
    <t>Total Cost for RRB</t>
  </si>
  <si>
    <t>Sprint 1</t>
  </si>
  <si>
    <t xml:space="preserve">Sprint 2 </t>
  </si>
  <si>
    <t>Sprint 3</t>
  </si>
  <si>
    <t>Sprint 4</t>
  </si>
  <si>
    <t>Sprint 5</t>
  </si>
  <si>
    <t>Sprint 6</t>
  </si>
  <si>
    <t>Sprint 7</t>
  </si>
  <si>
    <t>Sprint 8</t>
  </si>
  <si>
    <t>Sprint 9</t>
  </si>
  <si>
    <t>Sprint 10</t>
  </si>
  <si>
    <t>Sprint 11</t>
  </si>
  <si>
    <t>Sprint 12</t>
  </si>
  <si>
    <t>Sprint 13</t>
  </si>
  <si>
    <t>Sprint 14</t>
  </si>
  <si>
    <t>Sprint 15</t>
  </si>
  <si>
    <t>Sprint 16</t>
  </si>
  <si>
    <t>Sprint 17</t>
  </si>
  <si>
    <t>Sprint 18</t>
  </si>
  <si>
    <t>Sprint 19</t>
  </si>
  <si>
    <t>Sprint 20</t>
  </si>
  <si>
    <t>Sprint 21</t>
  </si>
  <si>
    <t>Sprint 22</t>
  </si>
  <si>
    <t>Sprint 23</t>
  </si>
  <si>
    <t>Sprint 24</t>
  </si>
  <si>
    <t>Sprint 25</t>
  </si>
  <si>
    <t>Sprint 26</t>
  </si>
  <si>
    <t>Sprint 27</t>
  </si>
  <si>
    <t>Sprint 28</t>
  </si>
  <si>
    <t>Sprint 29</t>
  </si>
  <si>
    <t>Sprint 30</t>
  </si>
  <si>
    <t>Sprint 31</t>
  </si>
  <si>
    <t>Sprint 32</t>
  </si>
  <si>
    <t>Sprint 33</t>
  </si>
  <si>
    <t>Scheduling</t>
  </si>
  <si>
    <t>Velocity</t>
  </si>
  <si>
    <t xml:space="preserve">Total Velocity Done </t>
  </si>
  <si>
    <t>Total Backlog Size</t>
  </si>
  <si>
    <t>For Bars</t>
  </si>
  <si>
    <t>Optimistic Forecast</t>
  </si>
  <si>
    <t>Likely Forecast</t>
  </si>
  <si>
    <t>Pessimistic Forecast</t>
  </si>
  <si>
    <t>For T&amp;M</t>
  </si>
  <si>
    <t>Costing</t>
  </si>
  <si>
    <t>Team Sprint Cost (Actual)</t>
  </si>
  <si>
    <t>Cumulative Team Cost (Actual)</t>
  </si>
  <si>
    <t>Cumulative Team Cost (Forecast)</t>
  </si>
  <si>
    <t>Team Metrics</t>
  </si>
  <si>
    <t>Optimistic Velocity ( Best Velocity in last 3 sprints)</t>
  </si>
  <si>
    <t>Likely Velocity (Avg Velocity over last 3 sprints)</t>
  </si>
  <si>
    <t>Pessimistic Velocity (Worst Velocity in last 3 sprints)</t>
  </si>
  <si>
    <t>Team Composition</t>
  </si>
  <si>
    <t>Hourly Rate</t>
  </si>
  <si>
    <t>Allocation</t>
  </si>
  <si>
    <t>Cost Per Sprint</t>
  </si>
  <si>
    <t>Team cost / sprint</t>
  </si>
  <si>
    <t>Dev Senior</t>
  </si>
  <si>
    <t>Dev Junior</t>
  </si>
  <si>
    <t>QA</t>
  </si>
  <si>
    <t>BA</t>
  </si>
  <si>
    <t>PM</t>
  </si>
  <si>
    <t>Total FTEs</t>
  </si>
  <si>
    <t>FTE Rate</t>
  </si>
  <si>
    <t>Lower Bound</t>
  </si>
  <si>
    <t>Upper Bound</t>
  </si>
  <si>
    <t>Release 1: 2 - 3 Sprints</t>
  </si>
  <si>
    <t>UAT</t>
  </si>
  <si>
    <t>Production Deployment &amp; Post Go-Live Support </t>
  </si>
  <si>
    <t>User guide creation</t>
  </si>
  <si>
    <t>Done in parallel with sprints </t>
  </si>
  <si>
    <t>Total Cost for Foundational Changes and Release 1</t>
  </si>
  <si>
    <t>13 - 16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</si>
</sst>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"/>
  </numFmts>
  <fonts count="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4A442A"/>
      <name val="Verdana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164" fontId="0" fillId="0" borderId="0" xfId="0" applyNumberFormat="1" applyAlignment="1">
      <alignment wrapText="1"/>
    </xf>
    <xf numFmtId="0" fontId="2" fillId="0" borderId="0" xfId="0" applyFont="1"/>
    <xf numFmtId="9" fontId="0" fillId="0" borderId="0" xfId="1" applyFont="1" applyAlignment="1">
      <alignment wrapText="1"/>
    </xf>
    <xf numFmtId="164" fontId="2" fillId="0" borderId="0" xfId="0" applyNumberFormat="1" applyFont="1" applyAlignment="1">
      <alignment wrapText="1"/>
    </xf>
    <xf numFmtId="164" fontId="0" fillId="0" borderId="0" xfId="0" applyNumberFormat="1"/>
    <xf numFmtId="0" fontId="0" fillId="3" borderId="0" xfId="0" applyFill="1"/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/>
    <xf numFmtId="164" fontId="2" fillId="0" borderId="2" xfId="0" applyNumberFormat="1" applyFont="1" applyBorder="1"/>
    <xf numFmtId="0" fontId="2" fillId="2" borderId="1" xfId="0" applyFont="1" applyFill="1" applyBorder="1"/>
    <xf numFmtId="164" fontId="2" fillId="0" borderId="0" xfId="0" applyNumberFormat="1" applyFont="1"/>
    <xf numFmtId="2" fontId="2" fillId="0" borderId="0" xfId="1" applyNumberFormat="1" applyFont="1" applyAlignment="1">
      <alignment wrapText="1"/>
    </xf>
    <xf numFmtId="164" fontId="0" fillId="0" borderId="3" xfId="0" applyNumberFormat="1" applyBorder="1"/>
    <xf numFmtId="49" fontId="0" fillId="0" borderId="1" xfId="0" applyNumberFormat="1" applyBorder="1"/>
    <xf numFmtId="49" fontId="2" fillId="0" borderId="1" xfId="0" applyNumberFormat="1" applyFont="1" applyBorder="1"/>
    <xf numFmtId="2" fontId="0" fillId="0" borderId="0" xfId="0" applyNumberFormat="1" applyAlignment="1">
      <alignment wrapText="1"/>
    </xf>
    <xf numFmtId="49" fontId="0" fillId="0" borderId="3" xfId="0" applyNumberFormat="1" applyBorder="1"/>
    <xf numFmtId="0" fontId="4" fillId="0" borderId="1" xfId="0" applyFont="1" applyBorder="1"/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right"/>
    </xf>
    <xf numFmtId="16" fontId="0" fillId="0" borderId="1" xfId="0" quotePrefix="1" applyNumberFormat="1" applyBorder="1" applyAlignment="1">
      <alignment horizontal="right"/>
    </xf>
  </cellXfs>
  <cellStyles count="2">
    <cellStyle name="Normal" xfId="0" builtinId="0"/>
    <cellStyle name="Per cent" xfId="1" builtinId="5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5674045096711023E-2"/>
          <c:y val="2.1348713816517997E-2"/>
          <c:w val="0.96380553348262643"/>
          <c:h val="0.91117110260924428"/>
        </c:manualLayout>
      </c:layout>
      <c:lineChart>
        <c:grouping val="standard"/>
        <c:varyColors val="0"/>
        <c:ser>
          <c:idx val="5"/>
          <c:order val="0"/>
          <c:tx>
            <c:strRef>
              <c:f>Detail!$B$5</c:f>
              <c:strCache>
                <c:ptCount val="1"/>
                <c:pt idx="0">
                  <c:v>Total Backlog Size</c:v>
                </c:pt>
              </c:strCache>
            </c:strRef>
          </c:tx>
          <c:marker>
            <c:symbol val="none"/>
          </c:marker>
          <c:cat>
            <c:strRef>
              <c:f>Detail!$E$1:$O$1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Detail!$E$5:$O$5</c:f>
              <c:numCache>
                <c:formatCode>General</c:formatCode>
                <c:ptCount val="11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B9C-4C93-9AED-AC7BA0509009}"/>
            </c:ext>
          </c:extLst>
        </c:ser>
        <c:ser>
          <c:idx val="6"/>
          <c:order val="1"/>
          <c:tx>
            <c:strRef>
              <c:f>Detail!$B$8</c:f>
              <c:strCache>
                <c:ptCount val="1"/>
                <c:pt idx="0">
                  <c:v>Likely Forecast</c:v>
                </c:pt>
              </c:strCache>
            </c:strRef>
          </c:tx>
          <c:spPr>
            <a:ln>
              <a:solidFill>
                <a:schemeClr val="accent5"/>
              </a:solidFill>
              <a:prstDash val="sysDash"/>
            </a:ln>
          </c:spPr>
          <c:marker>
            <c:symbol val="none"/>
          </c:marker>
          <c:cat>
            <c:strRef>
              <c:f>Detail!$E$1:$O$1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Detail!$E$8:$O$8</c:f>
              <c:numCache>
                <c:formatCode>General</c:formatCode>
                <c:ptCount val="11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B9C-4C93-9AED-AC7BA0509009}"/>
            </c:ext>
          </c:extLst>
        </c:ser>
        <c:ser>
          <c:idx val="7"/>
          <c:order val="2"/>
          <c:tx>
            <c:strRef>
              <c:f>Detail!$B$7</c:f>
              <c:strCache>
                <c:ptCount val="1"/>
                <c:pt idx="0">
                  <c:v>Optimistic Forecast</c:v>
                </c:pt>
              </c:strCache>
            </c:strRef>
          </c:tx>
          <c:spPr>
            <a:ln>
              <a:solidFill>
                <a:schemeClr val="accent6"/>
              </a:solidFill>
              <a:prstDash val="sysDash"/>
            </a:ln>
          </c:spPr>
          <c:marker>
            <c:symbol val="none"/>
          </c:marker>
          <c:cat>
            <c:strRef>
              <c:f>Detail!$E$1:$O$1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Detail!$E$7:$O$7</c:f>
              <c:numCache>
                <c:formatCode>General</c:formatCode>
                <c:ptCount val="11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B9C-4C93-9AED-AC7BA0509009}"/>
            </c:ext>
          </c:extLst>
        </c:ser>
        <c:ser>
          <c:idx val="8"/>
          <c:order val="3"/>
          <c:tx>
            <c:strRef>
              <c:f>Detail!$B$9</c:f>
              <c:strCache>
                <c:ptCount val="1"/>
                <c:pt idx="0">
                  <c:v>Pessimistic Forecast</c:v>
                </c:pt>
              </c:strCache>
            </c:strRef>
          </c:tx>
          <c:spPr>
            <a:ln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strRef>
              <c:f>Detail!$E$1:$O$1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Detail!$E$9:$O$9</c:f>
              <c:numCache>
                <c:formatCode>General</c:formatCode>
                <c:ptCount val="11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B9C-4C93-9AED-AC7BA0509009}"/>
            </c:ext>
          </c:extLst>
        </c:ser>
        <c:ser>
          <c:idx val="9"/>
          <c:order val="4"/>
          <c:tx>
            <c:strRef>
              <c:f>Detail!$B$4</c:f>
              <c:strCache>
                <c:ptCount val="1"/>
                <c:pt idx="0">
                  <c:v>Total Velocity Done 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Detail!$E$1:$O$1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Detail!$E$4:$O$4</c:f>
              <c:numCache>
                <c:formatCode>General</c:formatCode>
                <c:ptCount val="11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B9C-4C93-9AED-AC7BA0509009}"/>
            </c:ext>
          </c:extLst>
        </c:ser>
        <c:ser>
          <c:idx val="0"/>
          <c:order val="5"/>
          <c:tx>
            <c:strRef>
              <c:f>Detail!$B$5</c:f>
              <c:strCache>
                <c:ptCount val="1"/>
                <c:pt idx="0">
                  <c:v>Total Backlog Size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Detail!$E$1:$O$1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Detail!$E$5:$O$5</c:f>
              <c:numCache>
                <c:formatCode>General</c:formatCode>
                <c:ptCount val="11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9C-4C93-9AED-AC7BA0509009}"/>
            </c:ext>
          </c:extLst>
        </c:ser>
        <c:ser>
          <c:idx val="1"/>
          <c:order val="6"/>
          <c:tx>
            <c:strRef>
              <c:f>Detail!$B$8</c:f>
              <c:strCache>
                <c:ptCount val="1"/>
                <c:pt idx="0">
                  <c:v>Likely Forecast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Detail!$E$1:$O$1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Detail!$E$8:$O$8</c:f>
              <c:numCache>
                <c:formatCode>General</c:formatCode>
                <c:ptCount val="11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B9C-4C93-9AED-AC7BA0509009}"/>
            </c:ext>
          </c:extLst>
        </c:ser>
        <c:ser>
          <c:idx val="3"/>
          <c:order val="7"/>
          <c:tx>
            <c:strRef>
              <c:f>Detail!$B$7</c:f>
              <c:strCache>
                <c:ptCount val="1"/>
                <c:pt idx="0">
                  <c:v>Optimistic Forecast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Detail!$E$1:$O$1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Detail!$E$7:$O$7</c:f>
              <c:numCache>
                <c:formatCode>General</c:formatCode>
                <c:ptCount val="11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B9C-4C93-9AED-AC7BA0509009}"/>
            </c:ext>
          </c:extLst>
        </c:ser>
        <c:ser>
          <c:idx val="4"/>
          <c:order val="8"/>
          <c:tx>
            <c:strRef>
              <c:f>Detail!$B$9</c:f>
              <c:strCache>
                <c:ptCount val="1"/>
                <c:pt idx="0">
                  <c:v>Pessimistic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Detail!$E$1:$O$1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Detail!$E$9:$O$9</c:f>
              <c:numCache>
                <c:formatCode>General</c:formatCode>
                <c:ptCount val="11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B9C-4C93-9AED-AC7BA0509009}"/>
            </c:ext>
          </c:extLst>
        </c:ser>
        <c:ser>
          <c:idx val="2"/>
          <c:order val="9"/>
          <c:tx>
            <c:strRef>
              <c:f>Detail!$B$4</c:f>
              <c:strCache>
                <c:ptCount val="1"/>
                <c:pt idx="0">
                  <c:v>Total Velocity Done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Detail!$E$1:$O$1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Detail!$E$4:$O$4</c:f>
              <c:numCache>
                <c:formatCode>General</c:formatCode>
                <c:ptCount val="11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B9C-4C93-9AED-AC7BA0509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8162160"/>
        <c:axId val="1198162992"/>
      </c:lineChart>
      <c:catAx>
        <c:axId val="119816216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162992"/>
        <c:crosses val="autoZero"/>
        <c:auto val="1"/>
        <c:lblAlgn val="ctr"/>
        <c:lblOffset val="100"/>
        <c:noMultiLvlLbl val="0"/>
      </c:catAx>
      <c:valAx>
        <c:axId val="119816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16216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3.1508957645854381E-2"/>
          <c:y val="2.0291305597572275E-2"/>
          <c:w val="0.14326835292377443"/>
          <c:h val="0.1344488188976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99059</xdr:colOff>
      <xdr:row>0</xdr:row>
      <xdr:rowOff>114300</xdr:rowOff>
    </xdr:from>
    <xdr:to>
      <xdr:col>14</xdr:col>
      <xdr:colOff>0</xdr:colOff>
      <xdr:row>28</xdr:row>
      <xdr:rowOff>83820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F243A69-66CB-F2CC-7DFC-C845B2328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0.2249</cdr:x>
      <cdr:y>0.06183</cdr:y>
    </cdr:from>
    <cdr:to>
      <cdr:x>0.22596</cdr:x>
      <cdr:y>0.93117</cdr:y>
    </cdr:to>
    <cdr:cxnSp macro="">
      <cdr:nvCxnSpPr>
        <cdr:cNvPr id="11" name="Straight Connector 10">
          <a:extLst xmlns:a="http://schemas.openxmlformats.org/drawingml/2006/main">
            <a:ext uri="{FF2B5EF4-FFF2-40B4-BE49-F238E27FC236}">
              <a16:creationId xmlns:a16="http://schemas.microsoft.com/office/drawing/2014/main" id="{18748E7C-8901-4143-B498-2ED99C44012B}"/>
            </a:ext>
          </a:extLst>
        </cdr:cNvPr>
        <cdr:cNvCxnSpPr/>
      </cdr:nvCxnSpPr>
      <cdr:spPr>
        <a:xfrm xmlns:a="http://schemas.openxmlformats.org/drawingml/2006/main">
          <a:off x="2018077" y="308517"/>
          <a:ext cx="9511" cy="4337793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accent5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0.24607</cdr:x>
      <cdr:y>0.06246</cdr:y>
    </cdr:from>
    <cdr:to>
      <cdr:x>0.24751</cdr:x>
      <cdr:y>0.93408</cdr:y>
    </cdr:to>
    <cdr:cxnSp macro="">
      <cdr:nvCxnSpPr>
        <cdr:cNvPr id="12" name="Straight Connector 11">
          <a:extLst xmlns:a="http://schemas.openxmlformats.org/drawingml/2006/main">
            <a:ext uri="{FF2B5EF4-FFF2-40B4-BE49-F238E27FC236}">
              <a16:creationId xmlns:a16="http://schemas.microsoft.com/office/drawing/2014/main" id="{1250AF6A-E28D-4154-9987-66E25F1395BD}"/>
            </a:ext>
          </a:extLst>
        </cdr:cNvPr>
        <cdr:cNvCxnSpPr/>
      </cdr:nvCxnSpPr>
      <cdr:spPr>
        <a:xfrm xmlns:a="http://schemas.openxmlformats.org/drawingml/2006/main">
          <a:off x="2208058" y="311643"/>
          <a:ext cx="12921" cy="4349170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accent2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0.16152</cdr:x>
      <cdr:y>0.05813</cdr:y>
    </cdr:from>
    <cdr:to>
      <cdr:x>0.16152</cdr:x>
      <cdr:y>0.93067</cdr:y>
    </cdr:to>
    <cdr:cxnSp macro="">
      <cdr:nvCxnSpPr>
        <cdr:cNvPr id="13" name="Straight Connector 12">
          <a:extLst xmlns:a="http://schemas.openxmlformats.org/drawingml/2006/main">
            <a:ext uri="{FF2B5EF4-FFF2-40B4-BE49-F238E27FC236}">
              <a16:creationId xmlns:a16="http://schemas.microsoft.com/office/drawing/2014/main" id="{FDF20E0A-0D77-4C5D-9DFC-FBE32E5728CB}"/>
            </a:ext>
          </a:extLst>
        </cdr:cNvPr>
        <cdr:cNvCxnSpPr/>
      </cdr:nvCxnSpPr>
      <cdr:spPr>
        <a:xfrm xmlns:a="http://schemas.openxmlformats.org/drawingml/2006/main">
          <a:off x="1449341" y="290054"/>
          <a:ext cx="0" cy="4353761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accent6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45C31-82AF-4E79-8650-807BDC491094}">
  <dimension ref="A1:J17"/>
  <sheetViews>
    <sheetView tabSelected="1" workbookViewId="0">
      <selection activeCell="D20" sqref="D20"/>
    </sheetView>
  </sheetViews>
  <sheetFormatPr defaultColWidth="8.7109375" defaultRowHeight="15"/>
  <cols>
    <col min="1" max="1" width="19.42578125" customWidth="1"/>
    <col min="2" max="2" width="10" bestFit="1" customWidth="1"/>
    <col min="3" max="3" width="4.7109375" customWidth="1"/>
    <col min="4" max="4" width="50.140625" bestFit="1" customWidth="1"/>
    <col min="5" max="5" width="24.28515625" bestFit="1" customWidth="1"/>
    <col min="6" max="6" width="16" hidden="1" customWidth="1"/>
    <col min="7" max="7" width="22.85546875" hidden="1" customWidth="1"/>
    <col min="8" max="8" width="26.7109375" customWidth="1"/>
    <col min="9" max="9" width="32.7109375" customWidth="1"/>
    <col min="10" max="10" width="47.42578125" bestFit="1" customWidth="1"/>
  </cols>
  <sheetData>
    <row r="1" spans="1:10">
      <c r="A1" s="4" t="s">
        <v>0</v>
      </c>
    </row>
    <row r="2" spans="1:10">
      <c r="A2" t="s">
        <v>1</v>
      </c>
      <c r="B2" s="6">
        <f>(B3*15*B10)</f>
        <v>23400</v>
      </c>
      <c r="C2" s="6"/>
      <c r="D2" s="7"/>
      <c r="E2" s="7"/>
      <c r="F2" s="7"/>
      <c r="G2" s="7"/>
      <c r="H2" s="7"/>
    </row>
    <row r="3" spans="1:10">
      <c r="A3" t="s">
        <v>2</v>
      </c>
      <c r="B3" s="3">
        <v>780</v>
      </c>
      <c r="C3" s="3"/>
    </row>
    <row r="4" spans="1:10">
      <c r="A4" t="s">
        <v>3</v>
      </c>
      <c r="B4" s="3">
        <v>97.5</v>
      </c>
      <c r="C4" s="3"/>
    </row>
    <row r="5" spans="1:10">
      <c r="B5" s="7"/>
      <c r="C5" s="7"/>
      <c r="D5" s="13" t="s">
        <v>4</v>
      </c>
      <c r="E5" s="13" t="s">
        <v>5</v>
      </c>
      <c r="F5" s="13" t="s">
        <v>6</v>
      </c>
      <c r="G5" s="13" t="s">
        <v>7</v>
      </c>
      <c r="H5" s="13" t="s">
        <v>8</v>
      </c>
      <c r="I5" s="13" t="s">
        <v>9</v>
      </c>
    </row>
    <row r="6" spans="1:10">
      <c r="B6" s="3"/>
      <c r="D6" s="9" t="s">
        <v>10</v>
      </c>
      <c r="E6" s="9">
        <v>3</v>
      </c>
      <c r="F6" s="21">
        <v>10</v>
      </c>
      <c r="G6" s="21">
        <v>15</v>
      </c>
      <c r="H6" s="10">
        <f>F6*B4</f>
        <v>975</v>
      </c>
      <c r="I6" s="10">
        <f>G6*B4</f>
        <v>1462.5</v>
      </c>
    </row>
    <row r="7" spans="1:10">
      <c r="B7" s="3"/>
      <c r="D7" s="9" t="s">
        <v>11</v>
      </c>
      <c r="E7" s="24" t="s">
        <v>12</v>
      </c>
      <c r="F7" s="21">
        <v>1</v>
      </c>
      <c r="G7" s="21">
        <v>2</v>
      </c>
      <c r="H7" s="10">
        <f>F7*B2</f>
        <v>23400</v>
      </c>
      <c r="I7" s="10">
        <f>G7*B2</f>
        <v>46800</v>
      </c>
      <c r="J7" s="7"/>
    </row>
    <row r="8" spans="1:10">
      <c r="B8" s="3"/>
      <c r="D8" s="9" t="s">
        <v>13</v>
      </c>
      <c r="E8" s="23">
        <v>2</v>
      </c>
      <c r="F8" s="21">
        <v>40</v>
      </c>
      <c r="G8" s="21">
        <v>60</v>
      </c>
      <c r="H8" s="10">
        <f>F8*$B$4</f>
        <v>3900</v>
      </c>
      <c r="I8" s="10">
        <f>G8*$B$4</f>
        <v>5850</v>
      </c>
    </row>
    <row r="9" spans="1:10">
      <c r="D9" s="9" t="s">
        <v>14</v>
      </c>
      <c r="E9" s="9"/>
      <c r="F9" s="21">
        <v>20</v>
      </c>
      <c r="G9" s="21">
        <v>40</v>
      </c>
      <c r="H9" s="10">
        <f>F9*B4</f>
        <v>1950</v>
      </c>
      <c r="I9" s="10">
        <f>G9*B4</f>
        <v>3900</v>
      </c>
    </row>
    <row r="10" spans="1:10">
      <c r="A10" t="s">
        <v>15</v>
      </c>
      <c r="B10" s="19">
        <v>2</v>
      </c>
      <c r="D10" s="9"/>
      <c r="E10" s="17"/>
      <c r="F10" s="21"/>
      <c r="G10" s="21"/>
      <c r="H10" s="10"/>
      <c r="I10" s="10"/>
    </row>
    <row r="11" spans="1:10">
      <c r="A11" t="s">
        <v>16</v>
      </c>
      <c r="B11" s="19">
        <f>1.5*15</f>
        <v>22.5</v>
      </c>
      <c r="D11" s="9"/>
      <c r="E11" s="17"/>
      <c r="F11" s="21"/>
      <c r="G11" s="21"/>
      <c r="H11" s="16"/>
      <c r="I11" s="16"/>
    </row>
    <row r="12" spans="1:10">
      <c r="A12" t="s">
        <v>17</v>
      </c>
      <c r="B12" s="19">
        <v>35</v>
      </c>
      <c r="D12" s="9"/>
      <c r="E12" s="17"/>
      <c r="F12" s="21"/>
      <c r="G12" s="21"/>
      <c r="H12" s="16"/>
      <c r="I12" s="16"/>
    </row>
    <row r="13" spans="1:10">
      <c r="A13" t="s">
        <v>18</v>
      </c>
      <c r="B13" s="19">
        <f>B12/B11</f>
        <v>1.5555555555555556</v>
      </c>
      <c r="D13" s="9"/>
      <c r="E13" s="17"/>
      <c r="F13" s="20"/>
      <c r="G13" s="20"/>
      <c r="H13" s="16"/>
      <c r="I13" s="16"/>
    </row>
    <row r="14" spans="1:10" ht="15.75" thickBot="1">
      <c r="D14" s="11" t="s">
        <v>19</v>
      </c>
      <c r="E14" s="18"/>
      <c r="F14" s="21">
        <f>SUM(F6:F12)</f>
        <v>71</v>
      </c>
      <c r="G14" s="21">
        <f>SUM(G6:G12)</f>
        <v>117</v>
      </c>
      <c r="H14" s="12">
        <f>SUM(H6:H12)</f>
        <v>30225</v>
      </c>
      <c r="I14" s="12">
        <f>SUM(I6:I12)</f>
        <v>58012.5</v>
      </c>
    </row>
    <row r="15" spans="1:10" ht="15.75" thickTop="1"/>
    <row r="17" spans="8:8">
      <c r="H17" s="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6177-A4DD-4543-8DEC-552B5EC861AC}">
  <dimension ref="A1:AL33"/>
  <sheetViews>
    <sheetView workbookViewId="0">
      <pane xSplit="4" topLeftCell="E1" activePane="topRight" state="frozen"/>
      <selection pane="topRight" activeCell="H18" sqref="H18"/>
    </sheetView>
  </sheetViews>
  <sheetFormatPr defaultColWidth="8.7109375" defaultRowHeight="15"/>
  <cols>
    <col min="1" max="1" width="26.28515625" style="1" customWidth="1"/>
    <col min="2" max="2" width="40" style="1" customWidth="1"/>
    <col min="3" max="4" width="12.7109375" style="1" customWidth="1"/>
    <col min="5" max="5" width="9.42578125" customWidth="1"/>
  </cols>
  <sheetData>
    <row r="1" spans="1:38">
      <c r="E1" t="s">
        <v>10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  <c r="AG1" t="s">
        <v>47</v>
      </c>
      <c r="AH1" t="s">
        <v>48</v>
      </c>
      <c r="AI1" t="s">
        <v>49</v>
      </c>
      <c r="AJ1" t="s">
        <v>50</v>
      </c>
      <c r="AK1" t="s">
        <v>51</v>
      </c>
      <c r="AL1" t="s">
        <v>52</v>
      </c>
    </row>
    <row r="2" spans="1:38">
      <c r="B2" s="2" t="s">
        <v>53</v>
      </c>
      <c r="C2" s="2"/>
      <c r="D2" s="2"/>
    </row>
    <row r="3" spans="1:38">
      <c r="B3" s="1" t="s">
        <v>54</v>
      </c>
    </row>
    <row r="4" spans="1:38">
      <c r="B4" s="1" t="s">
        <v>55</v>
      </c>
      <c r="E4">
        <v>0</v>
      </c>
      <c r="F4" t="e">
        <f>IF(COUNTBLANK(F3),NA(),F3+E4)</f>
        <v>#N/A</v>
      </c>
      <c r="G4" t="e">
        <f>IF(COUNTBLANK(G3),NA(),G3+F4)</f>
        <v>#N/A</v>
      </c>
      <c r="H4" t="e">
        <f t="shared" ref="H4" si="0">IF(COUNTBLANK(H3),NA(),H3+G4)</f>
        <v>#N/A</v>
      </c>
      <c r="I4" t="e">
        <f t="shared" ref="I4" si="1">IF(COUNTBLANK(I3),NA(),I3+H4)</f>
        <v>#N/A</v>
      </c>
      <c r="J4" t="e">
        <f t="shared" ref="J4:AG4" si="2">IF(COUNTBLANK(J3),NA(),J3+I4)</f>
        <v>#N/A</v>
      </c>
      <c r="K4" t="e">
        <f t="shared" si="2"/>
        <v>#N/A</v>
      </c>
      <c r="L4" t="e">
        <f t="shared" si="2"/>
        <v>#N/A</v>
      </c>
      <c r="M4" t="e">
        <f t="shared" si="2"/>
        <v>#N/A</v>
      </c>
      <c r="N4" t="e">
        <f t="shared" si="2"/>
        <v>#N/A</v>
      </c>
      <c r="O4" t="e">
        <f t="shared" si="2"/>
        <v>#N/A</v>
      </c>
      <c r="P4" t="e">
        <f t="shared" si="2"/>
        <v>#N/A</v>
      </c>
      <c r="Q4" t="e">
        <f t="shared" si="2"/>
        <v>#N/A</v>
      </c>
      <c r="R4" t="e">
        <f t="shared" si="2"/>
        <v>#N/A</v>
      </c>
      <c r="S4" t="e">
        <f t="shared" si="2"/>
        <v>#N/A</v>
      </c>
      <c r="T4" t="e">
        <f t="shared" si="2"/>
        <v>#N/A</v>
      </c>
      <c r="U4" t="e">
        <f t="shared" si="2"/>
        <v>#N/A</v>
      </c>
      <c r="V4" t="e">
        <f t="shared" si="2"/>
        <v>#N/A</v>
      </c>
      <c r="W4" t="e">
        <f t="shared" si="2"/>
        <v>#N/A</v>
      </c>
      <c r="X4" t="e">
        <f t="shared" si="2"/>
        <v>#N/A</v>
      </c>
      <c r="Y4" t="e">
        <f t="shared" si="2"/>
        <v>#N/A</v>
      </c>
      <c r="Z4" t="e">
        <f t="shared" si="2"/>
        <v>#N/A</v>
      </c>
      <c r="AA4" t="e">
        <f t="shared" si="2"/>
        <v>#N/A</v>
      </c>
      <c r="AB4" t="e">
        <f t="shared" si="2"/>
        <v>#N/A</v>
      </c>
      <c r="AC4" t="e">
        <f t="shared" si="2"/>
        <v>#N/A</v>
      </c>
      <c r="AD4" t="e">
        <f t="shared" si="2"/>
        <v>#N/A</v>
      </c>
      <c r="AE4" t="e">
        <f t="shared" si="2"/>
        <v>#N/A</v>
      </c>
      <c r="AF4" t="e">
        <f t="shared" si="2"/>
        <v>#N/A</v>
      </c>
      <c r="AG4" t="e">
        <f t="shared" si="2"/>
        <v>#N/A</v>
      </c>
      <c r="AH4" t="e">
        <f t="shared" ref="AH4" si="3">IF(COUNTBLANK(AH3),NA(),AH3+AG4)</f>
        <v>#N/A</v>
      </c>
      <c r="AI4" t="e">
        <f t="shared" ref="AI4" si="4">IF(COUNTBLANK(AI3),NA(),AI3+AH4)</f>
        <v>#N/A</v>
      </c>
      <c r="AJ4" t="e">
        <f t="shared" ref="AJ4" si="5">IF(COUNTBLANK(AJ3),NA(),AJ3+AI4)</f>
        <v>#N/A</v>
      </c>
      <c r="AK4" t="e">
        <f t="shared" ref="AK4" si="6">IF(COUNTBLANK(AK3),NA(),AK3+AJ4)</f>
        <v>#N/A</v>
      </c>
      <c r="AL4" t="e">
        <f t="shared" ref="AL4" si="7">IF(COUNTBLANK(AL3),NA(),AL3+AK4)</f>
        <v>#N/A</v>
      </c>
    </row>
    <row r="5" spans="1:38">
      <c r="B5" s="1" t="s">
        <v>56</v>
      </c>
      <c r="E5" s="8">
        <v>35</v>
      </c>
      <c r="F5" s="8">
        <v>35</v>
      </c>
      <c r="G5" s="8">
        <v>35</v>
      </c>
      <c r="H5" s="8">
        <v>35</v>
      </c>
      <c r="I5" s="8">
        <v>35</v>
      </c>
      <c r="J5" s="8">
        <v>35</v>
      </c>
      <c r="K5" s="8">
        <v>35</v>
      </c>
      <c r="L5" s="8">
        <v>35</v>
      </c>
      <c r="M5" s="8">
        <v>35</v>
      </c>
      <c r="N5" s="8">
        <v>35</v>
      </c>
      <c r="O5" s="8">
        <v>35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  <c r="X5">
        <v>100</v>
      </c>
      <c r="Y5">
        <v>100</v>
      </c>
      <c r="Z5">
        <v>100</v>
      </c>
      <c r="AA5">
        <v>100</v>
      </c>
      <c r="AB5">
        <v>100</v>
      </c>
      <c r="AC5">
        <v>100</v>
      </c>
      <c r="AD5">
        <v>100</v>
      </c>
      <c r="AE5">
        <v>100</v>
      </c>
      <c r="AF5">
        <v>100</v>
      </c>
      <c r="AG5">
        <v>100</v>
      </c>
      <c r="AH5">
        <v>100</v>
      </c>
      <c r="AI5">
        <v>100</v>
      </c>
      <c r="AJ5">
        <v>100</v>
      </c>
      <c r="AK5">
        <v>100</v>
      </c>
      <c r="AL5">
        <v>100</v>
      </c>
    </row>
    <row r="7" spans="1:38">
      <c r="A7" s="22" t="s">
        <v>57</v>
      </c>
      <c r="B7" s="1" t="s">
        <v>58</v>
      </c>
      <c r="E7">
        <v>0</v>
      </c>
      <c r="F7">
        <f>IF(ISNA(F4),E7+$B$17,F4)</f>
        <v>22.5</v>
      </c>
      <c r="G7">
        <f>IF(ISNA(G4),F7+$B$17,G4)</f>
        <v>45</v>
      </c>
      <c r="H7">
        <f t="shared" ref="H7:AK7" si="8">IF(ISNA(H4),G7+$B$17,H4)</f>
        <v>67.5</v>
      </c>
      <c r="I7">
        <f t="shared" si="8"/>
        <v>90</v>
      </c>
      <c r="J7">
        <f>IF(ISNA(J4),I7+$B$17,J4)</f>
        <v>112.5</v>
      </c>
      <c r="K7">
        <f t="shared" si="8"/>
        <v>135</v>
      </c>
      <c r="L7">
        <f t="shared" si="8"/>
        <v>157.5</v>
      </c>
      <c r="M7">
        <f t="shared" si="8"/>
        <v>180</v>
      </c>
      <c r="N7">
        <f t="shared" si="8"/>
        <v>202.5</v>
      </c>
      <c r="O7">
        <f t="shared" si="8"/>
        <v>225</v>
      </c>
      <c r="P7">
        <f t="shared" si="8"/>
        <v>247.5</v>
      </c>
      <c r="Q7">
        <f t="shared" si="8"/>
        <v>270</v>
      </c>
      <c r="R7">
        <f t="shared" si="8"/>
        <v>292.5</v>
      </c>
      <c r="S7">
        <f t="shared" si="8"/>
        <v>315</v>
      </c>
      <c r="T7">
        <f t="shared" si="8"/>
        <v>337.5</v>
      </c>
      <c r="U7">
        <f t="shared" si="8"/>
        <v>360</v>
      </c>
      <c r="V7">
        <f t="shared" si="8"/>
        <v>382.5</v>
      </c>
      <c r="W7">
        <f t="shared" si="8"/>
        <v>405</v>
      </c>
      <c r="X7">
        <f t="shared" si="8"/>
        <v>427.5</v>
      </c>
      <c r="Y7">
        <f t="shared" si="8"/>
        <v>450</v>
      </c>
      <c r="Z7">
        <f t="shared" si="8"/>
        <v>472.5</v>
      </c>
      <c r="AA7">
        <f t="shared" si="8"/>
        <v>495</v>
      </c>
      <c r="AB7">
        <f t="shared" si="8"/>
        <v>517.5</v>
      </c>
      <c r="AC7">
        <f t="shared" si="8"/>
        <v>540</v>
      </c>
      <c r="AD7">
        <f t="shared" si="8"/>
        <v>562.5</v>
      </c>
      <c r="AE7">
        <f t="shared" si="8"/>
        <v>585</v>
      </c>
      <c r="AF7">
        <f t="shared" si="8"/>
        <v>607.5</v>
      </c>
      <c r="AG7">
        <f t="shared" si="8"/>
        <v>630</v>
      </c>
      <c r="AH7">
        <f t="shared" si="8"/>
        <v>652.5</v>
      </c>
      <c r="AI7">
        <f t="shared" si="8"/>
        <v>675</v>
      </c>
      <c r="AJ7">
        <f t="shared" si="8"/>
        <v>697.5</v>
      </c>
      <c r="AK7">
        <f t="shared" si="8"/>
        <v>720</v>
      </c>
      <c r="AL7">
        <f t="shared" ref="AL7" si="9">IF(ISNA(AL4),AK7+$B$17,AL4)</f>
        <v>742.5</v>
      </c>
    </row>
    <row r="8" spans="1:38">
      <c r="A8" s="22"/>
      <c r="B8" s="1" t="s">
        <v>59</v>
      </c>
      <c r="E8">
        <v>0</v>
      </c>
      <c r="F8">
        <f t="shared" ref="F8:AK8" si="10">IF(ISNA(F4),E8+$B$18,F4)</f>
        <v>22.5</v>
      </c>
      <c r="G8">
        <f t="shared" si="10"/>
        <v>45</v>
      </c>
      <c r="H8">
        <f t="shared" si="10"/>
        <v>67.5</v>
      </c>
      <c r="I8">
        <f t="shared" si="10"/>
        <v>90</v>
      </c>
      <c r="J8">
        <f t="shared" si="10"/>
        <v>112.5</v>
      </c>
      <c r="K8">
        <f t="shared" si="10"/>
        <v>135</v>
      </c>
      <c r="L8">
        <f t="shared" si="10"/>
        <v>157.5</v>
      </c>
      <c r="M8">
        <f t="shared" si="10"/>
        <v>180</v>
      </c>
      <c r="N8">
        <f t="shared" si="10"/>
        <v>202.5</v>
      </c>
      <c r="O8">
        <f t="shared" si="10"/>
        <v>225</v>
      </c>
      <c r="P8">
        <f t="shared" si="10"/>
        <v>247.5</v>
      </c>
      <c r="Q8">
        <f t="shared" si="10"/>
        <v>270</v>
      </c>
      <c r="R8">
        <f t="shared" si="10"/>
        <v>292.5</v>
      </c>
      <c r="S8">
        <f t="shared" si="10"/>
        <v>315</v>
      </c>
      <c r="T8">
        <f t="shared" si="10"/>
        <v>337.5</v>
      </c>
      <c r="U8">
        <f t="shared" si="10"/>
        <v>360</v>
      </c>
      <c r="V8">
        <f t="shared" si="10"/>
        <v>382.5</v>
      </c>
      <c r="W8">
        <f t="shared" si="10"/>
        <v>405</v>
      </c>
      <c r="X8">
        <f t="shared" si="10"/>
        <v>427.5</v>
      </c>
      <c r="Y8">
        <f t="shared" si="10"/>
        <v>450</v>
      </c>
      <c r="Z8">
        <f t="shared" si="10"/>
        <v>472.5</v>
      </c>
      <c r="AA8">
        <f t="shared" si="10"/>
        <v>495</v>
      </c>
      <c r="AB8">
        <f t="shared" si="10"/>
        <v>517.5</v>
      </c>
      <c r="AC8">
        <f t="shared" si="10"/>
        <v>540</v>
      </c>
      <c r="AD8">
        <f t="shared" si="10"/>
        <v>562.5</v>
      </c>
      <c r="AE8">
        <f t="shared" si="10"/>
        <v>585</v>
      </c>
      <c r="AF8">
        <f t="shared" si="10"/>
        <v>607.5</v>
      </c>
      <c r="AG8">
        <f t="shared" si="10"/>
        <v>630</v>
      </c>
      <c r="AH8">
        <f t="shared" si="10"/>
        <v>652.5</v>
      </c>
      <c r="AI8">
        <f t="shared" si="10"/>
        <v>675</v>
      </c>
      <c r="AJ8">
        <f t="shared" si="10"/>
        <v>697.5</v>
      </c>
      <c r="AK8">
        <f t="shared" si="10"/>
        <v>720</v>
      </c>
      <c r="AL8">
        <f t="shared" ref="AL8" si="11">IF(ISNA(AL4),AK8+$B$18,AL4)</f>
        <v>742.5</v>
      </c>
    </row>
    <row r="9" spans="1:38">
      <c r="A9" s="22"/>
      <c r="B9" s="1" t="s">
        <v>60</v>
      </c>
      <c r="E9">
        <v>0</v>
      </c>
      <c r="F9">
        <f t="shared" ref="F9:AK9" si="12">IF(ISNA(F4),E9+$B$19,F4)</f>
        <v>22.5</v>
      </c>
      <c r="G9">
        <f t="shared" si="12"/>
        <v>45</v>
      </c>
      <c r="H9">
        <f t="shared" si="12"/>
        <v>67.5</v>
      </c>
      <c r="I9">
        <f t="shared" si="12"/>
        <v>90</v>
      </c>
      <c r="J9">
        <f t="shared" si="12"/>
        <v>112.5</v>
      </c>
      <c r="K9">
        <f t="shared" si="12"/>
        <v>135</v>
      </c>
      <c r="L9">
        <f t="shared" si="12"/>
        <v>157.5</v>
      </c>
      <c r="M9">
        <f t="shared" si="12"/>
        <v>180</v>
      </c>
      <c r="N9">
        <f t="shared" si="12"/>
        <v>202.5</v>
      </c>
      <c r="O9">
        <f t="shared" si="12"/>
        <v>225</v>
      </c>
      <c r="P9">
        <f t="shared" si="12"/>
        <v>247.5</v>
      </c>
      <c r="Q9">
        <f t="shared" si="12"/>
        <v>270</v>
      </c>
      <c r="R9">
        <f t="shared" si="12"/>
        <v>292.5</v>
      </c>
      <c r="S9">
        <f t="shared" si="12"/>
        <v>315</v>
      </c>
      <c r="T9">
        <f t="shared" si="12"/>
        <v>337.5</v>
      </c>
      <c r="U9">
        <f t="shared" si="12"/>
        <v>360</v>
      </c>
      <c r="V9">
        <f t="shared" si="12"/>
        <v>382.5</v>
      </c>
      <c r="W9">
        <f t="shared" si="12"/>
        <v>405</v>
      </c>
      <c r="X9">
        <f t="shared" si="12"/>
        <v>427.5</v>
      </c>
      <c r="Y9">
        <f t="shared" si="12"/>
        <v>450</v>
      </c>
      <c r="Z9">
        <f t="shared" si="12"/>
        <v>472.5</v>
      </c>
      <c r="AA9">
        <f t="shared" si="12"/>
        <v>495</v>
      </c>
      <c r="AB9">
        <f t="shared" si="12"/>
        <v>517.5</v>
      </c>
      <c r="AC9">
        <f t="shared" si="12"/>
        <v>540</v>
      </c>
      <c r="AD9">
        <f t="shared" si="12"/>
        <v>562.5</v>
      </c>
      <c r="AE9">
        <f t="shared" si="12"/>
        <v>585</v>
      </c>
      <c r="AF9">
        <f t="shared" si="12"/>
        <v>607.5</v>
      </c>
      <c r="AG9">
        <f t="shared" si="12"/>
        <v>630</v>
      </c>
      <c r="AH9">
        <f t="shared" si="12"/>
        <v>652.5</v>
      </c>
      <c r="AI9">
        <f t="shared" si="12"/>
        <v>675</v>
      </c>
      <c r="AJ9">
        <f t="shared" si="12"/>
        <v>697.5</v>
      </c>
      <c r="AK9">
        <f t="shared" si="12"/>
        <v>720</v>
      </c>
      <c r="AL9">
        <f t="shared" ref="AL9" si="13">IF(ISNA(AL4),AK9+$B$19,AL4)</f>
        <v>742.5</v>
      </c>
    </row>
    <row r="11" spans="1:38">
      <c r="A11" s="22" t="s">
        <v>61</v>
      </c>
      <c r="B11" s="2" t="s">
        <v>62</v>
      </c>
      <c r="C11" s="2"/>
      <c r="D11" s="2"/>
    </row>
    <row r="12" spans="1:38">
      <c r="A12" s="22"/>
      <c r="B12" s="1" t="s">
        <v>63</v>
      </c>
      <c r="F12">
        <v>23400</v>
      </c>
      <c r="G12">
        <v>23400</v>
      </c>
      <c r="H12">
        <v>23400</v>
      </c>
      <c r="I12">
        <v>23400</v>
      </c>
      <c r="J12">
        <v>23400</v>
      </c>
      <c r="K12">
        <v>23400</v>
      </c>
      <c r="L12">
        <v>23400</v>
      </c>
      <c r="M12">
        <v>23400</v>
      </c>
      <c r="N12">
        <v>23400</v>
      </c>
    </row>
    <row r="13" spans="1:38">
      <c r="A13" s="22"/>
      <c r="B13" s="1" t="s">
        <v>64</v>
      </c>
      <c r="E13">
        <v>0</v>
      </c>
      <c r="F13">
        <f>IF(COUNTBLANK(F12),NA(),F12+E13)</f>
        <v>23400</v>
      </c>
      <c r="G13">
        <f t="shared" ref="G13:AL13" si="14">IF(COUNTBLANK(G12),NA(),G12+F13)</f>
        <v>46800</v>
      </c>
      <c r="H13">
        <f t="shared" si="14"/>
        <v>70200</v>
      </c>
      <c r="I13">
        <f t="shared" si="14"/>
        <v>93600</v>
      </c>
      <c r="J13">
        <f>IF(COUNTBLANK(J12),NA(),J12+I13)</f>
        <v>117000</v>
      </c>
      <c r="K13">
        <f t="shared" si="14"/>
        <v>140400</v>
      </c>
      <c r="L13">
        <f t="shared" si="14"/>
        <v>163800</v>
      </c>
      <c r="M13">
        <f>IF(COUNTBLANK(M12),NA(),M12+L13)</f>
        <v>187200</v>
      </c>
      <c r="N13">
        <f t="shared" si="14"/>
        <v>210600</v>
      </c>
      <c r="O13" t="e">
        <f>IF(COUNTBLANK(O12),NA(),O12+N13)</f>
        <v>#N/A</v>
      </c>
      <c r="P13" t="e">
        <f t="shared" si="14"/>
        <v>#N/A</v>
      </c>
      <c r="Q13" t="e">
        <f t="shared" si="14"/>
        <v>#N/A</v>
      </c>
      <c r="R13" t="e">
        <f t="shared" si="14"/>
        <v>#N/A</v>
      </c>
      <c r="S13" t="e">
        <f t="shared" si="14"/>
        <v>#N/A</v>
      </c>
      <c r="T13" t="e">
        <f t="shared" si="14"/>
        <v>#N/A</v>
      </c>
      <c r="U13" t="e">
        <f t="shared" si="14"/>
        <v>#N/A</v>
      </c>
      <c r="V13" t="e">
        <f t="shared" si="14"/>
        <v>#N/A</v>
      </c>
      <c r="W13" t="e">
        <f t="shared" si="14"/>
        <v>#N/A</v>
      </c>
      <c r="X13" t="e">
        <f t="shared" si="14"/>
        <v>#N/A</v>
      </c>
      <c r="Y13" t="e">
        <f t="shared" si="14"/>
        <v>#N/A</v>
      </c>
      <c r="Z13" t="e">
        <f t="shared" si="14"/>
        <v>#N/A</v>
      </c>
      <c r="AA13" t="e">
        <f t="shared" si="14"/>
        <v>#N/A</v>
      </c>
      <c r="AB13" t="e">
        <f t="shared" si="14"/>
        <v>#N/A</v>
      </c>
      <c r="AC13" t="e">
        <f t="shared" si="14"/>
        <v>#N/A</v>
      </c>
      <c r="AD13" t="e">
        <f t="shared" si="14"/>
        <v>#N/A</v>
      </c>
      <c r="AE13" t="e">
        <f t="shared" si="14"/>
        <v>#N/A</v>
      </c>
      <c r="AF13" t="e">
        <f t="shared" si="14"/>
        <v>#N/A</v>
      </c>
      <c r="AG13" t="e">
        <f t="shared" si="14"/>
        <v>#N/A</v>
      </c>
      <c r="AH13" t="e">
        <f t="shared" si="14"/>
        <v>#N/A</v>
      </c>
      <c r="AI13" t="e">
        <f t="shared" si="14"/>
        <v>#N/A</v>
      </c>
      <c r="AJ13" t="e">
        <f t="shared" si="14"/>
        <v>#N/A</v>
      </c>
      <c r="AK13" t="e">
        <f t="shared" si="14"/>
        <v>#N/A</v>
      </c>
      <c r="AL13" t="e">
        <f t="shared" si="14"/>
        <v>#N/A</v>
      </c>
    </row>
    <row r="14" spans="1:38">
      <c r="A14" s="22"/>
      <c r="B14" s="1" t="s">
        <v>65</v>
      </c>
      <c r="E14">
        <v>0</v>
      </c>
      <c r="F14">
        <f t="shared" ref="F14:AK14" si="15">IF(ISNA(F13),E14+$D$30,F13)</f>
        <v>23400</v>
      </c>
      <c r="G14">
        <f t="shared" si="15"/>
        <v>46800</v>
      </c>
      <c r="H14">
        <f t="shared" si="15"/>
        <v>70200</v>
      </c>
      <c r="I14">
        <f t="shared" si="15"/>
        <v>93600</v>
      </c>
      <c r="J14">
        <f t="shared" si="15"/>
        <v>117000</v>
      </c>
      <c r="K14">
        <f t="shared" si="15"/>
        <v>140400</v>
      </c>
      <c r="L14">
        <f t="shared" si="15"/>
        <v>163800</v>
      </c>
      <c r="M14">
        <f t="shared" si="15"/>
        <v>187200</v>
      </c>
      <c r="N14">
        <f t="shared" si="15"/>
        <v>210600</v>
      </c>
      <c r="O14">
        <f t="shared" si="15"/>
        <v>210600</v>
      </c>
      <c r="P14">
        <f t="shared" si="15"/>
        <v>210600</v>
      </c>
      <c r="Q14">
        <f t="shared" si="15"/>
        <v>210600</v>
      </c>
      <c r="R14">
        <f t="shared" si="15"/>
        <v>210600</v>
      </c>
      <c r="S14">
        <f t="shared" si="15"/>
        <v>210600</v>
      </c>
      <c r="T14">
        <f t="shared" si="15"/>
        <v>210600</v>
      </c>
      <c r="U14">
        <f t="shared" si="15"/>
        <v>210600</v>
      </c>
      <c r="V14">
        <f t="shared" si="15"/>
        <v>210600</v>
      </c>
      <c r="W14">
        <f t="shared" si="15"/>
        <v>210600</v>
      </c>
      <c r="X14">
        <f t="shared" si="15"/>
        <v>210600</v>
      </c>
      <c r="Y14">
        <f t="shared" si="15"/>
        <v>210600</v>
      </c>
      <c r="Z14">
        <f t="shared" si="15"/>
        <v>210600</v>
      </c>
      <c r="AA14">
        <f t="shared" si="15"/>
        <v>210600</v>
      </c>
      <c r="AB14">
        <f t="shared" si="15"/>
        <v>210600</v>
      </c>
      <c r="AC14">
        <f t="shared" si="15"/>
        <v>210600</v>
      </c>
      <c r="AD14">
        <f t="shared" si="15"/>
        <v>210600</v>
      </c>
      <c r="AE14">
        <f t="shared" si="15"/>
        <v>210600</v>
      </c>
      <c r="AF14">
        <f t="shared" si="15"/>
        <v>210600</v>
      </c>
      <c r="AG14">
        <f t="shared" si="15"/>
        <v>210600</v>
      </c>
      <c r="AH14">
        <f t="shared" si="15"/>
        <v>210600</v>
      </c>
      <c r="AI14">
        <f t="shared" si="15"/>
        <v>210600</v>
      </c>
      <c r="AJ14">
        <f t="shared" si="15"/>
        <v>210600</v>
      </c>
      <c r="AK14">
        <f t="shared" si="15"/>
        <v>210600</v>
      </c>
      <c r="AL14">
        <f t="shared" ref="AL14" si="16">IF(ISNA(AL13),AK14+$D$30,AL13)</f>
        <v>210600</v>
      </c>
    </row>
    <row r="16" spans="1:38">
      <c r="A16" s="2" t="s">
        <v>66</v>
      </c>
    </row>
    <row r="17" spans="1:4" ht="30">
      <c r="A17" s="1" t="s">
        <v>67</v>
      </c>
      <c r="B17" s="1">
        <f>15*1.5</f>
        <v>22.5</v>
      </c>
    </row>
    <row r="18" spans="1:4" ht="30">
      <c r="A18" s="1" t="s">
        <v>68</v>
      </c>
      <c r="B18" s="1">
        <f>15*1.5</f>
        <v>22.5</v>
      </c>
    </row>
    <row r="19" spans="1:4" ht="30">
      <c r="A19" s="1" t="s">
        <v>69</v>
      </c>
      <c r="B19" s="1">
        <f>15*1.5</f>
        <v>22.5</v>
      </c>
    </row>
    <row r="21" spans="1:4" ht="30">
      <c r="A21" s="2" t="s">
        <v>70</v>
      </c>
      <c r="B21" s="2" t="s">
        <v>71</v>
      </c>
      <c r="C21" s="2" t="s">
        <v>72</v>
      </c>
      <c r="D21" s="2" t="s">
        <v>73</v>
      </c>
    </row>
    <row r="22" spans="1:4">
      <c r="A22" s="2" t="s">
        <v>74</v>
      </c>
      <c r="B22" s="2"/>
      <c r="C22" s="2"/>
      <c r="D22" s="6"/>
    </row>
    <row r="23" spans="1:4">
      <c r="A23" s="1" t="s">
        <v>75</v>
      </c>
      <c r="C23" s="5">
        <v>1</v>
      </c>
      <c r="D23" s="3"/>
    </row>
    <row r="24" spans="1:4">
      <c r="A24" s="1" t="s">
        <v>76</v>
      </c>
      <c r="C24" s="5">
        <v>0.5</v>
      </c>
      <c r="D24" s="3"/>
    </row>
    <row r="25" spans="1:4">
      <c r="A25" s="1" t="s">
        <v>77</v>
      </c>
      <c r="C25" s="5">
        <v>0.25</v>
      </c>
      <c r="D25" s="3"/>
    </row>
    <row r="26" spans="1:4">
      <c r="A26" s="1" t="s">
        <v>78</v>
      </c>
      <c r="C26" s="5">
        <f>C25*0.5</f>
        <v>0.125</v>
      </c>
      <c r="D26" s="3"/>
    </row>
    <row r="27" spans="1:4">
      <c r="A27" s="1" t="s">
        <v>79</v>
      </c>
      <c r="C27" s="5">
        <v>0.13</v>
      </c>
    </row>
    <row r="28" spans="1:4">
      <c r="A28" s="2" t="s">
        <v>80</v>
      </c>
      <c r="B28" s="2"/>
      <c r="C28" s="15">
        <f>SUM(C23:C27)</f>
        <v>2.0049999999999999</v>
      </c>
    </row>
    <row r="29" spans="1:4">
      <c r="C29" s="5"/>
    </row>
    <row r="30" spans="1:4">
      <c r="A30" s="2"/>
      <c r="D30" s="6"/>
    </row>
    <row r="31" spans="1:4">
      <c r="D31" s="3"/>
    </row>
    <row r="33" spans="4:4">
      <c r="D33" s="3"/>
    </row>
  </sheetData>
  <mergeCells count="2">
    <mergeCell ref="A7:A9"/>
    <mergeCell ref="A11:A14"/>
  </mergeCells>
  <phoneticPr fontId="1" type="noConversion"/>
  <conditionalFormatting sqref="E4:BC4">
    <cfRule type="expression" dxfId="0" priority="1">
      <formula>"ISNA()"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A070C-09DD-422D-AC25-BE55E6715C93}">
  <dimension ref="A1"/>
  <sheetViews>
    <sheetView zoomScale="85" zoomScaleNormal="85" workbookViewId="0">
      <selection activeCell="M37" sqref="M37"/>
    </sheetView>
  </sheetViews>
  <sheetFormatPr defaultColWidth="8.7109375" defaultRowHeight="15"/>
  <cols>
    <col min="6" max="7" width="10.28515625" bestFit="1" customWidth="1"/>
    <col min="8" max="9" width="11.28515625" bestFit="1" customWidth="1"/>
  </cols>
  <sheetData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591C6-2D6B-4559-BAB2-FBE0F2F735DF}">
  <dimension ref="A1:G11"/>
  <sheetViews>
    <sheetView workbookViewId="0">
      <selection activeCell="D27" sqref="D27"/>
    </sheetView>
  </sheetViews>
  <sheetFormatPr defaultColWidth="8.7109375" defaultRowHeight="15"/>
  <cols>
    <col min="1" max="1" width="14" bestFit="1" customWidth="1"/>
    <col min="2" max="2" width="10.7109375" bestFit="1" customWidth="1"/>
    <col min="3" max="3" width="5.28515625" customWidth="1"/>
    <col min="4" max="4" width="43.140625" bestFit="1" customWidth="1"/>
    <col min="5" max="5" width="26.7109375" bestFit="1" customWidth="1"/>
    <col min="6" max="7" width="11.7109375" bestFit="1" customWidth="1"/>
  </cols>
  <sheetData>
    <row r="1" spans="1:7">
      <c r="A1" t="s">
        <v>1</v>
      </c>
      <c r="B1" s="6">
        <f>Detail!D22</f>
        <v>0</v>
      </c>
      <c r="C1" s="6"/>
    </row>
    <row r="2" spans="1:7">
      <c r="A2" t="s">
        <v>2</v>
      </c>
      <c r="B2" s="3">
        <v>780</v>
      </c>
      <c r="C2" s="3"/>
    </row>
    <row r="3" spans="1:7">
      <c r="A3" t="s">
        <v>3</v>
      </c>
      <c r="B3" s="3">
        <f>B2/8</f>
        <v>97.5</v>
      </c>
      <c r="C3" s="3"/>
    </row>
    <row r="4" spans="1:7">
      <c r="A4" t="s">
        <v>81</v>
      </c>
      <c r="B4" s="7">
        <f>B3*160</f>
        <v>15600</v>
      </c>
      <c r="C4" s="7"/>
      <c r="D4" s="13" t="s">
        <v>4</v>
      </c>
      <c r="E4" s="13" t="s">
        <v>5</v>
      </c>
      <c r="F4" s="13" t="s">
        <v>82</v>
      </c>
      <c r="G4" s="13" t="s">
        <v>83</v>
      </c>
    </row>
    <row r="5" spans="1:7">
      <c r="D5" s="9" t="s">
        <v>10</v>
      </c>
      <c r="E5" s="9"/>
      <c r="F5" s="10"/>
      <c r="G5" s="10"/>
    </row>
    <row r="6" spans="1:7">
      <c r="D6" s="9" t="s">
        <v>84</v>
      </c>
      <c r="E6" s="9"/>
      <c r="F6" s="10"/>
      <c r="G6" s="10"/>
    </row>
    <row r="7" spans="1:7">
      <c r="D7" s="9" t="s">
        <v>85</v>
      </c>
      <c r="E7" s="9"/>
      <c r="F7" s="10"/>
      <c r="G7" s="10"/>
    </row>
    <row r="8" spans="1:7">
      <c r="D8" s="9" t="s">
        <v>86</v>
      </c>
      <c r="E8" s="9"/>
      <c r="F8" s="10"/>
      <c r="G8" s="10"/>
    </row>
    <row r="9" spans="1:7">
      <c r="D9" s="9" t="s">
        <v>87</v>
      </c>
      <c r="E9" s="9" t="s">
        <v>88</v>
      </c>
      <c r="F9" s="10"/>
      <c r="G9" s="10"/>
    </row>
    <row r="10" spans="1:7" ht="15.75" thickBot="1">
      <c r="D10" s="11" t="s">
        <v>89</v>
      </c>
      <c r="E10" s="11" t="s">
        <v>90</v>
      </c>
      <c r="F10" s="12">
        <f>SUM(F5:F9)</f>
        <v>0</v>
      </c>
      <c r="G10" s="12">
        <f>SUM(G5:G9)</f>
        <v>0</v>
      </c>
    </row>
    <row r="11" spans="1:7" ht="15.75" thickTop="1">
      <c r="D11" s="4"/>
      <c r="E11" s="4"/>
      <c r="F11" s="14"/>
      <c r="G11" s="1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fbd5dc-7a64-4097-8396-87f6c90b212f">
      <Value>6</Value>
      <Value>5</Value>
      <Value>4</Value>
    </TaxCatchAll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  <f0dc22cb723843c1bfbb2e8bcc9db6e4 xmlns="1ffbd5dc-7a64-4097-8396-87f6c90b212f">
      <Terms xmlns="http://schemas.microsoft.com/office/infopath/2007/PartnerControls"/>
    </f0dc22cb723843c1bfbb2e8bcc9db6e4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47E0126EE26B68468E30FEE8ADFBCCCC" ma:contentTypeVersion="3" ma:contentTypeDescription="A document associated with a project for a client." ma:contentTypeScope="" ma:versionID="268f348e925944570301af8ff2adc88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93b052738fdbaae4d27c6d5b8c67869a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92F691-1F6A-49C5-B26D-4DE66C2A91B5}"/>
</file>

<file path=customXml/itemProps2.xml><?xml version="1.0" encoding="utf-8"?>
<ds:datastoreItem xmlns:ds="http://schemas.openxmlformats.org/officeDocument/2006/customXml" ds:itemID="{43EC73B4-88A6-4256-B10D-3BE936A451DE}"/>
</file>

<file path=customXml/itemProps3.xml><?xml version="1.0" encoding="utf-8"?>
<ds:datastoreItem xmlns:ds="http://schemas.openxmlformats.org/officeDocument/2006/customXml" ds:itemID="{88195739-F48A-45FA-B14B-AA6F1092D482}"/>
</file>

<file path=customXml/itemProps4.xml><?xml version="1.0" encoding="utf-8"?>
<ds:datastoreItem xmlns:ds="http://schemas.openxmlformats.org/officeDocument/2006/customXml" ds:itemID="{4ED86B51-1E9B-457D-9374-493E49C7A41E}"/>
</file>

<file path=customXml/itemProps5.xml><?xml version="1.0" encoding="utf-8"?>
<ds:datastoreItem xmlns:ds="http://schemas.openxmlformats.org/officeDocument/2006/customXml" ds:itemID="{1DCBB8FA-0BE6-4FFA-B672-F251BED2EE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Gary Benkenstein</dc:creator>
  <cp:keywords/>
  <dc:description/>
  <cp:lastModifiedBy>Sam Duncan</cp:lastModifiedBy>
  <cp:revision/>
  <dcterms:created xsi:type="dcterms:W3CDTF">2020-08-13T15:11:43Z</dcterms:created>
  <dcterms:modified xsi:type="dcterms:W3CDTF">2025-07-25T11:18:07Z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0x010100B16301FA1C2D5E4DB9305F31D037531D0207030047E0126EE26B68468E30FEE8ADFBCCCC</vt:lpwstr>
  </property>
  <property fmtid="{D5CDD505-2E9C-101B-9397-08002B2CF9AE}" pid="5" name="lcf76f155ced4ddcb4097134ff3c332f">
    <vt:lpwstr/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">
    <vt:lpwstr>6;#Grainger PLC|a74f1cb5-e995-4f9e-8521-6d52e2c6bf08</vt:lpwstr>
  </property>
  <property fmtid="{D5CDD505-2E9C-101B-9397-08002B2CF9AE}" pid="8" name="Client Project">
    <vt:lpwstr/>
  </property>
  <property fmtid="{D5CDD505-2E9C-101B-9397-08002B2CF9AE}" pid="9" name="Business Document Type">
    <vt:lpwstr>5;#Project Delivery Document|464596ad-2211-4003-92ff-a963197d93b9</vt:lpwstr>
  </property>
  <property fmtid="{D5CDD505-2E9C-101B-9397-08002B2CF9AE}" pid="10" name="l992f389a8bb4e119e73ef90413f377d">
    <vt:lpwstr>Project Delivery Document|464596ad-2211-4003-92ff-a963197d93b9</vt:lpwstr>
  </property>
  <property fmtid="{D5CDD505-2E9C-101B-9397-08002B2CF9AE}" pid="11" name="xd_ProgID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xd_Signature">
    <vt:bool>false</vt:bool>
  </property>
  <property fmtid="{D5CDD505-2E9C-101B-9397-08002B2CF9AE}" pid="17" name="Order">
    <vt:r8>28100</vt:r8>
  </property>
  <property fmtid="{D5CDD505-2E9C-101B-9397-08002B2CF9AE}" pid="18" name="Project_x0020_Document_x0020_Type">
    <vt:lpwstr>4;#Generic Project Document|258c2ed6-b93b-4ffe-8901-a23f2dc98ec9</vt:lpwstr>
  </property>
  <property fmtid="{D5CDD505-2E9C-101B-9397-08002B2CF9AE}" pid="19" name="Client_x0020_Project">
    <vt:lpwstr/>
  </property>
  <property fmtid="{D5CDD505-2E9C-101B-9397-08002B2CF9AE}" pid="20" name="nae5750f31d8428b9a1182bd8e59d390">
    <vt:lpwstr>Enterprise Solutions|08c57b01-67e8-4a4f-abc6-ffb3392ace7f</vt:lpwstr>
  </property>
  <property fmtid="{D5CDD505-2E9C-101B-9397-08002B2CF9AE}" pid="21" name="k6ebf865df8440b3a55c1aa81c9bae7c">
    <vt:lpwstr>Generic Project Document|258c2ed6-b93b-4ffe-8901-a23f2dc98ec9</vt:lpwstr>
  </property>
  <property fmtid="{D5CDD505-2E9C-101B-9397-08002B2CF9AE}" pid="22" name="ica44df5449d49f98766f83f0bd254a7">
    <vt:lpwstr>Grainger PLC|a74f1cb5-e995-4f9e-8521-6d52e2c6bf08</vt:lpwstr>
  </property>
  <property fmtid="{D5CDD505-2E9C-101B-9397-08002B2CF9AE}" pid="23" name="Prospective Client">
    <vt:lpwstr/>
  </property>
  <property fmtid="{D5CDD505-2E9C-101B-9397-08002B2CF9AE}" pid="24" name="Prospective_x0020_Client">
    <vt:lpwstr/>
  </property>
</Properties>
</file>