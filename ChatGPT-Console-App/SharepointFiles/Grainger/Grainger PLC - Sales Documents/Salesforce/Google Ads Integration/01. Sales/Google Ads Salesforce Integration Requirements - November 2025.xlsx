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defaultThemeVersion="166925"/>
  <mc:AlternateContent xmlns:mc="http://schemas.openxmlformats.org/markup-compatibility/2006">
    <mc:Choice Requires="x15">
      <x15ac:absPath xmlns:x15ac="http://schemas.microsoft.com/office/spreadsheetml/2010/11/ac" url="https://openboxsoftwareweb.sharepoint.com/sites/GraingerPLC/Sales Documents/Salesforce/Google Ads Integration/01. Sales/"/>
    </mc:Choice>
  </mc:AlternateContent>
  <xr:revisionPtr revIDLastSave="0" documentId="8_{622B1407-AB3F-3144-8F80-810D99326D37}" xr6:coauthVersionLast="47" xr6:coauthVersionMax="47" xr10:uidLastSave="{00000000-0000-0000-0000-000000000000}"/>
  <bookViews>
    <workbookView xWindow="0" yWindow="680" windowWidth="28380" windowHeight="18440" xr2:uid="{00000000-000D-0000-FFFF-FFFF00000000}"/>
  </bookViews>
  <sheets>
    <sheet name="Requirements" sheetId="1" r:id="rId1"/>
  </sheets>
  <definedNames>
    <definedName name="_xlnm.Print_Area" localSheetId="0">Requirements!$A$1:$J$10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9" i="1" l="1"/>
  <c r="K18" i="1"/>
</calcChain>
</file>

<file path=xl/sharedStrings.xml><?xml version="1.0" encoding="utf-8"?>
<sst xmlns="http://schemas.openxmlformats.org/spreadsheetml/2006/main" count="61" uniqueCount="52">
  <si>
    <t>Business Owner: Amit Rattan</t>
  </si>
  <si>
    <t xml:space="preserve">No. </t>
  </si>
  <si>
    <t>Rating/ Priority (MosCoW)</t>
  </si>
  <si>
    <t>Epic (Grouping)</t>
  </si>
  <si>
    <t>User Story</t>
  </si>
  <si>
    <t>Acceptance Criteria</t>
  </si>
  <si>
    <t>Test Script (Jira Ref, if applicable)</t>
  </si>
  <si>
    <t>Internal Notes</t>
  </si>
  <si>
    <t>Third Party Vendor: 
Comment/ Feedback</t>
  </si>
  <si>
    <t>Must</t>
  </si>
  <si>
    <t>Technical Integration</t>
  </si>
  <si>
    <t>As a Marketing System Administrator, I want to capture GCLID from website URLs so that I can track Google Ads clicks through the entire sales funnel</t>
  </si>
  <si>
    <t>GCLID parameter captured from all landing page URLs; GCLID stored in Salesforce lead records; GCLID data integrity maintained throughout funnel; Error handling for missing GCLID values</t>
  </si>
  <si>
    <t>Test GCLID capture on all landing pages; Verify GCLID storage in Salesforce; Test error scenarios</t>
  </si>
  <si>
    <t>Requires website modification to capture URL parameters. Consider privacy compliance requirements.</t>
  </si>
  <si>
    <t>May require web development resources</t>
  </si>
  <si>
    <t>As a Marketing Operations Manager, I want to establish Google Ads-Salesforce integration so that conversion events can be automatically shared between systems</t>
  </si>
  <si>
    <t>Out-of-box Google Ads Salesforce connector configured; API connections established and tested; Data flow from Salesforce to Google Ads verified; Integration monitoring and alerting in place</t>
  </si>
  <si>
    <t>Configure Google Ads Salesforce connector; Test API connectivity; Verify data transmission</t>
  </si>
  <si>
    <t>Use native integration to minimize custom development. Ensure proper authentication and security.</t>
  </si>
  <si>
    <t>Requires Google Ads and Salesforce admin permissions</t>
  </si>
  <si>
    <t>Conversion Tracking</t>
  </si>
  <si>
    <t>As a Performance Marketing Head, I want proceedable leads to be sent back to Google Ads as conversion events so that the algorithm can optimize for quality leads instead of form fills</t>
  </si>
  <si>
    <t>Proceedable lead events pushed to Google Ads with GCLID; Conversion values assigned appropriately; Real-time or near real-time data transfer; Conversion attribution maintained</t>
  </si>
  <si>
    <t>Create test proceedable lead in Salesforce; Verify conversion appears in Google Ads; Check attribution accuracy</t>
  </si>
  <si>
    <t>This is the core requirement that will enable quality-based optimization. Timing of data transfer is critical.</t>
  </si>
  <si>
    <t>Requires mapping Salesforce stages to Google Ads conversion actions</t>
  </si>
  <si>
    <t>As a Performance Marketing Head, I want viewing events to be tracked as conversion events so that I can optimize for prospects who progress further in the funnel</t>
  </si>
  <si>
    <t>Viewing events pushed to Google Ads with GCLID; Conversion values reflect funnel progression; Viewing conversion action configured in Google Ads; Historical data backfill considered</t>
  </si>
  <si>
    <t>Create test viewing event in Salesforce; Verify conversion tracking in Google Ads; Validate conversion values</t>
  </si>
  <si>
    <t>Secondary conversion event that provides additional optimization signal. Consider conversion value weighting.</t>
  </si>
  <si>
    <t>As a Performance Marketing Head, I want let events to be tracked as the highest value conversion so that Google Ads can optimize for the ultimate business outcome</t>
  </si>
  <si>
    <t>Let events pushed to Google Ads with GCLID; Highest conversion value assigned to lets; Let conversion action configured as primary goal; Revenue attribution if applicable</t>
  </si>
  <si>
    <t>Create test let event in Salesforce; Verify high-value conversion in Google Ads; Check revenue attribution</t>
  </si>
  <si>
    <t>Ultimate conversion goal. Should have highest conversion value to guide algorithm optimization.</t>
  </si>
  <si>
    <t>Data Quality</t>
  </si>
  <si>
    <t>As a Data Analyst, I want to ensure data accuracy and completeness in the integration so that optimization decisions are based on reliable information</t>
  </si>
  <si>
    <t>Data validation rules implemented; Error logging and monitoring in place; Data reconciliation process established; Regular data quality audits scheduled</t>
  </si>
  <si>
    <t>Test data validation scenarios; Verify error handling; Run data reconciliation reports</t>
  </si>
  <si>
    <t>Critical for maintaining trust in the optimization system. Poor data quality will lead to poor optimization outcomes.</t>
  </si>
  <si>
    <t>Requires ongoing monitoring and maintenance</t>
  </si>
  <si>
    <t>Serotonin (our paid agency) to set up additional Google Ads conversion action setup</t>
  </si>
  <si>
    <t>Business Opportunity Name: Cost per Let Integration</t>
  </si>
  <si>
    <t>Open Box Comment</t>
  </si>
  <si>
    <t>To my knowledge this has already been setup and is working in PROD</t>
  </si>
  <si>
    <r>
      <t xml:space="preserve">To my knowledge this has already been mostly setup and is working in PROD, may require some additional work on Google Ads setup to capture conversion events correctly. Not directly Salesforce devlopment work, but we can assist as required.
</t>
    </r>
    <r>
      <rPr>
        <b/>
        <sz val="11"/>
        <color theme="1"/>
        <rFont val="Arial"/>
        <family val="2"/>
      </rPr>
      <t>Estimate: 2-3 hours</t>
    </r>
  </si>
  <si>
    <r>
      <t>Majority of effort is required on web development side (Grainger website).  Minor Salesforce development work to implement data quality rules/alerts.Assuming simple rules/alerts/reports to show records with missing GCLID.</t>
    </r>
    <r>
      <rPr>
        <b/>
        <sz val="11"/>
        <color theme="1"/>
        <rFont val="Arial"/>
        <family val="2"/>
      </rPr>
      <t xml:space="preserve">
Estimate: 2-3 hours</t>
    </r>
  </si>
  <si>
    <r>
      <t xml:space="preserve">Assuming we can use the  'Book Viewing" task that is created as part of the existing Leasing journey.  I don't know if the current process incorporates any update on this task to reflect a completed viewing, but perhaps we can assume that if it isn't cancelled then it's completed?  Minor Salesforce work required to expose the GCLID from the Opportunity on the Task object so that Task ID can be connected to GCLID.  Google Ads would need to poll Salesforce (as per existing Google Ads integration) and retrieve Task records with non-null GCLID.   
</t>
    </r>
    <r>
      <rPr>
        <b/>
        <sz val="11"/>
        <color theme="1"/>
        <rFont val="Arial"/>
        <family val="2"/>
      </rPr>
      <t>Estimate: 4-5 hours</t>
    </r>
  </si>
  <si>
    <r>
      <t xml:space="preserve">Assuming we can use the  'Closed Won' Opportunity as a letting event. GCLID already stored on Opportunity after Lead conversion.   Google Ads would need to poll Salesforce (as per existing Google Ads integration) and retrieve Closed Won records with non-null GCLID.   I believe this is already setup in PROD, but may require some tweaking with selection criteria setup in Google. i.e. no Salesforce development required, estimate includes only assistance with Google Ads setup.
</t>
    </r>
    <r>
      <rPr>
        <b/>
        <sz val="11"/>
        <color theme="1"/>
        <rFont val="Arial"/>
        <family val="2"/>
      </rPr>
      <t>Estimate: 1-2 hours</t>
    </r>
  </si>
  <si>
    <t>Errors are most likely to occur on Google Ads side, so would need to be monitored there. Salesforce can be used for exception reports (e.g. show any Lead records from Grainger website that have blank GCLID).  This would already be delivered by the work done for Requirement #1</t>
  </si>
  <si>
    <t>Lower bound</t>
  </si>
  <si>
    <t>Upper bound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</si>
</sst>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theme="1"/>
      <name val="Arial"/>
      <family val="2"/>
    </font>
    <font>
      <sz val="11"/>
      <color theme="8" tint="-0.249977111117893"/>
      <name val="Arial"/>
      <family val="2"/>
    </font>
    <font>
      <b/>
      <sz val="14"/>
      <color theme="8" tint="-0.249977111117893"/>
      <name val="Arial"/>
      <family val="2"/>
    </font>
    <font>
      <sz val="11"/>
      <color theme="0"/>
      <name val="Arial"/>
      <family val="2"/>
    </font>
    <font>
      <b/>
      <sz val="11"/>
      <color theme="1"/>
      <name val="Arial"/>
      <family val="2"/>
    </font>
  </fonts>
  <fills count="5">
    <fill>
      <patternFill patternType="none"/>
    </fill>
    <fill>
      <patternFill patternType="gray125"/>
    </fill>
    <fill>
      <patternFill patternType="solid">
        <fgColor theme="6" tint="0.79998168889431442"/>
        <bgColor theme="6" tint="0.79998168889431442"/>
      </patternFill>
    </fill>
    <fill>
      <patternFill patternType="solid">
        <fgColor rgb="FF002060"/>
        <bgColor indexed="64"/>
      </patternFill>
    </fill>
    <fill>
      <patternFill patternType="solid">
        <fgColor theme="9"/>
        <bgColor indexed="64"/>
      </patternFill>
    </fill>
  </fills>
  <borders count="2">
    <border>
      <left/>
      <right/>
      <top/>
      <bottom/>
      <diagonal/>
    </border>
    <border>
      <left style="thin">
        <color theme="8" tint="-0.499984740745262"/>
      </left>
      <right style="thin">
        <color theme="8" tint="-0.499984740745262"/>
      </right>
      <top style="thin">
        <color theme="8" tint="-0.499984740745262"/>
      </top>
      <bottom style="thin">
        <color theme="8" tint="-0.499984740745262"/>
      </bottom>
      <diagonal/>
    </border>
  </borders>
  <cellStyleXfs count="1">
    <xf numFmtId="0" fontId="0" fillId="0" borderId="0"/>
  </cellStyleXfs>
  <cellXfs count="20">
    <xf numFmtId="0" fontId="0" fillId="0" borderId="0" xfId="0"/>
    <xf numFmtId="0" fontId="1" fillId="0" borderId="0" xfId="0" applyFont="1"/>
    <xf numFmtId="0" fontId="1" fillId="0" borderId="0" xfId="0" applyFont="1" applyAlignment="1">
      <alignment wrapText="1"/>
    </xf>
    <xf numFmtId="0" fontId="2" fillId="0" borderId="0" xfId="0" applyFont="1" applyAlignment="1">
      <alignment horizontal="left"/>
    </xf>
    <xf numFmtId="0" fontId="1" fillId="0" borderId="0" xfId="0" applyFont="1" applyAlignment="1">
      <alignment horizontal="left"/>
    </xf>
    <xf numFmtId="0" fontId="1" fillId="0" borderId="0" xfId="0" applyFont="1" applyAlignment="1">
      <alignment vertical="center"/>
    </xf>
    <xf numFmtId="0" fontId="3" fillId="0" borderId="0" xfId="0" applyFont="1" applyAlignment="1">
      <alignment horizontal="left"/>
    </xf>
    <xf numFmtId="0" fontId="1" fillId="0" borderId="0" xfId="0" applyFont="1" applyAlignment="1">
      <alignment vertical="top"/>
    </xf>
    <xf numFmtId="0" fontId="4" fillId="3" borderId="0" xfId="0" applyFont="1" applyFill="1" applyAlignment="1">
      <alignment horizontal="left" vertical="center"/>
    </xf>
    <xf numFmtId="0" fontId="4" fillId="3" borderId="0" xfId="0" applyFont="1" applyFill="1" applyAlignment="1">
      <alignment vertical="center"/>
    </xf>
    <xf numFmtId="0" fontId="4" fillId="3" borderId="0" xfId="0" applyFont="1" applyFill="1" applyAlignment="1">
      <alignment vertical="center" wrapText="1"/>
    </xf>
    <xf numFmtId="0" fontId="1" fillId="0" borderId="1" xfId="0" applyFont="1" applyBorder="1" applyAlignment="1">
      <alignment vertical="center"/>
    </xf>
    <xf numFmtId="0" fontId="1" fillId="0" borderId="1" xfId="0" applyFont="1" applyBorder="1" applyAlignment="1">
      <alignment vertical="center" wrapText="1"/>
    </xf>
    <xf numFmtId="0" fontId="1" fillId="2" borderId="1" xfId="0" applyFont="1" applyFill="1" applyBorder="1" applyAlignment="1">
      <alignment vertical="center" wrapText="1"/>
    </xf>
    <xf numFmtId="0" fontId="1" fillId="0" borderId="1" xfId="0" applyFont="1" applyBorder="1" applyAlignment="1">
      <alignment horizontal="left" vertical="center" wrapText="1"/>
    </xf>
    <xf numFmtId="0" fontId="1" fillId="0" borderId="0" xfId="0" applyFont="1" applyAlignment="1">
      <alignment horizontal="left" wrapText="1"/>
    </xf>
    <xf numFmtId="0" fontId="4" fillId="3" borderId="0" xfId="0" applyFont="1" applyFill="1" applyAlignment="1">
      <alignment horizontal="center" vertical="center"/>
    </xf>
    <xf numFmtId="0" fontId="1" fillId="0" borderId="1" xfId="0" applyFont="1" applyBorder="1" applyAlignment="1">
      <alignment horizontal="center" vertical="center"/>
    </xf>
    <xf numFmtId="0" fontId="1" fillId="0" borderId="0" xfId="0" applyFont="1" applyAlignment="1">
      <alignment horizontal="center"/>
    </xf>
    <xf numFmtId="0" fontId="4" fillId="4" borderId="0" xfId="0" applyFont="1" applyFill="1" applyAlignment="1">
      <alignment vertical="center" wrapText="1"/>
    </xf>
  </cellXfs>
  <cellStyles count="1">
    <cellStyle name="Normal" xfId="0" builtinId="0"/>
  </cellStyles>
  <dxfs count="9">
    <dxf>
      <font>
        <strike val="0"/>
        <outline val="0"/>
        <shadow val="0"/>
        <vertAlign val="baseline"/>
        <sz val="11"/>
        <name val="Arial"/>
        <family val="2"/>
      </font>
      <fill>
        <patternFill>
          <fgColor indexed="64"/>
          <bgColor auto="1"/>
        </patternFill>
      </fill>
      <alignment horizontal="general" vertical="center" wrapText="1"/>
      <border>
        <left style="thin">
          <color theme="8" tint="-0.499984740745262"/>
        </left>
        <right style="thin">
          <color theme="8" tint="-0.499984740745262"/>
        </right>
        <top style="thin">
          <color theme="8" tint="-0.499984740745262"/>
        </top>
        <bottom style="thin">
          <color theme="8" tint="-0.499984740745262"/>
        </bottom>
        <vertical style="thin">
          <color theme="8" tint="-0.499984740745262"/>
        </vertical>
        <horizontal style="thin">
          <color theme="8" tint="-0.499984740745262"/>
        </horizontal>
      </border>
    </dxf>
    <dxf>
      <font>
        <strike val="0"/>
        <condense val="0"/>
        <extend val="0"/>
        <outline val="0"/>
        <shadow val="0"/>
        <vertAlign val="baseline"/>
        <sz val="11"/>
        <color theme="1"/>
        <name val="Arial"/>
        <family val="2"/>
      </font>
      <alignment horizontal="left" vertical="center" wrapText="1"/>
      <border outline="0">
        <left style="thin">
          <color theme="8" tint="-0.499984740745262"/>
        </left>
        <right style="thin">
          <color theme="8" tint="-0.499984740745262"/>
        </right>
        <top style="thin">
          <color theme="8" tint="-0.499984740745262"/>
        </top>
        <bottom style="thin">
          <color theme="8" tint="-0.499984740745262"/>
        </bottom>
      </border>
    </dxf>
    <dxf>
      <font>
        <strike val="0"/>
        <outline val="0"/>
        <shadow val="0"/>
        <vertAlign val="baseline"/>
        <sz val="11"/>
        <name val="Arial"/>
        <family val="2"/>
      </font>
      <fill>
        <patternFill>
          <fgColor indexed="64"/>
          <bgColor auto="1"/>
        </patternFill>
      </fill>
      <alignment horizontal="general" vertical="center" wrapText="1"/>
      <border>
        <left style="thin">
          <color theme="8" tint="-0.499984740745262"/>
        </left>
        <right style="thin">
          <color theme="8" tint="-0.499984740745262"/>
        </right>
        <top style="thin">
          <color theme="8" tint="-0.499984740745262"/>
        </top>
        <bottom style="thin">
          <color theme="8" tint="-0.499984740745262"/>
        </bottom>
        <vertical style="thin">
          <color theme="8" tint="-0.499984740745262"/>
        </vertical>
        <horizontal style="thin">
          <color theme="8" tint="-0.499984740745262"/>
        </horizontal>
      </border>
    </dxf>
    <dxf>
      <font>
        <strike val="0"/>
        <outline val="0"/>
        <shadow val="0"/>
        <vertAlign val="baseline"/>
        <sz val="11"/>
        <name val="Arial"/>
        <family val="2"/>
      </font>
      <fill>
        <patternFill>
          <fgColor indexed="64"/>
          <bgColor auto="1"/>
        </patternFill>
      </fill>
      <alignment horizontal="general" vertical="center" wrapText="1"/>
      <border>
        <left style="thin">
          <color theme="8" tint="-0.499984740745262"/>
        </left>
        <right style="thin">
          <color theme="8" tint="-0.499984740745262"/>
        </right>
        <top style="thin">
          <color theme="8" tint="-0.499984740745262"/>
        </top>
        <bottom style="thin">
          <color theme="8" tint="-0.499984740745262"/>
        </bottom>
        <vertical style="thin">
          <color theme="8" tint="-0.499984740745262"/>
        </vertical>
        <horizontal style="thin">
          <color theme="8" tint="-0.499984740745262"/>
        </horizontal>
      </border>
    </dxf>
    <dxf>
      <font>
        <strike val="0"/>
        <outline val="0"/>
        <shadow val="0"/>
        <vertAlign val="baseline"/>
        <sz val="11"/>
        <name val="Arial"/>
        <family val="2"/>
      </font>
      <fill>
        <patternFill>
          <fgColor indexed="64"/>
          <bgColor auto="1"/>
        </patternFill>
      </fill>
      <alignment horizontal="general" vertical="center"/>
      <border>
        <left style="thin">
          <color theme="8" tint="-0.499984740745262"/>
        </left>
        <right style="thin">
          <color theme="8" tint="-0.499984740745262"/>
        </right>
        <top style="thin">
          <color theme="8" tint="-0.499984740745262"/>
        </top>
        <bottom style="thin">
          <color theme="8" tint="-0.499984740745262"/>
        </bottom>
        <vertical style="thin">
          <color theme="8" tint="-0.499984740745262"/>
        </vertical>
        <horizontal style="thin">
          <color theme="8" tint="-0.499984740745262"/>
        </horizontal>
      </border>
    </dxf>
    <dxf>
      <font>
        <strike val="0"/>
        <outline val="0"/>
        <shadow val="0"/>
        <vertAlign val="baseline"/>
        <sz val="11"/>
        <name val="Arial"/>
        <family val="2"/>
      </font>
      <fill>
        <patternFill>
          <fgColor indexed="64"/>
          <bgColor auto="1"/>
        </patternFill>
      </fill>
      <alignment horizontal="general" vertical="center"/>
      <border>
        <left style="thin">
          <color theme="8" tint="-0.499984740745262"/>
        </left>
        <right style="thin">
          <color theme="8" tint="-0.499984740745262"/>
        </right>
        <top style="thin">
          <color theme="8" tint="-0.499984740745262"/>
        </top>
        <bottom style="thin">
          <color theme="8" tint="-0.499984740745262"/>
        </bottom>
        <vertical style="thin">
          <color theme="8" tint="-0.499984740745262"/>
        </vertical>
        <horizontal style="thin">
          <color theme="8" tint="-0.499984740745262"/>
        </horizontal>
      </border>
    </dxf>
    <dxf>
      <font>
        <strike val="0"/>
        <outline val="0"/>
        <shadow val="0"/>
        <vertAlign val="baseline"/>
        <sz val="11"/>
        <name val="Arial"/>
        <family val="2"/>
      </font>
      <fill>
        <patternFill>
          <fgColor indexed="64"/>
          <bgColor auto="1"/>
        </patternFill>
      </fill>
      <alignment horizontal="center" vertical="center"/>
      <border outline="0">
        <left style="thin">
          <color theme="8" tint="-0.499984740745262"/>
        </left>
        <right style="thin">
          <color theme="8" tint="-0.499984740745262"/>
        </right>
        <top style="thin">
          <color theme="8" tint="-0.499984740745262"/>
        </top>
        <bottom style="thin">
          <color theme="8" tint="-0.499984740745262"/>
        </bottom>
      </border>
    </dxf>
    <dxf>
      <font>
        <strike val="0"/>
        <outline val="0"/>
        <shadow val="0"/>
        <vertAlign val="baseline"/>
        <sz val="11"/>
        <name val="Arial"/>
        <family val="2"/>
      </font>
      <fill>
        <patternFill>
          <fgColor indexed="64"/>
          <bgColor auto="1"/>
        </patternFill>
      </fill>
      <alignment horizontal="general" vertical="center"/>
    </dxf>
    <dxf>
      <font>
        <strike val="0"/>
        <outline val="0"/>
        <shadow val="0"/>
        <vertAlign val="baseline"/>
        <sz val="11"/>
        <color theme="0"/>
        <name val="Arial"/>
        <family val="2"/>
      </font>
      <fill>
        <patternFill patternType="solid">
          <fgColor indexed="64"/>
          <bgColor rgb="FF002060"/>
        </patternFill>
      </fill>
      <alignment vertic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 Id="rId9" Type="http://schemas.openxmlformats.org/officeDocument/2006/relationships/customXml" Target="../customXml/item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2" displayName="Table2" ref="B5:H11" totalsRowShown="0" headerRowDxfId="8" dataDxfId="7">
  <tableColumns count="7">
    <tableColumn id="1" xr3:uid="{00000000-0010-0000-0000-000001000000}" name="No. " dataDxfId="6"/>
    <tableColumn id="7" xr3:uid="{00000000-0010-0000-0000-000007000000}" name="Rating/ Priority (MosCoW)" dataDxfId="5"/>
    <tableColumn id="2" xr3:uid="{00000000-0010-0000-0000-000002000000}" name="Epic (Grouping)" dataDxfId="4"/>
    <tableColumn id="4" xr3:uid="{00000000-0010-0000-0000-000004000000}" name="User Story" dataDxfId="3"/>
    <tableColumn id="5" xr3:uid="{00000000-0010-0000-0000-000005000000}" name="Acceptance Criteria" dataDxfId="2"/>
    <tableColumn id="3" xr3:uid="{00000000-0010-0000-0000-000003000000}" name="Test Script (Jira Ref, if applicable)" dataDxfId="1"/>
    <tableColumn id="8" xr3:uid="{00000000-0010-0000-0000-000008000000}" name="Internal Notes" dataDxfId="0"/>
  </tableColumns>
  <tableStyleInfo name="TableStyleMedium4"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2:K19"/>
  <sheetViews>
    <sheetView showGridLines="0" tabSelected="1" topLeftCell="F1" zoomScale="85" zoomScaleNormal="85" workbookViewId="0">
      <selection activeCell="J20" sqref="J20"/>
    </sheetView>
  </sheetViews>
  <sheetFormatPr baseColWidth="10" defaultColWidth="8.83203125" defaultRowHeight="14" x14ac:dyDescent="0.15"/>
  <cols>
    <col min="1" max="1" width="4.5" style="1" customWidth="1"/>
    <col min="2" max="2" width="5.5" style="18" customWidth="1"/>
    <col min="3" max="3" width="26.5" style="1" bestFit="1" customWidth="1"/>
    <col min="4" max="4" width="28.83203125" style="1" bestFit="1" customWidth="1"/>
    <col min="5" max="5" width="51.5" style="1" bestFit="1" customWidth="1"/>
    <col min="6" max="6" width="66.5" style="2" customWidth="1"/>
    <col min="7" max="7" width="36" style="15" customWidth="1"/>
    <col min="8" max="8" width="38" style="1" customWidth="1"/>
    <col min="9" max="9" width="1.5" style="1" customWidth="1"/>
    <col min="10" max="10" width="31.5" style="1" customWidth="1"/>
    <col min="11" max="11" width="62.1640625" style="2" customWidth="1"/>
    <col min="12" max="16384" width="8.83203125" style="1"/>
  </cols>
  <sheetData>
    <row r="2" spans="2:11" ht="18" customHeight="1" x14ac:dyDescent="0.2">
      <c r="B2" s="6" t="s">
        <v>42</v>
      </c>
    </row>
    <row r="3" spans="2:11" x14ac:dyDescent="0.15">
      <c r="B3" s="3" t="s">
        <v>0</v>
      </c>
    </row>
    <row r="4" spans="2:11" x14ac:dyDescent="0.15">
      <c r="B4" s="4"/>
    </row>
    <row r="5" spans="2:11" s="7" customFormat="1" ht="28.5" customHeight="1" x14ac:dyDescent="0.2">
      <c r="B5" s="16" t="s">
        <v>1</v>
      </c>
      <c r="C5" s="9" t="s">
        <v>2</v>
      </c>
      <c r="D5" s="9" t="s">
        <v>3</v>
      </c>
      <c r="E5" s="9" t="s">
        <v>4</v>
      </c>
      <c r="F5" s="9" t="s">
        <v>5</v>
      </c>
      <c r="G5" s="8" t="s">
        <v>6</v>
      </c>
      <c r="H5" s="9" t="s">
        <v>7</v>
      </c>
      <c r="I5" s="5"/>
      <c r="J5" s="10" t="s">
        <v>8</v>
      </c>
      <c r="K5" s="19" t="s">
        <v>43</v>
      </c>
    </row>
    <row r="6" spans="2:11" ht="75" x14ac:dyDescent="0.15">
      <c r="B6" s="17">
        <v>1</v>
      </c>
      <c r="C6" s="11" t="s">
        <v>9</v>
      </c>
      <c r="D6" s="12" t="s">
        <v>10</v>
      </c>
      <c r="E6" s="12" t="s">
        <v>11</v>
      </c>
      <c r="F6" s="12" t="s">
        <v>12</v>
      </c>
      <c r="G6" s="14" t="s">
        <v>13</v>
      </c>
      <c r="H6" s="12" t="s">
        <v>14</v>
      </c>
      <c r="J6" s="13" t="s">
        <v>15</v>
      </c>
      <c r="K6" s="13" t="s">
        <v>46</v>
      </c>
    </row>
    <row r="7" spans="2:11" ht="45" x14ac:dyDescent="0.15">
      <c r="B7" s="17">
        <v>2</v>
      </c>
      <c r="C7" s="11" t="s">
        <v>9</v>
      </c>
      <c r="D7" s="11" t="s">
        <v>10</v>
      </c>
      <c r="E7" s="12" t="s">
        <v>16</v>
      </c>
      <c r="F7" s="12" t="s">
        <v>17</v>
      </c>
      <c r="G7" s="14" t="s">
        <v>18</v>
      </c>
      <c r="H7" s="12" t="s">
        <v>19</v>
      </c>
      <c r="J7" s="12" t="s">
        <v>20</v>
      </c>
      <c r="K7" s="12" t="s">
        <v>44</v>
      </c>
    </row>
    <row r="8" spans="2:11" ht="75" x14ac:dyDescent="0.15">
      <c r="B8" s="17">
        <v>3</v>
      </c>
      <c r="C8" s="11" t="s">
        <v>9</v>
      </c>
      <c r="D8" s="11" t="s">
        <v>21</v>
      </c>
      <c r="E8" s="12" t="s">
        <v>22</v>
      </c>
      <c r="F8" s="12" t="s">
        <v>23</v>
      </c>
      <c r="G8" s="14" t="s">
        <v>24</v>
      </c>
      <c r="H8" s="12" t="s">
        <v>25</v>
      </c>
      <c r="J8" s="13" t="s">
        <v>26</v>
      </c>
      <c r="K8" s="13" t="s">
        <v>45</v>
      </c>
    </row>
    <row r="9" spans="2:11" ht="135" x14ac:dyDescent="0.15">
      <c r="B9" s="17">
        <v>4</v>
      </c>
      <c r="C9" s="11" t="s">
        <v>9</v>
      </c>
      <c r="D9" s="11" t="s">
        <v>21</v>
      </c>
      <c r="E9" s="12" t="s">
        <v>27</v>
      </c>
      <c r="F9" s="12" t="s">
        <v>28</v>
      </c>
      <c r="G9" s="14" t="s">
        <v>29</v>
      </c>
      <c r="H9" s="12" t="s">
        <v>30</v>
      </c>
      <c r="J9" s="12" t="s">
        <v>41</v>
      </c>
      <c r="K9" s="12" t="s">
        <v>47</v>
      </c>
    </row>
    <row r="10" spans="2:11" ht="120" x14ac:dyDescent="0.15">
      <c r="B10" s="17">
        <v>5</v>
      </c>
      <c r="C10" s="11" t="s">
        <v>9</v>
      </c>
      <c r="D10" s="11" t="s">
        <v>21</v>
      </c>
      <c r="E10" s="12" t="s">
        <v>31</v>
      </c>
      <c r="F10" s="12" t="s">
        <v>32</v>
      </c>
      <c r="G10" s="14" t="s">
        <v>33</v>
      </c>
      <c r="H10" s="12" t="s">
        <v>34</v>
      </c>
      <c r="J10" s="13" t="s">
        <v>41</v>
      </c>
      <c r="K10" s="13" t="s">
        <v>48</v>
      </c>
    </row>
    <row r="11" spans="2:11" ht="69.75" customHeight="1" x14ac:dyDescent="0.15">
      <c r="B11" s="17">
        <v>6</v>
      </c>
      <c r="C11" s="11" t="s">
        <v>9</v>
      </c>
      <c r="D11" s="11" t="s">
        <v>35</v>
      </c>
      <c r="E11" s="12" t="s">
        <v>36</v>
      </c>
      <c r="F11" s="12" t="s">
        <v>37</v>
      </c>
      <c r="G11" s="14" t="s">
        <v>38</v>
      </c>
      <c r="H11" s="12" t="s">
        <v>39</v>
      </c>
      <c r="J11" s="12" t="s">
        <v>40</v>
      </c>
      <c r="K11" s="12" t="s">
        <v>49</v>
      </c>
    </row>
    <row r="18" spans="10:11" x14ac:dyDescent="0.15">
      <c r="J18" s="1" t="s">
        <v>50</v>
      </c>
      <c r="K18" s="2">
        <f>2+2+4+1</f>
        <v>9</v>
      </c>
    </row>
    <row r="19" spans="10:11" x14ac:dyDescent="0.15">
      <c r="J19" s="1" t="s">
        <v>51</v>
      </c>
      <c r="K19" s="2">
        <f>3+3+5+2</f>
        <v>13</v>
      </c>
    </row>
  </sheetData>
  <pageMargins left="0.70866141732283472" right="0.70866141732283472" top="0.74803149606299213" bottom="0.74803149606299213" header="0.31496062992125978" footer="0.31496062992125978"/>
  <pageSetup paperSize="9" scale="44" orientation="landscape"/>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Client Project Document" ma:contentTypeID="0x010100B16301FA1C2D5E4DB9305F31D037531D0207030047E0126EE26B68468E30FEE8ADFBCCCC" ma:contentTypeVersion="3" ma:contentTypeDescription="A document associated with a project for a client." ma:contentTypeScope="" ma:versionID="268f348e925944570301af8ff2adc885">
  <xsd:schema xmlns:xsd="http://www.w3.org/2001/XMLSchema" xmlns:xs="http://www.w3.org/2001/XMLSchema" xmlns:p="http://schemas.microsoft.com/office/2006/metadata/properties" xmlns:ns2="1ffbd5dc-7a64-4097-8396-87f6c90b212f" targetNamespace="http://schemas.microsoft.com/office/2006/metadata/properties" ma:root="true" ma:fieldsID="93b052738fdbaae4d27c6d5b8c67869a" ns2:_="">
    <xsd:import namespace="1ffbd5dc-7a64-4097-8396-87f6c90b212f"/>
    <xsd:element name="properties">
      <xsd:complexType>
        <xsd:sequence>
          <xsd:element name="documentManagement">
            <xsd:complexType>
              <xsd:all>
                <xsd:element ref="ns2:TaxCatchAll" minOccurs="0"/>
                <xsd:element ref="ns2:TaxCatchAllLabel" minOccurs="0"/>
                <xsd:element ref="ns2:nae5750f31d8428b9a1182bd8e59d390" minOccurs="0"/>
                <xsd:element ref="ns2:ica44df5449d49f98766f83f0bd254a7" minOccurs="0"/>
                <xsd:element ref="ns2:f0dc22cb723843c1bfbb2e8bcc9db6e4" minOccurs="0"/>
                <xsd:element ref="ns2:k6ebf865df8440b3a55c1aa81c9bae7c"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ffbd5dc-7a64-4097-8396-87f6c90b212f"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45250ea2-cfef-416b-9e22-46de40794d29}" ma:internalName="TaxCatchAll" ma:showField="CatchAllData" ma:web="025eec05-af72-44fb-9d53-267083c6e741">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hidden="true" ma:list="{45250ea2-cfef-416b-9e22-46de40794d29}" ma:internalName="TaxCatchAllLabel" ma:readOnly="true" ma:showField="CatchAllDataLabel" ma:web="025eec05-af72-44fb-9d53-267083c6e741">
      <xsd:complexType>
        <xsd:complexContent>
          <xsd:extension base="dms:MultiChoiceLookup">
            <xsd:sequence>
              <xsd:element name="Value" type="dms:Lookup" maxOccurs="unbounded" minOccurs="0" nillable="true"/>
            </xsd:sequence>
          </xsd:extension>
        </xsd:complexContent>
      </xsd:complexType>
    </xsd:element>
    <xsd:element name="nae5750f31d8428b9a1182bd8e59d390" ma:index="10" ma:taxonomy="true" ma:internalName="nae5750f31d8428b9a1182bd8e59d390" ma:taxonomyFieldName="Division" ma:displayName="Division" ma:readOnly="false" ma:default="1;#Custom Software|cecfb662-fc63-4c9e-b6e4-2e3797fe6f4f" ma:fieldId="{7ae5750f-31d8-428b-9a11-82bd8e59d390}" ma:sspId="5676dd91-060c-4b71-810a-dbdca5582071" ma:termSetId="32b39d25-b397-4982-8e8d-74d5df186044" ma:anchorId="00000000-0000-0000-0000-000000000000" ma:open="false" ma:isKeyword="false">
      <xsd:complexType>
        <xsd:sequence>
          <xsd:element ref="pc:Terms" minOccurs="0" maxOccurs="1"/>
        </xsd:sequence>
      </xsd:complexType>
    </xsd:element>
    <xsd:element name="ica44df5449d49f98766f83f0bd254a7" ma:index="12" ma:taxonomy="true" ma:internalName="ica44df5449d49f98766f83f0bd254a7" ma:taxonomyFieldName="Client" ma:displayName="Client" ma:default="6;#Grainger PLC|a74f1cb5-e995-4f9e-8521-6d52e2c6bf08" ma:fieldId="{2ca44df5-449d-49f9-8766-f83f0bd254a7}" ma:sspId="5676dd91-060c-4b71-810a-dbdca5582071" ma:termSetId="26f19758-7225-4257-8796-285d454d16a6" ma:anchorId="00000000-0000-0000-0000-000000000000" ma:open="false" ma:isKeyword="false">
      <xsd:complexType>
        <xsd:sequence>
          <xsd:element ref="pc:Terms" minOccurs="0" maxOccurs="1"/>
        </xsd:sequence>
      </xsd:complexType>
    </xsd:element>
    <xsd:element name="f0dc22cb723843c1bfbb2e8bcc9db6e4" ma:index="14" nillable="true" ma:taxonomy="true" ma:internalName="f0dc22cb723843c1bfbb2e8bcc9db6e4" ma:taxonomyFieldName="Client_x0020_Project" ma:displayName="Client Application" ma:default="" ma:fieldId="{f0dc22cb-7238-43c1-bfbb-2e8bcc9db6e4}" ma:sspId="5676dd91-060c-4b71-810a-dbdca5582071" ma:termSetId="503923a6-a4d2-4c0f-8ec0-fee4966b50a0" ma:anchorId="00000000-0000-0000-0000-000000000000" ma:open="false" ma:isKeyword="false">
      <xsd:complexType>
        <xsd:sequence>
          <xsd:element ref="pc:Terms" minOccurs="0" maxOccurs="1"/>
        </xsd:sequence>
      </xsd:complexType>
    </xsd:element>
    <xsd:element name="k6ebf865df8440b3a55c1aa81c9bae7c" ma:index="16" nillable="true" ma:taxonomy="true" ma:internalName="k6ebf865df8440b3a55c1aa81c9bae7c" ma:taxonomyFieldName="Project_x0020_Document_x0020_Type" ma:displayName="Project Document Type" ma:default="4;#Generic Project Document|258c2ed6-b93b-4ffe-8901-a23f2dc98ec9" ma:fieldId="{46ebf865-df84-40b3-a55c-1aa81c9bae7c}" ma:sspId="5676dd91-060c-4b71-810a-dbdca5582071" ma:termSetId="79e5d870-6e8b-4a88-8554-c2a1e06e1585" ma:anchorId="00000000-0000-0000-0000-000000000000" ma:open="fals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5676dd91-060c-4b71-810a-dbdca5582071" ContentTypeId="0x010100B16301FA1C2D5E4DB9305F31D037531D020703" PreviousValue="false"/>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nae5750f31d8428b9a1182bd8e59d390 xmlns="1ffbd5dc-7a64-4097-8396-87f6c90b212f">
      <Terms xmlns="http://schemas.microsoft.com/office/infopath/2007/PartnerControls">
        <TermInfo xmlns="http://schemas.microsoft.com/office/infopath/2007/PartnerControls">
          <TermName xmlns="http://schemas.microsoft.com/office/infopath/2007/PartnerControls">Enterprise Solutions</TermName>
          <TermId xmlns="http://schemas.microsoft.com/office/infopath/2007/PartnerControls">08c57b01-67e8-4a4f-abc6-ffb3392ace7f</TermId>
        </TermInfo>
      </Terms>
    </nae5750f31d8428b9a1182bd8e59d390>
    <k6ebf865df8440b3a55c1aa81c9bae7c xmlns="1ffbd5dc-7a64-4097-8396-87f6c90b212f">
      <Terms xmlns="http://schemas.microsoft.com/office/infopath/2007/PartnerControls">
        <TermInfo xmlns="http://schemas.microsoft.com/office/infopath/2007/PartnerControls">
          <TermName xmlns="http://schemas.microsoft.com/office/infopath/2007/PartnerControls">Generic Project Document</TermName>
          <TermId xmlns="http://schemas.microsoft.com/office/infopath/2007/PartnerControls">258c2ed6-b93b-4ffe-8901-a23f2dc98ec9</TermId>
        </TermInfo>
      </Terms>
    </k6ebf865df8440b3a55c1aa81c9bae7c>
    <f0dc22cb723843c1bfbb2e8bcc9db6e4 xmlns="1ffbd5dc-7a64-4097-8396-87f6c90b212f">
      <Terms xmlns="http://schemas.microsoft.com/office/infopath/2007/PartnerControls"/>
    </f0dc22cb723843c1bfbb2e8bcc9db6e4>
    <TaxCatchAll xmlns="1ffbd5dc-7a64-4097-8396-87f6c90b212f">
      <Value>6</Value>
      <Value>5</Value>
      <Value>4</Value>
    </TaxCatchAll>
    <ica44df5449d49f98766f83f0bd254a7 xmlns="1ffbd5dc-7a64-4097-8396-87f6c90b212f">
      <Terms xmlns="http://schemas.microsoft.com/office/infopath/2007/PartnerControls">
        <TermInfo xmlns="http://schemas.microsoft.com/office/infopath/2007/PartnerControls">
          <TermName xmlns="http://schemas.microsoft.com/office/infopath/2007/PartnerControls">Grainger PLC</TermName>
          <TermId xmlns="http://schemas.microsoft.com/office/infopath/2007/PartnerControls">a74f1cb5-e995-4f9e-8521-6d52e2c6bf08</TermId>
        </TermInfo>
      </Terms>
    </ica44df5449d49f98766f83f0bd254a7>
  </documentManagement>
</p:properties>
</file>

<file path=customXml/itemProps1.xml><?xml version="1.0" encoding="utf-8"?>
<ds:datastoreItem xmlns:ds="http://schemas.openxmlformats.org/officeDocument/2006/customXml" ds:itemID="{73E67139-D12E-4FB3-989E-0D31EB1E5AA6}"/>
</file>

<file path=customXml/itemProps2.xml><?xml version="1.0" encoding="utf-8"?>
<ds:datastoreItem xmlns:ds="http://schemas.openxmlformats.org/officeDocument/2006/customXml" ds:itemID="{C29F8C52-620C-4ED7-9295-DD4BC4EDB9CC}"/>
</file>

<file path=customXml/itemProps3.xml><?xml version="1.0" encoding="utf-8"?>
<ds:datastoreItem xmlns:ds="http://schemas.openxmlformats.org/officeDocument/2006/customXml" ds:itemID="{1FB37CF0-7ECC-4341-BB0E-BD200B0B5C03}"/>
</file>

<file path=customXml/itemProps4.xml><?xml version="1.0" encoding="utf-8"?>
<ds:datastoreItem xmlns:ds="http://schemas.openxmlformats.org/officeDocument/2006/customXml" ds:itemID="{001F8C12-78B9-4691-A88C-A18679462F6F}"/>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Requirements</vt:lpstr>
      <vt:lpstr>Requirements!Print_Area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Jacob Smycz</dc:creator>
  <cp:lastModifiedBy>Sam Duncan</cp:lastModifiedBy>
  <dcterms:created xsi:type="dcterms:W3CDTF">2023-09-15T08:13:32Z</dcterms:created>
  <dcterms:modified xsi:type="dcterms:W3CDTF">2025-11-28T14:36:31Z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0x010100B16301FA1C2D5E4DB9305F31D037531D0207030047E0126EE26B68468E30FEE8ADFBCCCC</vt:lpwstr>
  </property>
  <property fmtid="{D5CDD505-2E9C-101B-9397-08002B2CF9AE}" pid="3" name="MediaServiceImageTags">
    <vt:lpwstr/>
  </property>
  <property fmtid="{D5CDD505-2E9C-101B-9397-08002B2CF9AE}" pid="4" name="checksum">
    <vt:filetime>2024-02-16T16:17:38Z</vt:filetime>
  </property>
  <property fmtid="{D5CDD505-2E9C-101B-9397-08002B2CF9AE}" pid="5" name="Project Document Type">
    <vt:lpwstr>4;#Generic Project Document|258c2ed6-b93b-4ffe-8901-a23f2dc98ec9</vt:lpwstr>
  </property>
  <property fmtid="{D5CDD505-2E9C-101B-9397-08002B2CF9AE}" pid="6" name="lcf76f155ced4ddcb4097134ff3c332f">
    <vt:lpwstr/>
  </property>
  <property fmtid="{D5CDD505-2E9C-101B-9397-08002B2CF9AE}" pid="7" name="Project_x0020_Document_x0020_Type">
    <vt:lpwstr>4;#Generic Project Document|258c2ed6-b93b-4ffe-8901-a23f2dc98ec9</vt:lpwstr>
  </property>
  <property fmtid="{D5CDD505-2E9C-101B-9397-08002B2CF9AE}" pid="8" name="Division">
    <vt:lpwstr>5;#Enterprise Solutions|08c57b01-67e8-4a4f-abc6-ffb3392ace7f</vt:lpwstr>
  </property>
  <property fmtid="{D5CDD505-2E9C-101B-9397-08002B2CF9AE}" pid="9" name="Client_x0020_Project">
    <vt:lpwstr/>
  </property>
  <property fmtid="{D5CDD505-2E9C-101B-9397-08002B2CF9AE}" pid="10" name="Client">
    <vt:lpwstr>6;#Grainger PLC|a74f1cb5-e995-4f9e-8521-6d52e2c6bf08</vt:lpwstr>
  </property>
  <property fmtid="{D5CDD505-2E9C-101B-9397-08002B2CF9AE}" pid="11" name="Client Project">
    <vt:lpwstr/>
  </property>
</Properties>
</file>