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Salesforce/Touchpoint Survey Rebuild/01. Sales/"/>
    </mc:Choice>
  </mc:AlternateContent>
  <xr:revisionPtr revIDLastSave="442" documentId="8_{FBE3DEF7-5AEC-8A47-AB85-81D5D0E52365}" xr6:coauthVersionLast="47" xr6:coauthVersionMax="47" xr10:uidLastSave="{25D32A5F-7120-9C42-B158-A179B7B6B79B}"/>
  <bookViews>
    <workbookView xWindow="2540" yWindow="1700" windowWidth="29400" windowHeight="18900" xr2:uid="{C759EEDD-7E8F-E643-AB5C-F2F158F0C2A6}"/>
  </bookViews>
  <sheets>
    <sheet name="Estimate" sheetId="1" r:id="rId1"/>
    <sheet name="Actuals" sheetId="2" r:id="rId2"/>
    <sheet name="Timelin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C5" i="1"/>
  <c r="D5" i="1"/>
  <c r="C6" i="1"/>
  <c r="D6" i="1"/>
  <c r="C7" i="1"/>
  <c r="D7" i="1"/>
  <c r="C9" i="1"/>
  <c r="D9" i="1"/>
  <c r="G3" i="1"/>
  <c r="C3" i="1" s="1"/>
  <c r="H3" i="1"/>
  <c r="D3" i="1" s="1"/>
  <c r="G4" i="1"/>
  <c r="H4" i="1"/>
  <c r="G5" i="1"/>
  <c r="H5" i="1"/>
  <c r="G6" i="1"/>
  <c r="H6" i="1"/>
  <c r="G7" i="1"/>
  <c r="H7" i="1"/>
  <c r="G8" i="1"/>
  <c r="C8" i="1" s="1"/>
  <c r="H8" i="1"/>
  <c r="D8" i="1" s="1"/>
  <c r="G9" i="1"/>
  <c r="H9" i="1"/>
  <c r="H2" i="1"/>
  <c r="D2" i="1" s="1"/>
  <c r="G2" i="1"/>
  <c r="C2" i="1" s="1"/>
  <c r="E12" i="2"/>
  <c r="F11" i="2"/>
  <c r="E7" i="2"/>
  <c r="E8" i="2"/>
  <c r="G7" i="2"/>
  <c r="G5" i="2"/>
  <c r="G4" i="2"/>
  <c r="G3" i="2"/>
  <c r="C3" i="2"/>
  <c r="C7" i="2"/>
  <c r="F7" i="2"/>
  <c r="F5" i="2"/>
  <c r="F4" i="2"/>
  <c r="F3" i="2"/>
  <c r="H10" i="1" l="1"/>
  <c r="K10" i="1" s="1"/>
  <c r="G10" i="1"/>
  <c r="C10" i="1"/>
  <c r="D10" i="1"/>
  <c r="B10" i="1" l="1"/>
  <c r="J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Shaun Barrett</author>
  </authors>
  <commentList>
    <comment ref="E8" authorId="0" shapeId="0" xr:uid="{07330F08-7607-4AAE-8B66-B6F500DF3BDD}">
      <text>
        <r>
          <rPr>
            <b/>
            <sz val="9"/>
            <color indexed="81"/>
            <rFont val="Tahoma"/>
            <family val="2"/>
          </rPr>
          <t>Shaun Barrett:</t>
        </r>
        <r>
          <rPr>
            <sz val="9"/>
            <color indexed="81"/>
            <rFont val="Tahoma"/>
            <family val="2"/>
          </rPr>
          <t xml:space="preserve">
What we should have invoiced for our effort</t>
        </r>
      </text>
    </comment>
    <comment ref="E12" authorId="0" shapeId="0" xr:uid="{EF5D14D0-DCBE-4C7E-9A5A-7D4054D17DFC}">
      <text>
        <r>
          <rPr>
            <b/>
            <sz val="9"/>
            <color indexed="81"/>
            <rFont val="Tahoma"/>
            <family val="2"/>
          </rPr>
          <t>Shaun Barrett:</t>
        </r>
        <r>
          <rPr>
            <sz val="9"/>
            <color indexed="81"/>
            <rFont val="Tahoma"/>
            <family val="2"/>
          </rPr>
          <t xml:space="preserve">
What we should have invoiced for our effort</t>
        </r>
      </text>
    </comment>
  </commentList>
</comments>
</file>

<file path=xl/sharedStrings.xml><?xml version="1.0" encoding="utf-8"?>
<sst xmlns="http://schemas.openxmlformats.org/spreadsheetml/2006/main" count="85" uniqueCount="66">
  <si>
    <t>Phase</t>
  </si>
  <si>
    <t>Hours</t>
  </si>
  <si>
    <t>Lower Bound</t>
  </si>
  <si>
    <t>Upper Bound</t>
  </si>
  <si>
    <t>Analysis</t>
  </si>
  <si>
    <t>8-10</t>
  </si>
  <si>
    <t>Build</t>
  </si>
  <si>
    <t>Project Management</t>
  </si>
  <si>
    <t>UAT</t>
  </si>
  <si>
    <t>Total</t>
  </si>
  <si>
    <t>Total Hours</t>
  </si>
  <si>
    <t>Prod Support</t>
  </si>
  <si>
    <t>Re-Estimate</t>
  </si>
  <si>
    <t>Delivery (Analysis, Build, PM)</t>
  </si>
  <si>
    <t>Estimate</t>
  </si>
  <si>
    <t>Actuals</t>
  </si>
  <si>
    <t>Challenges</t>
  </si>
  <si>
    <t>UAT approach required more effort</t>
  </si>
  <si>
    <t>UAT identified issues that we could not pick up in QA</t>
  </si>
  <si>
    <t>several validation rules are preventing certain lead/contact records from being updated</t>
  </si>
  <si>
    <t>Change Control 1</t>
  </si>
  <si>
    <t>Re-estimated on 23 July (due to the stop/start nature of this project, along with the additional effort needed to assist with UAT)</t>
  </si>
  <si>
    <t>Weekly Prod BackUps</t>
  </si>
  <si>
    <t>Util (Original)</t>
  </si>
  <si>
    <t>Util (Re-Estimate)</t>
  </si>
  <si>
    <t>No documentation accounted for in original estimate or re-estimate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</si>
  <si>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</si>
  <si>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</si>
  <si>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</si>
  <si>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</si>
  <si>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</si>
  <si>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</si>
  <si>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</si>
  <si>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</si>
  <si>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</si>
  <si>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</si>
  <si>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</si>
  <si>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</si>
  <si>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Hypercare</t>
  </si>
  <si>
    <t>Cost Estimates and "Actuals"</t>
  </si>
  <si>
    <t>SOW</t>
  </si>
  <si>
    <t>Actual</t>
  </si>
  <si>
    <t>Week 13</t>
  </si>
  <si>
    <t>Week 14</t>
  </si>
  <si>
    <t>Week 15</t>
  </si>
  <si>
    <t>Week 16</t>
  </si>
  <si>
    <t>Week 17</t>
  </si>
  <si>
    <t>Week 18</t>
  </si>
  <si>
    <t>Week 19</t>
  </si>
  <si>
    <t>Prod</t>
  </si>
  <si>
    <t xml:space="preserve">Timelines were pushed out </t>
  </si>
  <si>
    <t>Production deployment and post go-live support</t>
  </si>
  <si>
    <t>Build - Salesforce</t>
  </si>
  <si>
    <t>Build - Marketing Cloud</t>
  </si>
  <si>
    <t>40-60</t>
  </si>
  <si>
    <t>20-30</t>
  </si>
  <si>
    <t>10-15</t>
  </si>
  <si>
    <t>Lower</t>
  </si>
  <si>
    <t>Upper</t>
  </si>
  <si>
    <t>total</t>
  </si>
  <si>
    <t>Rate</t>
  </si>
  <si>
    <t>Build - Assisting Grainger as required with recreating historical survey data (T&amp;M @ £150/hour)</t>
  </si>
  <si>
    <t>Refinement &amp; Analysis</t>
  </si>
  <si>
    <t>12-16</t>
  </si>
  <si>
    <t>Build - Form Assembly (5 forms)</t>
  </si>
  <si>
    <t>80-100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</si>
</sst>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_-;\-[$£-809]* #,##0_-;_-[$£-809]* &quot;-&quot;??_-;_-@_-"/>
    <numFmt numFmtId="165" formatCode="[$£-809]#,##0.00"/>
  </numFmts>
  <fonts count="8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justify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justify" vertical="center"/>
    </xf>
    <xf numFmtId="0" fontId="2" fillId="3" borderId="5" xfId="0" applyFont="1" applyFill="1" applyBorder="1" applyAlignment="1">
      <alignment horizontal="justify" vertical="center"/>
    </xf>
    <xf numFmtId="0" fontId="2" fillId="3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justify" vertical="center"/>
    </xf>
    <xf numFmtId="164" fontId="1" fillId="0" borderId="4" xfId="0" applyNumberFormat="1" applyFont="1" applyBorder="1" applyAlignment="1">
      <alignment horizontal="right" vertical="center"/>
    </xf>
    <xf numFmtId="164" fontId="2" fillId="3" borderId="6" xfId="0" applyNumberFormat="1" applyFont="1" applyFill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/>
    </xf>
    <xf numFmtId="0" fontId="0" fillId="0" borderId="7" xfId="0" applyBorder="1"/>
    <xf numFmtId="0" fontId="3" fillId="0" borderId="7" xfId="0" applyFont="1" applyBorder="1"/>
    <xf numFmtId="0" fontId="3" fillId="0" borderId="0" xfId="0" applyFont="1"/>
    <xf numFmtId="9" fontId="0" fillId="0" borderId="7" xfId="1" applyFont="1" applyBorder="1"/>
    <xf numFmtId="0" fontId="0" fillId="0" borderId="0" xfId="0" applyAlignment="1">
      <alignment horizontal="left" indent="2"/>
    </xf>
    <xf numFmtId="0" fontId="3" fillId="4" borderId="7" xfId="0" applyFont="1" applyFill="1" applyBorder="1" applyAlignment="1">
      <alignment horizontal="right"/>
    </xf>
    <xf numFmtId="16" fontId="3" fillId="4" borderId="7" xfId="0" applyNumberFormat="1" applyFont="1" applyFill="1" applyBorder="1" applyAlignment="1">
      <alignment horizontal="right"/>
    </xf>
    <xf numFmtId="0" fontId="3" fillId="0" borderId="8" xfId="0" applyFont="1" applyBorder="1"/>
    <xf numFmtId="9" fontId="3" fillId="0" borderId="8" xfId="1" applyFont="1" applyBorder="1"/>
    <xf numFmtId="165" fontId="0" fillId="0" borderId="7" xfId="0" applyNumberFormat="1" applyBorder="1"/>
    <xf numFmtId="0" fontId="3" fillId="4" borderId="7" xfId="0" applyFont="1" applyFill="1" applyBorder="1"/>
    <xf numFmtId="0" fontId="0" fillId="4" borderId="7" xfId="0" applyFill="1" applyBorder="1"/>
    <xf numFmtId="0" fontId="0" fillId="2" borderId="7" xfId="0" applyFill="1" applyBorder="1"/>
    <xf numFmtId="0" fontId="0" fillId="5" borderId="7" xfId="0" applyFill="1" applyBorder="1"/>
    <xf numFmtId="0" fontId="3" fillId="5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49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12</xdr:row>
      <xdr:rowOff>161925</xdr:rowOff>
    </xdr:from>
    <xdr:to>
      <xdr:col>8</xdr:col>
      <xdr:colOff>5764424</xdr:colOff>
      <xdr:row>25</xdr:row>
      <xdr:rowOff>19393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537E9-F2C3-5BAA-3CC5-EC2019744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2466975"/>
          <a:ext cx="12889124" cy="2457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DB89-51BC-CB41-8E68-0C3F95F21058}">
  <dimension ref="A1:K11"/>
  <sheetViews>
    <sheetView tabSelected="1" zoomScale="110" zoomScaleNormal="110" workbookViewId="0">
      <selection activeCell="C14" sqref="C14"/>
    </sheetView>
  </sheetViews>
  <sheetFormatPr baseColWidth="10" defaultColWidth="11" defaultRowHeight="16" x14ac:dyDescent="0.2"/>
  <cols>
    <col min="1" max="1" width="87.83203125" customWidth="1"/>
    <col min="6" max="6" width="22.5" bestFit="1" customWidth="1"/>
  </cols>
  <sheetData>
    <row r="1" spans="1:11" ht="29" thickBot="1" x14ac:dyDescent="0.25">
      <c r="A1" s="1" t="s">
        <v>0</v>
      </c>
      <c r="B1" s="2" t="s">
        <v>1</v>
      </c>
      <c r="C1" s="3" t="s">
        <v>2</v>
      </c>
      <c r="D1" s="3" t="s">
        <v>3</v>
      </c>
      <c r="G1" t="s">
        <v>57</v>
      </c>
      <c r="H1" t="s">
        <v>58</v>
      </c>
      <c r="I1" t="s">
        <v>60</v>
      </c>
    </row>
    <row r="2" spans="1:11" ht="17" thickBot="1" x14ac:dyDescent="0.25">
      <c r="A2" s="6" t="s">
        <v>62</v>
      </c>
      <c r="B2" s="9" t="s">
        <v>63</v>
      </c>
      <c r="C2" s="7">
        <f>G2*I2</f>
        <v>1440</v>
      </c>
      <c r="D2" s="7">
        <f>H2*I2</f>
        <v>1920</v>
      </c>
      <c r="G2" s="26">
        <f>LEFT(B2,FIND("-",B2)-1)*1</f>
        <v>12</v>
      </c>
      <c r="H2" s="26">
        <f>MID(B2,FIND("-",B2)+1,LEN(B2)-FIND("-",B2)+1)*1</f>
        <v>16</v>
      </c>
      <c r="I2">
        <v>120</v>
      </c>
    </row>
    <row r="3" spans="1:11" ht="17" thickBot="1" x14ac:dyDescent="0.25">
      <c r="A3" s="6" t="s">
        <v>64</v>
      </c>
      <c r="B3" s="9" t="s">
        <v>65</v>
      </c>
      <c r="C3" s="7">
        <f t="shared" ref="C3:C9" si="0">G3*I3</f>
        <v>9600</v>
      </c>
      <c r="D3" s="7">
        <f t="shared" ref="D3:D9" si="1">H3*I3</f>
        <v>12000</v>
      </c>
      <c r="G3" s="26">
        <f t="shared" ref="G3:G9" si="2">LEFT(B3,FIND("-",B3)-1)*1</f>
        <v>80</v>
      </c>
      <c r="H3" s="26">
        <f t="shared" ref="H3:H9" si="3">MID(B3,FIND("-",B3)+1,LEN(B3)-FIND("-",B3)+1)*1</f>
        <v>100</v>
      </c>
      <c r="I3">
        <v>120</v>
      </c>
    </row>
    <row r="4" spans="1:11" ht="17" thickBot="1" x14ac:dyDescent="0.25">
      <c r="A4" s="6" t="s">
        <v>52</v>
      </c>
      <c r="B4" s="9" t="s">
        <v>55</v>
      </c>
      <c r="C4" s="7">
        <f t="shared" si="0"/>
        <v>2400</v>
      </c>
      <c r="D4" s="7">
        <f t="shared" si="1"/>
        <v>3600</v>
      </c>
      <c r="G4" s="26">
        <f t="shared" si="2"/>
        <v>20</v>
      </c>
      <c r="H4" s="26">
        <f t="shared" si="3"/>
        <v>30</v>
      </c>
      <c r="I4">
        <v>120</v>
      </c>
    </row>
    <row r="5" spans="1:11" ht="17" thickBot="1" x14ac:dyDescent="0.25">
      <c r="A5" s="6" t="s">
        <v>53</v>
      </c>
      <c r="B5" s="9" t="s">
        <v>54</v>
      </c>
      <c r="C5" s="7">
        <f t="shared" si="0"/>
        <v>4800</v>
      </c>
      <c r="D5" s="7">
        <f t="shared" si="1"/>
        <v>7200</v>
      </c>
      <c r="G5" s="26">
        <f t="shared" si="2"/>
        <v>40</v>
      </c>
      <c r="H5" s="26">
        <f t="shared" si="3"/>
        <v>60</v>
      </c>
      <c r="I5">
        <v>120</v>
      </c>
    </row>
    <row r="6" spans="1:11" ht="21" customHeight="1" thickBot="1" x14ac:dyDescent="0.25">
      <c r="A6" s="6" t="s">
        <v>61</v>
      </c>
      <c r="B6" s="9" t="s">
        <v>54</v>
      </c>
      <c r="C6" s="7">
        <f t="shared" si="0"/>
        <v>6000</v>
      </c>
      <c r="D6" s="7">
        <f t="shared" si="1"/>
        <v>9000</v>
      </c>
      <c r="G6" s="26">
        <f t="shared" si="2"/>
        <v>40</v>
      </c>
      <c r="H6" s="26">
        <f t="shared" si="3"/>
        <v>60</v>
      </c>
      <c r="I6">
        <v>150</v>
      </c>
    </row>
    <row r="7" spans="1:11" ht="17" thickBot="1" x14ac:dyDescent="0.25">
      <c r="A7" s="6" t="s">
        <v>7</v>
      </c>
      <c r="B7" s="9" t="s">
        <v>56</v>
      </c>
      <c r="C7" s="7">
        <f t="shared" si="0"/>
        <v>1200</v>
      </c>
      <c r="D7" s="7">
        <f t="shared" si="1"/>
        <v>1800</v>
      </c>
      <c r="G7" s="26">
        <f t="shared" si="2"/>
        <v>10</v>
      </c>
      <c r="H7" s="26">
        <f t="shared" si="3"/>
        <v>15</v>
      </c>
      <c r="I7">
        <v>120</v>
      </c>
    </row>
    <row r="8" spans="1:11" ht="17" thickBot="1" x14ac:dyDescent="0.25">
      <c r="A8" s="6" t="s">
        <v>8</v>
      </c>
      <c r="B8" s="9" t="s">
        <v>55</v>
      </c>
      <c r="C8" s="7">
        <f t="shared" si="0"/>
        <v>2400</v>
      </c>
      <c r="D8" s="7">
        <f t="shared" si="1"/>
        <v>3600</v>
      </c>
      <c r="G8" s="26">
        <f t="shared" si="2"/>
        <v>20</v>
      </c>
      <c r="H8" s="26">
        <f t="shared" si="3"/>
        <v>30</v>
      </c>
      <c r="I8">
        <v>120</v>
      </c>
    </row>
    <row r="9" spans="1:11" ht="17" thickBot="1" x14ac:dyDescent="0.25">
      <c r="A9" s="6" t="s">
        <v>51</v>
      </c>
      <c r="B9" s="9" t="s">
        <v>5</v>
      </c>
      <c r="C9" s="7">
        <f t="shared" si="0"/>
        <v>960</v>
      </c>
      <c r="D9" s="7">
        <f t="shared" si="1"/>
        <v>1200</v>
      </c>
      <c r="G9" s="26">
        <f t="shared" si="2"/>
        <v>8</v>
      </c>
      <c r="H9" s="26">
        <f t="shared" si="3"/>
        <v>10</v>
      </c>
      <c r="I9">
        <v>120</v>
      </c>
    </row>
    <row r="10" spans="1:11" ht="17" thickBot="1" x14ac:dyDescent="0.25">
      <c r="A10" s="4" t="s">
        <v>9</v>
      </c>
      <c r="B10" s="5" t="str">
        <f>G10&amp;"-"&amp;H10</f>
        <v>230-321</v>
      </c>
      <c r="C10" s="8">
        <f>SUM(C2:C9)</f>
        <v>28800</v>
      </c>
      <c r="D10" s="8">
        <f>SUM(D2:D9)</f>
        <v>40320</v>
      </c>
      <c r="F10" t="s">
        <v>59</v>
      </c>
      <c r="G10" s="26">
        <f>SUM(G2:G9)</f>
        <v>230</v>
      </c>
      <c r="H10" s="26">
        <f>SUM(H2:H9)</f>
        <v>321</v>
      </c>
      <c r="J10" s="26">
        <f>G10*120</f>
        <v>27600</v>
      </c>
      <c r="K10" s="26">
        <f>H10*120</f>
        <v>38520</v>
      </c>
    </row>
    <row r="11" spans="1:11" ht="17" thickTop="1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AA9A-716A-4D72-BE3E-978E04D1EF59}">
  <dimension ref="B1:I12"/>
  <sheetViews>
    <sheetView workbookViewId="0">
      <selection activeCell="G30" sqref="G30"/>
    </sheetView>
  </sheetViews>
  <sheetFormatPr baseColWidth="10" defaultColWidth="8.83203125" defaultRowHeight="16" x14ac:dyDescent="0.2"/>
  <cols>
    <col min="1" max="1" width="7" customWidth="1"/>
    <col min="2" max="2" width="24.6640625" bestFit="1" customWidth="1"/>
    <col min="3" max="3" width="11.1640625" customWidth="1"/>
    <col min="4" max="4" width="13.6640625" customWidth="1"/>
    <col min="5" max="5" width="11.5" customWidth="1"/>
    <col min="6" max="6" width="11.6640625" bestFit="1" customWidth="1"/>
    <col min="7" max="7" width="15.5" bestFit="1" customWidth="1"/>
    <col min="8" max="8" width="5" customWidth="1"/>
    <col min="9" max="9" width="104" bestFit="1" customWidth="1"/>
  </cols>
  <sheetData>
    <row r="1" spans="2:9" ht="8.25" customHeight="1" x14ac:dyDescent="0.2"/>
    <row r="2" spans="2:9" x14ac:dyDescent="0.2">
      <c r="B2" s="11" t="s">
        <v>0</v>
      </c>
      <c r="C2" s="11" t="s">
        <v>14</v>
      </c>
      <c r="D2" s="11" t="s">
        <v>12</v>
      </c>
      <c r="E2" s="11" t="s">
        <v>15</v>
      </c>
      <c r="F2" s="11" t="s">
        <v>23</v>
      </c>
      <c r="G2" s="11" t="s">
        <v>24</v>
      </c>
      <c r="I2" s="12" t="s">
        <v>16</v>
      </c>
    </row>
    <row r="3" spans="2:9" x14ac:dyDescent="0.2">
      <c r="B3" s="10" t="s">
        <v>13</v>
      </c>
      <c r="C3" s="10">
        <f>10+48+5</f>
        <v>63</v>
      </c>
      <c r="D3" s="10">
        <v>75</v>
      </c>
      <c r="E3" s="10">
        <v>235</v>
      </c>
      <c r="F3" s="13">
        <f>E3/C3</f>
        <v>3.7301587301587302</v>
      </c>
      <c r="G3" s="13">
        <f>E3/D3</f>
        <v>3.1333333333333333</v>
      </c>
      <c r="I3" t="s">
        <v>50</v>
      </c>
    </row>
    <row r="4" spans="2:9" x14ac:dyDescent="0.2">
      <c r="B4" s="10" t="s">
        <v>8</v>
      </c>
      <c r="C4" s="10">
        <v>10</v>
      </c>
      <c r="D4" s="10">
        <v>22.25</v>
      </c>
      <c r="E4" s="10">
        <v>20</v>
      </c>
      <c r="F4" s="13">
        <f>E4/C4</f>
        <v>2</v>
      </c>
      <c r="G4" s="13">
        <f>E4/D4</f>
        <v>0.898876404494382</v>
      </c>
      <c r="I4" t="s">
        <v>17</v>
      </c>
    </row>
    <row r="5" spans="2:9" x14ac:dyDescent="0.2">
      <c r="B5" s="10" t="s">
        <v>11</v>
      </c>
      <c r="C5" s="10">
        <v>6.5</v>
      </c>
      <c r="D5" s="10">
        <v>6.5</v>
      </c>
      <c r="E5" s="10">
        <v>0.75</v>
      </c>
      <c r="F5" s="13">
        <f>E5/C5</f>
        <v>0.11538461538461539</v>
      </c>
      <c r="G5" s="13">
        <f>E5/D5</f>
        <v>0.11538461538461539</v>
      </c>
      <c r="I5" t="s">
        <v>25</v>
      </c>
    </row>
    <row r="6" spans="2:9" x14ac:dyDescent="0.2">
      <c r="B6" s="10" t="s">
        <v>22</v>
      </c>
      <c r="C6" s="10"/>
      <c r="D6" s="10">
        <v>6</v>
      </c>
      <c r="E6" s="10"/>
      <c r="F6" s="13"/>
      <c r="G6" s="13"/>
      <c r="I6" t="s">
        <v>18</v>
      </c>
    </row>
    <row r="7" spans="2:9" x14ac:dyDescent="0.2">
      <c r="B7" s="17" t="s">
        <v>10</v>
      </c>
      <c r="C7" s="17">
        <f>SUM(C3:C5)</f>
        <v>79.5</v>
      </c>
      <c r="D7" s="17">
        <v>110</v>
      </c>
      <c r="E7" s="17">
        <f>SUM(E3:E5)</f>
        <v>255.75</v>
      </c>
      <c r="F7" s="18">
        <f>E7/C7</f>
        <v>3.2169811320754715</v>
      </c>
      <c r="G7" s="18">
        <f>E7/D7</f>
        <v>2.3250000000000002</v>
      </c>
      <c r="I7" s="14" t="s">
        <v>19</v>
      </c>
    </row>
    <row r="8" spans="2:9" x14ac:dyDescent="0.2">
      <c r="B8" s="10" t="s">
        <v>39</v>
      </c>
      <c r="C8" s="19">
        <v>9540</v>
      </c>
      <c r="D8" s="19">
        <v>13200</v>
      </c>
      <c r="E8" s="19">
        <f>E7*120</f>
        <v>30690</v>
      </c>
      <c r="F8" s="10"/>
      <c r="G8" s="10"/>
      <c r="I8" s="14" t="s">
        <v>20</v>
      </c>
    </row>
    <row r="9" spans="2:9" x14ac:dyDescent="0.2">
      <c r="I9" t="s">
        <v>21</v>
      </c>
    </row>
    <row r="10" spans="2:9" x14ac:dyDescent="0.2">
      <c r="B10" s="11" t="s">
        <v>0</v>
      </c>
      <c r="C10" s="11" t="s">
        <v>14</v>
      </c>
      <c r="D10" s="20"/>
      <c r="E10" s="11" t="s">
        <v>15</v>
      </c>
      <c r="F10" s="11" t="s">
        <v>23</v>
      </c>
      <c r="G10" s="20"/>
    </row>
    <row r="11" spans="2:9" x14ac:dyDescent="0.2">
      <c r="B11" s="10" t="s">
        <v>20</v>
      </c>
      <c r="C11" s="10">
        <v>14</v>
      </c>
      <c r="D11" s="21"/>
      <c r="E11" s="10">
        <v>37</v>
      </c>
      <c r="F11" s="13">
        <f>E11/C11</f>
        <v>2.6428571428571428</v>
      </c>
      <c r="G11" s="21"/>
    </row>
    <row r="12" spans="2:9" x14ac:dyDescent="0.2">
      <c r="B12" s="10" t="s">
        <v>39</v>
      </c>
      <c r="C12" s="19">
        <v>2100</v>
      </c>
      <c r="D12" s="21"/>
      <c r="E12" s="19">
        <f>E11*150</f>
        <v>5550</v>
      </c>
      <c r="F12" s="10"/>
      <c r="G12" s="2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DB61-D514-47C2-91BA-301EA7972ADB}">
  <dimension ref="A2:T13"/>
  <sheetViews>
    <sheetView workbookViewId="0">
      <selection activeCell="I28" sqref="I28"/>
    </sheetView>
  </sheetViews>
  <sheetFormatPr baseColWidth="10" defaultColWidth="8.83203125" defaultRowHeight="16" x14ac:dyDescent="0.2"/>
  <cols>
    <col min="1" max="1" width="14.1640625" customWidth="1"/>
    <col min="2" max="2" width="7.6640625" bestFit="1" customWidth="1"/>
    <col min="3" max="4" width="6.83203125" bestFit="1" customWidth="1"/>
    <col min="5" max="6" width="9.1640625" bestFit="1" customWidth="1"/>
    <col min="7" max="10" width="6.83203125" bestFit="1" customWidth="1"/>
    <col min="11" max="13" width="7.83203125" bestFit="1" customWidth="1"/>
    <col min="17" max="17" width="9.1640625" bestFit="1" customWidth="1"/>
  </cols>
  <sheetData>
    <row r="2" spans="1:20" x14ac:dyDescent="0.2">
      <c r="B2" s="15" t="s">
        <v>26</v>
      </c>
      <c r="C2" s="15" t="s">
        <v>27</v>
      </c>
      <c r="D2" s="15" t="s">
        <v>28</v>
      </c>
      <c r="E2" s="15" t="s">
        <v>29</v>
      </c>
      <c r="F2" s="15" t="s">
        <v>30</v>
      </c>
      <c r="G2" s="15" t="s">
        <v>31</v>
      </c>
      <c r="H2" s="15" t="s">
        <v>32</v>
      </c>
      <c r="I2" s="15" t="s">
        <v>33</v>
      </c>
      <c r="J2" s="15" t="s">
        <v>34</v>
      </c>
      <c r="K2" s="15" t="s">
        <v>35</v>
      </c>
      <c r="L2" s="15" t="s">
        <v>36</v>
      </c>
      <c r="M2" s="15" t="s">
        <v>37</v>
      </c>
      <c r="N2" s="15" t="s">
        <v>42</v>
      </c>
      <c r="O2" s="15" t="s">
        <v>43</v>
      </c>
      <c r="P2" s="15" t="s">
        <v>44</v>
      </c>
      <c r="Q2" s="15" t="s">
        <v>45</v>
      </c>
      <c r="R2" s="15" t="s">
        <v>46</v>
      </c>
      <c r="S2" s="15" t="s">
        <v>47</v>
      </c>
      <c r="T2" s="15" t="s">
        <v>48</v>
      </c>
    </row>
    <row r="3" spans="1:20" x14ac:dyDescent="0.2">
      <c r="B3" s="16">
        <v>45432</v>
      </c>
      <c r="C3" s="16">
        <v>45439</v>
      </c>
      <c r="D3" s="16">
        <v>45446</v>
      </c>
      <c r="E3" s="16">
        <v>45453</v>
      </c>
      <c r="F3" s="16">
        <v>45460</v>
      </c>
      <c r="G3" s="16">
        <v>45467</v>
      </c>
      <c r="H3" s="16">
        <v>45474</v>
      </c>
      <c r="I3" s="16">
        <v>45481</v>
      </c>
      <c r="J3" s="16">
        <v>45488</v>
      </c>
      <c r="K3" s="16">
        <v>45495</v>
      </c>
      <c r="L3" s="16">
        <v>45502</v>
      </c>
      <c r="M3" s="16">
        <v>45509</v>
      </c>
      <c r="N3" s="16">
        <v>45516</v>
      </c>
      <c r="O3" s="16">
        <v>45523</v>
      </c>
      <c r="P3" s="16">
        <v>45530</v>
      </c>
      <c r="Q3" s="16">
        <v>45537</v>
      </c>
      <c r="R3" s="16">
        <v>45544</v>
      </c>
      <c r="S3" s="16">
        <v>45551</v>
      </c>
      <c r="T3" s="16">
        <v>45558</v>
      </c>
    </row>
    <row r="4" spans="1:20" x14ac:dyDescent="0.2">
      <c r="A4" s="24" t="s">
        <v>40</v>
      </c>
      <c r="B4" s="23" t="s">
        <v>4</v>
      </c>
      <c r="C4" s="23"/>
      <c r="D4" s="23"/>
      <c r="E4" s="23"/>
      <c r="F4" s="2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">
      <c r="A5" s="24"/>
      <c r="B5" s="23"/>
      <c r="C5" s="23" t="s">
        <v>6</v>
      </c>
      <c r="D5" s="23"/>
      <c r="E5" s="23"/>
      <c r="F5" s="23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x14ac:dyDescent="0.2">
      <c r="A6" s="24"/>
      <c r="B6" s="23"/>
      <c r="C6" s="23"/>
      <c r="D6" s="23" t="s">
        <v>8</v>
      </c>
      <c r="E6" s="23"/>
      <c r="F6" s="23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2">
      <c r="A7" s="24"/>
      <c r="B7" s="23"/>
      <c r="C7" s="23"/>
      <c r="D7" s="23"/>
      <c r="E7" s="23" t="s">
        <v>49</v>
      </c>
      <c r="F7" s="23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">
      <c r="A8" s="24"/>
      <c r="B8" s="23"/>
      <c r="C8" s="23"/>
      <c r="D8" s="23"/>
      <c r="E8" s="23" t="s">
        <v>38</v>
      </c>
      <c r="F8" s="23" t="s">
        <v>38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2">
      <c r="A9" s="25" t="s">
        <v>41</v>
      </c>
      <c r="B9" s="22" t="s">
        <v>4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spans="1:20" x14ac:dyDescent="0.2">
      <c r="A10" s="25"/>
      <c r="B10" s="22"/>
      <c r="C10" s="22" t="s">
        <v>6</v>
      </c>
      <c r="D10" s="22"/>
      <c r="E10" s="22" t="s">
        <v>6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 spans="1:20" x14ac:dyDescent="0.2">
      <c r="A11" s="25"/>
      <c r="B11" s="22"/>
      <c r="C11" s="22"/>
      <c r="D11" s="22"/>
      <c r="E11" s="22"/>
      <c r="F11" s="22"/>
      <c r="G11" s="22"/>
      <c r="H11" s="22"/>
      <c r="I11" s="22"/>
      <c r="J11" s="22"/>
      <c r="K11" s="22" t="s">
        <v>8</v>
      </c>
      <c r="L11" s="22"/>
      <c r="M11" s="22"/>
      <c r="N11" s="22"/>
      <c r="O11" s="22"/>
      <c r="P11" s="22"/>
      <c r="Q11" s="22"/>
      <c r="R11" s="22"/>
      <c r="S11" s="22"/>
      <c r="T11" s="22"/>
    </row>
    <row r="12" spans="1:20" x14ac:dyDescent="0.2">
      <c r="A12" s="25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 t="s">
        <v>49</v>
      </c>
      <c r="R12" s="22"/>
      <c r="S12" s="22"/>
      <c r="T12" s="22"/>
    </row>
    <row r="13" spans="1:20" x14ac:dyDescent="0.2">
      <c r="A13" s="25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 t="s">
        <v>38</v>
      </c>
      <c r="R13" s="22" t="s">
        <v>38</v>
      </c>
      <c r="S13" s="22"/>
      <c r="T13" s="22"/>
    </row>
  </sheetData>
  <mergeCells count="2">
    <mergeCell ref="A4:A8"/>
    <mergeCell ref="A9:A13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47E0126EE26B68468E30FEE8ADFBCCCC" ma:contentTypeVersion="3" ma:contentTypeDescription="A document associated with a project for a client." ma:contentTypeScope="" ma:versionID="268f348e925944570301af8ff2adc88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93b052738fdbaae4d27c6d5b8c67869a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EAD39E-F8F2-4B13-B9B2-20218E8392DA}">
  <ds:schemaRefs>
    <ds:schemaRef ds:uri="1ffbd5dc-7a64-4097-8396-87f6c90b212f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B85DE76-525B-4CBC-92CA-C7C98ABA05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03083B-4A21-424D-B3B9-F573B12850B8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2C64003-5796-4C7D-870A-F1BC5AA925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Estimate</vt:lpstr>
      <vt:lpstr>Actuals</vt:lpstr>
      <vt:lpstr>Timelines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Sam Duncan</cp:lastModifiedBy>
  <cp:revision/>
  <dcterms:created xsi:type="dcterms:W3CDTF">2024-04-05T16:18:14Z</dcterms:created>
  <dcterms:modified xsi:type="dcterms:W3CDTF">2025-01-23T07:35:46Z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0x010100B16301FA1C2D5E4DB9305F31D037531D0207030047E0126EE26B68468E30FEE8ADFBCCCC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/>
  </property>
  <property fmtid="{D5CDD505-2E9C-101B-9397-08002B2CF9AE}" pid="14" name="MediaServiceImageTags">
    <vt:lpwstr/>
  </property>
  <property fmtid="{D5CDD505-2E9C-101B-9397-08002B2CF9AE}" pid="15" name="lcf76f155ced4ddcb4097134ff3c332f">
    <vt:lpwstr/>
  </property>
  <property fmtid="{D5CDD505-2E9C-101B-9397-08002B2CF9AE}" pid="16" name="Project_x0020_Document_x0020_Type">
    <vt:lpwstr>4;#Generic Project Document|258c2ed6-b93b-4ffe-8901-a23f2dc98ec9</vt:lpwstr>
  </property>
  <property fmtid="{D5CDD505-2E9C-101B-9397-08002B2CF9AE}" pid="17" name="Client_x0020_Project">
    <vt:lpwstr/>
  </property>
</Properties>
</file>