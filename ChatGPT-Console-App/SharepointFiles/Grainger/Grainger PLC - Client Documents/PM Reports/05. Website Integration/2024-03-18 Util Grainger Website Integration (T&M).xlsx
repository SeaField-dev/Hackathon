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grange\Downloads\"/>
    </mc:Choice>
  </mc:AlternateContent>
  <xr:revisionPtr revIDLastSave="0" documentId="13_ncr:1_{0C2C46FC-AF91-487A-8ED8-4B6BBC846E6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Pivot" sheetId="2" r:id="rId1"/>
    <sheet name="Project Timesheets(1)" sheetId="1" r:id="rId2"/>
  </sheets>
  <calcPr calcId="191029"/>
  <pivotCaches>
    <pivotCache cacheId="4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1" i="1" l="1"/>
  <c r="AF81" i="1" s="1"/>
  <c r="AE82" i="1"/>
  <c r="AF82" i="1"/>
  <c r="AC54" i="1"/>
  <c r="AE64" i="1"/>
  <c r="AF64" i="1"/>
  <c r="AE65" i="1"/>
  <c r="AF65" i="1" s="1"/>
  <c r="AE66" i="1"/>
  <c r="AF66" i="1" s="1"/>
  <c r="AE67" i="1"/>
  <c r="AF67" i="1" s="1"/>
  <c r="AE68" i="1"/>
  <c r="AF68" i="1" s="1"/>
  <c r="AE69" i="1"/>
  <c r="AF69" i="1"/>
  <c r="AE70" i="1"/>
  <c r="AF70" i="1" s="1"/>
  <c r="AE71" i="1"/>
  <c r="AF71" i="1" s="1"/>
  <c r="AE72" i="1"/>
  <c r="AF72" i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/>
  <c r="AE55" i="1"/>
  <c r="AF55" i="1" s="1"/>
  <c r="AE56" i="1"/>
  <c r="AF56" i="1" s="1"/>
  <c r="AE57" i="1"/>
  <c r="AF57" i="1" s="1"/>
  <c r="AE58" i="1"/>
  <c r="AF58" i="1" s="1"/>
  <c r="AE59" i="1"/>
  <c r="AF59" i="1"/>
  <c r="AE60" i="1"/>
  <c r="AF60" i="1" s="1"/>
  <c r="AE61" i="1"/>
  <c r="AF61" i="1" s="1"/>
  <c r="AE62" i="1"/>
  <c r="AF62" i="1" s="1"/>
  <c r="AE63" i="1"/>
  <c r="AF63" i="1" s="1"/>
  <c r="AE50" i="1"/>
  <c r="AF50" i="1" s="1"/>
  <c r="AE51" i="1"/>
  <c r="AF51" i="1" s="1"/>
  <c r="AE52" i="1"/>
  <c r="AF52" i="1" s="1"/>
  <c r="AE53" i="1"/>
  <c r="AF53" i="1"/>
  <c r="AE54" i="1"/>
  <c r="AF54" i="1" s="1"/>
  <c r="AE14" i="1"/>
  <c r="AF14" i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/>
  <c r="AE43" i="1"/>
  <c r="AF43" i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G10" i="2"/>
  <c r="F10" i="2"/>
  <c r="I10" i="2"/>
  <c r="H10" i="2"/>
</calcChain>
</file>

<file path=xl/sharedStrings.xml><?xml version="1.0" encoding="utf-8"?>
<sst xmlns="http://schemas.openxmlformats.org/spreadsheetml/2006/main" count="1720" uniqueCount="104">
  <si>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</si>
  <si>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</si>
  <si>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</si>
  <si>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</si>
  <si>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</si>
  <si>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</si>
  <si>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</si>
  <si>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</si>
  <si>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</si>
  <si>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</si>
  <si>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</si>
  <si>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</si>
  <si>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</si>
  <si>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</si>
  <si>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</si>
  <si>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</si>
  <si>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</si>
  <si>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</si>
  <si>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</si>
  <si>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</si>
  <si>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</si>
  <si>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</si>
  <si>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</si>
  <si>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</si>
  <si>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</si>
  <si>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</si>
  <si>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</si>
  <si>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</si>
  <si>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</si>
  <si>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</si>
  <si>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</si>
  <si>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</si>
  <si>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</si>
  <si>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</si>
  <si>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</si>
  <si>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</si>
  <si>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OB-000532</t>
  </si>
  <si>
    <t>Website Integration (T&amp;M)</t>
  </si>
  <si>
    <t>Billable</t>
  </si>
  <si>
    <t>Shaun Barrett</t>
  </si>
  <si>
    <t>Brendan Canny</t>
  </si>
  <si>
    <t>Sam Duncan</t>
  </si>
  <si>
    <t>Analysis</t>
  </si>
  <si>
    <t>Delivery</t>
  </si>
  <si>
    <t>Billable timecode</t>
  </si>
  <si>
    <t>Standard Timecode</t>
  </si>
  <si>
    <t>GBP</t>
  </si>
  <si>
    <t>Reviewed</t>
  </si>
  <si>
    <t>Not submitted</t>
  </si>
  <si>
    <t>Nikki Papenfus</t>
  </si>
  <si>
    <t>Salaried / Fixed</t>
  </si>
  <si>
    <t>Custom Software</t>
  </si>
  <si>
    <t>Andrew Pollock</t>
  </si>
  <si>
    <t xml:space="preserve"> </t>
  </si>
  <si>
    <t>Row Labels</t>
  </si>
  <si>
    <t>Grand Total</t>
  </si>
  <si>
    <t>Column Labels</t>
  </si>
  <si>
    <t>Sum of Hours</t>
  </si>
  <si>
    <t>SOW Estimates</t>
  </si>
  <si>
    <t>Phase</t>
  </si>
  <si>
    <t>Build</t>
  </si>
  <si>
    <t>Project Management</t>
  </si>
  <si>
    <t>UAT</t>
  </si>
  <si>
    <t>Production</t>
  </si>
  <si>
    <t>Total</t>
  </si>
  <si>
    <t>Lower Bound</t>
  </si>
  <si>
    <t>Upper Bound</t>
  </si>
  <si>
    <t>&lt;- Filter By Month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</si>
  <si>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</si>
  <si>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</si>
  <si>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</si>
  <si>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</si>
  <si>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Khonani Davhana</t>
  </si>
  <si>
    <t>Matthew Cornfield</t>
  </si>
  <si>
    <t xml:space="preserve">Sachin  Deshmukh 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</si>
  <si>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</si>
  <si>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</si>
  <si>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</si>
  <si>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</si>
  <si>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Period</t>
  </si>
  <si>
    <t>Month</t>
  </si>
  <si>
    <t>(All)</t>
  </si>
  <si>
    <t>Analysis &amp; Build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</si>
  <si>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</si>
  <si>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</si>
  <si>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</si>
  <si>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</si>
  <si>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</si>
  <si>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</si>
  <si>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</si>
  <si>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</si>
  <si>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</si>
  <si>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</si>
  <si>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</si>
  <si>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</si>
  <si>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</si>
  <si>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</si>
  <si>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</si>
  <si>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Daily standup (15 mins) Deployment session with Matt C (30 mins)</t>
  </si>
  <si>
    <t>IN07860</t>
  </si>
  <si>
    <t>Worked on editing json file swagger editor. Discussion with Sam about SwaggerHub mock api calling setup. Time to be logged to Grainger website integration work for publishing units.</t>
  </si>
  <si>
    <t>Requirements gathering with Code+ Grainger</t>
  </si>
  <si>
    <t>Refinement with Nikki</t>
  </si>
  <si>
    <t>Refinement session with Grainger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</si>
</sst>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6" fillId="34" borderId="11" xfId="0" applyFont="1" applyFill="1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69.427825347222" createdVersion="8" refreshedVersion="8" minRefreshableVersion="3" recordCount="81" xr:uid="{F449C5A1-85DB-4E07-85CC-A260A601A623}">
  <cacheSource type="worksheet">
    <worksheetSource ref="A1:AF82" sheet="Project Timesheets(1)"/>
  </cacheSource>
  <cacheFields count="32">
    <cacheField name="Date" numFmtId="15">
      <sharedItems containsSemiMixedTypes="0" containsNonDate="0" containsDate="1" containsString="0" minDate="2024-02-02T00:00:00" maxDate="2024-03-16T00:00:00" count="23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2-13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25010"/>
    </cacheField>
    <cacheField name="Timecode Name" numFmtId="0">
      <sharedItems count="1">
        <s v="Delivery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870"/>
    </cacheField>
    <cacheField name="Invoiced Delta" numFmtId="0">
      <sharedItems containsString="0" containsBlank="1" containsNumber="1" minValue="7.5" maxValue="217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3"/>
    </cacheField>
    <cacheField name="Month" numFmtId="0">
      <sharedItems count="2">
        <s v="February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m/>
    <m/>
    <m/>
    <s v="GBP"/>
    <m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m/>
    <m/>
    <m/>
    <s v="GBP"/>
    <m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m/>
    <m/>
    <m/>
    <s v="GBP"/>
    <m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m/>
    <m/>
    <m/>
    <s v="GBP"/>
    <m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m/>
    <m/>
    <m/>
    <s v="GBP"/>
    <m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m/>
    <m/>
    <m/>
    <s v="GBP"/>
    <m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m/>
    <m/>
    <m/>
    <s v="GBP"/>
    <m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m/>
    <m/>
    <m/>
    <s v="GBP"/>
    <m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m/>
    <m/>
    <m/>
    <s v="GBP"/>
    <m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m/>
    <m/>
    <m/>
    <s v="GBP"/>
    <m/>
    <s v="Daily standup. Discussion with Sam. Worked on SAWI-15 &amp; SAWI-26. Discussion with Sachin about SAWI-20"/>
    <s v="Not submitted"/>
    <n v="3"/>
    <x v="1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m/>
    <m/>
    <m/>
    <s v="GBP"/>
    <m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m/>
    <m/>
    <m/>
    <s v="GBP"/>
    <m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m/>
    <m/>
    <m/>
    <s v="GBP"/>
    <m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m/>
    <m/>
    <m/>
    <s v="GBP"/>
    <m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1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0269"/>
    <x v="0"/>
    <s v="Billable timecode"/>
    <s v="Standard Timecode"/>
    <n v="90"/>
    <n v="2"/>
    <d v="1899-12-30T02:00:00"/>
    <n v="180"/>
    <m/>
    <m/>
    <m/>
    <s v="GBP"/>
    <m/>
    <s v=" "/>
    <s v="Not submitted"/>
    <n v="3"/>
    <x v="1"/>
  </r>
  <r>
    <x v="2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0268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3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901"/>
    <x v="0"/>
    <s v="Billable timecode"/>
    <s v="Standard Timecode"/>
    <n v="90"/>
    <n v="4"/>
    <d v="1899-12-30T04:00:00"/>
    <n v="360"/>
    <m/>
    <m/>
    <m/>
    <s v="GBP"/>
    <m/>
    <s v=" "/>
    <s v="Not submitted"/>
    <n v="3"/>
    <x v="1"/>
  </r>
  <r>
    <x v="4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0688"/>
    <x v="0"/>
    <s v="Billable timecode"/>
    <s v="Standard Timecode"/>
    <n v="90"/>
    <n v="5.75"/>
    <d v="1899-12-30T05:45:00"/>
    <n v="517.5"/>
    <m/>
    <m/>
    <m/>
    <s v="GBP"/>
    <m/>
    <s v=" "/>
    <s v="Not submitted"/>
    <n v="3"/>
    <x v="1"/>
  </r>
  <r>
    <x v="5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312"/>
    <x v="0"/>
    <s v="Billable timecode"/>
    <s v="Standard Timecode"/>
    <n v="90"/>
    <n v="7"/>
    <d v="1899-12-30T07:00:00"/>
    <n v="630"/>
    <m/>
    <m/>
    <m/>
    <s v="GBP"/>
    <m/>
    <s v=" "/>
    <s v="Not submitted"/>
    <n v="3"/>
    <x v="1"/>
  </r>
  <r>
    <x v="6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47"/>
    <x v="0"/>
    <s v="Billable timecode"/>
    <s v="Standard Timecode"/>
    <n v="90"/>
    <n v="6"/>
    <d v="1899-12-30T06:00:00"/>
    <n v="540"/>
    <m/>
    <m/>
    <m/>
    <s v="GBP"/>
    <m/>
    <s v=" "/>
    <s v="Not submitted"/>
    <n v="3"/>
    <x v="1"/>
  </r>
  <r>
    <x v="7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364"/>
    <x v="0"/>
    <s v="Billable timecode"/>
    <s v="Standard Timecode"/>
    <n v="90"/>
    <n v="7.75"/>
    <d v="1899-12-30T07:45:00"/>
    <n v="697.5"/>
    <m/>
    <m/>
    <m/>
    <s v="GBP"/>
    <m/>
    <s v=" "/>
    <s v="Not submitted"/>
    <n v="3"/>
    <x v="1"/>
  </r>
  <r>
    <x v="8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988"/>
    <x v="0"/>
    <s v="Billable timecode"/>
    <s v="Standard Timecode"/>
    <n v="90"/>
    <n v="7.5"/>
    <d v="1899-12-30T07:30:00"/>
    <n v="675"/>
    <m/>
    <m/>
    <m/>
    <s v="GBP"/>
    <m/>
    <s v=" "/>
    <s v="Not submitted"/>
    <n v="3"/>
    <x v="1"/>
  </r>
  <r>
    <x v="9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541"/>
    <x v="0"/>
    <s v="Billable timecode"/>
    <s v="Standard Timecode"/>
    <n v="90"/>
    <n v="8"/>
    <d v="1899-12-30T08:00:00"/>
    <n v="720"/>
    <m/>
    <m/>
    <m/>
    <s v="GBP"/>
    <m/>
    <s v=" "/>
    <s v="Not submitted"/>
    <n v="3"/>
    <x v="1"/>
  </r>
  <r>
    <x v="10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989"/>
    <x v="0"/>
    <s v="Billable timecode"/>
    <s v="Standard Timecode"/>
    <n v="90"/>
    <n v="6.75"/>
    <d v="1899-12-30T06:45:00"/>
    <n v="607.5"/>
    <m/>
    <m/>
    <m/>
    <s v="GBP"/>
    <m/>
    <s v=" "/>
    <s v="Not submitted"/>
    <n v="3"/>
    <x v="1"/>
  </r>
  <r>
    <x v="11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504"/>
    <x v="0"/>
    <s v="Billable timecode"/>
    <s v="Standard Timecode"/>
    <n v="90"/>
    <n v="6.25"/>
    <d v="1899-12-30T06:15:00"/>
    <n v="562.5"/>
    <m/>
    <m/>
    <m/>
    <s v="GBP"/>
    <m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1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1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2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m/>
    <m/>
    <m/>
    <s v="GBP"/>
    <m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m/>
    <m/>
    <m/>
    <s v="GBP"/>
    <m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m/>
    <m/>
    <m/>
    <s v="GBP"/>
    <m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m/>
    <m/>
    <m/>
    <s v="GBP"/>
    <m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m/>
    <m/>
    <m/>
    <s v="GBP"/>
    <m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m/>
    <m/>
    <m/>
    <s v="GBP"/>
    <m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m/>
    <m/>
    <m/>
    <s v="GBP"/>
    <m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m/>
    <m/>
    <m/>
    <s v="GBP"/>
    <m/>
    <s v=" "/>
    <s v="Not submitted"/>
    <n v="3"/>
    <x v="1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m/>
    <m/>
    <m/>
    <s v="GBP"/>
    <m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m/>
    <m/>
    <m/>
    <s v="GBP"/>
    <m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m/>
    <m/>
    <m/>
    <s v="GBP"/>
    <m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m/>
    <m/>
    <m/>
    <s v="GBP"/>
    <m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m/>
    <m/>
    <m/>
    <s v="GBP"/>
    <m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m/>
    <m/>
    <m/>
    <s v="GBP"/>
    <m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m/>
    <m/>
    <m/>
    <s v="GBP"/>
    <m/>
    <s v="-- Grainger Website Integration Standup -- Working on SAWI 20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1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m/>
    <m/>
    <m/>
    <s v="GBP"/>
    <m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m/>
    <m/>
    <m/>
    <s v="GBP"/>
    <m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m/>
    <m/>
    <m/>
    <s v="GBP"/>
    <m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m/>
    <m/>
    <m/>
    <s v="GBP"/>
    <m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m/>
    <m/>
    <m/>
    <s v="GBP"/>
    <m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m/>
    <m/>
    <m/>
    <s v="GBP"/>
    <m/>
    <s v="Daily standup (15 mins) Deployment session with Matt C (30 mins)"/>
    <s v="Not submitted"/>
    <n v="3"/>
    <x v="1"/>
  </r>
  <r>
    <x v="2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1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1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m/>
    <m/>
    <m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m/>
    <m/>
    <m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m/>
    <m/>
    <m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FB356-ABDA-4061-A18A-31D16114E4A9}" name="PivotTable2" cacheId="4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B15" firstHeaderRow="1" firstDataRow="2" firstDataCol="1" rowPageCount="1" colPageCount="1"/>
  <pivotFields count="32">
    <pivotField axis="axisRow" numFmtId="15" showAll="0">
      <items count="2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2"/>
        <item sd="0" x="4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1">
    <i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4" x14ac:dyDescent="0.3"/>
  <cols>
    <col min="1" max="1" width="27.5546875" bestFit="1" customWidth="1"/>
    <col min="2" max="2" width="16.33203125" bestFit="1" customWidth="1"/>
    <col min="3" max="3" width="6" bestFit="1" customWidth="1"/>
    <col min="4" max="4" width="12.109375" bestFit="1" customWidth="1"/>
    <col min="5" max="5" width="18.77734375" bestFit="1" customWidth="1"/>
    <col min="6" max="6" width="4" bestFit="1" customWidth="1"/>
    <col min="7" max="7" width="6" bestFit="1" customWidth="1"/>
    <col min="8" max="9" width="12.109375" bestFit="1" customWidth="1"/>
  </cols>
  <sheetData>
    <row r="1" spans="1:9" x14ac:dyDescent="0.3">
      <c r="A1" s="3" t="s">
        <v>80</v>
      </c>
      <c r="B1" t="s">
        <v>81</v>
      </c>
      <c r="E1" s="13" t="s">
        <v>67</v>
      </c>
    </row>
    <row r="3" spans="1:9" x14ac:dyDescent="0.3">
      <c r="A3" s="3" t="s">
        <v>57</v>
      </c>
      <c r="B3" s="3" t="s">
        <v>56</v>
      </c>
      <c r="C3" s="3"/>
      <c r="E3" s="15" t="s">
        <v>58</v>
      </c>
      <c r="F3" s="15"/>
      <c r="G3" s="15"/>
      <c r="H3" s="15"/>
      <c r="I3" s="15"/>
    </row>
    <row r="4" spans="1:9" x14ac:dyDescent="0.3">
      <c r="A4" s="3" t="s">
        <v>54</v>
      </c>
      <c r="B4" t="s">
        <v>43</v>
      </c>
      <c r="E4" s="10" t="s">
        <v>59</v>
      </c>
      <c r="F4" s="15" t="s">
        <v>20</v>
      </c>
      <c r="G4" s="15"/>
      <c r="H4" s="10" t="s">
        <v>65</v>
      </c>
      <c r="I4" s="10" t="s">
        <v>66</v>
      </c>
    </row>
    <row r="5" spans="1:9" x14ac:dyDescent="0.3">
      <c r="A5" s="4" t="s">
        <v>35</v>
      </c>
      <c r="B5" s="16">
        <v>338.5</v>
      </c>
      <c r="E5" s="11" t="s">
        <v>42</v>
      </c>
      <c r="F5" s="11">
        <v>40</v>
      </c>
      <c r="G5" s="11">
        <v>52</v>
      </c>
      <c r="H5" s="12">
        <v>4800</v>
      </c>
      <c r="I5" s="12">
        <v>6240</v>
      </c>
    </row>
    <row r="6" spans="1:9" x14ac:dyDescent="0.3">
      <c r="A6" s="5" t="s">
        <v>37</v>
      </c>
      <c r="B6" s="16">
        <v>338.5</v>
      </c>
      <c r="E6" s="11" t="s">
        <v>60</v>
      </c>
      <c r="F6" s="11">
        <v>180</v>
      </c>
      <c r="G6" s="11">
        <v>234</v>
      </c>
      <c r="H6" s="12">
        <v>21600</v>
      </c>
      <c r="I6" s="12">
        <v>28080</v>
      </c>
    </row>
    <row r="7" spans="1:9" x14ac:dyDescent="0.3">
      <c r="A7" s="6" t="s">
        <v>82</v>
      </c>
      <c r="B7" s="16">
        <v>338.5</v>
      </c>
      <c r="E7" s="11" t="s">
        <v>61</v>
      </c>
      <c r="F7" s="11">
        <v>12</v>
      </c>
      <c r="G7" s="11">
        <v>15.6</v>
      </c>
      <c r="H7" s="12">
        <v>1440</v>
      </c>
      <c r="I7" s="12">
        <v>1872</v>
      </c>
    </row>
    <row r="8" spans="1:9" x14ac:dyDescent="0.3">
      <c r="A8" s="7" t="s">
        <v>30</v>
      </c>
      <c r="B8" s="16">
        <v>89</v>
      </c>
      <c r="E8" s="11" t="s">
        <v>62</v>
      </c>
      <c r="F8" s="11">
        <v>20</v>
      </c>
      <c r="G8" s="11">
        <v>26</v>
      </c>
      <c r="H8" s="12">
        <v>2400</v>
      </c>
      <c r="I8" s="12">
        <v>3120</v>
      </c>
    </row>
    <row r="9" spans="1:9" x14ac:dyDescent="0.3">
      <c r="A9" s="7" t="s">
        <v>49</v>
      </c>
      <c r="B9" s="16">
        <v>51.5</v>
      </c>
      <c r="E9" s="11" t="s">
        <v>63</v>
      </c>
      <c r="F9" s="11">
        <v>5</v>
      </c>
      <c r="G9" s="11">
        <v>6.5</v>
      </c>
      <c r="H9" s="12">
        <v>600</v>
      </c>
      <c r="I9" s="12">
        <v>780</v>
      </c>
    </row>
    <row r="10" spans="1:9" ht="15" thickBot="1" x14ac:dyDescent="0.35">
      <c r="A10" s="7" t="s">
        <v>41</v>
      </c>
      <c r="B10" s="16">
        <v>10.25</v>
      </c>
      <c r="E10" s="8" t="s">
        <v>64</v>
      </c>
      <c r="F10" s="8">
        <f>SUM(F5:F9)</f>
        <v>257</v>
      </c>
      <c r="G10" s="8">
        <f>SUM(G5:G9)</f>
        <v>334.1</v>
      </c>
      <c r="H10" s="9">
        <f>SUM(H5:H9)</f>
        <v>30840</v>
      </c>
      <c r="I10" s="9">
        <f>SUM(I5:I9)</f>
        <v>40092</v>
      </c>
    </row>
    <row r="11" spans="1:9" ht="15" thickTop="1" x14ac:dyDescent="0.3">
      <c r="A11" s="7" t="s">
        <v>39</v>
      </c>
      <c r="B11" s="16">
        <v>3.25</v>
      </c>
    </row>
    <row r="12" spans="1:9" x14ac:dyDescent="0.3">
      <c r="A12" s="7" t="s">
        <v>72</v>
      </c>
      <c r="B12" s="16">
        <v>31</v>
      </c>
    </row>
    <row r="13" spans="1:9" x14ac:dyDescent="0.3">
      <c r="A13" s="7" t="s">
        <v>73</v>
      </c>
      <c r="B13" s="16">
        <v>64</v>
      </c>
    </row>
    <row r="14" spans="1:9" x14ac:dyDescent="0.3">
      <c r="A14" s="7" t="s">
        <v>74</v>
      </c>
      <c r="B14" s="16">
        <v>89.5</v>
      </c>
    </row>
    <row r="15" spans="1:9" x14ac:dyDescent="0.3">
      <c r="A15" s="4" t="s">
        <v>55</v>
      </c>
      <c r="B15" s="16">
        <v>338.5</v>
      </c>
    </row>
  </sheetData>
  <mergeCells count="2">
    <mergeCell ref="F4:G4"/>
    <mergeCell ref="E3:I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82"/>
  <sheetViews>
    <sheetView workbookViewId="0">
      <pane ySplit="1" topLeftCell="A59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77734375" bestFit="1" customWidth="1"/>
    <col min="5" max="5" width="15.77734375" bestFit="1" customWidth="1"/>
    <col min="6" max="7" width="15" bestFit="1" customWidth="1"/>
    <col min="8" max="8" width="14.44140625" bestFit="1" customWidth="1"/>
    <col min="9" max="9" width="23.44140625" bestFit="1" customWidth="1"/>
    <col min="10" max="10" width="11.21875" bestFit="1" customWidth="1"/>
    <col min="11" max="11" width="37.7773437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2.109375" bestFit="1" customWidth="1"/>
    <col min="17" max="17" width="15" bestFit="1" customWidth="1"/>
    <col min="18" max="18" width="16.33203125" bestFit="1" customWidth="1"/>
    <col min="19" max="19" width="17.88671875" bestFit="1" customWidth="1"/>
    <col min="20" max="20" width="13.5546875" bestFit="1" customWidth="1"/>
    <col min="21" max="21" width="6.218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6" width="8.44140625" bestFit="1" customWidth="1"/>
    <col min="27" max="27" width="8.77734375" bestFit="1" customWidth="1"/>
    <col min="28" max="28" width="14.88671875" bestFit="1" customWidth="1"/>
    <col min="29" max="29" width="32.5546875" customWidth="1"/>
    <col min="30" max="30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4" t="s">
        <v>79</v>
      </c>
      <c r="AF1" s="14" t="s">
        <v>80</v>
      </c>
    </row>
    <row r="2" spans="1:32" x14ac:dyDescent="0.3">
      <c r="A2" s="1">
        <v>45341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82</v>
      </c>
      <c r="P2">
        <v>214229</v>
      </c>
      <c r="Q2" t="s">
        <v>43</v>
      </c>
      <c r="R2" t="s">
        <v>44</v>
      </c>
      <c r="S2" t="s">
        <v>45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99</v>
      </c>
      <c r="AA2" t="s">
        <v>46</v>
      </c>
      <c r="AB2" t="s">
        <v>47</v>
      </c>
      <c r="AC2" t="s">
        <v>100</v>
      </c>
      <c r="AD2" t="s">
        <v>48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 x14ac:dyDescent="0.3">
      <c r="A3" s="1">
        <v>45352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82</v>
      </c>
      <c r="P3">
        <v>220320</v>
      </c>
      <c r="Q3" t="s">
        <v>43</v>
      </c>
      <c r="R3" t="s">
        <v>44</v>
      </c>
      <c r="S3" t="s">
        <v>45</v>
      </c>
      <c r="T3">
        <v>90</v>
      </c>
      <c r="U3">
        <v>4</v>
      </c>
      <c r="V3" s="2">
        <v>0.16666666666666666</v>
      </c>
      <c r="W3">
        <v>360</v>
      </c>
      <c r="AA3" t="s">
        <v>46</v>
      </c>
      <c r="AC3" t="s">
        <v>68</v>
      </c>
      <c r="AD3" t="s">
        <v>48</v>
      </c>
      <c r="AE3">
        <f t="shared" ref="AE3:AE13" si="0">MONTH(A3)</f>
        <v>3</v>
      </c>
      <c r="AF3" t="str">
        <f t="shared" ref="AF3:AF49" si="1">IF(AE3=1,"January",IF(AE3=2,"February",IF(AE3=3,"March",IF(AE3=4,"April",IF(AE3=5,"May")))))</f>
        <v>March</v>
      </c>
    </row>
    <row r="4" spans="1:32" x14ac:dyDescent="0.3">
      <c r="A4" s="1">
        <v>45355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82</v>
      </c>
      <c r="P4">
        <v>220321</v>
      </c>
      <c r="Q4" t="s">
        <v>43</v>
      </c>
      <c r="R4" t="s">
        <v>44</v>
      </c>
      <c r="S4" t="s">
        <v>45</v>
      </c>
      <c r="T4">
        <v>90</v>
      </c>
      <c r="U4">
        <v>8</v>
      </c>
      <c r="V4" s="2">
        <v>0.33333333333333331</v>
      </c>
      <c r="W4">
        <v>720</v>
      </c>
      <c r="AA4" t="s">
        <v>46</v>
      </c>
      <c r="AC4" t="s">
        <v>69</v>
      </c>
      <c r="AD4" t="s">
        <v>48</v>
      </c>
      <c r="AE4">
        <f t="shared" si="0"/>
        <v>3</v>
      </c>
      <c r="AF4" t="str">
        <f t="shared" si="1"/>
        <v>March</v>
      </c>
    </row>
    <row r="5" spans="1:32" x14ac:dyDescent="0.3">
      <c r="A5" s="1">
        <v>45356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82</v>
      </c>
      <c r="P5">
        <v>220322</v>
      </c>
      <c r="Q5" t="s">
        <v>43</v>
      </c>
      <c r="R5" t="s">
        <v>44</v>
      </c>
      <c r="S5" t="s">
        <v>45</v>
      </c>
      <c r="T5">
        <v>90</v>
      </c>
      <c r="U5">
        <v>7</v>
      </c>
      <c r="V5" s="2">
        <v>0.29166666666666669</v>
      </c>
      <c r="W5">
        <v>630</v>
      </c>
      <c r="AA5" t="s">
        <v>46</v>
      </c>
      <c r="AC5" t="s">
        <v>70</v>
      </c>
      <c r="AD5" t="s">
        <v>48</v>
      </c>
      <c r="AE5">
        <f t="shared" si="0"/>
        <v>3</v>
      </c>
      <c r="AF5" t="str">
        <f t="shared" si="1"/>
        <v>March</v>
      </c>
    </row>
    <row r="6" spans="1:32" x14ac:dyDescent="0.3">
      <c r="A6" s="1">
        <v>45357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82</v>
      </c>
      <c r="P6">
        <v>221405</v>
      </c>
      <c r="Q6" t="s">
        <v>43</v>
      </c>
      <c r="R6" t="s">
        <v>44</v>
      </c>
      <c r="S6" t="s">
        <v>45</v>
      </c>
      <c r="T6">
        <v>90</v>
      </c>
      <c r="U6">
        <v>8</v>
      </c>
      <c r="V6" s="2">
        <v>0.33333333333333331</v>
      </c>
      <c r="W6">
        <v>720</v>
      </c>
      <c r="AA6" t="s">
        <v>46</v>
      </c>
      <c r="AC6" t="s">
        <v>71</v>
      </c>
      <c r="AD6" t="s">
        <v>48</v>
      </c>
      <c r="AE6">
        <f t="shared" si="0"/>
        <v>3</v>
      </c>
      <c r="AF6" t="str">
        <f t="shared" si="1"/>
        <v>March</v>
      </c>
    </row>
    <row r="7" spans="1:32" x14ac:dyDescent="0.3">
      <c r="A7" s="1">
        <v>45358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41</v>
      </c>
      <c r="O7" t="s">
        <v>82</v>
      </c>
      <c r="P7">
        <v>221411</v>
      </c>
      <c r="Q7" t="s">
        <v>43</v>
      </c>
      <c r="R7" t="s">
        <v>44</v>
      </c>
      <c r="S7" t="s">
        <v>45</v>
      </c>
      <c r="T7">
        <v>90</v>
      </c>
      <c r="U7">
        <v>13</v>
      </c>
      <c r="V7" s="2">
        <v>0.54166666666666663</v>
      </c>
      <c r="W7">
        <v>1170</v>
      </c>
      <c r="AA7" t="s">
        <v>46</v>
      </c>
      <c r="AC7" t="s">
        <v>83</v>
      </c>
      <c r="AD7" t="s">
        <v>48</v>
      </c>
      <c r="AE7">
        <f t="shared" si="0"/>
        <v>3</v>
      </c>
      <c r="AF7" t="str">
        <f t="shared" si="1"/>
        <v>March</v>
      </c>
    </row>
    <row r="8" spans="1:32" x14ac:dyDescent="0.3">
      <c r="A8" s="1">
        <v>45359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41</v>
      </c>
      <c r="O8" t="s">
        <v>82</v>
      </c>
      <c r="P8">
        <v>221929</v>
      </c>
      <c r="Q8" t="s">
        <v>43</v>
      </c>
      <c r="R8" t="s">
        <v>44</v>
      </c>
      <c r="S8" t="s">
        <v>45</v>
      </c>
      <c r="T8">
        <v>90</v>
      </c>
      <c r="U8">
        <v>14</v>
      </c>
      <c r="V8" s="2">
        <v>0.58333333333333337</v>
      </c>
      <c r="W8">
        <v>1260</v>
      </c>
      <c r="AA8" t="s">
        <v>46</v>
      </c>
      <c r="AC8" t="s">
        <v>84</v>
      </c>
      <c r="AD8" t="s">
        <v>48</v>
      </c>
      <c r="AE8">
        <f t="shared" si="0"/>
        <v>3</v>
      </c>
      <c r="AF8" t="str">
        <f t="shared" si="1"/>
        <v>March</v>
      </c>
    </row>
    <row r="9" spans="1:32" x14ac:dyDescent="0.3">
      <c r="A9" s="1">
        <v>45362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41</v>
      </c>
      <c r="O9" t="s">
        <v>82</v>
      </c>
      <c r="P9">
        <v>222793</v>
      </c>
      <c r="Q9" t="s">
        <v>43</v>
      </c>
      <c r="R9" t="s">
        <v>44</v>
      </c>
      <c r="S9" t="s">
        <v>45</v>
      </c>
      <c r="T9">
        <v>90</v>
      </c>
      <c r="U9">
        <v>8</v>
      </c>
      <c r="V9" s="2">
        <v>0.33333333333333331</v>
      </c>
      <c r="W9">
        <v>720</v>
      </c>
      <c r="AA9" t="s">
        <v>46</v>
      </c>
      <c r="AC9" t="s">
        <v>90</v>
      </c>
      <c r="AD9" t="s">
        <v>48</v>
      </c>
      <c r="AE9">
        <f t="shared" si="0"/>
        <v>3</v>
      </c>
      <c r="AF9" t="str">
        <f t="shared" si="1"/>
        <v>March</v>
      </c>
    </row>
    <row r="10" spans="1:32" x14ac:dyDescent="0.3">
      <c r="A10" s="1">
        <v>45363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41</v>
      </c>
      <c r="O10" t="s">
        <v>82</v>
      </c>
      <c r="P10">
        <v>222792</v>
      </c>
      <c r="Q10" t="s">
        <v>43</v>
      </c>
      <c r="R10" t="s">
        <v>44</v>
      </c>
      <c r="S10" t="s">
        <v>45</v>
      </c>
      <c r="T10">
        <v>90</v>
      </c>
      <c r="U10">
        <v>8</v>
      </c>
      <c r="V10" s="2">
        <v>0.33333333333333331</v>
      </c>
      <c r="W10">
        <v>720</v>
      </c>
      <c r="AA10" t="s">
        <v>46</v>
      </c>
      <c r="AC10" t="s">
        <v>91</v>
      </c>
      <c r="AD10" t="s">
        <v>48</v>
      </c>
      <c r="AE10">
        <f t="shared" si="0"/>
        <v>3</v>
      </c>
      <c r="AF10" t="str">
        <f t="shared" si="1"/>
        <v>March</v>
      </c>
    </row>
    <row r="11" spans="1:32" x14ac:dyDescent="0.3">
      <c r="A11" s="1">
        <v>45364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41</v>
      </c>
      <c r="O11" t="s">
        <v>82</v>
      </c>
      <c r="P11">
        <v>223768</v>
      </c>
      <c r="Q11" t="s">
        <v>43</v>
      </c>
      <c r="R11" t="s">
        <v>44</v>
      </c>
      <c r="S11" t="s">
        <v>45</v>
      </c>
      <c r="T11">
        <v>90</v>
      </c>
      <c r="U11">
        <v>8</v>
      </c>
      <c r="V11" s="2">
        <v>0.33333333333333331</v>
      </c>
      <c r="W11">
        <v>720</v>
      </c>
      <c r="AA11" t="s">
        <v>46</v>
      </c>
      <c r="AC11" t="s">
        <v>92</v>
      </c>
      <c r="AD11" t="s">
        <v>48</v>
      </c>
      <c r="AE11">
        <f t="shared" si="0"/>
        <v>3</v>
      </c>
      <c r="AF11" t="str">
        <f t="shared" si="1"/>
        <v>March</v>
      </c>
    </row>
    <row r="12" spans="1:32" x14ac:dyDescent="0.3">
      <c r="A12" s="1">
        <v>45365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41</v>
      </c>
      <c r="O12" t="s">
        <v>82</v>
      </c>
      <c r="P12">
        <v>224764</v>
      </c>
      <c r="Q12" t="s">
        <v>43</v>
      </c>
      <c r="R12" t="s">
        <v>44</v>
      </c>
      <c r="S12" t="s">
        <v>45</v>
      </c>
      <c r="T12">
        <v>90</v>
      </c>
      <c r="U12">
        <v>7</v>
      </c>
      <c r="V12" s="2">
        <v>0.29166666666666669</v>
      </c>
      <c r="W12">
        <v>630</v>
      </c>
      <c r="AA12" t="s">
        <v>46</v>
      </c>
      <c r="AC12" t="s">
        <v>93</v>
      </c>
      <c r="AD12" t="s">
        <v>48</v>
      </c>
      <c r="AE12">
        <f t="shared" si="0"/>
        <v>3</v>
      </c>
      <c r="AF12" t="str">
        <f t="shared" si="1"/>
        <v>March</v>
      </c>
    </row>
    <row r="13" spans="1:32" x14ac:dyDescent="0.3">
      <c r="A13" s="1">
        <v>45355</v>
      </c>
      <c r="B13" t="s">
        <v>72</v>
      </c>
      <c r="C13" t="s">
        <v>50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53</v>
      </c>
      <c r="O13" t="s">
        <v>82</v>
      </c>
      <c r="P13">
        <v>219767</v>
      </c>
      <c r="Q13" t="s">
        <v>43</v>
      </c>
      <c r="R13" t="s">
        <v>44</v>
      </c>
      <c r="S13" t="s">
        <v>45</v>
      </c>
      <c r="T13">
        <v>90</v>
      </c>
      <c r="U13">
        <v>0.25</v>
      </c>
      <c r="V13" s="2">
        <v>1.0416666666666666E-2</v>
      </c>
      <c r="W13">
        <v>22.5</v>
      </c>
      <c r="AA13" t="s">
        <v>46</v>
      </c>
      <c r="AC13" t="s">
        <v>53</v>
      </c>
      <c r="AD13" t="s">
        <v>48</v>
      </c>
      <c r="AE13">
        <f t="shared" si="0"/>
        <v>3</v>
      </c>
      <c r="AF13" t="str">
        <f t="shared" si="1"/>
        <v>March</v>
      </c>
    </row>
    <row r="14" spans="1:32" x14ac:dyDescent="0.3">
      <c r="A14" s="1">
        <v>45356</v>
      </c>
      <c r="B14" t="s">
        <v>72</v>
      </c>
      <c r="C14" t="s">
        <v>50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53</v>
      </c>
      <c r="O14" t="s">
        <v>82</v>
      </c>
      <c r="P14">
        <v>219760</v>
      </c>
      <c r="Q14" t="s">
        <v>43</v>
      </c>
      <c r="R14" t="s">
        <v>44</v>
      </c>
      <c r="S14" t="s">
        <v>45</v>
      </c>
      <c r="T14">
        <v>90</v>
      </c>
      <c r="U14">
        <v>3</v>
      </c>
      <c r="V14" s="2">
        <v>0.125</v>
      </c>
      <c r="W14">
        <v>270</v>
      </c>
      <c r="AA14" t="s">
        <v>46</v>
      </c>
      <c r="AC14" t="s">
        <v>53</v>
      </c>
      <c r="AD14" t="s">
        <v>48</v>
      </c>
      <c r="AE14">
        <f t="shared" ref="AE14:AE49" si="2">MONTH(A14)</f>
        <v>3</v>
      </c>
      <c r="AF14" t="str">
        <f t="shared" si="1"/>
        <v>March</v>
      </c>
    </row>
    <row r="15" spans="1:32" x14ac:dyDescent="0.3">
      <c r="A15" s="1">
        <v>45357</v>
      </c>
      <c r="B15" t="s">
        <v>72</v>
      </c>
      <c r="C15" t="s">
        <v>50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53</v>
      </c>
      <c r="O15" t="s">
        <v>82</v>
      </c>
      <c r="P15">
        <v>221432</v>
      </c>
      <c r="Q15" t="s">
        <v>43</v>
      </c>
      <c r="R15" t="s">
        <v>44</v>
      </c>
      <c r="S15" t="s">
        <v>45</v>
      </c>
      <c r="T15">
        <v>90</v>
      </c>
      <c r="U15">
        <v>0.5</v>
      </c>
      <c r="V15" s="2">
        <v>2.0833333333333332E-2</v>
      </c>
      <c r="W15">
        <v>45</v>
      </c>
      <c r="AA15" t="s">
        <v>46</v>
      </c>
      <c r="AC15" t="s">
        <v>53</v>
      </c>
      <c r="AD15" t="s">
        <v>48</v>
      </c>
      <c r="AE15">
        <f t="shared" si="2"/>
        <v>3</v>
      </c>
      <c r="AF15" t="str">
        <f t="shared" si="1"/>
        <v>March</v>
      </c>
    </row>
    <row r="16" spans="1:32" x14ac:dyDescent="0.3">
      <c r="A16" s="1">
        <v>45358</v>
      </c>
      <c r="B16" t="s">
        <v>72</v>
      </c>
      <c r="C16" t="s">
        <v>50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53</v>
      </c>
      <c r="O16" t="s">
        <v>82</v>
      </c>
      <c r="P16">
        <v>221439</v>
      </c>
      <c r="Q16" t="s">
        <v>43</v>
      </c>
      <c r="R16" t="s">
        <v>44</v>
      </c>
      <c r="S16" t="s">
        <v>45</v>
      </c>
      <c r="T16">
        <v>90</v>
      </c>
      <c r="U16">
        <v>0.5</v>
      </c>
      <c r="V16" s="2">
        <v>2.0833333333333332E-2</v>
      </c>
      <c r="W16">
        <v>45</v>
      </c>
      <c r="AA16" t="s">
        <v>46</v>
      </c>
      <c r="AC16" t="s">
        <v>53</v>
      </c>
      <c r="AD16" t="s">
        <v>48</v>
      </c>
      <c r="AE16">
        <f t="shared" si="2"/>
        <v>3</v>
      </c>
      <c r="AF16" t="str">
        <f t="shared" si="1"/>
        <v>March</v>
      </c>
    </row>
    <row r="17" spans="1:32" x14ac:dyDescent="0.3">
      <c r="A17" s="1">
        <v>45359</v>
      </c>
      <c r="B17" t="s">
        <v>72</v>
      </c>
      <c r="C17" t="s">
        <v>50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53</v>
      </c>
      <c r="O17" t="s">
        <v>82</v>
      </c>
      <c r="P17">
        <v>221695</v>
      </c>
      <c r="Q17" t="s">
        <v>43</v>
      </c>
      <c r="R17" t="s">
        <v>44</v>
      </c>
      <c r="S17" t="s">
        <v>45</v>
      </c>
      <c r="T17">
        <v>90</v>
      </c>
      <c r="U17">
        <v>3</v>
      </c>
      <c r="V17" s="2">
        <v>0.125</v>
      </c>
      <c r="W17">
        <v>270</v>
      </c>
      <c r="AA17" t="s">
        <v>46</v>
      </c>
      <c r="AC17" t="s">
        <v>53</v>
      </c>
      <c r="AD17" t="s">
        <v>48</v>
      </c>
      <c r="AE17">
        <f t="shared" si="2"/>
        <v>3</v>
      </c>
      <c r="AF17" t="str">
        <f t="shared" si="1"/>
        <v>March</v>
      </c>
    </row>
    <row r="18" spans="1:32" x14ac:dyDescent="0.3">
      <c r="A18" s="1">
        <v>45362</v>
      </c>
      <c r="B18" t="s">
        <v>72</v>
      </c>
      <c r="C18" t="s">
        <v>50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53</v>
      </c>
      <c r="O18" t="s">
        <v>82</v>
      </c>
      <c r="P18">
        <v>222865</v>
      </c>
      <c r="Q18" t="s">
        <v>43</v>
      </c>
      <c r="R18" t="s">
        <v>44</v>
      </c>
      <c r="S18" t="s">
        <v>45</v>
      </c>
      <c r="T18">
        <v>90</v>
      </c>
      <c r="U18">
        <v>3</v>
      </c>
      <c r="V18" s="2">
        <v>0.125</v>
      </c>
      <c r="W18">
        <v>270</v>
      </c>
      <c r="AA18" t="s">
        <v>46</v>
      </c>
      <c r="AC18" t="s">
        <v>53</v>
      </c>
      <c r="AD18" t="s">
        <v>48</v>
      </c>
      <c r="AE18">
        <f t="shared" si="2"/>
        <v>3</v>
      </c>
      <c r="AF18" t="str">
        <f t="shared" si="1"/>
        <v>March</v>
      </c>
    </row>
    <row r="19" spans="1:32" x14ac:dyDescent="0.3">
      <c r="A19" s="1">
        <v>45363</v>
      </c>
      <c r="B19" t="s">
        <v>72</v>
      </c>
      <c r="C19" t="s">
        <v>50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32</v>
      </c>
      <c r="L19" t="s">
        <v>39</v>
      </c>
      <c r="M19" t="s">
        <v>40</v>
      </c>
      <c r="N19" t="s">
        <v>53</v>
      </c>
      <c r="O19" t="s">
        <v>82</v>
      </c>
      <c r="P19">
        <v>222864</v>
      </c>
      <c r="Q19" t="s">
        <v>43</v>
      </c>
      <c r="R19" t="s">
        <v>44</v>
      </c>
      <c r="S19" t="s">
        <v>45</v>
      </c>
      <c r="T19">
        <v>90</v>
      </c>
      <c r="U19">
        <v>6</v>
      </c>
      <c r="V19" s="2">
        <v>0.25</v>
      </c>
      <c r="W19">
        <v>540</v>
      </c>
      <c r="AA19" t="s">
        <v>46</v>
      </c>
      <c r="AC19" t="s">
        <v>53</v>
      </c>
      <c r="AD19" t="s">
        <v>48</v>
      </c>
      <c r="AE19">
        <f t="shared" si="2"/>
        <v>3</v>
      </c>
      <c r="AF19" t="str">
        <f t="shared" si="1"/>
        <v>March</v>
      </c>
    </row>
    <row r="20" spans="1:32" x14ac:dyDescent="0.3">
      <c r="A20" s="1">
        <v>45364</v>
      </c>
      <c r="B20" t="s">
        <v>72</v>
      </c>
      <c r="C20" t="s">
        <v>50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32</v>
      </c>
      <c r="L20" t="s">
        <v>39</v>
      </c>
      <c r="M20" t="s">
        <v>40</v>
      </c>
      <c r="N20" t="s">
        <v>53</v>
      </c>
      <c r="O20" t="s">
        <v>82</v>
      </c>
      <c r="P20">
        <v>223766</v>
      </c>
      <c r="Q20" t="s">
        <v>43</v>
      </c>
      <c r="R20" t="s">
        <v>44</v>
      </c>
      <c r="S20" t="s">
        <v>45</v>
      </c>
      <c r="T20">
        <v>90</v>
      </c>
      <c r="U20">
        <v>6</v>
      </c>
      <c r="V20" s="2">
        <v>0.25</v>
      </c>
      <c r="W20">
        <v>540</v>
      </c>
      <c r="AA20" t="s">
        <v>46</v>
      </c>
      <c r="AC20" t="s">
        <v>53</v>
      </c>
      <c r="AD20" t="s">
        <v>48</v>
      </c>
      <c r="AE20">
        <f t="shared" si="2"/>
        <v>3</v>
      </c>
      <c r="AF20" t="str">
        <f t="shared" si="1"/>
        <v>March</v>
      </c>
    </row>
    <row r="21" spans="1:32" x14ac:dyDescent="0.3">
      <c r="A21" s="1">
        <v>45365</v>
      </c>
      <c r="B21" t="s">
        <v>72</v>
      </c>
      <c r="C21" t="s">
        <v>50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32</v>
      </c>
      <c r="L21" t="s">
        <v>39</v>
      </c>
      <c r="M21" t="s">
        <v>40</v>
      </c>
      <c r="N21" t="s">
        <v>53</v>
      </c>
      <c r="O21" t="s">
        <v>82</v>
      </c>
      <c r="P21">
        <v>224990</v>
      </c>
      <c r="Q21" t="s">
        <v>43</v>
      </c>
      <c r="R21" t="s">
        <v>44</v>
      </c>
      <c r="S21" t="s">
        <v>45</v>
      </c>
      <c r="T21">
        <v>90</v>
      </c>
      <c r="U21">
        <v>5.75</v>
      </c>
      <c r="V21" s="2">
        <v>0.23958333333333334</v>
      </c>
      <c r="W21">
        <v>517.5</v>
      </c>
      <c r="AA21" t="s">
        <v>46</v>
      </c>
      <c r="AC21" t="s">
        <v>53</v>
      </c>
      <c r="AD21" t="s">
        <v>48</v>
      </c>
      <c r="AE21">
        <f t="shared" si="2"/>
        <v>3</v>
      </c>
      <c r="AF21" t="str">
        <f t="shared" si="1"/>
        <v>March</v>
      </c>
    </row>
    <row r="22" spans="1:32" x14ac:dyDescent="0.3">
      <c r="A22" s="1">
        <v>45366</v>
      </c>
      <c r="B22" t="s">
        <v>72</v>
      </c>
      <c r="C22" t="s">
        <v>50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32</v>
      </c>
      <c r="L22" t="s">
        <v>39</v>
      </c>
      <c r="M22" t="s">
        <v>40</v>
      </c>
      <c r="N22" t="s">
        <v>53</v>
      </c>
      <c r="O22" t="s">
        <v>82</v>
      </c>
      <c r="P22">
        <v>225010</v>
      </c>
      <c r="Q22" t="s">
        <v>43</v>
      </c>
      <c r="R22" t="s">
        <v>44</v>
      </c>
      <c r="S22" t="s">
        <v>45</v>
      </c>
      <c r="T22">
        <v>90</v>
      </c>
      <c r="U22">
        <v>3</v>
      </c>
      <c r="V22" s="2">
        <v>0.125</v>
      </c>
      <c r="W22">
        <v>270</v>
      </c>
      <c r="AA22" t="s">
        <v>46</v>
      </c>
      <c r="AC22" t="s">
        <v>53</v>
      </c>
      <c r="AD22" t="s">
        <v>48</v>
      </c>
      <c r="AE22">
        <f t="shared" si="2"/>
        <v>3</v>
      </c>
      <c r="AF22" t="str">
        <f t="shared" si="1"/>
        <v>March</v>
      </c>
    </row>
    <row r="23" spans="1:32" x14ac:dyDescent="0.3">
      <c r="A23" s="1">
        <v>45352</v>
      </c>
      <c r="B23" t="s">
        <v>73</v>
      </c>
      <c r="C23" t="s">
        <v>50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32</v>
      </c>
      <c r="L23" t="s">
        <v>39</v>
      </c>
      <c r="M23" t="s">
        <v>40</v>
      </c>
      <c r="N23" t="s">
        <v>53</v>
      </c>
      <c r="O23" t="s">
        <v>82</v>
      </c>
      <c r="P23">
        <v>220269</v>
      </c>
      <c r="Q23" t="s">
        <v>43</v>
      </c>
      <c r="R23" t="s">
        <v>44</v>
      </c>
      <c r="S23" t="s">
        <v>45</v>
      </c>
      <c r="T23">
        <v>90</v>
      </c>
      <c r="U23">
        <v>2</v>
      </c>
      <c r="V23" s="2">
        <v>8.3333333333333329E-2</v>
      </c>
      <c r="W23">
        <v>180</v>
      </c>
      <c r="AA23" t="s">
        <v>46</v>
      </c>
      <c r="AC23" t="s">
        <v>53</v>
      </c>
      <c r="AD23" t="s">
        <v>48</v>
      </c>
      <c r="AE23">
        <f t="shared" si="2"/>
        <v>3</v>
      </c>
      <c r="AF23" t="str">
        <f t="shared" si="1"/>
        <v>March</v>
      </c>
    </row>
    <row r="24" spans="1:32" x14ac:dyDescent="0.3">
      <c r="A24" s="1">
        <v>45355</v>
      </c>
      <c r="B24" t="s">
        <v>73</v>
      </c>
      <c r="C24" t="s">
        <v>50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32</v>
      </c>
      <c r="L24" t="s">
        <v>39</v>
      </c>
      <c r="M24" t="s">
        <v>40</v>
      </c>
      <c r="N24" t="s">
        <v>53</v>
      </c>
      <c r="O24" t="s">
        <v>82</v>
      </c>
      <c r="P24">
        <v>220268</v>
      </c>
      <c r="Q24" t="s">
        <v>43</v>
      </c>
      <c r="R24" t="s">
        <v>44</v>
      </c>
      <c r="S24" t="s">
        <v>45</v>
      </c>
      <c r="T24">
        <v>90</v>
      </c>
      <c r="U24">
        <v>3</v>
      </c>
      <c r="V24" s="2">
        <v>0.125</v>
      </c>
      <c r="W24">
        <v>270</v>
      </c>
      <c r="AA24" t="s">
        <v>46</v>
      </c>
      <c r="AC24" t="s">
        <v>53</v>
      </c>
      <c r="AD24" t="s">
        <v>48</v>
      </c>
      <c r="AE24">
        <f t="shared" si="2"/>
        <v>3</v>
      </c>
      <c r="AF24" t="str">
        <f t="shared" si="1"/>
        <v>March</v>
      </c>
    </row>
    <row r="25" spans="1:32" x14ac:dyDescent="0.3">
      <c r="A25" s="1">
        <v>45356</v>
      </c>
      <c r="B25" t="s">
        <v>73</v>
      </c>
      <c r="C25" t="s">
        <v>50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32</v>
      </c>
      <c r="L25" t="s">
        <v>39</v>
      </c>
      <c r="M25" t="s">
        <v>40</v>
      </c>
      <c r="N25" t="s">
        <v>53</v>
      </c>
      <c r="O25" t="s">
        <v>82</v>
      </c>
      <c r="P25">
        <v>219901</v>
      </c>
      <c r="Q25" t="s">
        <v>43</v>
      </c>
      <c r="R25" t="s">
        <v>44</v>
      </c>
      <c r="S25" t="s">
        <v>45</v>
      </c>
      <c r="T25">
        <v>90</v>
      </c>
      <c r="U25">
        <v>4</v>
      </c>
      <c r="V25" s="2">
        <v>0.16666666666666666</v>
      </c>
      <c r="W25">
        <v>360</v>
      </c>
      <c r="AA25" t="s">
        <v>46</v>
      </c>
      <c r="AC25" t="s">
        <v>53</v>
      </c>
      <c r="AD25" t="s">
        <v>48</v>
      </c>
      <c r="AE25">
        <f t="shared" si="2"/>
        <v>3</v>
      </c>
      <c r="AF25" t="str">
        <f t="shared" si="1"/>
        <v>March</v>
      </c>
    </row>
    <row r="26" spans="1:32" x14ac:dyDescent="0.3">
      <c r="A26" s="1">
        <v>45357</v>
      </c>
      <c r="B26" t="s">
        <v>73</v>
      </c>
      <c r="C26" t="s">
        <v>50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32</v>
      </c>
      <c r="L26" t="s">
        <v>39</v>
      </c>
      <c r="M26" t="s">
        <v>40</v>
      </c>
      <c r="N26" t="s">
        <v>53</v>
      </c>
      <c r="O26" t="s">
        <v>82</v>
      </c>
      <c r="P26">
        <v>220688</v>
      </c>
      <c r="Q26" t="s">
        <v>43</v>
      </c>
      <c r="R26" t="s">
        <v>44</v>
      </c>
      <c r="S26" t="s">
        <v>45</v>
      </c>
      <c r="T26">
        <v>90</v>
      </c>
      <c r="U26">
        <v>5.75</v>
      </c>
      <c r="V26" s="2">
        <v>0.23958333333333334</v>
      </c>
      <c r="W26">
        <v>517.5</v>
      </c>
      <c r="AA26" t="s">
        <v>46</v>
      </c>
      <c r="AC26" t="s">
        <v>53</v>
      </c>
      <c r="AD26" t="s">
        <v>48</v>
      </c>
      <c r="AE26">
        <f t="shared" si="2"/>
        <v>3</v>
      </c>
      <c r="AF26" t="str">
        <f t="shared" si="1"/>
        <v>March</v>
      </c>
    </row>
    <row r="27" spans="1:32" x14ac:dyDescent="0.3">
      <c r="A27" s="1">
        <v>45358</v>
      </c>
      <c r="B27" t="s">
        <v>73</v>
      </c>
      <c r="C27" t="s">
        <v>50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32</v>
      </c>
      <c r="L27" t="s">
        <v>39</v>
      </c>
      <c r="M27" t="s">
        <v>40</v>
      </c>
      <c r="N27" t="s">
        <v>53</v>
      </c>
      <c r="O27" t="s">
        <v>82</v>
      </c>
      <c r="P27">
        <v>221312</v>
      </c>
      <c r="Q27" t="s">
        <v>43</v>
      </c>
      <c r="R27" t="s">
        <v>44</v>
      </c>
      <c r="S27" t="s">
        <v>45</v>
      </c>
      <c r="T27">
        <v>90</v>
      </c>
      <c r="U27">
        <v>7</v>
      </c>
      <c r="V27" s="2">
        <v>0.29166666666666669</v>
      </c>
      <c r="W27">
        <v>630</v>
      </c>
      <c r="AA27" t="s">
        <v>46</v>
      </c>
      <c r="AC27" t="s">
        <v>53</v>
      </c>
      <c r="AD27" t="s">
        <v>48</v>
      </c>
      <c r="AE27">
        <f t="shared" si="2"/>
        <v>3</v>
      </c>
      <c r="AF27" t="str">
        <f t="shared" si="1"/>
        <v>March</v>
      </c>
    </row>
    <row r="28" spans="1:32" x14ac:dyDescent="0.3">
      <c r="A28" s="1">
        <v>45359</v>
      </c>
      <c r="B28" t="s">
        <v>73</v>
      </c>
      <c r="C28" t="s">
        <v>50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32</v>
      </c>
      <c r="L28" t="s">
        <v>39</v>
      </c>
      <c r="M28" t="s">
        <v>40</v>
      </c>
      <c r="N28" t="s">
        <v>53</v>
      </c>
      <c r="O28" t="s">
        <v>82</v>
      </c>
      <c r="P28">
        <v>221647</v>
      </c>
      <c r="Q28" t="s">
        <v>43</v>
      </c>
      <c r="R28" t="s">
        <v>44</v>
      </c>
      <c r="S28" t="s">
        <v>45</v>
      </c>
      <c r="T28">
        <v>90</v>
      </c>
      <c r="U28">
        <v>6</v>
      </c>
      <c r="V28" s="2">
        <v>0.25</v>
      </c>
      <c r="W28">
        <v>540</v>
      </c>
      <c r="AA28" t="s">
        <v>46</v>
      </c>
      <c r="AC28" t="s">
        <v>53</v>
      </c>
      <c r="AD28" t="s">
        <v>48</v>
      </c>
      <c r="AE28">
        <f t="shared" si="2"/>
        <v>3</v>
      </c>
      <c r="AF28" t="str">
        <f t="shared" si="1"/>
        <v>March</v>
      </c>
    </row>
    <row r="29" spans="1:32" x14ac:dyDescent="0.3">
      <c r="A29" s="1">
        <v>45362</v>
      </c>
      <c r="B29" t="s">
        <v>73</v>
      </c>
      <c r="C29" t="s">
        <v>50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32</v>
      </c>
      <c r="L29" t="s">
        <v>39</v>
      </c>
      <c r="M29" t="s">
        <v>40</v>
      </c>
      <c r="N29" t="s">
        <v>53</v>
      </c>
      <c r="O29" t="s">
        <v>82</v>
      </c>
      <c r="P29">
        <v>222364</v>
      </c>
      <c r="Q29" t="s">
        <v>43</v>
      </c>
      <c r="R29" t="s">
        <v>44</v>
      </c>
      <c r="S29" t="s">
        <v>45</v>
      </c>
      <c r="T29">
        <v>90</v>
      </c>
      <c r="U29">
        <v>7.75</v>
      </c>
      <c r="V29" s="2">
        <v>0.32291666666666669</v>
      </c>
      <c r="W29">
        <v>697.5</v>
      </c>
      <c r="AA29" t="s">
        <v>46</v>
      </c>
      <c r="AC29" t="s">
        <v>53</v>
      </c>
      <c r="AD29" t="s">
        <v>48</v>
      </c>
      <c r="AE29">
        <f t="shared" si="2"/>
        <v>3</v>
      </c>
      <c r="AF29" t="str">
        <f t="shared" si="1"/>
        <v>March</v>
      </c>
    </row>
    <row r="30" spans="1:32" x14ac:dyDescent="0.3">
      <c r="A30" s="1">
        <v>45363</v>
      </c>
      <c r="B30" t="s">
        <v>73</v>
      </c>
      <c r="C30" t="s">
        <v>50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32</v>
      </c>
      <c r="L30" t="s">
        <v>39</v>
      </c>
      <c r="M30" t="s">
        <v>40</v>
      </c>
      <c r="N30" t="s">
        <v>53</v>
      </c>
      <c r="O30" t="s">
        <v>82</v>
      </c>
      <c r="P30">
        <v>222988</v>
      </c>
      <c r="Q30" t="s">
        <v>43</v>
      </c>
      <c r="R30" t="s">
        <v>44</v>
      </c>
      <c r="S30" t="s">
        <v>45</v>
      </c>
      <c r="T30">
        <v>90</v>
      </c>
      <c r="U30">
        <v>7.5</v>
      </c>
      <c r="V30" s="2">
        <v>0.3125</v>
      </c>
      <c r="W30">
        <v>675</v>
      </c>
      <c r="AA30" t="s">
        <v>46</v>
      </c>
      <c r="AC30" t="s">
        <v>53</v>
      </c>
      <c r="AD30" t="s">
        <v>48</v>
      </c>
      <c r="AE30">
        <f t="shared" si="2"/>
        <v>3</v>
      </c>
      <c r="AF30" t="str">
        <f t="shared" si="1"/>
        <v>March</v>
      </c>
    </row>
    <row r="31" spans="1:32" x14ac:dyDescent="0.3">
      <c r="A31" s="1">
        <v>45364</v>
      </c>
      <c r="B31" t="s">
        <v>73</v>
      </c>
      <c r="C31" t="s">
        <v>50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32</v>
      </c>
      <c r="L31" t="s">
        <v>39</v>
      </c>
      <c r="M31" t="s">
        <v>40</v>
      </c>
      <c r="N31" t="s">
        <v>53</v>
      </c>
      <c r="O31" t="s">
        <v>82</v>
      </c>
      <c r="P31">
        <v>223541</v>
      </c>
      <c r="Q31" t="s">
        <v>43</v>
      </c>
      <c r="R31" t="s">
        <v>44</v>
      </c>
      <c r="S31" t="s">
        <v>45</v>
      </c>
      <c r="T31">
        <v>90</v>
      </c>
      <c r="U31">
        <v>8</v>
      </c>
      <c r="V31" s="2">
        <v>0.33333333333333331</v>
      </c>
      <c r="W31">
        <v>720</v>
      </c>
      <c r="AA31" t="s">
        <v>46</v>
      </c>
      <c r="AC31" t="s">
        <v>53</v>
      </c>
      <c r="AD31" t="s">
        <v>48</v>
      </c>
      <c r="AE31">
        <f t="shared" si="2"/>
        <v>3</v>
      </c>
      <c r="AF31" t="str">
        <f t="shared" si="1"/>
        <v>March</v>
      </c>
    </row>
    <row r="32" spans="1:32" x14ac:dyDescent="0.3">
      <c r="A32" s="1">
        <v>45365</v>
      </c>
      <c r="B32" t="s">
        <v>73</v>
      </c>
      <c r="C32" t="s">
        <v>50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32</v>
      </c>
      <c r="L32" t="s">
        <v>39</v>
      </c>
      <c r="M32" t="s">
        <v>40</v>
      </c>
      <c r="N32" t="s">
        <v>53</v>
      </c>
      <c r="O32" t="s">
        <v>82</v>
      </c>
      <c r="P32">
        <v>223989</v>
      </c>
      <c r="Q32" t="s">
        <v>43</v>
      </c>
      <c r="R32" t="s">
        <v>44</v>
      </c>
      <c r="S32" t="s">
        <v>45</v>
      </c>
      <c r="T32">
        <v>90</v>
      </c>
      <c r="U32">
        <v>6.75</v>
      </c>
      <c r="V32" s="2">
        <v>0.28125</v>
      </c>
      <c r="W32">
        <v>607.5</v>
      </c>
      <c r="AA32" t="s">
        <v>46</v>
      </c>
      <c r="AC32" t="s">
        <v>53</v>
      </c>
      <c r="AD32" t="s">
        <v>48</v>
      </c>
      <c r="AE32">
        <f t="shared" si="2"/>
        <v>3</v>
      </c>
      <c r="AF32" t="str">
        <f t="shared" si="1"/>
        <v>March</v>
      </c>
    </row>
    <row r="33" spans="1:32" x14ac:dyDescent="0.3">
      <c r="A33" s="1">
        <v>45366</v>
      </c>
      <c r="B33" t="s">
        <v>73</v>
      </c>
      <c r="C33" t="s">
        <v>50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32</v>
      </c>
      <c r="L33" t="s">
        <v>39</v>
      </c>
      <c r="M33" t="s">
        <v>40</v>
      </c>
      <c r="N33" t="s">
        <v>53</v>
      </c>
      <c r="O33" t="s">
        <v>82</v>
      </c>
      <c r="P33">
        <v>224504</v>
      </c>
      <c r="Q33" t="s">
        <v>43</v>
      </c>
      <c r="R33" t="s">
        <v>44</v>
      </c>
      <c r="S33" t="s">
        <v>45</v>
      </c>
      <c r="T33">
        <v>90</v>
      </c>
      <c r="U33">
        <v>6.25</v>
      </c>
      <c r="V33" s="2">
        <v>0.26041666666666669</v>
      </c>
      <c r="W33">
        <v>562.5</v>
      </c>
      <c r="AA33" t="s">
        <v>46</v>
      </c>
      <c r="AC33" t="s">
        <v>53</v>
      </c>
      <c r="AD33" t="s">
        <v>48</v>
      </c>
      <c r="AE33">
        <f t="shared" si="2"/>
        <v>3</v>
      </c>
      <c r="AF33" t="str">
        <f t="shared" si="1"/>
        <v>March</v>
      </c>
    </row>
    <row r="34" spans="1:32" x14ac:dyDescent="0.3">
      <c r="A34" s="1">
        <v>45324</v>
      </c>
      <c r="B34" t="s">
        <v>49</v>
      </c>
      <c r="C34" t="s">
        <v>50</v>
      </c>
      <c r="D34" t="s">
        <v>32</v>
      </c>
      <c r="E34" t="s">
        <v>51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32</v>
      </c>
      <c r="L34" t="s">
        <v>39</v>
      </c>
      <c r="M34" t="s">
        <v>40</v>
      </c>
      <c r="N34" t="s">
        <v>52</v>
      </c>
      <c r="O34" t="s">
        <v>82</v>
      </c>
      <c r="P34">
        <v>209126</v>
      </c>
      <c r="Q34" t="s">
        <v>43</v>
      </c>
      <c r="R34" t="s">
        <v>44</v>
      </c>
      <c r="S34" t="s">
        <v>45</v>
      </c>
      <c r="T34">
        <v>90</v>
      </c>
      <c r="U34">
        <v>1</v>
      </c>
      <c r="V34" s="2">
        <v>4.1666666666666664E-2</v>
      </c>
      <c r="W34">
        <v>90</v>
      </c>
      <c r="X34">
        <v>120</v>
      </c>
      <c r="Y34">
        <v>30</v>
      </c>
      <c r="Z34" t="s">
        <v>99</v>
      </c>
      <c r="AA34" t="s">
        <v>46</v>
      </c>
      <c r="AB34" t="s">
        <v>47</v>
      </c>
      <c r="AC34" t="s">
        <v>53</v>
      </c>
      <c r="AD34" t="s">
        <v>48</v>
      </c>
      <c r="AE34">
        <f t="shared" si="2"/>
        <v>2</v>
      </c>
      <c r="AF34" t="str">
        <f t="shared" si="1"/>
        <v>February</v>
      </c>
    </row>
    <row r="35" spans="1:32" x14ac:dyDescent="0.3">
      <c r="A35" s="1">
        <v>45337</v>
      </c>
      <c r="B35" t="s">
        <v>49</v>
      </c>
      <c r="C35" t="s">
        <v>50</v>
      </c>
      <c r="D35" t="s">
        <v>32</v>
      </c>
      <c r="E35" t="s">
        <v>51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32</v>
      </c>
      <c r="L35" t="s">
        <v>39</v>
      </c>
      <c r="M35" t="s">
        <v>40</v>
      </c>
      <c r="N35" t="s">
        <v>52</v>
      </c>
      <c r="O35" t="s">
        <v>82</v>
      </c>
      <c r="P35">
        <v>212410</v>
      </c>
      <c r="Q35" t="s">
        <v>43</v>
      </c>
      <c r="R35" t="s">
        <v>44</v>
      </c>
      <c r="S35" t="s">
        <v>45</v>
      </c>
      <c r="T35">
        <v>90</v>
      </c>
      <c r="U35">
        <v>7</v>
      </c>
      <c r="V35" s="2">
        <v>0.29166666666666669</v>
      </c>
      <c r="W35">
        <v>630</v>
      </c>
      <c r="X35">
        <v>840</v>
      </c>
      <c r="Y35">
        <v>210</v>
      </c>
      <c r="Z35" t="s">
        <v>99</v>
      </c>
      <c r="AA35" t="s">
        <v>46</v>
      </c>
      <c r="AB35" t="s">
        <v>47</v>
      </c>
      <c r="AC35" t="s">
        <v>53</v>
      </c>
      <c r="AD35" t="s">
        <v>48</v>
      </c>
      <c r="AE35">
        <f t="shared" si="2"/>
        <v>2</v>
      </c>
      <c r="AF35" t="str">
        <f t="shared" si="1"/>
        <v>February</v>
      </c>
    </row>
    <row r="36" spans="1:32" x14ac:dyDescent="0.3">
      <c r="A36" s="1">
        <v>45338</v>
      </c>
      <c r="B36" t="s">
        <v>49</v>
      </c>
      <c r="C36" t="s">
        <v>50</v>
      </c>
      <c r="D36" t="s">
        <v>32</v>
      </c>
      <c r="E36" t="s">
        <v>51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32</v>
      </c>
      <c r="L36" t="s">
        <v>39</v>
      </c>
      <c r="M36" t="s">
        <v>40</v>
      </c>
      <c r="N36" t="s">
        <v>52</v>
      </c>
      <c r="O36" t="s">
        <v>82</v>
      </c>
      <c r="P36">
        <v>212409</v>
      </c>
      <c r="Q36" t="s">
        <v>43</v>
      </c>
      <c r="R36" t="s">
        <v>44</v>
      </c>
      <c r="S36" t="s">
        <v>45</v>
      </c>
      <c r="T36">
        <v>90</v>
      </c>
      <c r="U36">
        <v>2.5</v>
      </c>
      <c r="V36" s="2">
        <v>0.10416666666666667</v>
      </c>
      <c r="W36">
        <v>225</v>
      </c>
      <c r="X36">
        <v>300</v>
      </c>
      <c r="Y36">
        <v>75</v>
      </c>
      <c r="Z36" t="s">
        <v>99</v>
      </c>
      <c r="AA36" t="s">
        <v>46</v>
      </c>
      <c r="AB36" t="s">
        <v>47</v>
      </c>
      <c r="AC36" t="s">
        <v>53</v>
      </c>
      <c r="AD36" t="s">
        <v>48</v>
      </c>
      <c r="AE36">
        <f t="shared" si="2"/>
        <v>2</v>
      </c>
      <c r="AF36" t="str">
        <f t="shared" si="1"/>
        <v>February</v>
      </c>
    </row>
    <row r="37" spans="1:32" x14ac:dyDescent="0.3">
      <c r="A37" s="1">
        <v>45342</v>
      </c>
      <c r="B37" t="s">
        <v>49</v>
      </c>
      <c r="C37" t="s">
        <v>50</v>
      </c>
      <c r="D37" t="s">
        <v>32</v>
      </c>
      <c r="E37" t="s">
        <v>51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32</v>
      </c>
      <c r="L37" t="s">
        <v>39</v>
      </c>
      <c r="M37" t="s">
        <v>40</v>
      </c>
      <c r="N37" t="s">
        <v>52</v>
      </c>
      <c r="O37" t="s">
        <v>82</v>
      </c>
      <c r="P37">
        <v>214277</v>
      </c>
      <c r="Q37" t="s">
        <v>43</v>
      </c>
      <c r="R37" t="s">
        <v>44</v>
      </c>
      <c r="S37" t="s">
        <v>45</v>
      </c>
      <c r="T37">
        <v>90</v>
      </c>
      <c r="U37">
        <v>7.25</v>
      </c>
      <c r="V37" s="2">
        <v>0.30208333333333331</v>
      </c>
      <c r="W37">
        <v>652.5</v>
      </c>
      <c r="X37">
        <v>870</v>
      </c>
      <c r="Y37">
        <v>217.5</v>
      </c>
      <c r="Z37" t="s">
        <v>99</v>
      </c>
      <c r="AA37" t="s">
        <v>46</v>
      </c>
      <c r="AB37" t="s">
        <v>47</v>
      </c>
      <c r="AC37" t="s">
        <v>53</v>
      </c>
      <c r="AD37" t="s">
        <v>48</v>
      </c>
      <c r="AE37">
        <f t="shared" si="2"/>
        <v>2</v>
      </c>
      <c r="AF37" t="str">
        <f t="shared" si="1"/>
        <v>February</v>
      </c>
    </row>
    <row r="38" spans="1:32" x14ac:dyDescent="0.3">
      <c r="A38" s="1">
        <v>45343</v>
      </c>
      <c r="B38" t="s">
        <v>49</v>
      </c>
      <c r="C38" t="s">
        <v>50</v>
      </c>
      <c r="D38" t="s">
        <v>32</v>
      </c>
      <c r="E38" t="s">
        <v>51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32</v>
      </c>
      <c r="L38" t="s">
        <v>39</v>
      </c>
      <c r="M38" t="s">
        <v>40</v>
      </c>
      <c r="N38" t="s">
        <v>52</v>
      </c>
      <c r="O38" t="s">
        <v>82</v>
      </c>
      <c r="P38">
        <v>214280</v>
      </c>
      <c r="Q38" t="s">
        <v>43</v>
      </c>
      <c r="R38" t="s">
        <v>44</v>
      </c>
      <c r="S38" t="s">
        <v>45</v>
      </c>
      <c r="T38">
        <v>90</v>
      </c>
      <c r="U38">
        <v>4.25</v>
      </c>
      <c r="V38" s="2">
        <v>0.17708333333333334</v>
      </c>
      <c r="W38">
        <v>382.5</v>
      </c>
      <c r="X38">
        <v>510</v>
      </c>
      <c r="Y38">
        <v>127.5</v>
      </c>
      <c r="Z38" t="s">
        <v>99</v>
      </c>
      <c r="AA38" t="s">
        <v>46</v>
      </c>
      <c r="AB38" t="s">
        <v>47</v>
      </c>
      <c r="AC38" t="s">
        <v>53</v>
      </c>
      <c r="AD38" t="s">
        <v>48</v>
      </c>
      <c r="AE38">
        <f t="shared" si="2"/>
        <v>2</v>
      </c>
      <c r="AF38" t="str">
        <f t="shared" si="1"/>
        <v>February</v>
      </c>
    </row>
    <row r="39" spans="1:32" x14ac:dyDescent="0.3">
      <c r="A39" s="1">
        <v>45344</v>
      </c>
      <c r="B39" t="s">
        <v>49</v>
      </c>
      <c r="C39" t="s">
        <v>50</v>
      </c>
      <c r="D39" t="s">
        <v>32</v>
      </c>
      <c r="E39" t="s">
        <v>51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32</v>
      </c>
      <c r="L39" t="s">
        <v>39</v>
      </c>
      <c r="M39" t="s">
        <v>40</v>
      </c>
      <c r="N39" t="s">
        <v>52</v>
      </c>
      <c r="O39" t="s">
        <v>82</v>
      </c>
      <c r="P39">
        <v>214563</v>
      </c>
      <c r="Q39" t="s">
        <v>43</v>
      </c>
      <c r="R39" t="s">
        <v>44</v>
      </c>
      <c r="S39" t="s">
        <v>45</v>
      </c>
      <c r="T39">
        <v>90</v>
      </c>
      <c r="U39">
        <v>1</v>
      </c>
      <c r="V39" s="2">
        <v>4.1666666666666664E-2</v>
      </c>
      <c r="W39">
        <v>90</v>
      </c>
      <c r="X39">
        <v>120</v>
      </c>
      <c r="Y39">
        <v>30</v>
      </c>
      <c r="Z39" t="s">
        <v>99</v>
      </c>
      <c r="AA39" t="s">
        <v>46</v>
      </c>
      <c r="AB39" t="s">
        <v>47</v>
      </c>
      <c r="AC39" t="s">
        <v>53</v>
      </c>
      <c r="AD39" t="s">
        <v>48</v>
      </c>
      <c r="AE39">
        <f t="shared" si="2"/>
        <v>2</v>
      </c>
      <c r="AF39" t="str">
        <f t="shared" si="1"/>
        <v>February</v>
      </c>
    </row>
    <row r="40" spans="1:32" x14ac:dyDescent="0.3">
      <c r="A40" s="1">
        <v>45348</v>
      </c>
      <c r="B40" t="s">
        <v>49</v>
      </c>
      <c r="C40" t="s">
        <v>50</v>
      </c>
      <c r="D40" t="s">
        <v>32</v>
      </c>
      <c r="E40" t="s">
        <v>51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32</v>
      </c>
      <c r="L40" t="s">
        <v>39</v>
      </c>
      <c r="M40" t="s">
        <v>40</v>
      </c>
      <c r="N40" t="s">
        <v>52</v>
      </c>
      <c r="O40" t="s">
        <v>82</v>
      </c>
      <c r="P40">
        <v>216146</v>
      </c>
      <c r="Q40" t="s">
        <v>43</v>
      </c>
      <c r="R40" t="s">
        <v>44</v>
      </c>
      <c r="S40" t="s">
        <v>45</v>
      </c>
      <c r="T40">
        <v>90</v>
      </c>
      <c r="U40">
        <v>2</v>
      </c>
      <c r="V40" s="2">
        <v>8.3333333333333329E-2</v>
      </c>
      <c r="W40">
        <v>180</v>
      </c>
      <c r="X40">
        <v>240</v>
      </c>
      <c r="Y40">
        <v>60</v>
      </c>
      <c r="Z40" t="s">
        <v>99</v>
      </c>
      <c r="AA40" t="s">
        <v>46</v>
      </c>
      <c r="AB40" t="s">
        <v>47</v>
      </c>
      <c r="AC40" t="s">
        <v>53</v>
      </c>
      <c r="AD40" t="s">
        <v>48</v>
      </c>
      <c r="AE40">
        <f t="shared" si="2"/>
        <v>2</v>
      </c>
      <c r="AF40" t="str">
        <f t="shared" si="1"/>
        <v>February</v>
      </c>
    </row>
    <row r="41" spans="1:32" x14ac:dyDescent="0.3">
      <c r="A41" s="1">
        <v>45349</v>
      </c>
      <c r="B41" t="s">
        <v>49</v>
      </c>
      <c r="C41" t="s">
        <v>50</v>
      </c>
      <c r="D41" t="s">
        <v>32</v>
      </c>
      <c r="E41" t="s">
        <v>51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32</v>
      </c>
      <c r="L41" t="s">
        <v>39</v>
      </c>
      <c r="M41" t="s">
        <v>40</v>
      </c>
      <c r="N41" t="s">
        <v>52</v>
      </c>
      <c r="O41" t="s">
        <v>82</v>
      </c>
      <c r="P41">
        <v>217055</v>
      </c>
      <c r="Q41" t="s">
        <v>43</v>
      </c>
      <c r="R41" t="s">
        <v>44</v>
      </c>
      <c r="S41" t="s">
        <v>45</v>
      </c>
      <c r="T41">
        <v>90</v>
      </c>
      <c r="U41">
        <v>0.25</v>
      </c>
      <c r="V41" s="2">
        <v>1.0416666666666666E-2</v>
      </c>
      <c r="W41">
        <v>22.5</v>
      </c>
      <c r="X41">
        <v>30</v>
      </c>
      <c r="Y41">
        <v>7.5</v>
      </c>
      <c r="Z41" t="s">
        <v>99</v>
      </c>
      <c r="AA41" t="s">
        <v>46</v>
      </c>
      <c r="AB41" t="s">
        <v>47</v>
      </c>
      <c r="AC41" t="s">
        <v>53</v>
      </c>
      <c r="AD41" t="s">
        <v>48</v>
      </c>
      <c r="AE41">
        <f t="shared" si="2"/>
        <v>2</v>
      </c>
      <c r="AF41" t="str">
        <f t="shared" si="1"/>
        <v>February</v>
      </c>
    </row>
    <row r="42" spans="1:32" x14ac:dyDescent="0.3">
      <c r="A42" s="1">
        <v>45350</v>
      </c>
      <c r="B42" t="s">
        <v>49</v>
      </c>
      <c r="C42" t="s">
        <v>50</v>
      </c>
      <c r="D42" t="s">
        <v>32</v>
      </c>
      <c r="E42" t="s">
        <v>51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32</v>
      </c>
      <c r="L42" t="s">
        <v>39</v>
      </c>
      <c r="M42" t="s">
        <v>40</v>
      </c>
      <c r="N42" t="s">
        <v>52</v>
      </c>
      <c r="O42" t="s">
        <v>82</v>
      </c>
      <c r="P42">
        <v>217696</v>
      </c>
      <c r="Q42" t="s">
        <v>43</v>
      </c>
      <c r="R42" t="s">
        <v>44</v>
      </c>
      <c r="S42" t="s">
        <v>45</v>
      </c>
      <c r="T42">
        <v>90</v>
      </c>
      <c r="U42">
        <v>3.25</v>
      </c>
      <c r="V42" s="2">
        <v>0.13541666666666666</v>
      </c>
      <c r="W42">
        <v>292.5</v>
      </c>
      <c r="X42">
        <v>390</v>
      </c>
      <c r="Y42">
        <v>97.5</v>
      </c>
      <c r="Z42" t="s">
        <v>99</v>
      </c>
      <c r="AA42" t="s">
        <v>46</v>
      </c>
      <c r="AB42" t="s">
        <v>47</v>
      </c>
      <c r="AC42" t="s">
        <v>53</v>
      </c>
      <c r="AD42" t="s">
        <v>48</v>
      </c>
      <c r="AE42">
        <f t="shared" si="2"/>
        <v>2</v>
      </c>
      <c r="AF42" t="str">
        <f t="shared" si="1"/>
        <v>February</v>
      </c>
    </row>
    <row r="43" spans="1:32" x14ac:dyDescent="0.3">
      <c r="A43" s="1">
        <v>45351</v>
      </c>
      <c r="B43" t="s">
        <v>49</v>
      </c>
      <c r="C43" t="s">
        <v>50</v>
      </c>
      <c r="D43" t="s">
        <v>32</v>
      </c>
      <c r="E43" t="s">
        <v>51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32</v>
      </c>
      <c r="L43" t="s">
        <v>39</v>
      </c>
      <c r="M43" t="s">
        <v>40</v>
      </c>
      <c r="N43" t="s">
        <v>52</v>
      </c>
      <c r="O43" t="s">
        <v>82</v>
      </c>
      <c r="P43">
        <v>217701</v>
      </c>
      <c r="Q43" t="s">
        <v>43</v>
      </c>
      <c r="R43" t="s">
        <v>44</v>
      </c>
      <c r="S43" t="s">
        <v>45</v>
      </c>
      <c r="T43">
        <v>90</v>
      </c>
      <c r="U43">
        <v>0.75</v>
      </c>
      <c r="V43" s="2">
        <v>3.125E-2</v>
      </c>
      <c r="W43">
        <v>67.5</v>
      </c>
      <c r="X43">
        <v>90</v>
      </c>
      <c r="Y43">
        <v>22.5</v>
      </c>
      <c r="Z43" t="s">
        <v>99</v>
      </c>
      <c r="AA43" t="s">
        <v>46</v>
      </c>
      <c r="AB43" t="s">
        <v>47</v>
      </c>
      <c r="AC43" t="s">
        <v>53</v>
      </c>
      <c r="AD43" t="s">
        <v>48</v>
      </c>
      <c r="AE43">
        <f t="shared" si="2"/>
        <v>2</v>
      </c>
      <c r="AF43" t="str">
        <f t="shared" si="1"/>
        <v>February</v>
      </c>
    </row>
    <row r="44" spans="1:32" x14ac:dyDescent="0.3">
      <c r="A44" s="1">
        <v>45352</v>
      </c>
      <c r="B44" t="s">
        <v>49</v>
      </c>
      <c r="C44" t="s">
        <v>50</v>
      </c>
      <c r="D44" t="s">
        <v>32</v>
      </c>
      <c r="E44" t="s">
        <v>51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32</v>
      </c>
      <c r="L44" t="s">
        <v>39</v>
      </c>
      <c r="M44" t="s">
        <v>40</v>
      </c>
      <c r="N44" t="s">
        <v>52</v>
      </c>
      <c r="O44" t="s">
        <v>82</v>
      </c>
      <c r="P44">
        <v>219384</v>
      </c>
      <c r="Q44" t="s">
        <v>43</v>
      </c>
      <c r="R44" t="s">
        <v>44</v>
      </c>
      <c r="S44" t="s">
        <v>45</v>
      </c>
      <c r="T44">
        <v>90</v>
      </c>
      <c r="U44">
        <v>2.25</v>
      </c>
      <c r="V44" s="2">
        <v>9.375E-2</v>
      </c>
      <c r="W44">
        <v>202.5</v>
      </c>
      <c r="AA44" t="s">
        <v>46</v>
      </c>
      <c r="AC44" t="s">
        <v>53</v>
      </c>
      <c r="AD44" t="s">
        <v>48</v>
      </c>
      <c r="AE44">
        <f t="shared" si="2"/>
        <v>3</v>
      </c>
      <c r="AF44" t="str">
        <f t="shared" si="1"/>
        <v>March</v>
      </c>
    </row>
    <row r="45" spans="1:32" x14ac:dyDescent="0.3">
      <c r="A45" s="1">
        <v>45355</v>
      </c>
      <c r="B45" t="s">
        <v>49</v>
      </c>
      <c r="C45" t="s">
        <v>50</v>
      </c>
      <c r="D45" t="s">
        <v>32</v>
      </c>
      <c r="E45" t="s">
        <v>51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32</v>
      </c>
      <c r="L45" t="s">
        <v>39</v>
      </c>
      <c r="M45" t="s">
        <v>40</v>
      </c>
      <c r="N45" t="s">
        <v>52</v>
      </c>
      <c r="O45" t="s">
        <v>82</v>
      </c>
      <c r="P45">
        <v>219370</v>
      </c>
      <c r="Q45" t="s">
        <v>43</v>
      </c>
      <c r="R45" t="s">
        <v>44</v>
      </c>
      <c r="S45" t="s">
        <v>45</v>
      </c>
      <c r="T45">
        <v>90</v>
      </c>
      <c r="U45">
        <v>5.25</v>
      </c>
      <c r="V45" s="2">
        <v>0.21875</v>
      </c>
      <c r="W45">
        <v>472.5</v>
      </c>
      <c r="AA45" t="s">
        <v>46</v>
      </c>
      <c r="AC45" t="s">
        <v>53</v>
      </c>
      <c r="AD45" t="s">
        <v>48</v>
      </c>
      <c r="AE45">
        <f t="shared" si="2"/>
        <v>3</v>
      </c>
      <c r="AF45" t="str">
        <f t="shared" si="1"/>
        <v>March</v>
      </c>
    </row>
    <row r="46" spans="1:32" x14ac:dyDescent="0.3">
      <c r="A46" s="1">
        <v>45356</v>
      </c>
      <c r="B46" t="s">
        <v>49</v>
      </c>
      <c r="C46" t="s">
        <v>50</v>
      </c>
      <c r="D46" t="s">
        <v>32</v>
      </c>
      <c r="E46" t="s">
        <v>51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32</v>
      </c>
      <c r="L46" t="s">
        <v>39</v>
      </c>
      <c r="M46" t="s">
        <v>40</v>
      </c>
      <c r="N46" t="s">
        <v>52</v>
      </c>
      <c r="O46" t="s">
        <v>82</v>
      </c>
      <c r="P46">
        <v>219880</v>
      </c>
      <c r="Q46" t="s">
        <v>43</v>
      </c>
      <c r="R46" t="s">
        <v>44</v>
      </c>
      <c r="S46" t="s">
        <v>45</v>
      </c>
      <c r="T46">
        <v>90</v>
      </c>
      <c r="U46">
        <v>4.75</v>
      </c>
      <c r="V46" s="2">
        <v>0.19791666666666666</v>
      </c>
      <c r="W46">
        <v>427.5</v>
      </c>
      <c r="AA46" t="s">
        <v>46</v>
      </c>
      <c r="AC46" t="s">
        <v>53</v>
      </c>
      <c r="AD46" t="s">
        <v>48</v>
      </c>
      <c r="AE46">
        <f t="shared" si="2"/>
        <v>3</v>
      </c>
      <c r="AF46" t="str">
        <f t="shared" si="1"/>
        <v>March</v>
      </c>
    </row>
    <row r="47" spans="1:32" x14ac:dyDescent="0.3">
      <c r="A47" s="1">
        <v>45357</v>
      </c>
      <c r="B47" t="s">
        <v>49</v>
      </c>
      <c r="C47" t="s">
        <v>50</v>
      </c>
      <c r="D47" t="s">
        <v>32</v>
      </c>
      <c r="E47" t="s">
        <v>51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</v>
      </c>
      <c r="L47" t="s">
        <v>39</v>
      </c>
      <c r="M47" t="s">
        <v>40</v>
      </c>
      <c r="N47" t="s">
        <v>52</v>
      </c>
      <c r="O47" t="s">
        <v>82</v>
      </c>
      <c r="P47">
        <v>220833</v>
      </c>
      <c r="Q47" t="s">
        <v>43</v>
      </c>
      <c r="R47" t="s">
        <v>44</v>
      </c>
      <c r="S47" t="s">
        <v>45</v>
      </c>
      <c r="T47">
        <v>90</v>
      </c>
      <c r="U47">
        <v>2.75</v>
      </c>
      <c r="V47" s="2">
        <v>0.11458333333333333</v>
      </c>
      <c r="W47">
        <v>247.5</v>
      </c>
      <c r="AA47" t="s">
        <v>46</v>
      </c>
      <c r="AC47" t="s">
        <v>53</v>
      </c>
      <c r="AD47" t="s">
        <v>48</v>
      </c>
      <c r="AE47">
        <f t="shared" si="2"/>
        <v>3</v>
      </c>
      <c r="AF47" t="str">
        <f t="shared" si="1"/>
        <v>March</v>
      </c>
    </row>
    <row r="48" spans="1:32" x14ac:dyDescent="0.3">
      <c r="A48" s="1">
        <v>45358</v>
      </c>
      <c r="B48" t="s">
        <v>49</v>
      </c>
      <c r="C48" t="s">
        <v>50</v>
      </c>
      <c r="D48" t="s">
        <v>32</v>
      </c>
      <c r="E48" t="s">
        <v>51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</v>
      </c>
      <c r="L48" t="s">
        <v>39</v>
      </c>
      <c r="M48" t="s">
        <v>40</v>
      </c>
      <c r="N48" t="s">
        <v>52</v>
      </c>
      <c r="O48" t="s">
        <v>82</v>
      </c>
      <c r="P48">
        <v>221107</v>
      </c>
      <c r="Q48" t="s">
        <v>43</v>
      </c>
      <c r="R48" t="s">
        <v>44</v>
      </c>
      <c r="S48" t="s">
        <v>45</v>
      </c>
      <c r="T48">
        <v>90</v>
      </c>
      <c r="U48">
        <v>1</v>
      </c>
      <c r="V48" s="2">
        <v>4.1666666666666664E-2</v>
      </c>
      <c r="W48">
        <v>90</v>
      </c>
      <c r="AA48" t="s">
        <v>46</v>
      </c>
      <c r="AC48" t="s">
        <v>53</v>
      </c>
      <c r="AD48" t="s">
        <v>48</v>
      </c>
      <c r="AE48">
        <f t="shared" si="2"/>
        <v>3</v>
      </c>
      <c r="AF48" t="str">
        <f t="shared" si="1"/>
        <v>March</v>
      </c>
    </row>
    <row r="49" spans="1:32" x14ac:dyDescent="0.3">
      <c r="A49" s="1">
        <v>45359</v>
      </c>
      <c r="B49" t="s">
        <v>49</v>
      </c>
      <c r="C49" t="s">
        <v>50</v>
      </c>
      <c r="D49" t="s">
        <v>32</v>
      </c>
      <c r="E49" t="s">
        <v>51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32</v>
      </c>
      <c r="L49" t="s">
        <v>39</v>
      </c>
      <c r="M49" t="s">
        <v>40</v>
      </c>
      <c r="N49" t="s">
        <v>52</v>
      </c>
      <c r="O49" t="s">
        <v>82</v>
      </c>
      <c r="P49">
        <v>221735</v>
      </c>
      <c r="Q49" t="s">
        <v>43</v>
      </c>
      <c r="R49" t="s">
        <v>44</v>
      </c>
      <c r="S49" t="s">
        <v>45</v>
      </c>
      <c r="T49">
        <v>90</v>
      </c>
      <c r="U49">
        <v>0.5</v>
      </c>
      <c r="V49" s="2">
        <v>2.0833333333333332E-2</v>
      </c>
      <c r="W49">
        <v>45</v>
      </c>
      <c r="AA49" t="s">
        <v>46</v>
      </c>
      <c r="AC49" t="s">
        <v>53</v>
      </c>
      <c r="AD49" t="s">
        <v>48</v>
      </c>
      <c r="AE49">
        <f t="shared" si="2"/>
        <v>3</v>
      </c>
      <c r="AF49" t="str">
        <f t="shared" si="1"/>
        <v>March</v>
      </c>
    </row>
    <row r="50" spans="1:32" x14ac:dyDescent="0.3">
      <c r="A50" s="1">
        <v>45362</v>
      </c>
      <c r="B50" t="s">
        <v>49</v>
      </c>
      <c r="C50" t="s">
        <v>50</v>
      </c>
      <c r="D50" t="s">
        <v>32</v>
      </c>
      <c r="E50" t="s">
        <v>51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32</v>
      </c>
      <c r="L50" t="s">
        <v>39</v>
      </c>
      <c r="M50" t="s">
        <v>40</v>
      </c>
      <c r="N50" t="s">
        <v>52</v>
      </c>
      <c r="O50" t="s">
        <v>82</v>
      </c>
      <c r="P50">
        <v>222478</v>
      </c>
      <c r="Q50" t="s">
        <v>43</v>
      </c>
      <c r="R50" t="s">
        <v>44</v>
      </c>
      <c r="S50" t="s">
        <v>45</v>
      </c>
      <c r="T50">
        <v>90</v>
      </c>
      <c r="U50">
        <v>2.75</v>
      </c>
      <c r="V50" s="2">
        <v>0.11458333333333333</v>
      </c>
      <c r="W50">
        <v>247.5</v>
      </c>
      <c r="AA50" t="s">
        <v>46</v>
      </c>
      <c r="AC50" t="s">
        <v>53</v>
      </c>
      <c r="AD50" t="s">
        <v>48</v>
      </c>
      <c r="AE50">
        <f t="shared" ref="AE50:AE54" si="3">MONTH(A50)</f>
        <v>3</v>
      </c>
      <c r="AF50" t="str">
        <f t="shared" ref="AF50:AF54" si="4">IF(AE50=1,"January",IF(AE50=2,"February",IF(AE50=3,"March",IF(AE50=4,"April",IF(AE50=5,"May")))))</f>
        <v>March</v>
      </c>
    </row>
    <row r="51" spans="1:32" x14ac:dyDescent="0.3">
      <c r="A51" s="1">
        <v>45363</v>
      </c>
      <c r="B51" t="s">
        <v>49</v>
      </c>
      <c r="C51" t="s">
        <v>50</v>
      </c>
      <c r="D51" t="s">
        <v>32</v>
      </c>
      <c r="E51" t="s">
        <v>51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</v>
      </c>
      <c r="L51" t="s">
        <v>39</v>
      </c>
      <c r="M51" t="s">
        <v>40</v>
      </c>
      <c r="N51" t="s">
        <v>52</v>
      </c>
      <c r="O51" t="s">
        <v>82</v>
      </c>
      <c r="P51">
        <v>223124</v>
      </c>
      <c r="Q51" t="s">
        <v>43</v>
      </c>
      <c r="R51" t="s">
        <v>44</v>
      </c>
      <c r="S51" t="s">
        <v>45</v>
      </c>
      <c r="T51">
        <v>90</v>
      </c>
      <c r="U51">
        <v>0.5</v>
      </c>
      <c r="V51" s="2">
        <v>2.0833333333333332E-2</v>
      </c>
      <c r="W51">
        <v>45</v>
      </c>
      <c r="AA51" t="s">
        <v>46</v>
      </c>
      <c r="AC51" t="s">
        <v>53</v>
      </c>
      <c r="AD51" t="s">
        <v>48</v>
      </c>
      <c r="AE51">
        <f t="shared" si="3"/>
        <v>3</v>
      </c>
      <c r="AF51" t="str">
        <f t="shared" si="4"/>
        <v>March</v>
      </c>
    </row>
    <row r="52" spans="1:32" x14ac:dyDescent="0.3">
      <c r="A52" s="1">
        <v>45364</v>
      </c>
      <c r="B52" t="s">
        <v>49</v>
      </c>
      <c r="C52" t="s">
        <v>50</v>
      </c>
      <c r="D52" t="s">
        <v>32</v>
      </c>
      <c r="E52" t="s">
        <v>51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</v>
      </c>
      <c r="L52" t="s">
        <v>39</v>
      </c>
      <c r="M52" t="s">
        <v>40</v>
      </c>
      <c r="N52" t="s">
        <v>52</v>
      </c>
      <c r="O52" t="s">
        <v>82</v>
      </c>
      <c r="P52">
        <v>223117</v>
      </c>
      <c r="Q52" t="s">
        <v>43</v>
      </c>
      <c r="R52" t="s">
        <v>44</v>
      </c>
      <c r="S52" t="s">
        <v>45</v>
      </c>
      <c r="T52">
        <v>90</v>
      </c>
      <c r="U52">
        <v>0.25</v>
      </c>
      <c r="V52" s="2">
        <v>1.0416666666666666E-2</v>
      </c>
      <c r="W52">
        <v>22.5</v>
      </c>
      <c r="AA52" t="s">
        <v>46</v>
      </c>
      <c r="AC52" t="s">
        <v>53</v>
      </c>
      <c r="AD52" t="s">
        <v>48</v>
      </c>
      <c r="AE52">
        <f t="shared" si="3"/>
        <v>3</v>
      </c>
      <c r="AF52" t="str">
        <f t="shared" si="4"/>
        <v>March</v>
      </c>
    </row>
    <row r="53" spans="1:32" x14ac:dyDescent="0.3">
      <c r="A53" s="1">
        <v>45366</v>
      </c>
      <c r="B53" t="s">
        <v>49</v>
      </c>
      <c r="C53" t="s">
        <v>50</v>
      </c>
      <c r="D53" t="s">
        <v>32</v>
      </c>
      <c r="E53" t="s">
        <v>51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</v>
      </c>
      <c r="L53" t="s">
        <v>39</v>
      </c>
      <c r="M53" t="s">
        <v>40</v>
      </c>
      <c r="N53" t="s">
        <v>52</v>
      </c>
      <c r="O53" t="s">
        <v>82</v>
      </c>
      <c r="P53">
        <v>224079</v>
      </c>
      <c r="Q53" t="s">
        <v>43</v>
      </c>
      <c r="R53" t="s">
        <v>44</v>
      </c>
      <c r="S53" t="s">
        <v>45</v>
      </c>
      <c r="T53">
        <v>90</v>
      </c>
      <c r="U53">
        <v>2.25</v>
      </c>
      <c r="V53" s="2">
        <v>9.375E-2</v>
      </c>
      <c r="W53">
        <v>202.5</v>
      </c>
      <c r="AA53" t="s">
        <v>46</v>
      </c>
      <c r="AC53" t="s">
        <v>53</v>
      </c>
      <c r="AD53" t="s">
        <v>48</v>
      </c>
      <c r="AE53">
        <f t="shared" si="3"/>
        <v>3</v>
      </c>
      <c r="AF53" t="str">
        <f t="shared" si="4"/>
        <v>March</v>
      </c>
    </row>
    <row r="54" spans="1:32" x14ac:dyDescent="0.3">
      <c r="A54" s="1">
        <v>45355</v>
      </c>
      <c r="B54" t="s">
        <v>74</v>
      </c>
      <c r="C54" t="s">
        <v>31</v>
      </c>
      <c r="D54" t="s">
        <v>32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</v>
      </c>
      <c r="L54" t="s">
        <v>39</v>
      </c>
      <c r="M54" t="s">
        <v>40</v>
      </c>
      <c r="N54" t="s">
        <v>41</v>
      </c>
      <c r="O54" t="s">
        <v>82</v>
      </c>
      <c r="P54">
        <v>221465</v>
      </c>
      <c r="Q54" t="s">
        <v>43</v>
      </c>
      <c r="R54" t="s">
        <v>44</v>
      </c>
      <c r="S54" t="s">
        <v>45</v>
      </c>
      <c r="T54">
        <v>90</v>
      </c>
      <c r="U54">
        <v>8.5</v>
      </c>
      <c r="V54" s="2">
        <v>0.35416666666666669</v>
      </c>
      <c r="W54">
        <v>765</v>
      </c>
      <c r="AA54" t="s">
        <v>46</v>
      </c>
      <c r="AC54" t="e">
        <f>-- Grainger Website Integration Standup -- Code walkthrough of existing LWC component -- Org setup</f>
        <v>#NAME?</v>
      </c>
      <c r="AD54" t="s">
        <v>48</v>
      </c>
      <c r="AE54">
        <f t="shared" si="3"/>
        <v>3</v>
      </c>
      <c r="AF54" t="str">
        <f t="shared" si="4"/>
        <v>March</v>
      </c>
    </row>
    <row r="55" spans="1:32" x14ac:dyDescent="0.3">
      <c r="A55" s="1">
        <v>45356</v>
      </c>
      <c r="B55" t="s">
        <v>74</v>
      </c>
      <c r="C55" t="s">
        <v>31</v>
      </c>
      <c r="D55" t="s">
        <v>32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32</v>
      </c>
      <c r="L55" t="s">
        <v>39</v>
      </c>
      <c r="M55" t="s">
        <v>40</v>
      </c>
      <c r="N55" t="s">
        <v>41</v>
      </c>
      <c r="O55" t="s">
        <v>82</v>
      </c>
      <c r="P55">
        <v>221467</v>
      </c>
      <c r="Q55" t="s">
        <v>43</v>
      </c>
      <c r="R55" t="s">
        <v>44</v>
      </c>
      <c r="S55" t="s">
        <v>45</v>
      </c>
      <c r="T55">
        <v>90</v>
      </c>
      <c r="U55">
        <v>8.5</v>
      </c>
      <c r="V55" s="2">
        <v>0.35416666666666669</v>
      </c>
      <c r="W55">
        <v>765</v>
      </c>
      <c r="AA55" t="s">
        <v>46</v>
      </c>
      <c r="AC55" t="s">
        <v>75</v>
      </c>
      <c r="AD55" t="s">
        <v>48</v>
      </c>
      <c r="AE55">
        <f t="shared" ref="AE55:AE63" si="5">MONTH(A55)</f>
        <v>3</v>
      </c>
      <c r="AF55" t="str">
        <f t="shared" ref="AF55:AF63" si="6">IF(AE55=1,"January",IF(AE55=2,"February",IF(AE55=3,"March",IF(AE55=4,"April",IF(AE55=5,"May")))))</f>
        <v>March</v>
      </c>
    </row>
    <row r="56" spans="1:32" x14ac:dyDescent="0.3">
      <c r="A56" s="1">
        <v>45357</v>
      </c>
      <c r="B56" t="s">
        <v>74</v>
      </c>
      <c r="C56" t="s">
        <v>31</v>
      </c>
      <c r="D56" t="s">
        <v>32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32</v>
      </c>
      <c r="L56" t="s">
        <v>39</v>
      </c>
      <c r="M56" t="s">
        <v>40</v>
      </c>
      <c r="N56" t="s">
        <v>41</v>
      </c>
      <c r="O56" t="s">
        <v>82</v>
      </c>
      <c r="P56">
        <v>221468</v>
      </c>
      <c r="Q56" t="s">
        <v>43</v>
      </c>
      <c r="R56" t="s">
        <v>44</v>
      </c>
      <c r="S56" t="s">
        <v>45</v>
      </c>
      <c r="T56">
        <v>90</v>
      </c>
      <c r="U56">
        <v>8.5</v>
      </c>
      <c r="V56" s="2">
        <v>0.35416666666666669</v>
      </c>
      <c r="W56">
        <v>765</v>
      </c>
      <c r="AA56" t="s">
        <v>46</v>
      </c>
      <c r="AC56" t="s">
        <v>76</v>
      </c>
      <c r="AD56" t="s">
        <v>48</v>
      </c>
      <c r="AE56">
        <f t="shared" si="5"/>
        <v>3</v>
      </c>
      <c r="AF56" t="str">
        <f t="shared" si="6"/>
        <v>March</v>
      </c>
    </row>
    <row r="57" spans="1:32" x14ac:dyDescent="0.3">
      <c r="A57" s="1">
        <v>45358</v>
      </c>
      <c r="B57" t="s">
        <v>74</v>
      </c>
      <c r="C57" t="s">
        <v>31</v>
      </c>
      <c r="D57" t="s">
        <v>32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32</v>
      </c>
      <c r="L57" t="s">
        <v>39</v>
      </c>
      <c r="M57" t="s">
        <v>40</v>
      </c>
      <c r="N57" t="s">
        <v>41</v>
      </c>
      <c r="O57" t="s">
        <v>82</v>
      </c>
      <c r="P57">
        <v>221469</v>
      </c>
      <c r="Q57" t="s">
        <v>43</v>
      </c>
      <c r="R57" t="s">
        <v>44</v>
      </c>
      <c r="S57" t="s">
        <v>45</v>
      </c>
      <c r="T57">
        <v>90</v>
      </c>
      <c r="U57">
        <v>8.5</v>
      </c>
      <c r="V57" s="2">
        <v>0.35416666666666669</v>
      </c>
      <c r="W57">
        <v>765</v>
      </c>
      <c r="AA57" t="s">
        <v>46</v>
      </c>
      <c r="AC57" t="s">
        <v>77</v>
      </c>
      <c r="AD57" t="s">
        <v>48</v>
      </c>
      <c r="AE57">
        <f t="shared" si="5"/>
        <v>3</v>
      </c>
      <c r="AF57" t="str">
        <f t="shared" si="6"/>
        <v>March</v>
      </c>
    </row>
    <row r="58" spans="1:32" x14ac:dyDescent="0.3">
      <c r="A58" s="1">
        <v>45359</v>
      </c>
      <c r="B58" t="s">
        <v>74</v>
      </c>
      <c r="C58" t="s">
        <v>31</v>
      </c>
      <c r="D58" t="s">
        <v>32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32</v>
      </c>
      <c r="L58" t="s">
        <v>39</v>
      </c>
      <c r="M58" t="s">
        <v>40</v>
      </c>
      <c r="N58" t="s">
        <v>41</v>
      </c>
      <c r="O58" t="s">
        <v>82</v>
      </c>
      <c r="P58">
        <v>221473</v>
      </c>
      <c r="Q58" t="s">
        <v>43</v>
      </c>
      <c r="R58" t="s">
        <v>44</v>
      </c>
      <c r="S58" t="s">
        <v>45</v>
      </c>
      <c r="T58">
        <v>90</v>
      </c>
      <c r="U58">
        <v>8.5</v>
      </c>
      <c r="V58" s="2">
        <v>0.35416666666666669</v>
      </c>
      <c r="W58">
        <v>765</v>
      </c>
      <c r="AA58" t="s">
        <v>46</v>
      </c>
      <c r="AC58" t="s">
        <v>78</v>
      </c>
      <c r="AD58" t="s">
        <v>48</v>
      </c>
      <c r="AE58">
        <f t="shared" si="5"/>
        <v>3</v>
      </c>
      <c r="AF58" t="str">
        <f t="shared" si="6"/>
        <v>March</v>
      </c>
    </row>
    <row r="59" spans="1:32" x14ac:dyDescent="0.3">
      <c r="A59" s="1">
        <v>45362</v>
      </c>
      <c r="B59" t="s">
        <v>74</v>
      </c>
      <c r="C59" t="s">
        <v>31</v>
      </c>
      <c r="D59" t="s">
        <v>32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32</v>
      </c>
      <c r="L59" t="s">
        <v>39</v>
      </c>
      <c r="M59" t="s">
        <v>40</v>
      </c>
      <c r="N59" t="s">
        <v>41</v>
      </c>
      <c r="O59" t="s">
        <v>82</v>
      </c>
      <c r="P59">
        <v>223686</v>
      </c>
      <c r="Q59" t="s">
        <v>43</v>
      </c>
      <c r="R59" t="s">
        <v>44</v>
      </c>
      <c r="S59" t="s">
        <v>45</v>
      </c>
      <c r="T59">
        <v>90</v>
      </c>
      <c r="U59">
        <v>9.5</v>
      </c>
      <c r="V59" s="2">
        <v>0.39583333333333331</v>
      </c>
      <c r="W59">
        <v>855</v>
      </c>
      <c r="AA59" t="s">
        <v>46</v>
      </c>
      <c r="AC59" t="s">
        <v>94</v>
      </c>
      <c r="AD59" t="s">
        <v>48</v>
      </c>
      <c r="AE59">
        <f t="shared" si="5"/>
        <v>3</v>
      </c>
      <c r="AF59" t="str">
        <f t="shared" si="6"/>
        <v>March</v>
      </c>
    </row>
    <row r="60" spans="1:32" x14ac:dyDescent="0.3">
      <c r="A60" s="1">
        <v>45363</v>
      </c>
      <c r="B60" t="s">
        <v>74</v>
      </c>
      <c r="C60" t="s">
        <v>31</v>
      </c>
      <c r="D60" t="s">
        <v>32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32</v>
      </c>
      <c r="L60" t="s">
        <v>39</v>
      </c>
      <c r="M60" t="s">
        <v>40</v>
      </c>
      <c r="N60" t="s">
        <v>41</v>
      </c>
      <c r="O60" t="s">
        <v>82</v>
      </c>
      <c r="P60">
        <v>223687</v>
      </c>
      <c r="Q60" t="s">
        <v>43</v>
      </c>
      <c r="R60" t="s">
        <v>44</v>
      </c>
      <c r="S60" t="s">
        <v>45</v>
      </c>
      <c r="T60">
        <v>90</v>
      </c>
      <c r="U60">
        <v>9</v>
      </c>
      <c r="V60" s="2">
        <v>0.375</v>
      </c>
      <c r="W60">
        <v>810</v>
      </c>
      <c r="AA60" t="s">
        <v>46</v>
      </c>
      <c r="AC60" t="s">
        <v>95</v>
      </c>
      <c r="AD60" t="s">
        <v>48</v>
      </c>
      <c r="AE60">
        <f t="shared" si="5"/>
        <v>3</v>
      </c>
      <c r="AF60" t="str">
        <f t="shared" si="6"/>
        <v>March</v>
      </c>
    </row>
    <row r="61" spans="1:32" x14ac:dyDescent="0.3">
      <c r="A61" s="1">
        <v>45364</v>
      </c>
      <c r="B61" t="s">
        <v>74</v>
      </c>
      <c r="C61" t="s">
        <v>31</v>
      </c>
      <c r="D61" t="s">
        <v>32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32</v>
      </c>
      <c r="L61" t="s">
        <v>39</v>
      </c>
      <c r="M61" t="s">
        <v>40</v>
      </c>
      <c r="N61" t="s">
        <v>41</v>
      </c>
      <c r="O61" t="s">
        <v>82</v>
      </c>
      <c r="P61">
        <v>223688</v>
      </c>
      <c r="Q61" t="s">
        <v>43</v>
      </c>
      <c r="R61" t="s">
        <v>44</v>
      </c>
      <c r="S61" t="s">
        <v>45</v>
      </c>
      <c r="T61">
        <v>90</v>
      </c>
      <c r="U61">
        <v>9</v>
      </c>
      <c r="V61" s="2">
        <v>0.375</v>
      </c>
      <c r="W61">
        <v>810</v>
      </c>
      <c r="AA61" t="s">
        <v>46</v>
      </c>
      <c r="AC61" t="s">
        <v>96</v>
      </c>
      <c r="AD61" t="s">
        <v>48</v>
      </c>
      <c r="AE61">
        <f t="shared" si="5"/>
        <v>3</v>
      </c>
      <c r="AF61" t="str">
        <f t="shared" si="6"/>
        <v>March</v>
      </c>
    </row>
    <row r="62" spans="1:32" x14ac:dyDescent="0.3">
      <c r="A62" s="1">
        <v>45365</v>
      </c>
      <c r="B62" t="s">
        <v>74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32</v>
      </c>
      <c r="L62" t="s">
        <v>39</v>
      </c>
      <c r="M62" t="s">
        <v>40</v>
      </c>
      <c r="N62" t="s">
        <v>41</v>
      </c>
      <c r="O62" t="s">
        <v>82</v>
      </c>
      <c r="P62">
        <v>223685</v>
      </c>
      <c r="Q62" t="s">
        <v>43</v>
      </c>
      <c r="R62" t="s">
        <v>44</v>
      </c>
      <c r="S62" t="s">
        <v>45</v>
      </c>
      <c r="T62">
        <v>90</v>
      </c>
      <c r="U62">
        <v>11</v>
      </c>
      <c r="V62" s="2">
        <v>0.45833333333333331</v>
      </c>
      <c r="W62">
        <v>990</v>
      </c>
      <c r="AA62" t="s">
        <v>46</v>
      </c>
      <c r="AC62" t="s">
        <v>97</v>
      </c>
      <c r="AD62" t="s">
        <v>48</v>
      </c>
      <c r="AE62">
        <f t="shared" si="5"/>
        <v>3</v>
      </c>
      <c r="AF62" t="str">
        <f t="shared" si="6"/>
        <v>March</v>
      </c>
    </row>
    <row r="63" spans="1:32" x14ac:dyDescent="0.3">
      <c r="A63" s="1">
        <v>45366</v>
      </c>
      <c r="B63" t="s">
        <v>74</v>
      </c>
      <c r="C63" t="s">
        <v>31</v>
      </c>
      <c r="D63" t="s">
        <v>32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32</v>
      </c>
      <c r="L63" t="s">
        <v>39</v>
      </c>
      <c r="M63" t="s">
        <v>40</v>
      </c>
      <c r="N63" t="s">
        <v>41</v>
      </c>
      <c r="O63" t="s">
        <v>82</v>
      </c>
      <c r="P63">
        <v>224214</v>
      </c>
      <c r="Q63" t="s">
        <v>43</v>
      </c>
      <c r="R63" t="s">
        <v>44</v>
      </c>
      <c r="S63" t="s">
        <v>45</v>
      </c>
      <c r="T63">
        <v>90</v>
      </c>
      <c r="U63">
        <v>8.5</v>
      </c>
      <c r="V63" s="2">
        <v>0.35416666666666669</v>
      </c>
      <c r="W63">
        <v>765</v>
      </c>
      <c r="AA63" t="s">
        <v>46</v>
      </c>
      <c r="AC63" t="s">
        <v>97</v>
      </c>
      <c r="AD63" t="s">
        <v>48</v>
      </c>
      <c r="AE63">
        <f t="shared" si="5"/>
        <v>3</v>
      </c>
      <c r="AF63" t="str">
        <f t="shared" si="6"/>
        <v>March</v>
      </c>
    </row>
    <row r="64" spans="1:32" x14ac:dyDescent="0.3">
      <c r="A64" s="1">
        <v>45324</v>
      </c>
      <c r="B64" t="s">
        <v>41</v>
      </c>
      <c r="C64" t="s">
        <v>50</v>
      </c>
      <c r="D64" t="s">
        <v>32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32</v>
      </c>
      <c r="L64" t="s">
        <v>39</v>
      </c>
      <c r="M64" t="s">
        <v>40</v>
      </c>
      <c r="N64" t="s">
        <v>53</v>
      </c>
      <c r="O64" t="s">
        <v>82</v>
      </c>
      <c r="P64">
        <v>215409</v>
      </c>
      <c r="Q64" t="s">
        <v>43</v>
      </c>
      <c r="R64" t="s">
        <v>44</v>
      </c>
      <c r="S64" t="s">
        <v>45</v>
      </c>
      <c r="T64">
        <v>90</v>
      </c>
      <c r="U64">
        <v>1</v>
      </c>
      <c r="V64" s="2">
        <v>4.1666666666666664E-2</v>
      </c>
      <c r="W64">
        <v>90</v>
      </c>
      <c r="X64">
        <v>120</v>
      </c>
      <c r="Y64">
        <v>30</v>
      </c>
      <c r="Z64" t="s">
        <v>99</v>
      </c>
      <c r="AA64" t="s">
        <v>46</v>
      </c>
      <c r="AB64" t="s">
        <v>47</v>
      </c>
      <c r="AC64" t="s">
        <v>101</v>
      </c>
      <c r="AD64" t="s">
        <v>48</v>
      </c>
      <c r="AE64">
        <f t="shared" ref="AE64:AE80" si="7">MONTH(A64)</f>
        <v>2</v>
      </c>
      <c r="AF64" t="str">
        <f t="shared" ref="AF64:AF80" si="8">IF(AE64=1,"January",IF(AE64=2,"February",IF(AE64=3,"March",IF(AE64=4,"April",IF(AE64=5,"May")))))</f>
        <v>February</v>
      </c>
    </row>
    <row r="65" spans="1:32" x14ac:dyDescent="0.3">
      <c r="A65" s="1">
        <v>45337</v>
      </c>
      <c r="B65" t="s">
        <v>41</v>
      </c>
      <c r="C65" t="s">
        <v>50</v>
      </c>
      <c r="D65" t="s">
        <v>32</v>
      </c>
      <c r="E65" t="s">
        <v>33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32</v>
      </c>
      <c r="L65" t="s">
        <v>39</v>
      </c>
      <c r="M65" t="s">
        <v>40</v>
      </c>
      <c r="N65" t="s">
        <v>53</v>
      </c>
      <c r="O65" t="s">
        <v>82</v>
      </c>
      <c r="P65">
        <v>215527</v>
      </c>
      <c r="Q65" t="s">
        <v>43</v>
      </c>
      <c r="R65" t="s">
        <v>44</v>
      </c>
      <c r="S65" t="s">
        <v>45</v>
      </c>
      <c r="T65">
        <v>90</v>
      </c>
      <c r="U65">
        <v>1</v>
      </c>
      <c r="V65" s="2">
        <v>4.1666666666666664E-2</v>
      </c>
      <c r="W65">
        <v>90</v>
      </c>
      <c r="X65">
        <v>120</v>
      </c>
      <c r="Y65">
        <v>30</v>
      </c>
      <c r="Z65" t="s">
        <v>99</v>
      </c>
      <c r="AA65" t="s">
        <v>46</v>
      </c>
      <c r="AB65" t="s">
        <v>47</v>
      </c>
      <c r="AC65" t="s">
        <v>102</v>
      </c>
      <c r="AD65" t="s">
        <v>48</v>
      </c>
      <c r="AE65">
        <f t="shared" si="7"/>
        <v>2</v>
      </c>
      <c r="AF65" t="str">
        <f t="shared" si="8"/>
        <v>February</v>
      </c>
    </row>
    <row r="66" spans="1:32" x14ac:dyDescent="0.3">
      <c r="A66" s="1">
        <v>45342</v>
      </c>
      <c r="B66" t="s">
        <v>41</v>
      </c>
      <c r="C66" t="s">
        <v>50</v>
      </c>
      <c r="D66" t="s">
        <v>32</v>
      </c>
      <c r="E66" t="s">
        <v>33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32</v>
      </c>
      <c r="L66" t="s">
        <v>39</v>
      </c>
      <c r="M66" t="s">
        <v>40</v>
      </c>
      <c r="N66" t="s">
        <v>53</v>
      </c>
      <c r="O66" t="s">
        <v>82</v>
      </c>
      <c r="P66">
        <v>215530</v>
      </c>
      <c r="Q66" t="s">
        <v>43</v>
      </c>
      <c r="R66" t="s">
        <v>44</v>
      </c>
      <c r="S66" t="s">
        <v>45</v>
      </c>
      <c r="T66">
        <v>90</v>
      </c>
      <c r="U66">
        <v>1</v>
      </c>
      <c r="V66" s="2">
        <v>4.1666666666666664E-2</v>
      </c>
      <c r="W66">
        <v>90</v>
      </c>
      <c r="X66">
        <v>120</v>
      </c>
      <c r="Y66">
        <v>30</v>
      </c>
      <c r="Z66" t="s">
        <v>99</v>
      </c>
      <c r="AA66" t="s">
        <v>46</v>
      </c>
      <c r="AB66" t="s">
        <v>47</v>
      </c>
      <c r="AC66" t="s">
        <v>103</v>
      </c>
      <c r="AD66" t="s">
        <v>48</v>
      </c>
      <c r="AE66">
        <f t="shared" si="7"/>
        <v>2</v>
      </c>
      <c r="AF66" t="str">
        <f t="shared" si="8"/>
        <v>February</v>
      </c>
    </row>
    <row r="67" spans="1:32" x14ac:dyDescent="0.3">
      <c r="A67" s="1">
        <v>45355</v>
      </c>
      <c r="B67" t="s">
        <v>41</v>
      </c>
      <c r="C67" t="s">
        <v>50</v>
      </c>
      <c r="D67" t="s">
        <v>32</v>
      </c>
      <c r="E67" t="s">
        <v>33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32</v>
      </c>
      <c r="L67" t="s">
        <v>39</v>
      </c>
      <c r="M67" t="s">
        <v>40</v>
      </c>
      <c r="N67" t="s">
        <v>53</v>
      </c>
      <c r="O67" t="s">
        <v>82</v>
      </c>
      <c r="P67">
        <v>222207</v>
      </c>
      <c r="Q67" t="s">
        <v>43</v>
      </c>
      <c r="R67" t="s">
        <v>44</v>
      </c>
      <c r="S67" t="s">
        <v>45</v>
      </c>
      <c r="T67">
        <v>90</v>
      </c>
      <c r="U67">
        <v>2</v>
      </c>
      <c r="V67" s="2">
        <v>8.3333333333333329E-2</v>
      </c>
      <c r="W67">
        <v>180</v>
      </c>
      <c r="AA67" t="s">
        <v>46</v>
      </c>
      <c r="AC67" t="s">
        <v>85</v>
      </c>
      <c r="AD67" t="s">
        <v>48</v>
      </c>
      <c r="AE67">
        <f t="shared" si="7"/>
        <v>3</v>
      </c>
      <c r="AF67" t="str">
        <f t="shared" si="8"/>
        <v>March</v>
      </c>
    </row>
    <row r="68" spans="1:32" x14ac:dyDescent="0.3">
      <c r="A68" s="1">
        <v>45356</v>
      </c>
      <c r="B68" t="s">
        <v>41</v>
      </c>
      <c r="C68" t="s">
        <v>50</v>
      </c>
      <c r="D68" t="s">
        <v>32</v>
      </c>
      <c r="E68" t="s">
        <v>33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32</v>
      </c>
      <c r="L68" t="s">
        <v>39</v>
      </c>
      <c r="M68" t="s">
        <v>40</v>
      </c>
      <c r="N68" t="s">
        <v>53</v>
      </c>
      <c r="O68" t="s">
        <v>82</v>
      </c>
      <c r="P68">
        <v>222221</v>
      </c>
      <c r="Q68" t="s">
        <v>43</v>
      </c>
      <c r="R68" t="s">
        <v>44</v>
      </c>
      <c r="S68" t="s">
        <v>45</v>
      </c>
      <c r="T68">
        <v>90</v>
      </c>
      <c r="U68">
        <v>1.25</v>
      </c>
      <c r="V68" s="2">
        <v>5.2083333333333336E-2</v>
      </c>
      <c r="W68">
        <v>112.5</v>
      </c>
      <c r="AA68" t="s">
        <v>46</v>
      </c>
      <c r="AC68" t="s">
        <v>86</v>
      </c>
      <c r="AD68" t="s">
        <v>48</v>
      </c>
      <c r="AE68">
        <f t="shared" si="7"/>
        <v>3</v>
      </c>
      <c r="AF68" t="str">
        <f t="shared" si="8"/>
        <v>March</v>
      </c>
    </row>
    <row r="69" spans="1:32" x14ac:dyDescent="0.3">
      <c r="A69" s="1">
        <v>45357</v>
      </c>
      <c r="B69" t="s">
        <v>41</v>
      </c>
      <c r="C69" t="s">
        <v>50</v>
      </c>
      <c r="D69" t="s">
        <v>32</v>
      </c>
      <c r="E69" t="s">
        <v>33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32</v>
      </c>
      <c r="L69" t="s">
        <v>39</v>
      </c>
      <c r="M69" t="s">
        <v>40</v>
      </c>
      <c r="N69" t="s">
        <v>53</v>
      </c>
      <c r="O69" t="s">
        <v>82</v>
      </c>
      <c r="P69">
        <v>222223</v>
      </c>
      <c r="Q69" t="s">
        <v>43</v>
      </c>
      <c r="R69" t="s">
        <v>44</v>
      </c>
      <c r="S69" t="s">
        <v>45</v>
      </c>
      <c r="T69">
        <v>90</v>
      </c>
      <c r="U69">
        <v>1</v>
      </c>
      <c r="V69" s="2">
        <v>4.1666666666666664E-2</v>
      </c>
      <c r="W69">
        <v>90</v>
      </c>
      <c r="AA69" t="s">
        <v>46</v>
      </c>
      <c r="AC69" t="s">
        <v>87</v>
      </c>
      <c r="AD69" t="s">
        <v>48</v>
      </c>
      <c r="AE69">
        <f t="shared" si="7"/>
        <v>3</v>
      </c>
      <c r="AF69" t="str">
        <f t="shared" si="8"/>
        <v>March</v>
      </c>
    </row>
    <row r="70" spans="1:32" x14ac:dyDescent="0.3">
      <c r="A70" s="1">
        <v>45358</v>
      </c>
      <c r="B70" t="s">
        <v>41</v>
      </c>
      <c r="C70" t="s">
        <v>50</v>
      </c>
      <c r="D70" t="s">
        <v>32</v>
      </c>
      <c r="E70" t="s">
        <v>33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32</v>
      </c>
      <c r="L70" t="s">
        <v>39</v>
      </c>
      <c r="M70" t="s">
        <v>40</v>
      </c>
      <c r="N70" t="s">
        <v>53</v>
      </c>
      <c r="O70" t="s">
        <v>82</v>
      </c>
      <c r="P70">
        <v>222224</v>
      </c>
      <c r="Q70" t="s">
        <v>43</v>
      </c>
      <c r="R70" t="s">
        <v>44</v>
      </c>
      <c r="S70" t="s">
        <v>45</v>
      </c>
      <c r="T70">
        <v>90</v>
      </c>
      <c r="U70">
        <v>0.25</v>
      </c>
      <c r="V70" s="2">
        <v>1.0416666666666666E-2</v>
      </c>
      <c r="W70">
        <v>22.5</v>
      </c>
      <c r="AA70" t="s">
        <v>46</v>
      </c>
      <c r="AC70" t="s">
        <v>88</v>
      </c>
      <c r="AD70" t="s">
        <v>48</v>
      </c>
      <c r="AE70">
        <f t="shared" si="7"/>
        <v>3</v>
      </c>
      <c r="AF70" t="str">
        <f t="shared" si="8"/>
        <v>March</v>
      </c>
    </row>
    <row r="71" spans="1:32" x14ac:dyDescent="0.3">
      <c r="A71" s="1">
        <v>45359</v>
      </c>
      <c r="B71" t="s">
        <v>41</v>
      </c>
      <c r="C71" t="s">
        <v>50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32</v>
      </c>
      <c r="L71" t="s">
        <v>39</v>
      </c>
      <c r="M71" t="s">
        <v>40</v>
      </c>
      <c r="N71" t="s">
        <v>53</v>
      </c>
      <c r="O71" t="s">
        <v>82</v>
      </c>
      <c r="P71">
        <v>222225</v>
      </c>
      <c r="Q71" t="s">
        <v>43</v>
      </c>
      <c r="R71" t="s">
        <v>44</v>
      </c>
      <c r="S71" t="s">
        <v>45</v>
      </c>
      <c r="T71">
        <v>90</v>
      </c>
      <c r="U71">
        <v>0.75</v>
      </c>
      <c r="V71" s="2">
        <v>3.125E-2</v>
      </c>
      <c r="W71">
        <v>67.5</v>
      </c>
      <c r="AA71" t="s">
        <v>46</v>
      </c>
      <c r="AC71" t="s">
        <v>89</v>
      </c>
      <c r="AD71" t="s">
        <v>48</v>
      </c>
      <c r="AE71">
        <f t="shared" si="7"/>
        <v>3</v>
      </c>
      <c r="AF71" t="str">
        <f t="shared" si="8"/>
        <v>March</v>
      </c>
    </row>
    <row r="72" spans="1:32" x14ac:dyDescent="0.3">
      <c r="A72" s="1">
        <v>45362</v>
      </c>
      <c r="B72" t="s">
        <v>41</v>
      </c>
      <c r="C72" t="s">
        <v>50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32</v>
      </c>
      <c r="L72" t="s">
        <v>39</v>
      </c>
      <c r="M72" t="s">
        <v>40</v>
      </c>
      <c r="N72" t="s">
        <v>53</v>
      </c>
      <c r="O72" t="s">
        <v>82</v>
      </c>
      <c r="P72">
        <v>223052</v>
      </c>
      <c r="Q72" t="s">
        <v>43</v>
      </c>
      <c r="R72" t="s">
        <v>44</v>
      </c>
      <c r="S72" t="s">
        <v>45</v>
      </c>
      <c r="T72">
        <v>90</v>
      </c>
      <c r="U72">
        <v>1.25</v>
      </c>
      <c r="V72" s="2">
        <v>5.2083333333333336E-2</v>
      </c>
      <c r="W72">
        <v>112.5</v>
      </c>
      <c r="AA72" t="s">
        <v>46</v>
      </c>
      <c r="AC72" t="s">
        <v>86</v>
      </c>
      <c r="AD72" t="s">
        <v>48</v>
      </c>
      <c r="AE72">
        <f t="shared" si="7"/>
        <v>3</v>
      </c>
      <c r="AF72" t="str">
        <f t="shared" si="8"/>
        <v>March</v>
      </c>
    </row>
    <row r="73" spans="1:32" x14ac:dyDescent="0.3">
      <c r="A73" s="1">
        <v>45363</v>
      </c>
      <c r="B73" t="s">
        <v>41</v>
      </c>
      <c r="C73" t="s">
        <v>50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32</v>
      </c>
      <c r="L73" t="s">
        <v>39</v>
      </c>
      <c r="M73" t="s">
        <v>40</v>
      </c>
      <c r="N73" t="s">
        <v>53</v>
      </c>
      <c r="O73" t="s">
        <v>82</v>
      </c>
      <c r="P73">
        <v>223062</v>
      </c>
      <c r="Q73" t="s">
        <v>43</v>
      </c>
      <c r="R73" t="s">
        <v>44</v>
      </c>
      <c r="S73" t="s">
        <v>45</v>
      </c>
      <c r="T73">
        <v>90</v>
      </c>
      <c r="U73">
        <v>0.75</v>
      </c>
      <c r="V73" s="2">
        <v>3.125E-2</v>
      </c>
      <c r="W73">
        <v>67.5</v>
      </c>
      <c r="AA73" t="s">
        <v>46</v>
      </c>
      <c r="AC73" t="s">
        <v>98</v>
      </c>
      <c r="AD73" t="s">
        <v>48</v>
      </c>
      <c r="AE73">
        <f t="shared" si="7"/>
        <v>3</v>
      </c>
      <c r="AF73" t="str">
        <f t="shared" si="8"/>
        <v>March</v>
      </c>
    </row>
    <row r="74" spans="1:32" x14ac:dyDescent="0.3">
      <c r="A74" s="1">
        <v>45335</v>
      </c>
      <c r="B74" t="s">
        <v>39</v>
      </c>
      <c r="C74" t="s">
        <v>50</v>
      </c>
      <c r="D74" t="s">
        <v>32</v>
      </c>
      <c r="E74" t="s">
        <v>51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32</v>
      </c>
      <c r="L74" t="s">
        <v>39</v>
      </c>
      <c r="M74" t="s">
        <v>40</v>
      </c>
      <c r="N74" t="s">
        <v>53</v>
      </c>
      <c r="O74" t="s">
        <v>82</v>
      </c>
      <c r="P74">
        <v>211400</v>
      </c>
      <c r="Q74" t="s">
        <v>43</v>
      </c>
      <c r="R74" t="s">
        <v>44</v>
      </c>
      <c r="S74" t="s">
        <v>45</v>
      </c>
      <c r="T74">
        <v>90</v>
      </c>
      <c r="U74">
        <v>0.25</v>
      </c>
      <c r="V74" s="2">
        <v>1.0416666666666666E-2</v>
      </c>
      <c r="W74">
        <v>22.5</v>
      </c>
      <c r="X74">
        <v>30</v>
      </c>
      <c r="Y74">
        <v>7.5</v>
      </c>
      <c r="Z74" t="s">
        <v>99</v>
      </c>
      <c r="AA74" t="s">
        <v>46</v>
      </c>
      <c r="AB74" t="s">
        <v>47</v>
      </c>
      <c r="AC74" t="s">
        <v>53</v>
      </c>
      <c r="AD74" t="s">
        <v>48</v>
      </c>
      <c r="AE74">
        <f t="shared" si="7"/>
        <v>2</v>
      </c>
      <c r="AF74" t="str">
        <f t="shared" si="8"/>
        <v>February</v>
      </c>
    </row>
    <row r="75" spans="1:32" x14ac:dyDescent="0.3">
      <c r="A75" s="1">
        <v>45348</v>
      </c>
      <c r="B75" t="s">
        <v>39</v>
      </c>
      <c r="C75" t="s">
        <v>50</v>
      </c>
      <c r="D75" t="s">
        <v>32</v>
      </c>
      <c r="E75" t="s">
        <v>51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32</v>
      </c>
      <c r="L75" t="s">
        <v>39</v>
      </c>
      <c r="M75" t="s">
        <v>40</v>
      </c>
      <c r="N75" t="s">
        <v>53</v>
      </c>
      <c r="O75" t="s">
        <v>82</v>
      </c>
      <c r="P75">
        <v>216824</v>
      </c>
      <c r="Q75" t="s">
        <v>43</v>
      </c>
      <c r="R75" t="s">
        <v>44</v>
      </c>
      <c r="S75" t="s">
        <v>45</v>
      </c>
      <c r="T75">
        <v>90</v>
      </c>
      <c r="U75">
        <v>0.25</v>
      </c>
      <c r="V75" s="2">
        <v>1.0416666666666666E-2</v>
      </c>
      <c r="W75">
        <v>22.5</v>
      </c>
      <c r="X75">
        <v>30</v>
      </c>
      <c r="Y75">
        <v>7.5</v>
      </c>
      <c r="Z75" t="s">
        <v>99</v>
      </c>
      <c r="AA75" t="s">
        <v>46</v>
      </c>
      <c r="AB75" t="s">
        <v>47</v>
      </c>
      <c r="AC75" t="s">
        <v>53</v>
      </c>
      <c r="AD75" t="s">
        <v>48</v>
      </c>
      <c r="AE75">
        <f t="shared" si="7"/>
        <v>2</v>
      </c>
      <c r="AF75" t="str">
        <f t="shared" si="8"/>
        <v>February</v>
      </c>
    </row>
    <row r="76" spans="1:32" x14ac:dyDescent="0.3">
      <c r="A76" s="1">
        <v>45349</v>
      </c>
      <c r="B76" t="s">
        <v>39</v>
      </c>
      <c r="C76" t="s">
        <v>50</v>
      </c>
      <c r="D76" t="s">
        <v>32</v>
      </c>
      <c r="E76" t="s">
        <v>51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32</v>
      </c>
      <c r="L76" t="s">
        <v>39</v>
      </c>
      <c r="M76" t="s">
        <v>40</v>
      </c>
      <c r="N76" t="s">
        <v>53</v>
      </c>
      <c r="O76" t="s">
        <v>82</v>
      </c>
      <c r="P76">
        <v>217543</v>
      </c>
      <c r="Q76" t="s">
        <v>43</v>
      </c>
      <c r="R76" t="s">
        <v>44</v>
      </c>
      <c r="S76" t="s">
        <v>45</v>
      </c>
      <c r="T76">
        <v>90</v>
      </c>
      <c r="U76">
        <v>0.25</v>
      </c>
      <c r="V76" s="2">
        <v>1.0416666666666666E-2</v>
      </c>
      <c r="W76">
        <v>22.5</v>
      </c>
      <c r="X76">
        <v>30</v>
      </c>
      <c r="Y76">
        <v>7.5</v>
      </c>
      <c r="Z76" t="s">
        <v>99</v>
      </c>
      <c r="AA76" t="s">
        <v>46</v>
      </c>
      <c r="AB76" t="s">
        <v>47</v>
      </c>
      <c r="AC76" t="s">
        <v>53</v>
      </c>
      <c r="AD76" t="s">
        <v>48</v>
      </c>
      <c r="AE76">
        <f t="shared" si="7"/>
        <v>2</v>
      </c>
      <c r="AF76" t="str">
        <f t="shared" si="8"/>
        <v>February</v>
      </c>
    </row>
    <row r="77" spans="1:32" x14ac:dyDescent="0.3">
      <c r="A77" s="1">
        <v>45357</v>
      </c>
      <c r="B77" t="s">
        <v>39</v>
      </c>
      <c r="C77" t="s">
        <v>50</v>
      </c>
      <c r="D77" t="s">
        <v>32</v>
      </c>
      <c r="E77" t="s">
        <v>51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32</v>
      </c>
      <c r="L77" t="s">
        <v>39</v>
      </c>
      <c r="M77" t="s">
        <v>40</v>
      </c>
      <c r="N77" t="s">
        <v>53</v>
      </c>
      <c r="O77" t="s">
        <v>82</v>
      </c>
      <c r="P77">
        <v>220641</v>
      </c>
      <c r="Q77" t="s">
        <v>43</v>
      </c>
      <c r="R77" t="s">
        <v>44</v>
      </c>
      <c r="S77" t="s">
        <v>45</v>
      </c>
      <c r="T77">
        <v>90</v>
      </c>
      <c r="U77">
        <v>0.5</v>
      </c>
      <c r="V77" s="2">
        <v>2.0833333333333332E-2</v>
      </c>
      <c r="W77">
        <v>45</v>
      </c>
      <c r="AA77" t="s">
        <v>46</v>
      </c>
      <c r="AB77" t="s">
        <v>47</v>
      </c>
      <c r="AC77" t="s">
        <v>53</v>
      </c>
      <c r="AD77" t="s">
        <v>48</v>
      </c>
      <c r="AE77">
        <f t="shared" si="7"/>
        <v>3</v>
      </c>
      <c r="AF77" t="str">
        <f t="shared" si="8"/>
        <v>March</v>
      </c>
    </row>
    <row r="78" spans="1:32" x14ac:dyDescent="0.3">
      <c r="A78" s="1">
        <v>45358</v>
      </c>
      <c r="B78" t="s">
        <v>39</v>
      </c>
      <c r="C78" t="s">
        <v>50</v>
      </c>
      <c r="D78" t="s">
        <v>32</v>
      </c>
      <c r="E78" t="s">
        <v>51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32</v>
      </c>
      <c r="L78" t="s">
        <v>39</v>
      </c>
      <c r="M78" t="s">
        <v>40</v>
      </c>
      <c r="N78" t="s">
        <v>53</v>
      </c>
      <c r="O78" t="s">
        <v>82</v>
      </c>
      <c r="P78">
        <v>221392</v>
      </c>
      <c r="Q78" t="s">
        <v>43</v>
      </c>
      <c r="R78" t="s">
        <v>44</v>
      </c>
      <c r="S78" t="s">
        <v>45</v>
      </c>
      <c r="T78">
        <v>90</v>
      </c>
      <c r="U78">
        <v>0.75</v>
      </c>
      <c r="V78" s="2">
        <v>3.125E-2</v>
      </c>
      <c r="W78">
        <v>67.5</v>
      </c>
      <c r="AA78" t="s">
        <v>46</v>
      </c>
      <c r="AB78" t="s">
        <v>47</v>
      </c>
      <c r="AC78" t="s">
        <v>53</v>
      </c>
      <c r="AD78" t="s">
        <v>48</v>
      </c>
      <c r="AE78">
        <f t="shared" si="7"/>
        <v>3</v>
      </c>
      <c r="AF78" t="str">
        <f t="shared" si="8"/>
        <v>March</v>
      </c>
    </row>
    <row r="79" spans="1:32" x14ac:dyDescent="0.3">
      <c r="A79" s="1">
        <v>45359</v>
      </c>
      <c r="B79" t="s">
        <v>39</v>
      </c>
      <c r="C79" t="s">
        <v>50</v>
      </c>
      <c r="D79" t="s">
        <v>32</v>
      </c>
      <c r="E79" t="s">
        <v>51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32</v>
      </c>
      <c r="L79" t="s">
        <v>39</v>
      </c>
      <c r="M79" t="s">
        <v>40</v>
      </c>
      <c r="N79" t="s">
        <v>53</v>
      </c>
      <c r="O79" t="s">
        <v>82</v>
      </c>
      <c r="P79">
        <v>221855</v>
      </c>
      <c r="Q79" t="s">
        <v>43</v>
      </c>
      <c r="R79" t="s">
        <v>44</v>
      </c>
      <c r="S79" t="s">
        <v>45</v>
      </c>
      <c r="T79">
        <v>90</v>
      </c>
      <c r="U79">
        <v>0.25</v>
      </c>
      <c r="V79" s="2">
        <v>1.0416666666666666E-2</v>
      </c>
      <c r="W79">
        <v>22.5</v>
      </c>
      <c r="AA79" t="s">
        <v>46</v>
      </c>
      <c r="AB79" t="s">
        <v>47</v>
      </c>
      <c r="AC79" t="s">
        <v>53</v>
      </c>
      <c r="AD79" t="s">
        <v>48</v>
      </c>
      <c r="AE79">
        <f t="shared" si="7"/>
        <v>3</v>
      </c>
      <c r="AF79" t="str">
        <f t="shared" si="8"/>
        <v>March</v>
      </c>
    </row>
    <row r="80" spans="1:32" x14ac:dyDescent="0.3">
      <c r="A80" s="1">
        <v>45362</v>
      </c>
      <c r="B80" t="s">
        <v>39</v>
      </c>
      <c r="C80" t="s">
        <v>50</v>
      </c>
      <c r="D80" t="s">
        <v>32</v>
      </c>
      <c r="E80" t="s">
        <v>51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32</v>
      </c>
      <c r="L80" t="s">
        <v>39</v>
      </c>
      <c r="M80" t="s">
        <v>40</v>
      </c>
      <c r="N80" t="s">
        <v>53</v>
      </c>
      <c r="O80" t="s">
        <v>82</v>
      </c>
      <c r="P80">
        <v>222786</v>
      </c>
      <c r="Q80" t="s">
        <v>43</v>
      </c>
      <c r="R80" t="s">
        <v>44</v>
      </c>
      <c r="S80" t="s">
        <v>45</v>
      </c>
      <c r="T80">
        <v>90</v>
      </c>
      <c r="U80">
        <v>0.5</v>
      </c>
      <c r="V80" s="2">
        <v>2.0833333333333332E-2</v>
      </c>
      <c r="W80">
        <v>45</v>
      </c>
      <c r="AA80" t="s">
        <v>46</v>
      </c>
      <c r="AB80" t="s">
        <v>47</v>
      </c>
      <c r="AC80" t="s">
        <v>53</v>
      </c>
      <c r="AD80" t="s">
        <v>48</v>
      </c>
      <c r="AE80">
        <f t="shared" si="7"/>
        <v>3</v>
      </c>
      <c r="AF80" t="str">
        <f t="shared" si="8"/>
        <v>March</v>
      </c>
    </row>
    <row r="81" spans="1:32" x14ac:dyDescent="0.3">
      <c r="A81" s="1">
        <v>45363</v>
      </c>
      <c r="B81" t="s">
        <v>39</v>
      </c>
      <c r="C81" t="s">
        <v>50</v>
      </c>
      <c r="D81" t="s">
        <v>32</v>
      </c>
      <c r="E81" t="s">
        <v>51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32</v>
      </c>
      <c r="L81" t="s">
        <v>39</v>
      </c>
      <c r="M81" t="s">
        <v>40</v>
      </c>
      <c r="N81" t="s">
        <v>53</v>
      </c>
      <c r="O81" t="s">
        <v>82</v>
      </c>
      <c r="P81">
        <v>223231</v>
      </c>
      <c r="Q81" t="s">
        <v>43</v>
      </c>
      <c r="R81" t="s">
        <v>44</v>
      </c>
      <c r="S81" t="s">
        <v>45</v>
      </c>
      <c r="T81">
        <v>90</v>
      </c>
      <c r="U81">
        <v>0.25</v>
      </c>
      <c r="V81" s="2">
        <v>1.0416666666666666E-2</v>
      </c>
      <c r="W81">
        <v>22.5</v>
      </c>
      <c r="AA81" t="s">
        <v>46</v>
      </c>
      <c r="AB81" t="s">
        <v>47</v>
      </c>
      <c r="AC81" t="s">
        <v>53</v>
      </c>
      <c r="AD81" t="s">
        <v>48</v>
      </c>
      <c r="AE81">
        <f t="shared" ref="AE81:AE82" si="9">MONTH(A81)</f>
        <v>3</v>
      </c>
      <c r="AF81" t="str">
        <f t="shared" ref="AF81:AF82" si="10">IF(AE81=1,"January",IF(AE81=2,"February",IF(AE81=3,"March",IF(AE81=4,"April",IF(AE81=5,"May")))))</f>
        <v>March</v>
      </c>
    </row>
    <row r="82" spans="1:32" x14ac:dyDescent="0.3">
      <c r="A82" s="1">
        <v>45364</v>
      </c>
      <c r="B82" t="s">
        <v>39</v>
      </c>
      <c r="C82" t="s">
        <v>50</v>
      </c>
      <c r="D82" t="s">
        <v>32</v>
      </c>
      <c r="E82" t="s">
        <v>51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32</v>
      </c>
      <c r="L82" t="s">
        <v>39</v>
      </c>
      <c r="M82" t="s">
        <v>40</v>
      </c>
      <c r="N82" t="s">
        <v>53</v>
      </c>
      <c r="O82" t="s">
        <v>82</v>
      </c>
      <c r="P82">
        <v>223427</v>
      </c>
      <c r="Q82" t="s">
        <v>43</v>
      </c>
      <c r="R82" t="s">
        <v>44</v>
      </c>
      <c r="S82" t="s">
        <v>45</v>
      </c>
      <c r="T82">
        <v>90</v>
      </c>
      <c r="U82">
        <v>0.25</v>
      </c>
      <c r="V82" s="2">
        <v>1.0416666666666666E-2</v>
      </c>
      <c r="W82">
        <v>22.5</v>
      </c>
      <c r="AA82" t="s">
        <v>46</v>
      </c>
      <c r="AB82" t="s">
        <v>47</v>
      </c>
      <c r="AC82" t="s">
        <v>53</v>
      </c>
      <c r="AD82" t="s">
        <v>48</v>
      </c>
      <c r="AE82">
        <f t="shared" si="9"/>
        <v>3</v>
      </c>
      <c r="AF82" t="str">
        <f t="shared" si="10"/>
        <v>March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BA63EBB-F578-4EF5-B4E6-82B8A797A80A}"/>
</file>

<file path=customXml/itemProps2.xml><?xml version="1.0" encoding="utf-8"?>
<ds:datastoreItem xmlns:ds="http://schemas.openxmlformats.org/officeDocument/2006/customXml" ds:itemID="{3679DB92-5757-4FBC-A975-1E10BF84DBF7}"/>
</file>

<file path=customXml/itemProps3.xml><?xml version="1.0" encoding="utf-8"?>
<ds:datastoreItem xmlns:ds="http://schemas.openxmlformats.org/officeDocument/2006/customXml" ds:itemID="{63B4880D-7E72-47E3-B902-AD2B00CD732B}"/>
</file>

<file path=customXml/itemProps4.xml><?xml version="1.0" encoding="utf-8"?>
<ds:datastoreItem xmlns:ds="http://schemas.openxmlformats.org/officeDocument/2006/customXml" ds:itemID="{802989C7-83BA-47CF-8ED0-55BD4EDF3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2024-03-04T09:45:29Z</dcterms:created>
  <dcterms:modified xsi:type="dcterms:W3CDTF">2024-03-18T08:16:05Z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