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9"/>
  <workbookPr hidePivotFieldList="1"/>
  <mc:AlternateContent xmlns:mc="http://schemas.openxmlformats.org/markup-compatibility/2006">
    <mc:Choice Requires="x15">
      <x15ac:absPath xmlns:x15ac="http://schemas.microsoft.com/office/spreadsheetml/2010/11/ac" url="https://openboxsoftwareweb-my.sharepoint.com/personal/clegrange_openboxsoftware_com/Documents/Documents/Time Reports/"/>
    </mc:Choice>
  </mc:AlternateContent>
  <xr:revisionPtr revIDLastSave="58" documentId="13_ncr:1_{BEB17BE3-AD1B-45FE-A196-4C9EE497E756}" xr6:coauthVersionLast="47" xr6:coauthVersionMax="47" xr10:uidLastSave="{C2B5AFC5-BC16-41F0-BB7A-1D3626599A2F}"/>
  <bookViews>
    <workbookView xWindow="-108" yWindow="-108" windowWidth="23256" windowHeight="12456" xr2:uid="{00000000-000D-0000-FFFF-FFFF00000000}"/>
  </bookViews>
  <sheets>
    <sheet name="Pivot" sheetId="2" r:id="rId1"/>
    <sheet name="Project Timesheets" sheetId="1" r:id="rId2"/>
  </sheets>
  <definedNames>
    <definedName name="_xlnm._FilterDatabase" localSheetId="1" hidden="1">'Project Timesheets'!$A$1:$AF$119</definedName>
  </definedNames>
  <calcPr calcId="191028"/>
  <pivotCaches>
    <pivotCache cacheId="92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128" i="1" l="1"/>
  <c r="AF128" i="1"/>
  <c r="AC90" i="1"/>
  <c r="AC79" i="1"/>
  <c r="AE123" i="1"/>
  <c r="AF123" i="1"/>
  <c r="AE124" i="1"/>
  <c r="AF124" i="1" s="1"/>
  <c r="AE125" i="1"/>
  <c r="AF125" i="1" s="1"/>
  <c r="AE126" i="1"/>
  <c r="AF126" i="1" s="1"/>
  <c r="AE127" i="1"/>
  <c r="AF127" i="1" s="1"/>
  <c r="AE122" i="1"/>
  <c r="AF122" i="1" s="1"/>
  <c r="AE120" i="1"/>
  <c r="AF120" i="1" s="1"/>
  <c r="AE121" i="1"/>
  <c r="AF121" i="1" s="1"/>
  <c r="AE116" i="1"/>
  <c r="AF116" i="1" s="1"/>
  <c r="AE117" i="1"/>
  <c r="AF117" i="1" s="1"/>
  <c r="AE118" i="1"/>
  <c r="AF118" i="1" s="1"/>
  <c r="AE119" i="1"/>
  <c r="AF119" i="1" s="1"/>
  <c r="AE58" i="1"/>
  <c r="AF58" i="1" s="1"/>
  <c r="AE59" i="1"/>
  <c r="AF59" i="1" s="1"/>
  <c r="AE60" i="1"/>
  <c r="AF60" i="1" s="1"/>
  <c r="AE61" i="1"/>
  <c r="AF61" i="1" s="1"/>
  <c r="AE62" i="1"/>
  <c r="AF62" i="1" s="1"/>
  <c r="AE63" i="1"/>
  <c r="AF63" i="1" s="1"/>
  <c r="AE64" i="1"/>
  <c r="AF64" i="1" s="1"/>
  <c r="AE65" i="1"/>
  <c r="AF65" i="1" s="1"/>
  <c r="AE66" i="1"/>
  <c r="AF66" i="1" s="1"/>
  <c r="AE67" i="1"/>
  <c r="AF67" i="1" s="1"/>
  <c r="AE68" i="1"/>
  <c r="AF68" i="1" s="1"/>
  <c r="AE69" i="1"/>
  <c r="AF69" i="1" s="1"/>
  <c r="AE70" i="1"/>
  <c r="AF70" i="1" s="1"/>
  <c r="AE71" i="1"/>
  <c r="AF71" i="1" s="1"/>
  <c r="AE72" i="1"/>
  <c r="AF72" i="1" s="1"/>
  <c r="AE73" i="1"/>
  <c r="AF73" i="1" s="1"/>
  <c r="AE74" i="1"/>
  <c r="AF74" i="1" s="1"/>
  <c r="AE75" i="1"/>
  <c r="AF75" i="1" s="1"/>
  <c r="AE76" i="1"/>
  <c r="AF76" i="1" s="1"/>
  <c r="AE77" i="1"/>
  <c r="AF77" i="1" s="1"/>
  <c r="AE78" i="1"/>
  <c r="AF78" i="1" s="1"/>
  <c r="AE79" i="1"/>
  <c r="AF79" i="1" s="1"/>
  <c r="AE80" i="1"/>
  <c r="AF80" i="1" s="1"/>
  <c r="AE81" i="1"/>
  <c r="AF81" i="1" s="1"/>
  <c r="AE82" i="1"/>
  <c r="AF82" i="1" s="1"/>
  <c r="AE83" i="1"/>
  <c r="AF83" i="1" s="1"/>
  <c r="AE84" i="1"/>
  <c r="AF84" i="1" s="1"/>
  <c r="AE85" i="1"/>
  <c r="AF85" i="1" s="1"/>
  <c r="AE86" i="1"/>
  <c r="AF86" i="1" s="1"/>
  <c r="AE87" i="1"/>
  <c r="AF87" i="1" s="1"/>
  <c r="AE88" i="1"/>
  <c r="AF88" i="1" s="1"/>
  <c r="AE89" i="1"/>
  <c r="AF89" i="1" s="1"/>
  <c r="AE90" i="1"/>
  <c r="AF90" i="1" s="1"/>
  <c r="AE91" i="1"/>
  <c r="AF91" i="1" s="1"/>
  <c r="AE92" i="1"/>
  <c r="AF92" i="1" s="1"/>
  <c r="AE93" i="1"/>
  <c r="AF93" i="1" s="1"/>
  <c r="AE94" i="1"/>
  <c r="AF94" i="1" s="1"/>
  <c r="AE95" i="1"/>
  <c r="AF95" i="1" s="1"/>
  <c r="AE96" i="1"/>
  <c r="AF96" i="1" s="1"/>
  <c r="AE97" i="1"/>
  <c r="AF97" i="1" s="1"/>
  <c r="AE98" i="1"/>
  <c r="AF98" i="1" s="1"/>
  <c r="AE99" i="1"/>
  <c r="AF99" i="1" s="1"/>
  <c r="AE100" i="1"/>
  <c r="AF100" i="1" s="1"/>
  <c r="AE101" i="1"/>
  <c r="AF101" i="1" s="1"/>
  <c r="AE102" i="1"/>
  <c r="AF102" i="1" s="1"/>
  <c r="AE103" i="1"/>
  <c r="AF103" i="1" s="1"/>
  <c r="AE104" i="1"/>
  <c r="AF104" i="1" s="1"/>
  <c r="AE105" i="1"/>
  <c r="AF105" i="1" s="1"/>
  <c r="AE106" i="1"/>
  <c r="AF106" i="1" s="1"/>
  <c r="AE107" i="1"/>
  <c r="AF107" i="1" s="1"/>
  <c r="AE108" i="1"/>
  <c r="AF108" i="1" s="1"/>
  <c r="AE109" i="1"/>
  <c r="AF109" i="1" s="1"/>
  <c r="AE110" i="1"/>
  <c r="AF110" i="1" s="1"/>
  <c r="AE111" i="1"/>
  <c r="AF111" i="1" s="1"/>
  <c r="AE112" i="1"/>
  <c r="AF112" i="1" s="1"/>
  <c r="AE113" i="1"/>
  <c r="AF113" i="1" s="1"/>
  <c r="AE114" i="1"/>
  <c r="AF114" i="1" s="1"/>
  <c r="AE115" i="1"/>
  <c r="AF115" i="1" s="1"/>
  <c r="AE55" i="1"/>
  <c r="AF55" i="1" s="1"/>
  <c r="AE56" i="1"/>
  <c r="AF56" i="1" s="1"/>
  <c r="AE57" i="1"/>
  <c r="AF57" i="1" s="1"/>
  <c r="AE48" i="1"/>
  <c r="AF48" i="1" s="1"/>
  <c r="AE49" i="1"/>
  <c r="AF49" i="1" s="1"/>
  <c r="AE50" i="1"/>
  <c r="AF50" i="1" s="1"/>
  <c r="AE51" i="1"/>
  <c r="AF51" i="1" s="1"/>
  <c r="AE52" i="1"/>
  <c r="AF52" i="1" s="1"/>
  <c r="AE53" i="1"/>
  <c r="AF53" i="1" s="1"/>
  <c r="AE54" i="1"/>
  <c r="AF54" i="1" s="1"/>
  <c r="AE38" i="1"/>
  <c r="AF38" i="1" s="1"/>
  <c r="AE39" i="1"/>
  <c r="AF39" i="1" s="1"/>
  <c r="AE40" i="1"/>
  <c r="AF40" i="1" s="1"/>
  <c r="AE41" i="1"/>
  <c r="AF41" i="1" s="1"/>
  <c r="AE42" i="1"/>
  <c r="AF42" i="1" s="1"/>
  <c r="AE43" i="1"/>
  <c r="AF43" i="1" s="1"/>
  <c r="AE44" i="1"/>
  <c r="AF44" i="1" s="1"/>
  <c r="AE45" i="1"/>
  <c r="AF45" i="1" s="1"/>
  <c r="AE46" i="1"/>
  <c r="AF46" i="1" s="1"/>
  <c r="AE47" i="1"/>
  <c r="AF47" i="1" s="1"/>
  <c r="AE36" i="1" l="1"/>
  <c r="AF36" i="1" s="1"/>
  <c r="AE37" i="1"/>
  <c r="AF37" i="1" s="1"/>
  <c r="AE35" i="1"/>
  <c r="AF35" i="1" s="1"/>
  <c r="AE14" i="1"/>
  <c r="AF14" i="1" s="1"/>
  <c r="AE15" i="1"/>
  <c r="AF15" i="1" s="1"/>
  <c r="AE16" i="1"/>
  <c r="AF16" i="1" s="1"/>
  <c r="AE17" i="1"/>
  <c r="AF17" i="1" s="1"/>
  <c r="AE18" i="1"/>
  <c r="AF18" i="1" s="1"/>
  <c r="AE19" i="1"/>
  <c r="AF19" i="1" s="1"/>
  <c r="AE20" i="1"/>
  <c r="AF20" i="1" s="1"/>
  <c r="AE21" i="1"/>
  <c r="AF21" i="1" s="1"/>
  <c r="AE22" i="1"/>
  <c r="AF22" i="1" s="1"/>
  <c r="AE23" i="1"/>
  <c r="AF23" i="1" s="1"/>
  <c r="AE24" i="1"/>
  <c r="AF24" i="1" s="1"/>
  <c r="AE25" i="1"/>
  <c r="AF25" i="1" s="1"/>
  <c r="AE26" i="1"/>
  <c r="AF26" i="1" s="1"/>
  <c r="AE27" i="1"/>
  <c r="AF27" i="1" s="1"/>
  <c r="AE28" i="1"/>
  <c r="AF28" i="1" s="1"/>
  <c r="AE29" i="1"/>
  <c r="AF29" i="1" s="1"/>
  <c r="AE30" i="1"/>
  <c r="AF30" i="1" s="1"/>
  <c r="AE31" i="1"/>
  <c r="AF31" i="1" s="1"/>
  <c r="AE32" i="1"/>
  <c r="AF32" i="1" s="1"/>
  <c r="AE33" i="1"/>
  <c r="AF33" i="1" s="1"/>
  <c r="AE34" i="1"/>
  <c r="AF34" i="1" s="1"/>
  <c r="AE13" i="1"/>
  <c r="AF13" i="1" s="1"/>
  <c r="AE12" i="1"/>
  <c r="AF12" i="1" s="1"/>
  <c r="AE11" i="1"/>
  <c r="AF11" i="1" s="1"/>
  <c r="AE10" i="1"/>
  <c r="AF10" i="1" s="1"/>
  <c r="AE9" i="1"/>
  <c r="AF9" i="1" s="1"/>
  <c r="AE8" i="1"/>
  <c r="AF8" i="1" s="1"/>
  <c r="AE7" i="1"/>
  <c r="AF7" i="1" s="1"/>
  <c r="AE6" i="1"/>
  <c r="AF6" i="1" s="1"/>
  <c r="AE5" i="1"/>
  <c r="AF5" i="1" s="1"/>
  <c r="AE4" i="1"/>
  <c r="AF4" i="1" s="1"/>
  <c r="AE3" i="1"/>
  <c r="AF3" i="1" s="1"/>
  <c r="AE2" i="1"/>
  <c r="AF2" i="1" s="1"/>
  <c r="I10" i="2"/>
  <c r="H10" i="2"/>
  <c r="K10" i="2"/>
  <c r="J10" i="2"/>
</calcChain>
</file>

<file path=xl/sharedStrings.xml><?xml version="1.0" encoding="utf-8"?>
<sst xmlns="http://schemas.openxmlformats.org/spreadsheetml/2006/main" count="2886" uniqueCount="160">
  <si>
    <t>Month</t>
  </si>
  <si>
    <t>(All)</t>
  </si>
  <si>
    <t>&lt;- Filter By Month</t>
  </si>
  <si>
    <t>Sum of Hours</t>
  </si>
  <si>
    <t>Column Labels</t>
  </si>
  <si>
    <t>SOW Estimates</t>
  </si>
  <si>
    <t>Row Labels</t>
  </si>
  <si>
    <t>Delivery</t>
  </si>
  <si>
    <t>Delivery - UAT</t>
  </si>
  <si>
    <t>Grand Total</t>
  </si>
  <si>
    <t>Phase</t>
  </si>
  <si>
    <t>Hours</t>
  </si>
  <si>
    <t>Lower Bound</t>
  </si>
  <si>
    <t>Upper Bound</t>
  </si>
  <si>
    <t>Grainger PLC</t>
  </si>
  <si>
    <t>Analysis</t>
  </si>
  <si>
    <t>Website Integration (T&amp;M)</t>
  </si>
  <si>
    <t>Build</t>
  </si>
  <si>
    <t>Analysis &amp; Build</t>
  </si>
  <si>
    <t>Project Management</t>
  </si>
  <si>
    <t>Anjali Salecha</t>
  </si>
  <si>
    <t>UAT</t>
  </si>
  <si>
    <t>Nikki Papenfus</t>
  </si>
  <si>
    <t>Production</t>
  </si>
  <si>
    <t>Sam Duncan</t>
  </si>
  <si>
    <t>Total</t>
  </si>
  <si>
    <t>Shaun Barrett</t>
  </si>
  <si>
    <t>Khonani Davhana</t>
  </si>
  <si>
    <t xml:space="preserve">Sachin  Deshmukh </t>
  </si>
  <si>
    <t>SOW</t>
  </si>
  <si>
    <t>Actuals/Forecast</t>
  </si>
  <si>
    <t>Notes</t>
  </si>
  <si>
    <t>Matthew Cornfield</t>
  </si>
  <si>
    <t>As at 18 March</t>
  </si>
  <si>
    <t>40 - 52</t>
  </si>
  <si>
    <t xml:space="preserve">£4,800.00 </t>
  </si>
  <si>
    <t xml:space="preserve"> £6,240.00 </t>
  </si>
  <si>
    <t>180 - 234</t>
  </si>
  <si>
    <t xml:space="preserve">£21,600.00 </t>
  </si>
  <si>
    <t xml:space="preserve"> £28,080.00 </t>
  </si>
  <si>
    <t>+ 12 hours Sachine has not logged - Matts time</t>
  </si>
  <si>
    <t>12 - 15.6</t>
  </si>
  <si>
    <t xml:space="preserve">£1,440.00 </t>
  </si>
  <si>
    <t xml:space="preserve"> £1,872.00 </t>
  </si>
  <si>
    <t>20 - 26</t>
  </si>
  <si>
    <t xml:space="preserve">£2,400.00 </t>
  </si>
  <si>
    <t xml:space="preserve"> £3,120.00 </t>
  </si>
  <si>
    <t>Estimate</t>
  </si>
  <si>
    <t>5 - 6.5</t>
  </si>
  <si>
    <t xml:space="preserve">£600.00 </t>
  </si>
  <si>
    <t xml:space="preserve"> £780.00 </t>
  </si>
  <si>
    <t>257 - 334</t>
  </si>
  <si>
    <t xml:space="preserve">£30,840.00 </t>
  </si>
  <si>
    <t xml:space="preserve"> £40,092.00 </t>
  </si>
  <si>
    <t>Estimated remaining effort</t>
  </si>
  <si>
    <t>2 days for 3 people</t>
  </si>
  <si>
    <t>Reforecasted Total</t>
  </si>
  <si>
    <t>Reforecasted Cost</t>
  </si>
  <si>
    <t xml:space="preserve">£46,230.00 </t>
  </si>
  <si>
    <t>Delta from upper bound</t>
  </si>
  <si>
    <t xml:space="preserve">£6,138.00 </t>
  </si>
  <si>
    <t>%</t>
  </si>
  <si>
    <t>Target Hours - 353 at 22 March</t>
  </si>
  <si>
    <t>Remaining hours -&gt; 32 (UAT &amp; Prod)</t>
  </si>
  <si>
    <t>Date</t>
  </si>
  <si>
    <t>Person</t>
  </si>
  <si>
    <t>Agreement Type</t>
  </si>
  <si>
    <t>Person Organisation</t>
  </si>
  <si>
    <t>Person Team</t>
  </si>
  <si>
    <t>Person Location</t>
  </si>
  <si>
    <t>Company Name</t>
  </si>
  <si>
    <t>Project Number</t>
  </si>
  <si>
    <t>Project Name</t>
  </si>
  <si>
    <t>Project Type</t>
  </si>
  <si>
    <t>Project Organisation</t>
  </si>
  <si>
    <t>Project Manager</t>
  </si>
  <si>
    <t>Account Manager</t>
  </si>
  <si>
    <t>Line Manager</t>
  </si>
  <si>
    <t>Budget Name</t>
  </si>
  <si>
    <t>Time Entry ID</t>
  </si>
  <si>
    <t>Timecode Name</t>
  </si>
  <si>
    <t>Billable Timecode</t>
  </si>
  <si>
    <t>Timecode Type</t>
  </si>
  <si>
    <t>Timecode Rate</t>
  </si>
  <si>
    <t>Time</t>
  </si>
  <si>
    <t>Worked Amount</t>
  </si>
  <si>
    <t>Invoiced Amount</t>
  </si>
  <si>
    <t>Invoiced Delta</t>
  </si>
  <si>
    <t>Invoice #</t>
  </si>
  <si>
    <t>Currency</t>
  </si>
  <si>
    <t>Reviewed Status</t>
  </si>
  <si>
    <t>Comment</t>
  </si>
  <si>
    <t>Timesheet Status</t>
  </si>
  <si>
    <t>Period</t>
  </si>
  <si>
    <t>Hourly</t>
  </si>
  <si>
    <t>Open Box Software (Pty) Ltd (Open Box SA)</t>
  </si>
  <si>
    <t>Salesforce</t>
  </si>
  <si>
    <t>SA</t>
  </si>
  <si>
    <t>OB-000532</t>
  </si>
  <si>
    <t>Billable</t>
  </si>
  <si>
    <t>Brendan Canny</t>
  </si>
  <si>
    <t>Billable timecode</t>
  </si>
  <si>
    <t>Standard Timecode</t>
  </si>
  <si>
    <t>IN07860</t>
  </si>
  <si>
    <t>GBP</t>
  </si>
  <si>
    <t>Reviewed</t>
  </si>
  <si>
    <t>Worked on editing json file swagger editor. Discussion with Sam about SwaggerHub mock api calling setup. Time to be logged to Grainger website integration work for publishing units.</t>
  </si>
  <si>
    <t>Not submitted</t>
  </si>
  <si>
    <t>IN07958</t>
  </si>
  <si>
    <t>Discussion with Sam and Matt about mock server setup and integration approach. Testing in UAT callout request not working. Anaylised existing code.</t>
  </si>
  <si>
    <t>Worked on completing the story SAWI-2. Acs and IA. Daily standup. Discussion with Sam Matt Sachin. Created sandbox users.</t>
  </si>
  <si>
    <t>worked on SAWI-1. Daily standup.</t>
  </si>
  <si>
    <t>Discusttion with Sam Sachin and Matt. Daily standup. Worked on SAWI-1</t>
  </si>
  <si>
    <t>Daily standup. Worked on SAWI-1   --&gt; entry from Feb 27th for 5 hours- Disussion with Sam. Reading stories for project SAWI. Story sizing session with Sam and Mattew.</t>
  </si>
  <si>
    <t>Daily standup. Worked on SAWI-1. Review with Sachin. Deployment and Show me with Khonani and Matthew Cornfield. Entry from Feb 28 for 8 hours--&gt;Analysed existing code for unit publish and update. Error handling details.</t>
  </si>
  <si>
    <t>Daily standup. Worked on SAWI-7 and SAWI-11.</t>
  </si>
  <si>
    <t>Daily standup. Story review with Sachin for SAWI-7 and SAWI-11. Deployment to staging environment. Testing. Show me with Khonani.</t>
  </si>
  <si>
    <t>Daily standup. Worked on SAWI-8 amd SAWI-10. Discussion with Matthew. Show me with Khonani for SAWI-8 amd SAWI-10. Deployment and testing.</t>
  </si>
  <si>
    <t>Daily standup. Discussion with Sam. Worked on SAWI-15 &amp; SAWI-26. Discussion with Sachin about SAWI-20</t>
  </si>
  <si>
    <t>Daily stand up. Discussion with Sachin. Worked on SAWI-11 15 2630. Deployment to staging. Testing and Show me with khonani. Code x Open Box API Feed demo. Touch Base.</t>
  </si>
  <si>
    <t>Daily standup. Worked on SAWI-2 and SAWI-36. Deployment. Testing. Show me with khonani. Discussion with Sam. Discussion on SAWI-33 with Matt. Discussion Story SAWI-2 and 36 review with SAchin.</t>
  </si>
  <si>
    <t>Daily standup. Worked on SAWI-52. Deployment and testing. Discussion with Khonani. Discussion with Matt about SAWI-33.</t>
  </si>
  <si>
    <t>Deployment of SAWI-57 to staging testing. Deployment to uat. Daily standup</t>
  </si>
  <si>
    <t>deployment to uat related to reverting profile permissions in uat from staging env</t>
  </si>
  <si>
    <t>IN08019</t>
  </si>
  <si>
    <t>Worked on SAWI-66 and SAWI-67 testing and deployment to staging.</t>
  </si>
  <si>
    <t>1. deployment to uat and discussion and confirmation of date field format with khonani.</t>
  </si>
  <si>
    <t>Worked on SAWI-70</t>
  </si>
  <si>
    <t>1. Functionality demo to Dillan 2. Added USER_GUIDE label to relevant stories.</t>
  </si>
  <si>
    <t>Worked on prepareing deployment package for production. Checked and removed profile related deployments. Checked other mismatched components to be removed from production deployment. Validation against production.</t>
  </si>
  <si>
    <t>1. Production deployment package preparations 2. Discussion with Matthew 3. Discussion with Matthew and Sam. 4. Grainger post deployment / smoke testing 5. Post deployment steps and data update.</t>
  </si>
  <si>
    <t>Salaried / Fixed</t>
  </si>
  <si>
    <t xml:space="preserve"> </t>
  </si>
  <si>
    <t>Daily standup</t>
  </si>
  <si>
    <t>Standup &amp; QA (59 57 &amp;60)</t>
  </si>
  <si>
    <t>SAWI-63 - UAT Feedback - Added additional user permissions in UAT (Grainger revoked OB sys admin permissions)</t>
  </si>
  <si>
    <t>Custom Software</t>
  </si>
  <si>
    <t>Andrew Pollock</t>
  </si>
  <si>
    <t>-- Grainger Website Integration Standup -- Code walkthrough of existing Integration  -- Implementation approach finalized with Sam Duncan -- Worked on SAWI 1</t>
  </si>
  <si>
    <t>-- Grainger Website Integration Standup -- Worked on SAWI 1</t>
  </si>
  <si>
    <t>-- Grainger Website Integration Standup -- Worked on SAWI 1 and related Test classes and LWC component</t>
  </si>
  <si>
    <t>-- Grainger Website Integration Standup -- Worked on SAWI 7</t>
  </si>
  <si>
    <t>-- Grainger Website Integration Standup -- Worked on SAWI 11</t>
  </si>
  <si>
    <t>-- Grainger Website Integration Standup -- Worked on SAWI 11 -- Completed code review show me and deployed SAWI 7 and 11 to Staging</t>
  </si>
  <si>
    <t>-- Grainger Website Integration Standup -- Worked on SAWI 810 -- Completed code review show me and deployed SAWI 8 and 10 to Staging</t>
  </si>
  <si>
    <t>-- Grainger Website Integration Standup -- Working on SAWI 20</t>
  </si>
  <si>
    <t>-- Grainger Website Integration Standup -- Working on SAWI 20 6</t>
  </si>
  <si>
    <t>Worked on SAWI-59 and deployed to Staging and UAT</t>
  </si>
  <si>
    <t>Requirements gathering with Code+ Grainger</t>
  </si>
  <si>
    <t>Refinement with Nikki</t>
  </si>
  <si>
    <t>Refinement session with Grainger</t>
  </si>
  <si>
    <t>Refinement session (2 hours) Daily standup (15 mins)</t>
  </si>
  <si>
    <t>Refinement session (1 hour) Daily standup (15 mins)</t>
  </si>
  <si>
    <t>Daily standup (15 mins) Working session with Anjali and Matt C (45 mins)</t>
  </si>
  <si>
    <t>Daily standup (15 mins)</t>
  </si>
  <si>
    <t>Daily standup (15 mins) Environment management call (30 mins)</t>
  </si>
  <si>
    <t>Daily standup (15 mins) Deployment session with Matt C (30 mins)</t>
  </si>
  <si>
    <t>Daily standup (15 mins) Code API demo (30 mins)</t>
  </si>
  <si>
    <t>Demo to Grainger &amp; Code</t>
  </si>
  <si>
    <t>PROD deployment - resolving issues due to UAT vs PROD differences calls re PROD issue due to validations affecting RightMove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</si>
</sst>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£-809]#,##0.00"/>
  </numFmts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BBD361"/>
        <bgColor rgb="FF000000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4">
    <xf numFmtId="0" fontId="0" fillId="0" borderId="0" xfId="0"/>
    <xf numFmtId="15" fontId="0" fillId="0" borderId="0" xfId="0" applyNumberFormat="1"/>
    <xf numFmtId="2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16" fillId="0" borderId="10" xfId="0" applyFont="1" applyBorder="1"/>
    <xf numFmtId="164" fontId="16" fillId="0" borderId="10" xfId="0" applyNumberFormat="1" applyFont="1" applyBorder="1"/>
    <xf numFmtId="0" fontId="16" fillId="34" borderId="11" xfId="0" applyFont="1" applyFill="1" applyBorder="1"/>
    <xf numFmtId="0" fontId="0" fillId="0" borderId="11" xfId="0" applyBorder="1"/>
    <xf numFmtId="164" fontId="0" fillId="0" borderId="11" xfId="0" applyNumberFormat="1" applyBorder="1"/>
    <xf numFmtId="0" fontId="16" fillId="33" borderId="0" xfId="0" applyFont="1" applyFill="1"/>
    <xf numFmtId="0" fontId="18" fillId="0" borderId="0" xfId="0" applyFont="1"/>
    <xf numFmtId="0" fontId="19" fillId="36" borderId="12" xfId="0" applyFont="1" applyFill="1" applyBorder="1" applyAlignment="1">
      <alignment horizontal="right"/>
    </xf>
    <xf numFmtId="0" fontId="19" fillId="0" borderId="11" xfId="0" applyFont="1" applyBorder="1"/>
    <xf numFmtId="0" fontId="19" fillId="35" borderId="11" xfId="0" applyFont="1" applyFill="1" applyBorder="1"/>
    <xf numFmtId="0" fontId="19" fillId="35" borderId="11" xfId="0" applyFont="1" applyFill="1" applyBorder="1" applyAlignment="1">
      <alignment horizontal="right"/>
    </xf>
    <xf numFmtId="0" fontId="20" fillId="0" borderId="11" xfId="0" applyFont="1" applyBorder="1"/>
    <xf numFmtId="0" fontId="20" fillId="35" borderId="11" xfId="0" applyFont="1" applyFill="1" applyBorder="1"/>
    <xf numFmtId="0" fontId="20" fillId="36" borderId="12" xfId="0" applyFont="1" applyFill="1" applyBorder="1"/>
    <xf numFmtId="0" fontId="20" fillId="0" borderId="0" xfId="0" applyFont="1"/>
    <xf numFmtId="0" fontId="19" fillId="35" borderId="14" xfId="0" applyFont="1" applyFill="1" applyBorder="1"/>
    <xf numFmtId="0" fontId="20" fillId="0" borderId="15" xfId="0" applyFont="1" applyBorder="1"/>
    <xf numFmtId="0" fontId="20" fillId="36" borderId="11" xfId="0" applyFont="1" applyFill="1" applyBorder="1"/>
    <xf numFmtId="0" fontId="19" fillId="37" borderId="11" xfId="0" applyFont="1" applyFill="1" applyBorder="1"/>
    <xf numFmtId="0" fontId="20" fillId="37" borderId="11" xfId="0" applyFont="1" applyFill="1" applyBorder="1"/>
    <xf numFmtId="9" fontId="20" fillId="0" borderId="0" xfId="0" applyNumberFormat="1" applyFont="1"/>
    <xf numFmtId="0" fontId="14" fillId="0" borderId="0" xfId="0" applyFont="1" applyAlignment="1">
      <alignment horizontal="left"/>
    </xf>
    <xf numFmtId="0" fontId="16" fillId="34" borderId="11" xfId="0" applyFont="1" applyFill="1" applyBorder="1" applyAlignment="1">
      <alignment horizontal="center"/>
    </xf>
    <xf numFmtId="0" fontId="19" fillId="35" borderId="12" xfId="0" applyFont="1" applyFill="1" applyBorder="1" applyAlignment="1">
      <alignment horizontal="center"/>
    </xf>
    <xf numFmtId="0" fontId="19" fillId="35" borderId="13" xfId="0" applyFont="1" applyFill="1" applyBorder="1" applyAlignment="1">
      <alignment horizontal="center"/>
    </xf>
    <xf numFmtId="0" fontId="19" fillId="35" borderId="16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ami Le Grange" refreshedDate="45439.70468703704" createdVersion="8" refreshedVersion="8" minRefreshableVersion="3" recordCount="127" xr:uid="{5F13C95D-409C-4EE2-829A-4879C716CA69}">
  <cacheSource type="worksheet">
    <worksheetSource ref="A1:AF128" sheet="Project Timesheets"/>
  </cacheSource>
  <cacheFields count="32">
    <cacheField name="Date" numFmtId="15">
      <sharedItems containsSemiMixedTypes="0" containsNonDate="0" containsDate="1" containsString="0" minDate="2024-02-02T00:00:00" maxDate="2024-05-25T00:00:00" count="46">
        <d v="2024-02-19T00:00:00"/>
        <d v="2024-03-01T00:00:00"/>
        <d v="2024-03-04T00:00:00"/>
        <d v="2024-03-05T00:00:00"/>
        <d v="2024-03-06T00:00:00"/>
        <d v="2024-03-07T00:00:00"/>
        <d v="2024-03-08T00:00:00"/>
        <d v="2024-03-11T00:00:00"/>
        <d v="2024-03-12T00:00:00"/>
        <d v="2024-03-13T00:00:00"/>
        <d v="2024-03-14T00:00:00"/>
        <d v="2024-03-18T00:00:00"/>
        <d v="2024-03-19T00:00:00"/>
        <d v="2024-03-20T00:00:00"/>
        <d v="2024-03-26T00:00:00"/>
        <d v="2024-03-27T00:00:00"/>
        <d v="2024-04-11T00:00:00"/>
        <d v="2024-04-12T00:00:00"/>
        <d v="2024-05-09T00:00:00"/>
        <d v="2024-05-10T00:00:00"/>
        <d v="2024-05-14T00:00:00"/>
        <d v="2024-05-23T00:00:00"/>
        <d v="2024-05-24T00:00:00"/>
        <d v="2024-03-15T00:00:00"/>
        <d v="2024-03-25T00:00:00"/>
        <d v="2024-04-16T00:00:00"/>
        <d v="2024-04-03T00:00:00"/>
        <d v="2024-05-22T00:00:00"/>
        <d v="2024-02-02T00:00:00"/>
        <d v="2024-02-15T00:00:00"/>
        <d v="2024-02-16T00:00:00"/>
        <d v="2024-02-20T00:00:00"/>
        <d v="2024-02-21T00:00:00"/>
        <d v="2024-02-22T00:00:00"/>
        <d v="2024-02-26T00:00:00"/>
        <d v="2024-02-27T00:00:00"/>
        <d v="2024-02-28T00:00:00"/>
        <d v="2024-02-29T00:00:00"/>
        <d v="2024-03-22T00:00:00"/>
        <d v="2024-04-08T00:00:00"/>
        <d v="2024-04-09T00:00:00"/>
        <d v="2024-04-10T00:00:00"/>
        <d v="2024-02-13T00:00:00"/>
        <d v="2024-04-04T00:00:00"/>
        <d v="2024-04-05T00:00:00"/>
        <d v="2024-04-15T00:00:00"/>
      </sharedItems>
    </cacheField>
    <cacheField name="Person" numFmtId="0">
      <sharedItems count="7">
        <s v="Anjali Salecha"/>
        <s v="Khonani Davhana"/>
        <s v="Matthew Cornfield"/>
        <s v="Nikki Papenfus"/>
        <s v="Sachin  Deshmukh "/>
        <s v="Sam Duncan"/>
        <s v="Shaun Barrett"/>
      </sharedItems>
    </cacheField>
    <cacheField name="Agreement Type" numFmtId="0">
      <sharedItems/>
    </cacheField>
    <cacheField name="Person Organisation" numFmtId="0">
      <sharedItems/>
    </cacheField>
    <cacheField name="Person Team" numFmtId="0">
      <sharedItems/>
    </cacheField>
    <cacheField name="Person Location" numFmtId="0">
      <sharedItems/>
    </cacheField>
    <cacheField name="Company Name" numFmtId="0">
      <sharedItems count="1">
        <s v="Grainger PLC"/>
      </sharedItems>
    </cacheField>
    <cacheField name="Project Number" numFmtId="0">
      <sharedItems/>
    </cacheField>
    <cacheField name="Project Name" numFmtId="0">
      <sharedItems count="1">
        <s v="Website Integration (T&amp;M)"/>
      </sharedItems>
    </cacheField>
    <cacheField name="Project Type" numFmtId="0">
      <sharedItems/>
    </cacheField>
    <cacheField name="Project Organisation" numFmtId="0">
      <sharedItems/>
    </cacheField>
    <cacheField name="Project Manager" numFmtId="0">
      <sharedItems/>
    </cacheField>
    <cacheField name="Account Manager" numFmtId="0">
      <sharedItems/>
    </cacheField>
    <cacheField name="Line Manager" numFmtId="0">
      <sharedItems/>
    </cacheField>
    <cacheField name="Budget Name" numFmtId="0">
      <sharedItems count="1">
        <s v="Analysis &amp; Build"/>
      </sharedItems>
    </cacheField>
    <cacheField name="Time Entry ID" numFmtId="0">
      <sharedItems containsSemiMixedTypes="0" containsString="0" containsNumber="1" containsInteger="1" minValue="209126" maxValue="251765"/>
    </cacheField>
    <cacheField name="Timecode Name" numFmtId="0">
      <sharedItems count="2">
        <s v="Delivery"/>
        <s v="Delivery - UAT"/>
      </sharedItems>
    </cacheField>
    <cacheField name="Billable Timecode" numFmtId="0">
      <sharedItems/>
    </cacheField>
    <cacheField name="Timecode Type" numFmtId="0">
      <sharedItems/>
    </cacheField>
    <cacheField name="Timecode Rate" numFmtId="0">
      <sharedItems containsSemiMixedTypes="0" containsString="0" containsNumber="1" containsInteger="1" minValue="90" maxValue="90"/>
    </cacheField>
    <cacheField name="Hours" numFmtId="0">
      <sharedItems containsSemiMixedTypes="0" containsString="0" containsNumber="1" minValue="0.25" maxValue="14"/>
    </cacheField>
    <cacheField name="Time" numFmtId="20">
      <sharedItems containsSemiMixedTypes="0" containsNonDate="0" containsDate="1" containsString="0" minDate="1899-12-30T00:15:00" maxDate="1899-12-30T14:00:00"/>
    </cacheField>
    <cacheField name="Worked Amount" numFmtId="0">
      <sharedItems containsSemiMixedTypes="0" containsString="0" containsNumber="1" minValue="22.5" maxValue="1260"/>
    </cacheField>
    <cacheField name="Invoiced Amount" numFmtId="0">
      <sharedItems containsString="0" containsBlank="1" containsNumber="1" containsInteger="1" minValue="30" maxValue="1680"/>
    </cacheField>
    <cacheField name="Invoiced Delta" numFmtId="0">
      <sharedItems containsString="0" containsBlank="1" containsNumber="1" minValue="7.5" maxValue="420"/>
    </cacheField>
    <cacheField name="Invoice #" numFmtId="0">
      <sharedItems containsBlank="1"/>
    </cacheField>
    <cacheField name="Currency" numFmtId="0">
      <sharedItems/>
    </cacheField>
    <cacheField name="Reviewed Status" numFmtId="0">
      <sharedItems containsBlank="1"/>
    </cacheField>
    <cacheField name="Comment" numFmtId="0">
      <sharedItems/>
    </cacheField>
    <cacheField name="Timesheet Status" numFmtId="0">
      <sharedItems/>
    </cacheField>
    <cacheField name="Period" numFmtId="0">
      <sharedItems containsSemiMixedTypes="0" containsString="0" containsNumber="1" containsInteger="1" minValue="2" maxValue="5"/>
    </cacheField>
    <cacheField name="Month" numFmtId="0">
      <sharedItems count="4">
        <s v="February"/>
        <s v="March"/>
        <s v="April"/>
        <s v="Ma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7">
  <r>
    <x v="0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14229"/>
    <x v="0"/>
    <s v="Billable timecode"/>
    <s v="Standard Timecode"/>
    <n v="90"/>
    <n v="4"/>
    <d v="1899-12-30T04:00:00"/>
    <n v="360"/>
    <n v="480"/>
    <n v="120"/>
    <s v="IN07860"/>
    <s v="GBP"/>
    <s v="Reviewed"/>
    <s v="Worked on editing json file swagger editor. Discussion with Sam about SwaggerHub mock api calling setup. Time to be logged to Grainger website integration work for publishing units."/>
    <s v="Not submitted"/>
    <n v="2"/>
    <x v="0"/>
  </r>
  <r>
    <x v="1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0320"/>
    <x v="0"/>
    <s v="Billable timecode"/>
    <s v="Standard Timecode"/>
    <n v="90"/>
    <n v="4"/>
    <d v="1899-12-30T04:00:00"/>
    <n v="360"/>
    <n v="480"/>
    <n v="120"/>
    <s v="IN07958"/>
    <s v="GBP"/>
    <s v="Reviewed"/>
    <s v="Discussion with Sam and Matt about mock server setup and integration approach. Testing in UAT callout request not working. Anaylised existing code."/>
    <s v="Not submitted"/>
    <n v="3"/>
    <x v="1"/>
  </r>
  <r>
    <x v="2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0321"/>
    <x v="0"/>
    <s v="Billable timecode"/>
    <s v="Standard Timecode"/>
    <n v="90"/>
    <n v="8"/>
    <d v="1899-12-30T08:00:00"/>
    <n v="720"/>
    <n v="960"/>
    <n v="240"/>
    <s v="IN07958"/>
    <s v="GBP"/>
    <s v="Reviewed"/>
    <s v="Worked on completing the story SAWI-2. Acs and IA. Daily standup. Discussion with Sam Matt Sachin. Created sandbox users."/>
    <s v="Not submitted"/>
    <n v="3"/>
    <x v="1"/>
  </r>
  <r>
    <x v="3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0322"/>
    <x v="0"/>
    <s v="Billable timecode"/>
    <s v="Standard Timecode"/>
    <n v="90"/>
    <n v="7"/>
    <d v="1899-12-30T07:00:00"/>
    <n v="630"/>
    <n v="840"/>
    <n v="210"/>
    <s v="IN07958"/>
    <s v="GBP"/>
    <s v="Reviewed"/>
    <s v="worked on SAWI-1. Daily standup."/>
    <s v="Not submitted"/>
    <n v="3"/>
    <x v="1"/>
  </r>
  <r>
    <x v="4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1405"/>
    <x v="0"/>
    <s v="Billable timecode"/>
    <s v="Standard Timecode"/>
    <n v="90"/>
    <n v="8"/>
    <d v="1899-12-30T08:00:00"/>
    <n v="720"/>
    <n v="960"/>
    <n v="240"/>
    <s v="IN07958"/>
    <s v="GBP"/>
    <s v="Reviewed"/>
    <s v="Discusttion with Sam Sachin and Matt. Daily standup. Worked on SAWI-1"/>
    <s v="Not submitted"/>
    <n v="3"/>
    <x v="1"/>
  </r>
  <r>
    <x v="5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1411"/>
    <x v="0"/>
    <s v="Billable timecode"/>
    <s v="Standard Timecode"/>
    <n v="90"/>
    <n v="13"/>
    <d v="1899-12-30T13:00:00"/>
    <n v="1170"/>
    <n v="1560"/>
    <n v="390"/>
    <s v="IN07958"/>
    <s v="GBP"/>
    <s v="Reviewed"/>
    <s v="Daily standup. Worked on SAWI-1   --&gt; entry from Feb 27th for 5 hours- Disussion with Sam. Reading stories for project SAWI. Story sizing session with Sam and Mattew."/>
    <s v="Not submitted"/>
    <n v="3"/>
    <x v="1"/>
  </r>
  <r>
    <x v="6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1929"/>
    <x v="0"/>
    <s v="Billable timecode"/>
    <s v="Standard Timecode"/>
    <n v="90"/>
    <n v="14"/>
    <d v="1899-12-30T14:00:00"/>
    <n v="1260"/>
    <n v="1680"/>
    <n v="420"/>
    <s v="IN07958"/>
    <s v="GBP"/>
    <s v="Reviewed"/>
    <s v="Daily standup. Worked on SAWI-1. Review with Sachin. Deployment and Show me with Khonani and Matthew Cornfield. Entry from Feb 28 for 8 hours--&gt;Analysed existing code for unit publish and update. Error handling details."/>
    <s v="Not submitted"/>
    <n v="3"/>
    <x v="1"/>
  </r>
  <r>
    <x v="7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2793"/>
    <x v="0"/>
    <s v="Billable timecode"/>
    <s v="Standard Timecode"/>
    <n v="90"/>
    <n v="8"/>
    <d v="1899-12-30T08:00:00"/>
    <n v="720"/>
    <n v="960"/>
    <n v="240"/>
    <s v="IN07958"/>
    <s v="GBP"/>
    <s v="Reviewed"/>
    <s v="Daily standup. Worked on SAWI-7 and SAWI-11."/>
    <s v="Not submitted"/>
    <n v="3"/>
    <x v="1"/>
  </r>
  <r>
    <x v="8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2792"/>
    <x v="0"/>
    <s v="Billable timecode"/>
    <s v="Standard Timecode"/>
    <n v="90"/>
    <n v="8"/>
    <d v="1899-12-30T08:00:00"/>
    <n v="720"/>
    <n v="960"/>
    <n v="240"/>
    <s v="IN07958"/>
    <s v="GBP"/>
    <s v="Reviewed"/>
    <s v="Daily standup. Story review with Sachin for SAWI-7 and SAWI-11. Deployment to staging environment. Testing. Show me with Khonani."/>
    <s v="Not submitted"/>
    <n v="3"/>
    <x v="1"/>
  </r>
  <r>
    <x v="9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3768"/>
    <x v="0"/>
    <s v="Billable timecode"/>
    <s v="Standard Timecode"/>
    <n v="90"/>
    <n v="8"/>
    <d v="1899-12-30T08:00:00"/>
    <n v="720"/>
    <n v="960"/>
    <n v="240"/>
    <s v="IN07958"/>
    <s v="GBP"/>
    <s v="Reviewed"/>
    <s v="Daily standup. Worked on SAWI-8 amd SAWI-10. Discussion with Matthew. Show me with Khonani for SAWI-8 amd SAWI-10. Deployment and testing."/>
    <s v="Not submitted"/>
    <n v="3"/>
    <x v="1"/>
  </r>
  <r>
    <x v="10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4764"/>
    <x v="0"/>
    <s v="Billable timecode"/>
    <s v="Standard Timecode"/>
    <n v="90"/>
    <n v="7"/>
    <d v="1899-12-30T07:00:00"/>
    <n v="630"/>
    <n v="840"/>
    <n v="210"/>
    <s v="IN07958"/>
    <s v="GBP"/>
    <s v="Reviewed"/>
    <s v="Daily standup. Discussion with Sam. Worked on SAWI-15 &amp; SAWI-26. Discussion with Sachin about SAWI-20"/>
    <s v="Not submitted"/>
    <n v="3"/>
    <x v="1"/>
  </r>
  <r>
    <x v="11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5278"/>
    <x v="0"/>
    <s v="Billable timecode"/>
    <s v="Standard Timecode"/>
    <n v="90"/>
    <n v="10"/>
    <d v="1899-12-30T10:00:00"/>
    <n v="900"/>
    <n v="1200"/>
    <n v="300"/>
    <s v="IN07958"/>
    <s v="GBP"/>
    <s v="Reviewed"/>
    <s v="Daily stand up. Discussion with Sachin. Worked on SAWI-11 15 2630. Deployment to staging. Testing and Show me with khonani. Code x Open Box API Feed demo. Touch Base."/>
    <s v="Not submitted"/>
    <n v="3"/>
    <x v="1"/>
  </r>
  <r>
    <x v="12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5791"/>
    <x v="0"/>
    <s v="Billable timecode"/>
    <s v="Standard Timecode"/>
    <n v="90"/>
    <n v="9"/>
    <d v="1899-12-30T09:00:00"/>
    <n v="810"/>
    <n v="1080"/>
    <n v="270"/>
    <s v="IN07958"/>
    <s v="GBP"/>
    <s v="Reviewed"/>
    <s v="Daily standup. Worked on SAWI-2 and SAWI-36. Deployment. Testing. Show me with khonani. Discussion with Sam. Discussion on SAWI-33 with Matt. Discussion Story SAWI-2 and 36 review with SAchin."/>
    <s v="Not submitted"/>
    <n v="3"/>
    <x v="1"/>
  </r>
  <r>
    <x v="13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6260"/>
    <x v="0"/>
    <s v="Billable timecode"/>
    <s v="Standard Timecode"/>
    <n v="90"/>
    <n v="5"/>
    <d v="1899-12-30T05:00:00"/>
    <n v="450"/>
    <n v="600"/>
    <n v="150"/>
    <s v="IN07958"/>
    <s v="GBP"/>
    <s v="Reviewed"/>
    <s v="Daily standup. Worked on SAWI-52. Deployment and testing. Discussion with Khonani. Discussion with Matt about SAWI-33."/>
    <s v="Not submitted"/>
    <n v="3"/>
    <x v="1"/>
  </r>
  <r>
    <x v="14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9200"/>
    <x v="1"/>
    <s v="Billable timecode"/>
    <s v="Standard Timecode"/>
    <n v="90"/>
    <n v="3"/>
    <d v="1899-12-30T03:00:00"/>
    <n v="270"/>
    <n v="360"/>
    <n v="90"/>
    <s v="IN07958"/>
    <s v="GBP"/>
    <s v="Reviewed"/>
    <s v="Deployment of SAWI-57 to staging testing. Deployment to uat. Daily standup"/>
    <s v="Not submitted"/>
    <n v="3"/>
    <x v="1"/>
  </r>
  <r>
    <x v="15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9333"/>
    <x v="1"/>
    <s v="Billable timecode"/>
    <s v="Standard Timecode"/>
    <n v="90"/>
    <n v="2"/>
    <d v="1899-12-30T02:00:00"/>
    <n v="180"/>
    <n v="240"/>
    <n v="60"/>
    <s v="IN07958"/>
    <s v="GBP"/>
    <s v="Reviewed"/>
    <s v="deployment to uat related to reverting profile permissions in uat from staging env"/>
    <s v="Not submitted"/>
    <n v="3"/>
    <x v="1"/>
  </r>
  <r>
    <x v="16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35421"/>
    <x v="1"/>
    <s v="Billable timecode"/>
    <s v="Standard Timecode"/>
    <n v="90"/>
    <n v="2"/>
    <d v="1899-12-30T02:00:00"/>
    <n v="180"/>
    <n v="240"/>
    <n v="60"/>
    <s v="IN08019"/>
    <s v="GBP"/>
    <s v="Reviewed"/>
    <s v="Worked on SAWI-66 and SAWI-67 testing and deployment to staging."/>
    <s v="Not submitted"/>
    <n v="4"/>
    <x v="2"/>
  </r>
  <r>
    <x v="17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36171"/>
    <x v="1"/>
    <s v="Billable timecode"/>
    <s v="Standard Timecode"/>
    <n v="90"/>
    <n v="0.5"/>
    <d v="1899-12-30T00:30:00"/>
    <n v="45"/>
    <n v="60"/>
    <n v="15"/>
    <s v="IN08019"/>
    <s v="GBP"/>
    <s v="Reviewed"/>
    <s v="1. deployment to uat and discussion and confirmation of date field format with khonani."/>
    <s v="Not submitted"/>
    <n v="4"/>
    <x v="2"/>
  </r>
  <r>
    <x v="18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45626"/>
    <x v="1"/>
    <s v="Billable timecode"/>
    <s v="Standard Timecode"/>
    <n v="90"/>
    <n v="1"/>
    <d v="1899-12-30T01:00:00"/>
    <n v="90"/>
    <m/>
    <m/>
    <m/>
    <s v="GBP"/>
    <s v="Reviewed"/>
    <s v="Worked on SAWI-70"/>
    <s v="Not submitted"/>
    <n v="5"/>
    <x v="3"/>
  </r>
  <r>
    <x v="19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45627"/>
    <x v="1"/>
    <s v="Billable timecode"/>
    <s v="Standard Timecode"/>
    <n v="90"/>
    <n v="4"/>
    <d v="1899-12-30T04:00:00"/>
    <n v="360"/>
    <m/>
    <m/>
    <m/>
    <s v="GBP"/>
    <s v="Reviewed"/>
    <s v="Worked on SAWI-70"/>
    <s v="Not submitted"/>
    <n v="5"/>
    <x v="3"/>
  </r>
  <r>
    <x v="20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46856"/>
    <x v="0"/>
    <s v="Billable timecode"/>
    <s v="Standard Timecode"/>
    <n v="90"/>
    <n v="1"/>
    <d v="1899-12-30T01:00:00"/>
    <n v="90"/>
    <m/>
    <m/>
    <m/>
    <s v="GBP"/>
    <s v="Reviewed"/>
    <s v="1. Functionality demo to Dillan 2. Added USER_GUIDE label to relevant stories."/>
    <s v="Not submitted"/>
    <n v="5"/>
    <x v="3"/>
  </r>
  <r>
    <x v="21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51586"/>
    <x v="0"/>
    <s v="Billable timecode"/>
    <s v="Standard Timecode"/>
    <n v="90"/>
    <n v="5"/>
    <d v="1899-12-30T05:00:00"/>
    <n v="450"/>
    <m/>
    <m/>
    <m/>
    <s v="GBP"/>
    <m/>
    <s v="Worked on prepareing deployment package for production. Checked and removed profile related deployments. Checked other mismatched components to be removed from production deployment. Validation against production."/>
    <s v="Not submitted"/>
    <n v="5"/>
    <x v="3"/>
  </r>
  <r>
    <x v="22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51345"/>
    <x v="0"/>
    <s v="Billable timecode"/>
    <s v="Standard Timecode"/>
    <n v="90"/>
    <n v="8"/>
    <d v="1899-12-30T08:00:00"/>
    <n v="720"/>
    <m/>
    <m/>
    <m/>
    <s v="GBP"/>
    <m/>
    <s v="1. Production deployment package preparations 2. Discussion with Matthew 3. Discussion with Matthew and Sam. 4. Grainger post deployment / smoke testing 5. Post deployment steps and data update."/>
    <s v="Not submitted"/>
    <n v="5"/>
    <x v="3"/>
  </r>
  <r>
    <x v="2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19767"/>
    <x v="0"/>
    <s v="Billable timecode"/>
    <s v="Standard Timecode"/>
    <n v="90"/>
    <n v="0.25"/>
    <d v="1899-12-30T00:15:00"/>
    <n v="22.5"/>
    <n v="30"/>
    <n v="7.5"/>
    <s v="IN07958"/>
    <s v="GBP"/>
    <s v="Reviewed"/>
    <s v=" "/>
    <s v="Not submitted"/>
    <n v="3"/>
    <x v="1"/>
  </r>
  <r>
    <x v="3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19760"/>
    <x v="0"/>
    <s v="Billable timecode"/>
    <s v="Standard Timecode"/>
    <n v="90"/>
    <n v="3"/>
    <d v="1899-12-30T03:00:00"/>
    <n v="270"/>
    <n v="360"/>
    <n v="90"/>
    <s v="IN07958"/>
    <s v="GBP"/>
    <s v="Reviewed"/>
    <s v=" "/>
    <s v="Not submitted"/>
    <n v="3"/>
    <x v="1"/>
  </r>
  <r>
    <x v="4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1432"/>
    <x v="0"/>
    <s v="Billable timecode"/>
    <s v="Standard Timecode"/>
    <n v="90"/>
    <n v="0.5"/>
    <d v="1899-12-30T00:30:00"/>
    <n v="45"/>
    <n v="60"/>
    <n v="15"/>
    <s v="IN07958"/>
    <s v="GBP"/>
    <s v="Reviewed"/>
    <s v=" "/>
    <s v="Not submitted"/>
    <n v="3"/>
    <x v="1"/>
  </r>
  <r>
    <x v="5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1439"/>
    <x v="0"/>
    <s v="Billable timecode"/>
    <s v="Standard Timecode"/>
    <n v="90"/>
    <n v="0.5"/>
    <d v="1899-12-30T00:30:00"/>
    <n v="45"/>
    <n v="60"/>
    <n v="15"/>
    <s v="IN07958"/>
    <s v="GBP"/>
    <s v="Reviewed"/>
    <s v=" "/>
    <s v="Not submitted"/>
    <n v="3"/>
    <x v="1"/>
  </r>
  <r>
    <x v="6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1695"/>
    <x v="0"/>
    <s v="Billable timecode"/>
    <s v="Standard Timecode"/>
    <n v="90"/>
    <n v="3"/>
    <d v="1899-12-30T03:00:00"/>
    <n v="270"/>
    <n v="360"/>
    <n v="90"/>
    <s v="IN07958"/>
    <s v="GBP"/>
    <s v="Reviewed"/>
    <s v=" "/>
    <s v="Not submitted"/>
    <n v="3"/>
    <x v="1"/>
  </r>
  <r>
    <x v="7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2865"/>
    <x v="0"/>
    <s v="Billable timecode"/>
    <s v="Standard Timecode"/>
    <n v="90"/>
    <n v="3"/>
    <d v="1899-12-30T03:00:00"/>
    <n v="270"/>
    <n v="360"/>
    <n v="90"/>
    <s v="IN07958"/>
    <s v="GBP"/>
    <s v="Reviewed"/>
    <s v=" "/>
    <s v="Not submitted"/>
    <n v="3"/>
    <x v="1"/>
  </r>
  <r>
    <x v="8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2864"/>
    <x v="0"/>
    <s v="Billable timecode"/>
    <s v="Standard Timecode"/>
    <n v="90"/>
    <n v="6"/>
    <d v="1899-12-30T06:00:00"/>
    <n v="540"/>
    <n v="720"/>
    <n v="180"/>
    <s v="IN07958"/>
    <s v="GBP"/>
    <s v="Reviewed"/>
    <s v=" "/>
    <s v="Not submitted"/>
    <n v="3"/>
    <x v="1"/>
  </r>
  <r>
    <x v="9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3766"/>
    <x v="0"/>
    <s v="Billable timecode"/>
    <s v="Standard Timecode"/>
    <n v="90"/>
    <n v="6"/>
    <d v="1899-12-30T06:00:00"/>
    <n v="540"/>
    <n v="720"/>
    <n v="180"/>
    <s v="IN07958"/>
    <s v="GBP"/>
    <s v="Reviewed"/>
    <s v=" "/>
    <s v="Not submitted"/>
    <n v="3"/>
    <x v="1"/>
  </r>
  <r>
    <x v="10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4990"/>
    <x v="0"/>
    <s v="Billable timecode"/>
    <s v="Standard Timecode"/>
    <n v="90"/>
    <n v="5.75"/>
    <d v="1899-12-30T05:45:00"/>
    <n v="517.5"/>
    <n v="690"/>
    <n v="172.5"/>
    <s v="IN07958"/>
    <s v="GBP"/>
    <s v="Reviewed"/>
    <s v=" "/>
    <s v="Not submitted"/>
    <n v="3"/>
    <x v="1"/>
  </r>
  <r>
    <x v="23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5010"/>
    <x v="0"/>
    <s v="Billable timecode"/>
    <s v="Standard Timecode"/>
    <n v="90"/>
    <n v="3"/>
    <d v="1899-12-30T03:00:00"/>
    <n v="270"/>
    <n v="360"/>
    <n v="90"/>
    <s v="IN07958"/>
    <s v="GBP"/>
    <s v="Reviewed"/>
    <s v=" "/>
    <s v="Not submitted"/>
    <n v="3"/>
    <x v="1"/>
  </r>
  <r>
    <x v="11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5329"/>
    <x v="0"/>
    <s v="Billable timecode"/>
    <s v="Standard Timecode"/>
    <n v="90"/>
    <n v="5"/>
    <d v="1899-12-30T05:00:00"/>
    <n v="450"/>
    <n v="600"/>
    <n v="150"/>
    <s v="IN07958"/>
    <s v="GBP"/>
    <s v="Reviewed"/>
    <s v=" "/>
    <s v="Not submitted"/>
    <n v="3"/>
    <x v="1"/>
  </r>
  <r>
    <x v="12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5809"/>
    <x v="0"/>
    <s v="Billable timecode"/>
    <s v="Standard Timecode"/>
    <n v="90"/>
    <n v="6"/>
    <d v="1899-12-30T06:00:00"/>
    <n v="540"/>
    <n v="720"/>
    <n v="180"/>
    <s v="IN07958"/>
    <s v="GBP"/>
    <s v="Reviewed"/>
    <s v=" "/>
    <s v="Not submitted"/>
    <n v="3"/>
    <x v="1"/>
  </r>
  <r>
    <x v="13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6736"/>
    <x v="0"/>
    <s v="Billable timecode"/>
    <s v="Standard Timecode"/>
    <n v="90"/>
    <n v="6.75"/>
    <d v="1899-12-30T06:45:00"/>
    <n v="607.5"/>
    <n v="810"/>
    <n v="202.5"/>
    <s v="IN07958"/>
    <s v="GBP"/>
    <s v="Reviewed"/>
    <s v=" "/>
    <s v="Not submitted"/>
    <n v="3"/>
    <x v="1"/>
  </r>
  <r>
    <x v="24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8118"/>
    <x v="1"/>
    <s v="Billable timecode"/>
    <s v="Standard Timecode"/>
    <n v="90"/>
    <n v="0.25"/>
    <d v="1899-12-30T00:15:00"/>
    <n v="22.5"/>
    <n v="30"/>
    <n v="7.5"/>
    <s v="IN07958"/>
    <s v="GBP"/>
    <s v="Reviewed"/>
    <s v="Daily standup"/>
    <s v="Not submitted"/>
    <n v="3"/>
    <x v="1"/>
  </r>
  <r>
    <x v="14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8090"/>
    <x v="1"/>
    <s v="Billable timecode"/>
    <s v="Standard Timecode"/>
    <n v="90"/>
    <n v="0.75"/>
    <d v="1899-12-30T00:45:00"/>
    <n v="67.5"/>
    <n v="90"/>
    <n v="22.5"/>
    <s v="IN07958"/>
    <s v="GBP"/>
    <s v="Reviewed"/>
    <s v="Standup &amp; QA (59 57 &amp;60)"/>
    <s v="Not submitted"/>
    <n v="3"/>
    <x v="1"/>
  </r>
  <r>
    <x v="17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35014"/>
    <x v="1"/>
    <s v="Billable timecode"/>
    <s v="Standard Timecode"/>
    <n v="90"/>
    <n v="0.75"/>
    <d v="1899-12-30T00:45:00"/>
    <n v="67.5"/>
    <n v="90"/>
    <n v="22.5"/>
    <s v="IN08019"/>
    <s v="GBP"/>
    <s v="Reviewed"/>
    <s v=" "/>
    <s v="Not submitted"/>
    <n v="4"/>
    <x v="2"/>
  </r>
  <r>
    <x v="25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35802"/>
    <x v="1"/>
    <s v="Billable timecode"/>
    <s v="Standard Timecode"/>
    <n v="90"/>
    <n v="1"/>
    <d v="1899-12-30T01:00:00"/>
    <n v="90"/>
    <n v="120"/>
    <n v="30"/>
    <s v="IN08019"/>
    <s v="GBP"/>
    <s v="Reviewed"/>
    <s v=" "/>
    <s v="Not submitted"/>
    <n v="4"/>
    <x v="2"/>
  </r>
  <r>
    <x v="22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51346"/>
    <x v="0"/>
    <s v="Billable timecode"/>
    <s v="Standard Timecode"/>
    <n v="90"/>
    <n v="0.5"/>
    <d v="1899-12-30T00:30:00"/>
    <n v="45"/>
    <m/>
    <m/>
    <m/>
    <s v="GBP"/>
    <m/>
    <s v=" "/>
    <s v="Not submitted"/>
    <n v="5"/>
    <x v="3"/>
  </r>
  <r>
    <x v="26"/>
    <x v="2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30733"/>
    <x v="0"/>
    <s v="Billable timecode"/>
    <s v="Standard Timecode"/>
    <n v="90"/>
    <n v="0.75"/>
    <d v="1899-12-30T00:45:00"/>
    <n v="67.5"/>
    <n v="90"/>
    <n v="22.5"/>
    <s v="IN08019"/>
    <s v="GBP"/>
    <s v="Reviewed"/>
    <s v="SAWI-63 - UAT Feedback - Added additional user permissions in UAT (Grainger revoked OB sys admin permissions)"/>
    <s v="Not submitted"/>
    <n v="4"/>
    <x v="2"/>
  </r>
  <r>
    <x v="25"/>
    <x v="2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36217"/>
    <x v="1"/>
    <s v="Billable timecode"/>
    <s v="Standard Timecode"/>
    <n v="90"/>
    <n v="2.75"/>
    <d v="1899-12-30T02:45:00"/>
    <n v="247.5"/>
    <n v="330"/>
    <n v="82.5"/>
    <s v="IN08019"/>
    <s v="GBP"/>
    <s v="Reviewed"/>
    <s v=" "/>
    <s v="Not submitted"/>
    <n v="4"/>
    <x v="2"/>
  </r>
  <r>
    <x v="27"/>
    <x v="2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51190"/>
    <x v="0"/>
    <s v="Billable timecode"/>
    <s v="Standard Timecode"/>
    <n v="90"/>
    <n v="1"/>
    <d v="1899-12-30T01:00:00"/>
    <n v="90"/>
    <m/>
    <m/>
    <m/>
    <s v="GBP"/>
    <m/>
    <s v=" "/>
    <s v="Not submitted"/>
    <n v="5"/>
    <x v="3"/>
  </r>
  <r>
    <x v="21"/>
    <x v="2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51194"/>
    <x v="0"/>
    <s v="Billable timecode"/>
    <s v="Standard Timecode"/>
    <n v="90"/>
    <n v="1"/>
    <d v="1899-12-30T01:00:00"/>
    <n v="90"/>
    <m/>
    <m/>
    <m/>
    <s v="GBP"/>
    <m/>
    <s v=" "/>
    <s v="Not submitted"/>
    <n v="5"/>
    <x v="3"/>
  </r>
  <r>
    <x v="28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09126"/>
    <x v="0"/>
    <s v="Billable timecode"/>
    <s v="Standard Timecode"/>
    <n v="90"/>
    <n v="1"/>
    <d v="1899-12-30T01:00:00"/>
    <n v="90"/>
    <n v="120"/>
    <n v="30"/>
    <s v="IN07860"/>
    <s v="GBP"/>
    <s v="Reviewed"/>
    <s v=" "/>
    <s v="Not submitted"/>
    <n v="2"/>
    <x v="0"/>
  </r>
  <r>
    <x v="29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2410"/>
    <x v="0"/>
    <s v="Billable timecode"/>
    <s v="Standard Timecode"/>
    <n v="90"/>
    <n v="7"/>
    <d v="1899-12-30T07:00:00"/>
    <n v="630"/>
    <n v="840"/>
    <n v="210"/>
    <s v="IN07860"/>
    <s v="GBP"/>
    <s v="Reviewed"/>
    <s v=" "/>
    <s v="Not submitted"/>
    <n v="2"/>
    <x v="0"/>
  </r>
  <r>
    <x v="30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2409"/>
    <x v="0"/>
    <s v="Billable timecode"/>
    <s v="Standard Timecode"/>
    <n v="90"/>
    <n v="2.5"/>
    <d v="1899-12-30T02:30:00"/>
    <n v="225"/>
    <n v="300"/>
    <n v="75"/>
    <s v="IN07860"/>
    <s v="GBP"/>
    <s v="Reviewed"/>
    <s v=" "/>
    <s v="Not submitted"/>
    <n v="2"/>
    <x v="0"/>
  </r>
  <r>
    <x v="31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4277"/>
    <x v="0"/>
    <s v="Billable timecode"/>
    <s v="Standard Timecode"/>
    <n v="90"/>
    <n v="7.25"/>
    <d v="1899-12-30T07:15:00"/>
    <n v="652.5"/>
    <n v="870"/>
    <n v="217.5"/>
    <s v="IN07860"/>
    <s v="GBP"/>
    <s v="Reviewed"/>
    <s v=" "/>
    <s v="Not submitted"/>
    <n v="2"/>
    <x v="0"/>
  </r>
  <r>
    <x v="32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4280"/>
    <x v="0"/>
    <s v="Billable timecode"/>
    <s v="Standard Timecode"/>
    <n v="90"/>
    <n v="4.25"/>
    <d v="1899-12-30T04:15:00"/>
    <n v="382.5"/>
    <n v="510"/>
    <n v="127.5"/>
    <s v="IN07860"/>
    <s v="GBP"/>
    <s v="Reviewed"/>
    <s v=" "/>
    <s v="Not submitted"/>
    <n v="2"/>
    <x v="0"/>
  </r>
  <r>
    <x v="33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4563"/>
    <x v="0"/>
    <s v="Billable timecode"/>
    <s v="Standard Timecode"/>
    <n v="90"/>
    <n v="1"/>
    <d v="1899-12-30T01:00:00"/>
    <n v="90"/>
    <n v="120"/>
    <n v="30"/>
    <s v="IN07860"/>
    <s v="GBP"/>
    <s v="Reviewed"/>
    <s v=" "/>
    <s v="Not submitted"/>
    <n v="2"/>
    <x v="0"/>
  </r>
  <r>
    <x v="34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6146"/>
    <x v="0"/>
    <s v="Billable timecode"/>
    <s v="Standard Timecode"/>
    <n v="90"/>
    <n v="2"/>
    <d v="1899-12-30T02:00:00"/>
    <n v="180"/>
    <n v="240"/>
    <n v="60"/>
    <s v="IN07860"/>
    <s v="GBP"/>
    <s v="Reviewed"/>
    <s v=" "/>
    <s v="Not submitted"/>
    <n v="2"/>
    <x v="0"/>
  </r>
  <r>
    <x v="35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7055"/>
    <x v="0"/>
    <s v="Billable timecode"/>
    <s v="Standard Timecode"/>
    <n v="90"/>
    <n v="0.25"/>
    <d v="1899-12-30T00:15:00"/>
    <n v="22.5"/>
    <n v="30"/>
    <n v="7.5"/>
    <s v="IN07860"/>
    <s v="GBP"/>
    <s v="Reviewed"/>
    <s v=" "/>
    <s v="Not submitted"/>
    <n v="2"/>
    <x v="0"/>
  </r>
  <r>
    <x v="36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7696"/>
    <x v="0"/>
    <s v="Billable timecode"/>
    <s v="Standard Timecode"/>
    <n v="90"/>
    <n v="3.25"/>
    <d v="1899-12-30T03:15:00"/>
    <n v="292.5"/>
    <n v="390"/>
    <n v="97.5"/>
    <s v="IN07860"/>
    <s v="GBP"/>
    <s v="Reviewed"/>
    <s v=" "/>
    <s v="Not submitted"/>
    <n v="2"/>
    <x v="0"/>
  </r>
  <r>
    <x v="37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7701"/>
    <x v="0"/>
    <s v="Billable timecode"/>
    <s v="Standard Timecode"/>
    <n v="90"/>
    <n v="0.75"/>
    <d v="1899-12-30T00:45:00"/>
    <n v="67.5"/>
    <n v="90"/>
    <n v="22.5"/>
    <s v="IN07860"/>
    <s v="GBP"/>
    <s v="Reviewed"/>
    <s v=" "/>
    <s v="Not submitted"/>
    <n v="2"/>
    <x v="0"/>
  </r>
  <r>
    <x v="1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9384"/>
    <x v="0"/>
    <s v="Billable timecode"/>
    <s v="Standard Timecode"/>
    <n v="90"/>
    <n v="2.25"/>
    <d v="1899-12-30T02:15:00"/>
    <n v="202.5"/>
    <n v="270"/>
    <n v="67.5"/>
    <s v="IN07958"/>
    <s v="GBP"/>
    <s v="Reviewed"/>
    <s v=" "/>
    <s v="Not submitted"/>
    <n v="3"/>
    <x v="1"/>
  </r>
  <r>
    <x v="2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9370"/>
    <x v="0"/>
    <s v="Billable timecode"/>
    <s v="Standard Timecode"/>
    <n v="90"/>
    <n v="5.25"/>
    <d v="1899-12-30T05:15:00"/>
    <n v="472.5"/>
    <n v="630"/>
    <n v="157.5"/>
    <s v="IN07958"/>
    <s v="GBP"/>
    <s v="Reviewed"/>
    <s v=" "/>
    <s v="Not submitted"/>
    <n v="3"/>
    <x v="1"/>
  </r>
  <r>
    <x v="3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9880"/>
    <x v="0"/>
    <s v="Billable timecode"/>
    <s v="Standard Timecode"/>
    <n v="90"/>
    <n v="4.75"/>
    <d v="1899-12-30T04:45:00"/>
    <n v="427.5"/>
    <n v="570"/>
    <n v="142.5"/>
    <s v="IN07958"/>
    <s v="GBP"/>
    <s v="Reviewed"/>
    <s v=" "/>
    <s v="Not submitted"/>
    <n v="3"/>
    <x v="1"/>
  </r>
  <r>
    <x v="4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0833"/>
    <x v="0"/>
    <s v="Billable timecode"/>
    <s v="Standard Timecode"/>
    <n v="90"/>
    <n v="2.75"/>
    <d v="1899-12-30T02:45:00"/>
    <n v="247.5"/>
    <n v="330"/>
    <n v="82.5"/>
    <s v="IN07958"/>
    <s v="GBP"/>
    <s v="Reviewed"/>
    <s v=" "/>
    <s v="Not submitted"/>
    <n v="3"/>
    <x v="1"/>
  </r>
  <r>
    <x v="5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1107"/>
    <x v="0"/>
    <s v="Billable timecode"/>
    <s v="Standard Timecode"/>
    <n v="90"/>
    <n v="1"/>
    <d v="1899-12-30T01:00:00"/>
    <n v="90"/>
    <n v="120"/>
    <n v="30"/>
    <s v="IN07958"/>
    <s v="GBP"/>
    <s v="Reviewed"/>
    <s v=" "/>
    <s v="Not submitted"/>
    <n v="3"/>
    <x v="1"/>
  </r>
  <r>
    <x v="6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1735"/>
    <x v="0"/>
    <s v="Billable timecode"/>
    <s v="Standard Timecode"/>
    <n v="90"/>
    <n v="0.5"/>
    <d v="1899-12-30T00:30:00"/>
    <n v="45"/>
    <n v="60"/>
    <n v="15"/>
    <s v="IN07958"/>
    <s v="GBP"/>
    <s v="Reviewed"/>
    <s v=" "/>
    <s v="Not submitted"/>
    <n v="3"/>
    <x v="1"/>
  </r>
  <r>
    <x v="7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2478"/>
    <x v="0"/>
    <s v="Billable timecode"/>
    <s v="Standard Timecode"/>
    <n v="90"/>
    <n v="2.75"/>
    <d v="1899-12-30T02:45:00"/>
    <n v="247.5"/>
    <n v="330"/>
    <n v="82.5"/>
    <s v="IN07958"/>
    <s v="GBP"/>
    <s v="Reviewed"/>
    <s v=" "/>
    <s v="Not submitted"/>
    <n v="3"/>
    <x v="1"/>
  </r>
  <r>
    <x v="8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3124"/>
    <x v="0"/>
    <s v="Billable timecode"/>
    <s v="Standard Timecode"/>
    <n v="90"/>
    <n v="0.5"/>
    <d v="1899-12-30T00:30:00"/>
    <n v="45"/>
    <n v="60"/>
    <n v="15"/>
    <s v="IN07958"/>
    <s v="GBP"/>
    <s v="Reviewed"/>
    <s v=" "/>
    <s v="Not submitted"/>
    <n v="3"/>
    <x v="1"/>
  </r>
  <r>
    <x v="9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3117"/>
    <x v="0"/>
    <s v="Billable timecode"/>
    <s v="Standard Timecode"/>
    <n v="90"/>
    <n v="0.25"/>
    <d v="1899-12-30T00:15:00"/>
    <n v="22.5"/>
    <n v="30"/>
    <n v="7.5"/>
    <s v="IN07958"/>
    <s v="GBP"/>
    <s v="Reviewed"/>
    <s v=" "/>
    <s v="Not submitted"/>
    <n v="3"/>
    <x v="1"/>
  </r>
  <r>
    <x v="23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4079"/>
    <x v="0"/>
    <s v="Billable timecode"/>
    <s v="Standard Timecode"/>
    <n v="90"/>
    <n v="2.25"/>
    <d v="1899-12-30T02:15:00"/>
    <n v="202.5"/>
    <n v="270"/>
    <n v="67.5"/>
    <s v="IN07958"/>
    <s v="GBP"/>
    <s v="Reviewed"/>
    <s v=" "/>
    <s v="Not submitted"/>
    <n v="3"/>
    <x v="1"/>
  </r>
  <r>
    <x v="11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5270"/>
    <x v="0"/>
    <s v="Billable timecode"/>
    <s v="Standard Timecode"/>
    <n v="90"/>
    <n v="1.75"/>
    <d v="1899-12-30T01:45:00"/>
    <n v="157.5"/>
    <n v="210"/>
    <n v="52.5"/>
    <s v="IN07958"/>
    <s v="GBP"/>
    <s v="Reviewed"/>
    <s v=" "/>
    <s v="Not submitted"/>
    <n v="3"/>
    <x v="1"/>
  </r>
  <r>
    <x v="12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5840"/>
    <x v="0"/>
    <s v="Billable timecode"/>
    <s v="Standard Timecode"/>
    <n v="90"/>
    <n v="1.25"/>
    <d v="1899-12-30T01:15:00"/>
    <n v="112.5"/>
    <n v="150"/>
    <n v="37.5"/>
    <s v="IN07958"/>
    <s v="GBP"/>
    <s v="Reviewed"/>
    <s v=" "/>
    <s v="Not submitted"/>
    <n v="3"/>
    <x v="1"/>
  </r>
  <r>
    <x v="13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5836"/>
    <x v="0"/>
    <s v="Billable timecode"/>
    <s v="Standard Timecode"/>
    <n v="90"/>
    <n v="1.75"/>
    <d v="1899-12-30T01:45:00"/>
    <n v="157.5"/>
    <n v="210"/>
    <n v="52.5"/>
    <s v="IN07958"/>
    <s v="GBP"/>
    <s v="Reviewed"/>
    <s v=" "/>
    <s v="Not submitted"/>
    <n v="3"/>
    <x v="1"/>
  </r>
  <r>
    <x v="38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6473"/>
    <x v="0"/>
    <s v="Billable timecode"/>
    <s v="Standard Timecode"/>
    <n v="90"/>
    <n v="1.5"/>
    <d v="1899-12-30T01:30:00"/>
    <n v="135"/>
    <n v="180"/>
    <n v="45"/>
    <s v="IN07958"/>
    <s v="GBP"/>
    <s v="Reviewed"/>
    <s v=" "/>
    <s v="Not submitted"/>
    <n v="3"/>
    <x v="1"/>
  </r>
  <r>
    <x v="24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7596"/>
    <x v="0"/>
    <s v="Billable timecode"/>
    <s v="Standard Timecode"/>
    <n v="90"/>
    <n v="2.25"/>
    <d v="1899-12-30T02:15:00"/>
    <n v="202.5"/>
    <n v="270"/>
    <n v="67.5"/>
    <s v="IN07958"/>
    <s v="GBP"/>
    <s v="Reviewed"/>
    <s v=" "/>
    <s v="Not submitted"/>
    <n v="3"/>
    <x v="1"/>
  </r>
  <r>
    <x v="14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7592"/>
    <x v="0"/>
    <s v="Billable timecode"/>
    <s v="Standard Timecode"/>
    <n v="90"/>
    <n v="1.5"/>
    <d v="1899-12-30T01:30:00"/>
    <n v="135"/>
    <n v="180"/>
    <n v="45"/>
    <s v="IN07958"/>
    <s v="GBP"/>
    <s v="Reviewed"/>
    <s v=" "/>
    <s v="Not submitted"/>
    <n v="3"/>
    <x v="1"/>
  </r>
  <r>
    <x v="15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8791"/>
    <x v="0"/>
    <s v="Billable timecode"/>
    <s v="Standard Timecode"/>
    <n v="90"/>
    <n v="1"/>
    <d v="1899-12-30T01:00:00"/>
    <n v="90"/>
    <n v="120"/>
    <n v="30"/>
    <s v="IN07958"/>
    <s v="GBP"/>
    <s v="Reviewed"/>
    <s v=" "/>
    <s v="Not submitted"/>
    <n v="3"/>
    <x v="1"/>
  </r>
  <r>
    <x v="39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33907"/>
    <x v="1"/>
    <s v="Billable timecode"/>
    <s v="Standard Timecode"/>
    <n v="90"/>
    <n v="1.25"/>
    <d v="1899-12-30T01:15:00"/>
    <n v="112.5"/>
    <n v="150"/>
    <n v="37.5"/>
    <s v="IN08019"/>
    <s v="GBP"/>
    <s v="Reviewed"/>
    <s v=" "/>
    <s v="Not submitted"/>
    <n v="4"/>
    <x v="2"/>
  </r>
  <r>
    <x v="40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33908"/>
    <x v="1"/>
    <s v="Billable timecode"/>
    <s v="Standard Timecode"/>
    <n v="90"/>
    <n v="0.25"/>
    <d v="1899-12-30T00:15:00"/>
    <n v="22.5"/>
    <n v="30"/>
    <n v="7.5"/>
    <s v="IN08019"/>
    <s v="GBP"/>
    <s v="Reviewed"/>
    <s v=" "/>
    <s v="Not submitted"/>
    <n v="4"/>
    <x v="2"/>
  </r>
  <r>
    <x v="41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33909"/>
    <x v="1"/>
    <s v="Billable timecode"/>
    <s v="Standard Timecode"/>
    <n v="90"/>
    <n v="1.25"/>
    <d v="1899-12-30T01:15:00"/>
    <n v="112.5"/>
    <n v="150"/>
    <n v="37.5"/>
    <s v="IN08019"/>
    <s v="GBP"/>
    <s v="Reviewed"/>
    <s v=" "/>
    <s v="Not submitted"/>
    <n v="4"/>
    <x v="2"/>
  </r>
  <r>
    <x v="16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33906"/>
    <x v="1"/>
    <s v="Billable timecode"/>
    <s v="Standard Timecode"/>
    <n v="90"/>
    <n v="1"/>
    <d v="1899-12-30T01:00:00"/>
    <n v="90"/>
    <n v="120"/>
    <n v="30"/>
    <s v="IN08019"/>
    <s v="GBP"/>
    <s v="Reviewed"/>
    <s v=" "/>
    <s v="Not submitted"/>
    <n v="4"/>
    <x v="2"/>
  </r>
  <r>
    <x v="17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34505"/>
    <x v="1"/>
    <s v="Billable timecode"/>
    <s v="Standard Timecode"/>
    <n v="90"/>
    <n v="0.25"/>
    <d v="1899-12-30T00:15:00"/>
    <n v="22.5"/>
    <n v="30"/>
    <n v="7.5"/>
    <s v="IN08019"/>
    <s v="GBP"/>
    <s v="Reviewed"/>
    <s v=" "/>
    <s v="Not submitted"/>
    <n v="4"/>
    <x v="2"/>
  </r>
  <r>
    <x v="2"/>
    <x v="4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1465"/>
    <x v="0"/>
    <s v="Billable timecode"/>
    <s v="Standard Timecode"/>
    <n v="90"/>
    <n v="8.5"/>
    <d v="1899-12-30T08:30:00"/>
    <n v="765"/>
    <n v="1020"/>
    <n v="255"/>
    <s v="IN07958"/>
    <s v="GBP"/>
    <s v="Reviewed"/>
    <e v="#NAME?"/>
    <s v="Not submitted"/>
    <n v="3"/>
    <x v="1"/>
  </r>
  <r>
    <x v="3"/>
    <x v="4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1467"/>
    <x v="0"/>
    <s v="Billable timecode"/>
    <s v="Standard Timecode"/>
    <n v="90"/>
    <n v="8.5"/>
    <d v="1899-12-30T08:30:00"/>
    <n v="765"/>
    <n v="1020"/>
    <n v="255"/>
    <s v="IN07958"/>
    <s v="GBP"/>
    <s v="Reviewed"/>
    <s v="-- Grainger Website Integration Standup -- Code walkthrough of existing Integration  -- Implementation approach finalized with Sam Duncan -- Worked on SAWI 1"/>
    <s v="Not submitted"/>
    <n v="3"/>
    <x v="1"/>
  </r>
  <r>
    <x v="4"/>
    <x v="4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1468"/>
    <x v="0"/>
    <s v="Billable timecode"/>
    <s v="Standard Timecode"/>
    <n v="90"/>
    <n v="8.5"/>
    <d v="1899-12-30T08:30:00"/>
    <n v="765"/>
    <n v="1020"/>
    <n v="255"/>
    <s v="IN07958"/>
    <s v="GBP"/>
    <s v="Reviewed"/>
    <s v="-- Grainger Website Integration Standup -- Worked on SAWI 1"/>
    <s v="Not submitted"/>
    <n v="3"/>
    <x v="1"/>
  </r>
  <r>
    <x v="5"/>
    <x v="4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1469"/>
    <x v="0"/>
    <s v="Billable timecode"/>
    <s v="Standard Timecode"/>
    <n v="90"/>
    <n v="8.5"/>
    <d v="1899-12-30T08:30:00"/>
    <n v="765"/>
    <n v="1020"/>
    <n v="255"/>
    <s v="IN07958"/>
    <s v="GBP"/>
    <s v="Reviewed"/>
    <s v="-- Grainger Website Integration Standup -- Worked on SAWI 1 and related Test classes and LWC component"/>
    <s v="Not submitted"/>
    <n v="3"/>
    <x v="1"/>
  </r>
  <r>
    <x v="6"/>
    <x v="4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1473"/>
    <x v="0"/>
    <s v="Billable timecode"/>
    <s v="Standard Timecode"/>
    <n v="90"/>
    <n v="8.5"/>
    <d v="1899-12-30T08:30:00"/>
    <n v="765"/>
    <n v="1020"/>
    <n v="255"/>
    <s v="IN07958"/>
    <s v="GBP"/>
    <s v="Reviewed"/>
    <s v="-- Grainger Website Integration Standup -- Worked on SAWI 7"/>
    <s v="Not submitted"/>
    <n v="3"/>
    <x v="1"/>
  </r>
  <r>
    <x v="7"/>
    <x v="4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3686"/>
    <x v="0"/>
    <s v="Billable timecode"/>
    <s v="Standard Timecode"/>
    <n v="90"/>
    <n v="9.5"/>
    <d v="1899-12-30T09:30:00"/>
    <n v="855"/>
    <n v="1140"/>
    <n v="285"/>
    <s v="IN07958"/>
    <s v="GBP"/>
    <s v="Reviewed"/>
    <s v="-- Grainger Website Integration Standup -- Worked on SAWI 11"/>
    <s v="Not submitted"/>
    <n v="3"/>
    <x v="1"/>
  </r>
  <r>
    <x v="8"/>
    <x v="4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3687"/>
    <x v="0"/>
    <s v="Billable timecode"/>
    <s v="Standard Timecode"/>
    <n v="90"/>
    <n v="9"/>
    <d v="1899-12-30T09:00:00"/>
    <n v="810"/>
    <n v="1080"/>
    <n v="270"/>
    <s v="IN07958"/>
    <s v="GBP"/>
    <s v="Reviewed"/>
    <s v="-- Grainger Website Integration Standup -- Worked on SAWI 11 -- Completed code review show me and deployed SAWI 7 and 11 to Staging"/>
    <s v="Not submitted"/>
    <n v="3"/>
    <x v="1"/>
  </r>
  <r>
    <x v="9"/>
    <x v="4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3688"/>
    <x v="0"/>
    <s v="Billable timecode"/>
    <s v="Standard Timecode"/>
    <n v="90"/>
    <n v="9"/>
    <d v="1899-12-30T09:00:00"/>
    <n v="810"/>
    <n v="1080"/>
    <n v="270"/>
    <s v="IN07958"/>
    <s v="GBP"/>
    <s v="Reviewed"/>
    <s v="-- Grainger Website Integration Standup -- Worked on SAWI 810 -- Completed code review show me and deployed SAWI 8 and 10 to Staging"/>
    <s v="Not submitted"/>
    <n v="3"/>
    <x v="1"/>
  </r>
  <r>
    <x v="10"/>
    <x v="4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3685"/>
    <x v="0"/>
    <s v="Billable timecode"/>
    <s v="Standard Timecode"/>
    <n v="90"/>
    <n v="11"/>
    <d v="1899-12-30T11:00:00"/>
    <n v="990"/>
    <n v="1320"/>
    <n v="330"/>
    <s v="IN07958"/>
    <s v="GBP"/>
    <s v="Reviewed"/>
    <s v="-- Grainger Website Integration Standup -- Working on SAWI 20"/>
    <s v="Not submitted"/>
    <n v="3"/>
    <x v="1"/>
  </r>
  <r>
    <x v="23"/>
    <x v="4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4214"/>
    <x v="0"/>
    <s v="Billable timecode"/>
    <s v="Standard Timecode"/>
    <n v="90"/>
    <n v="8.5"/>
    <d v="1899-12-30T08:30:00"/>
    <n v="765"/>
    <n v="1020"/>
    <n v="255"/>
    <s v="IN07958"/>
    <s v="GBP"/>
    <s v="Reviewed"/>
    <s v="-- Grainger Website Integration Standup -- Working on SAWI 20"/>
    <s v="Not submitted"/>
    <n v="3"/>
    <x v="1"/>
  </r>
  <r>
    <x v="11"/>
    <x v="4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5674"/>
    <x v="0"/>
    <s v="Billable timecode"/>
    <s v="Standard Timecode"/>
    <n v="90"/>
    <n v="12"/>
    <d v="1899-12-30T12:00:00"/>
    <n v="1080"/>
    <n v="1440"/>
    <n v="360"/>
    <s v="IN07958"/>
    <s v="GBP"/>
    <s v="Reviewed"/>
    <s v="-- Grainger Website Integration Standup -- Working on SAWI 20 6"/>
    <s v="Not submitted"/>
    <n v="3"/>
    <x v="1"/>
  </r>
  <r>
    <x v="12"/>
    <x v="4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5675"/>
    <x v="0"/>
    <s v="Billable timecode"/>
    <s v="Standard Timecode"/>
    <n v="90"/>
    <n v="11"/>
    <d v="1899-12-30T11:00:00"/>
    <n v="990"/>
    <n v="1320"/>
    <n v="330"/>
    <s v="IN07958"/>
    <s v="GBP"/>
    <s v="Reviewed"/>
    <e v="#NAME?"/>
    <s v="Not submitted"/>
    <n v="3"/>
    <x v="1"/>
  </r>
  <r>
    <x v="14"/>
    <x v="4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9435"/>
    <x v="1"/>
    <s v="Billable timecode"/>
    <s v="Standard Timecode"/>
    <n v="90"/>
    <n v="2"/>
    <d v="1899-12-30T02:00:00"/>
    <n v="180"/>
    <n v="240"/>
    <n v="60"/>
    <s v="IN07958"/>
    <s v="GBP"/>
    <s v="Reviewed"/>
    <s v="Worked on SAWI-59 and deployed to Staging and UAT"/>
    <s v="Not submitted"/>
    <n v="3"/>
    <x v="1"/>
  </r>
  <r>
    <x v="28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15409"/>
    <x v="0"/>
    <s v="Billable timecode"/>
    <s v="Standard Timecode"/>
    <n v="90"/>
    <n v="1"/>
    <d v="1899-12-30T01:00:00"/>
    <n v="90"/>
    <n v="120"/>
    <n v="30"/>
    <s v="IN07860"/>
    <s v="GBP"/>
    <s v="Reviewed"/>
    <s v="Requirements gathering with Code+ Grainger"/>
    <s v="Not submitted"/>
    <n v="2"/>
    <x v="0"/>
  </r>
  <r>
    <x v="29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15527"/>
    <x v="0"/>
    <s v="Billable timecode"/>
    <s v="Standard Timecode"/>
    <n v="90"/>
    <n v="1"/>
    <d v="1899-12-30T01:00:00"/>
    <n v="90"/>
    <n v="120"/>
    <n v="30"/>
    <s v="IN07860"/>
    <s v="GBP"/>
    <s v="Reviewed"/>
    <s v="Refinement with Nikki"/>
    <s v="Not submitted"/>
    <n v="2"/>
    <x v="0"/>
  </r>
  <r>
    <x v="31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15530"/>
    <x v="0"/>
    <s v="Billable timecode"/>
    <s v="Standard Timecode"/>
    <n v="90"/>
    <n v="1"/>
    <d v="1899-12-30T01:00:00"/>
    <n v="90"/>
    <n v="120"/>
    <n v="30"/>
    <s v="IN07860"/>
    <s v="GBP"/>
    <s v="Reviewed"/>
    <s v="Refinement session with Grainger"/>
    <s v="Not submitted"/>
    <n v="2"/>
    <x v="0"/>
  </r>
  <r>
    <x v="2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2207"/>
    <x v="0"/>
    <s v="Billable timecode"/>
    <s v="Standard Timecode"/>
    <n v="90"/>
    <n v="2"/>
    <d v="1899-12-30T02:00:00"/>
    <n v="180"/>
    <n v="240"/>
    <n v="60"/>
    <s v="IN07958"/>
    <s v="GBP"/>
    <s v="Reviewed"/>
    <s v="Refinement session (2 hours) Daily standup (15 mins)"/>
    <s v="Not submitted"/>
    <n v="3"/>
    <x v="1"/>
  </r>
  <r>
    <x v="3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2221"/>
    <x v="0"/>
    <s v="Billable timecode"/>
    <s v="Standard Timecode"/>
    <n v="90"/>
    <n v="1.25"/>
    <d v="1899-12-30T01:15:00"/>
    <n v="112.5"/>
    <n v="150"/>
    <n v="37.5"/>
    <s v="IN07958"/>
    <s v="GBP"/>
    <s v="Reviewed"/>
    <s v="Refinement session (1 hour) Daily standup (15 mins)"/>
    <s v="Not submitted"/>
    <n v="3"/>
    <x v="1"/>
  </r>
  <r>
    <x v="4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2223"/>
    <x v="0"/>
    <s v="Billable timecode"/>
    <s v="Standard Timecode"/>
    <n v="90"/>
    <n v="1"/>
    <d v="1899-12-30T01:00:00"/>
    <n v="90"/>
    <n v="120"/>
    <n v="30"/>
    <s v="IN07958"/>
    <s v="GBP"/>
    <s v="Reviewed"/>
    <s v="Daily standup (15 mins) Working session with Anjali and Matt C (45 mins)"/>
    <s v="Not submitted"/>
    <n v="3"/>
    <x v="1"/>
  </r>
  <r>
    <x v="5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2224"/>
    <x v="0"/>
    <s v="Billable timecode"/>
    <s v="Standard Timecode"/>
    <n v="90"/>
    <n v="0.25"/>
    <d v="1899-12-30T00:15:00"/>
    <n v="22.5"/>
    <n v="30"/>
    <n v="7.5"/>
    <s v="IN07958"/>
    <s v="GBP"/>
    <s v="Reviewed"/>
    <s v="Daily standup (15 mins)"/>
    <s v="Not submitted"/>
    <n v="3"/>
    <x v="1"/>
  </r>
  <r>
    <x v="6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2225"/>
    <x v="0"/>
    <s v="Billable timecode"/>
    <s v="Standard Timecode"/>
    <n v="90"/>
    <n v="0.75"/>
    <d v="1899-12-30T00:45:00"/>
    <n v="67.5"/>
    <n v="90"/>
    <n v="22.5"/>
    <s v="IN07958"/>
    <s v="GBP"/>
    <s v="Reviewed"/>
    <s v="Daily standup (15 mins) Environment management call (30 mins)"/>
    <s v="Not submitted"/>
    <n v="3"/>
    <x v="1"/>
  </r>
  <r>
    <x v="7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3052"/>
    <x v="0"/>
    <s v="Billable timecode"/>
    <s v="Standard Timecode"/>
    <n v="90"/>
    <n v="1.25"/>
    <d v="1899-12-30T01:15:00"/>
    <n v="112.5"/>
    <n v="150"/>
    <n v="37.5"/>
    <s v="IN07958"/>
    <s v="GBP"/>
    <s v="Reviewed"/>
    <s v="Refinement session (1 hour) Daily standup (15 mins)"/>
    <s v="Not submitted"/>
    <n v="3"/>
    <x v="1"/>
  </r>
  <r>
    <x v="8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3062"/>
    <x v="0"/>
    <s v="Billable timecode"/>
    <s v="Standard Timecode"/>
    <n v="90"/>
    <n v="0.75"/>
    <d v="1899-12-30T00:45:00"/>
    <n v="67.5"/>
    <n v="90"/>
    <n v="22.5"/>
    <s v="IN07958"/>
    <s v="GBP"/>
    <s v="Reviewed"/>
    <s v="Daily standup (15 mins) Deployment session with Matt C (30 mins)"/>
    <s v="Not submitted"/>
    <n v="3"/>
    <x v="1"/>
  </r>
  <r>
    <x v="9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5179"/>
    <x v="0"/>
    <s v="Billable timecode"/>
    <s v="Standard Timecode"/>
    <n v="90"/>
    <n v="0.25"/>
    <d v="1899-12-30T00:15:00"/>
    <n v="22.5"/>
    <n v="30"/>
    <n v="7.5"/>
    <s v="IN07958"/>
    <s v="GBP"/>
    <s v="Reviewed"/>
    <s v="Daily standup (15 mins)"/>
    <s v="Not submitted"/>
    <n v="3"/>
    <x v="1"/>
  </r>
  <r>
    <x v="10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5180"/>
    <x v="0"/>
    <s v="Billable timecode"/>
    <s v="Standard Timecode"/>
    <n v="90"/>
    <n v="0.25"/>
    <d v="1899-12-30T00:15:00"/>
    <n v="22.5"/>
    <n v="30"/>
    <n v="7.5"/>
    <s v="IN07958"/>
    <s v="GBP"/>
    <s v="Reviewed"/>
    <s v="Daily standup (15 mins)"/>
    <s v="Not submitted"/>
    <n v="3"/>
    <x v="1"/>
  </r>
  <r>
    <x v="23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5181"/>
    <x v="0"/>
    <s v="Billable timecode"/>
    <s v="Standard Timecode"/>
    <n v="90"/>
    <n v="0.25"/>
    <d v="1899-12-30T00:15:00"/>
    <n v="22.5"/>
    <n v="30"/>
    <n v="7.5"/>
    <s v="IN07958"/>
    <s v="GBP"/>
    <s v="Reviewed"/>
    <s v="Daily standup (15 mins)"/>
    <s v="Not submitted"/>
    <n v="3"/>
    <x v="1"/>
  </r>
  <r>
    <x v="11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5185"/>
    <x v="0"/>
    <s v="Billable timecode"/>
    <s v="Standard Timecode"/>
    <n v="90"/>
    <n v="0.75"/>
    <d v="1899-12-30T00:45:00"/>
    <n v="67.5"/>
    <n v="90"/>
    <n v="22.5"/>
    <s v="IN07958"/>
    <s v="GBP"/>
    <s v="Reviewed"/>
    <s v="Daily standup (15 mins) Code API demo (30 mins)"/>
    <s v="Not submitted"/>
    <n v="3"/>
    <x v="1"/>
  </r>
  <r>
    <x v="12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6119"/>
    <x v="0"/>
    <s v="Billable timecode"/>
    <s v="Standard Timecode"/>
    <n v="90"/>
    <n v="0.25"/>
    <d v="1899-12-30T00:15:00"/>
    <n v="22.5"/>
    <n v="30"/>
    <n v="7.5"/>
    <s v="IN07958"/>
    <s v="GBP"/>
    <s v="Reviewed"/>
    <s v="Daily standup (15 mins)"/>
    <s v="Not submitted"/>
    <n v="3"/>
    <x v="1"/>
  </r>
  <r>
    <x v="13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7443"/>
    <x v="0"/>
    <s v="Billable timecode"/>
    <s v="Standard Timecode"/>
    <n v="90"/>
    <n v="0.25"/>
    <d v="1899-12-30T00:15:00"/>
    <n v="22.5"/>
    <n v="30"/>
    <n v="7.5"/>
    <s v="IN07958"/>
    <s v="GBP"/>
    <s v="Reviewed"/>
    <s v="Daily standup (15 mins)"/>
    <s v="Not submitted"/>
    <n v="3"/>
    <x v="1"/>
  </r>
  <r>
    <x v="38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7449"/>
    <x v="0"/>
    <s v="Billable timecode"/>
    <s v="Standard Timecode"/>
    <n v="90"/>
    <n v="1"/>
    <d v="1899-12-30T01:00:00"/>
    <n v="90"/>
    <n v="120"/>
    <n v="30"/>
    <s v="IN07958"/>
    <s v="GBP"/>
    <s v="Reviewed"/>
    <s v="Demo to Grainger &amp; Code"/>
    <s v="Not submitted"/>
    <n v="3"/>
    <x v="1"/>
  </r>
  <r>
    <x v="22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51765"/>
    <x v="0"/>
    <s v="Billable timecode"/>
    <s v="Standard Timecode"/>
    <n v="90"/>
    <n v="3"/>
    <d v="1899-12-30T03:00:00"/>
    <n v="270"/>
    <m/>
    <m/>
    <m/>
    <s v="GBP"/>
    <m/>
    <s v="PROD deployment - resolving issues due to UAT vs PROD differences calls re PROD issue due to validations affecting RightMove"/>
    <s v="Not submitted"/>
    <n v="5"/>
    <x v="3"/>
  </r>
  <r>
    <x v="42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11400"/>
    <x v="0"/>
    <s v="Billable timecode"/>
    <s v="Standard Timecode"/>
    <n v="90"/>
    <n v="0.25"/>
    <d v="1899-12-30T00:15:00"/>
    <n v="22.5"/>
    <n v="30"/>
    <n v="7.5"/>
    <s v="IN07860"/>
    <s v="GBP"/>
    <s v="Reviewed"/>
    <s v=" "/>
    <s v="Not submitted"/>
    <n v="2"/>
    <x v="0"/>
  </r>
  <r>
    <x v="34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16824"/>
    <x v="0"/>
    <s v="Billable timecode"/>
    <s v="Standard Timecode"/>
    <n v="90"/>
    <n v="0.25"/>
    <d v="1899-12-30T00:15:00"/>
    <n v="22.5"/>
    <n v="30"/>
    <n v="7.5"/>
    <s v="IN07860"/>
    <s v="GBP"/>
    <s v="Reviewed"/>
    <s v=" "/>
    <s v="Not submitted"/>
    <n v="2"/>
    <x v="0"/>
  </r>
  <r>
    <x v="35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17543"/>
    <x v="0"/>
    <s v="Billable timecode"/>
    <s v="Standard Timecode"/>
    <n v="90"/>
    <n v="0.25"/>
    <d v="1899-12-30T00:15:00"/>
    <n v="22.5"/>
    <n v="30"/>
    <n v="7.5"/>
    <s v="IN07860"/>
    <s v="GBP"/>
    <s v="Reviewed"/>
    <s v=" "/>
    <s v="Not submitted"/>
    <n v="2"/>
    <x v="0"/>
  </r>
  <r>
    <x v="4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20641"/>
    <x v="0"/>
    <s v="Billable timecode"/>
    <s v="Standard Timecode"/>
    <n v="90"/>
    <n v="0.5"/>
    <d v="1899-12-30T00:30:00"/>
    <n v="45"/>
    <n v="60"/>
    <n v="15"/>
    <s v="IN07958"/>
    <s v="GBP"/>
    <s v="Reviewed"/>
    <s v=" "/>
    <s v="Not submitted"/>
    <n v="3"/>
    <x v="1"/>
  </r>
  <r>
    <x v="5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21392"/>
    <x v="0"/>
    <s v="Billable timecode"/>
    <s v="Standard Timecode"/>
    <n v="90"/>
    <n v="0.75"/>
    <d v="1899-12-30T00:45:00"/>
    <n v="67.5"/>
    <n v="90"/>
    <n v="22.5"/>
    <s v="IN07958"/>
    <s v="GBP"/>
    <s v="Reviewed"/>
    <s v=" "/>
    <s v="Not submitted"/>
    <n v="3"/>
    <x v="1"/>
  </r>
  <r>
    <x v="6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21855"/>
    <x v="0"/>
    <s v="Billable timecode"/>
    <s v="Standard Timecode"/>
    <n v="90"/>
    <n v="0.25"/>
    <d v="1899-12-30T00:15:00"/>
    <n v="22.5"/>
    <n v="30"/>
    <n v="7.5"/>
    <s v="IN07958"/>
    <s v="GBP"/>
    <s v="Reviewed"/>
    <s v=" "/>
    <s v="Not submitted"/>
    <n v="3"/>
    <x v="1"/>
  </r>
  <r>
    <x v="7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22786"/>
    <x v="0"/>
    <s v="Billable timecode"/>
    <s v="Standard Timecode"/>
    <n v="90"/>
    <n v="0.5"/>
    <d v="1899-12-30T00:30:00"/>
    <n v="45"/>
    <n v="60"/>
    <n v="15"/>
    <s v="IN07958"/>
    <s v="GBP"/>
    <s v="Reviewed"/>
    <s v=" "/>
    <s v="Not submitted"/>
    <n v="3"/>
    <x v="1"/>
  </r>
  <r>
    <x v="8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23231"/>
    <x v="0"/>
    <s v="Billable timecode"/>
    <s v="Standard Timecode"/>
    <n v="90"/>
    <n v="0.25"/>
    <d v="1899-12-30T00:15:00"/>
    <n v="22.5"/>
    <n v="30"/>
    <n v="7.5"/>
    <s v="IN07958"/>
    <s v="GBP"/>
    <s v="Reviewed"/>
    <s v=" "/>
    <s v="Not submitted"/>
    <n v="3"/>
    <x v="1"/>
  </r>
  <r>
    <x v="9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23427"/>
    <x v="0"/>
    <s v="Billable timecode"/>
    <s v="Standard Timecode"/>
    <n v="90"/>
    <n v="0.25"/>
    <d v="1899-12-30T00:15:00"/>
    <n v="22.5"/>
    <n v="30"/>
    <n v="7.5"/>
    <s v="IN07958"/>
    <s v="GBP"/>
    <s v="Reviewed"/>
    <s v=" "/>
    <s v="Not submitted"/>
    <n v="3"/>
    <x v="1"/>
  </r>
  <r>
    <x v="11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25250"/>
    <x v="0"/>
    <s v="Billable timecode"/>
    <s v="Standard Timecode"/>
    <n v="90"/>
    <n v="0.5"/>
    <d v="1899-12-30T00:30:00"/>
    <n v="45"/>
    <n v="60"/>
    <n v="15"/>
    <s v="IN07958"/>
    <s v="GBP"/>
    <s v="Reviewed"/>
    <s v=" "/>
    <s v="Not submitted"/>
    <n v="3"/>
    <x v="1"/>
  </r>
  <r>
    <x v="12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26039"/>
    <x v="0"/>
    <s v="Billable timecode"/>
    <s v="Standard Timecode"/>
    <n v="90"/>
    <n v="0.25"/>
    <d v="1899-12-30T00:15:00"/>
    <n v="22.5"/>
    <n v="30"/>
    <n v="7.5"/>
    <s v="IN07958"/>
    <s v="GBP"/>
    <s v="Reviewed"/>
    <s v=" "/>
    <s v="Not submitted"/>
    <n v="3"/>
    <x v="1"/>
  </r>
  <r>
    <x v="13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26371"/>
    <x v="0"/>
    <s v="Billable timecode"/>
    <s v="Standard Timecode"/>
    <n v="90"/>
    <n v="0.25"/>
    <d v="1899-12-30T00:15:00"/>
    <n v="22.5"/>
    <n v="30"/>
    <n v="7.5"/>
    <s v="IN07958"/>
    <s v="GBP"/>
    <s v="Reviewed"/>
    <s v=" "/>
    <s v="Not submitted"/>
    <n v="3"/>
    <x v="1"/>
  </r>
  <r>
    <x v="38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27407"/>
    <x v="0"/>
    <s v="Billable timecode"/>
    <s v="Standard Timecode"/>
    <n v="90"/>
    <n v="1"/>
    <d v="1899-12-30T01:00:00"/>
    <n v="90"/>
    <n v="120"/>
    <n v="30"/>
    <s v="IN07958"/>
    <s v="GBP"/>
    <s v="Reviewed"/>
    <s v=" "/>
    <s v="Not submitted"/>
    <n v="3"/>
    <x v="1"/>
  </r>
  <r>
    <x v="43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31548"/>
    <x v="1"/>
    <s v="Billable timecode"/>
    <s v="Standard Timecode"/>
    <n v="90"/>
    <n v="0.25"/>
    <d v="1899-12-30T00:15:00"/>
    <n v="22.5"/>
    <n v="30"/>
    <n v="7.5"/>
    <s v="IN08019"/>
    <s v="GBP"/>
    <s v="Reviewed"/>
    <s v=" "/>
    <s v="Not submitted"/>
    <n v="4"/>
    <x v="2"/>
  </r>
  <r>
    <x v="44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31549"/>
    <x v="1"/>
    <s v="Billable timecode"/>
    <s v="Standard Timecode"/>
    <n v="90"/>
    <n v="0.25"/>
    <d v="1899-12-30T00:15:00"/>
    <n v="22.5"/>
    <n v="30"/>
    <n v="7.5"/>
    <s v="IN08019"/>
    <s v="GBP"/>
    <s v="Reviewed"/>
    <s v=" "/>
    <s v="Not submitted"/>
    <n v="4"/>
    <x v="2"/>
  </r>
  <r>
    <x v="41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33822"/>
    <x v="1"/>
    <s v="Billable timecode"/>
    <s v="Standard Timecode"/>
    <n v="90"/>
    <n v="0.5"/>
    <d v="1899-12-30T00:30:00"/>
    <n v="45"/>
    <n v="60"/>
    <n v="15"/>
    <s v="IN08019"/>
    <s v="GBP"/>
    <s v="Reviewed"/>
    <s v=" "/>
    <s v="Not submitted"/>
    <n v="4"/>
    <x v="2"/>
  </r>
  <r>
    <x v="16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34264"/>
    <x v="1"/>
    <s v="Billable timecode"/>
    <s v="Standard Timecode"/>
    <n v="90"/>
    <n v="0.25"/>
    <d v="1899-12-30T00:15:00"/>
    <n v="22.5"/>
    <n v="30"/>
    <n v="7.5"/>
    <s v="IN08019"/>
    <s v="GBP"/>
    <s v="Reviewed"/>
    <s v=" "/>
    <s v="Not submitted"/>
    <n v="4"/>
    <x v="2"/>
  </r>
  <r>
    <x v="45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35325"/>
    <x v="1"/>
    <s v="Billable timecode"/>
    <s v="Standard Timecode"/>
    <n v="90"/>
    <n v="0.25"/>
    <d v="1899-12-30T00:15:00"/>
    <n v="22.5"/>
    <n v="30"/>
    <n v="7.5"/>
    <s v="IN08019"/>
    <s v="GBP"/>
    <s v="Reviewed"/>
    <s v=" "/>
    <s v="Not submitted"/>
    <n v="4"/>
    <x v="2"/>
  </r>
  <r>
    <x v="25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35993"/>
    <x v="1"/>
    <s v="Billable timecode"/>
    <s v="Standard Timecode"/>
    <n v="90"/>
    <n v="0.25"/>
    <d v="1899-12-30T00:15:00"/>
    <n v="22.5"/>
    <n v="30"/>
    <n v="7.5"/>
    <s v="IN08019"/>
    <s v="GBP"/>
    <s v="Reviewed"/>
    <s v=" "/>
    <s v="Not submitted"/>
    <n v="4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853FC8-1986-4254-812A-29BA85063D20}" name="PivotTable2" cacheId="9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5" firstHeaderRow="1" firstDataRow="2" firstDataCol="1" rowPageCount="1" colPageCount="1"/>
  <pivotFields count="32">
    <pivotField axis="axisRow" numFmtId="15" showAll="0">
      <items count="47">
        <item x="1"/>
        <item x="2"/>
        <item x="3"/>
        <item x="4"/>
        <item x="5"/>
        <item x="6"/>
        <item x="7"/>
        <item x="8"/>
        <item x="9"/>
        <item x="10"/>
        <item x="23"/>
        <item x="0"/>
        <item x="28"/>
        <item x="29"/>
        <item x="30"/>
        <item x="31"/>
        <item x="32"/>
        <item x="33"/>
        <item x="34"/>
        <item x="35"/>
        <item x="36"/>
        <item x="37"/>
        <item x="42"/>
        <item x="11"/>
        <item x="12"/>
        <item x="13"/>
        <item x="38"/>
        <item x="24"/>
        <item x="14"/>
        <item x="15"/>
        <item x="26"/>
        <item x="43"/>
        <item x="44"/>
        <item x="16"/>
        <item x="17"/>
        <item x="39"/>
        <item x="41"/>
        <item x="40"/>
        <item x="25"/>
        <item x="45"/>
        <item x="18"/>
        <item x="19"/>
        <item x="20"/>
        <item x="21"/>
        <item x="22"/>
        <item x="27"/>
        <item t="default"/>
      </items>
    </pivotField>
    <pivotField axis="axisRow" showAll="0">
      <items count="8">
        <item sd="0" x="0"/>
        <item sd="0" x="3"/>
        <item sd="0" x="5"/>
        <item sd="0" x="6"/>
        <item sd="0" x="1"/>
        <item sd="0" x="4"/>
        <item sd="0" x="2"/>
        <item t="default"/>
      </items>
    </pivotField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dataField="1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1"/>
        <item x="0"/>
        <item x="2"/>
        <item x="3"/>
        <item t="default"/>
      </items>
    </pivotField>
  </pivotFields>
  <rowFields count="5">
    <field x="6"/>
    <field x="8"/>
    <field x="14"/>
    <field x="1"/>
    <field x="0"/>
  </rowFields>
  <rowItems count="11">
    <i>
      <x/>
    </i>
    <i r="1">
      <x/>
    </i>
    <i r="2">
      <x/>
    </i>
    <i r="3">
      <x/>
    </i>
    <i r="3">
      <x v="1"/>
    </i>
    <i r="3">
      <x v="2"/>
    </i>
    <i r="3">
      <x v="3"/>
    </i>
    <i r="3">
      <x v="4"/>
    </i>
    <i r="3">
      <x v="5"/>
    </i>
    <i r="3">
      <x v="6"/>
    </i>
    <i t="grand">
      <x/>
    </i>
  </rowItems>
  <colFields count="1">
    <field x="16"/>
  </colFields>
  <colItems count="3">
    <i>
      <x/>
    </i>
    <i>
      <x v="1"/>
    </i>
    <i t="grand">
      <x/>
    </i>
  </colItems>
  <pageFields count="1">
    <pageField fld="31" hier="-1"/>
  </pageFields>
  <dataFields count="1">
    <dataField name="Sum of Hours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"/>
  <sheetViews>
    <sheetView tabSelected="1" workbookViewId="0"/>
  </sheetViews>
  <sheetFormatPr defaultRowHeight="14.45"/>
  <cols>
    <col min="1" max="1" width="25.85546875" bestFit="1" customWidth="1"/>
    <col min="2" max="2" width="15.5703125" bestFit="1" customWidth="1"/>
    <col min="3" max="3" width="12.28515625" bestFit="1" customWidth="1"/>
    <col min="4" max="4" width="10.5703125" bestFit="1" customWidth="1"/>
    <col min="5" max="6" width="11" customWidth="1"/>
    <col min="7" max="7" width="19.140625" bestFit="1" customWidth="1"/>
    <col min="8" max="8" width="8.5703125" bestFit="1" customWidth="1"/>
    <col min="9" max="9" width="12.28515625" bestFit="1" customWidth="1"/>
    <col min="10" max="10" width="24.5703125" bestFit="1" customWidth="1"/>
    <col min="11" max="11" width="15.42578125" bestFit="1" customWidth="1"/>
    <col min="12" max="12" width="41.5703125" bestFit="1" customWidth="1"/>
  </cols>
  <sheetData>
    <row r="1" spans="1:12">
      <c r="A1" s="3" t="s">
        <v>0</v>
      </c>
      <c r="B1" t="s">
        <v>1</v>
      </c>
      <c r="G1" s="13" t="s">
        <v>2</v>
      </c>
    </row>
    <row r="3" spans="1:12">
      <c r="A3" s="3" t="s">
        <v>3</v>
      </c>
      <c r="B3" s="3" t="s">
        <v>4</v>
      </c>
      <c r="G3" s="30" t="s">
        <v>5</v>
      </c>
      <c r="H3" s="30"/>
      <c r="I3" s="30"/>
      <c r="J3" s="30"/>
      <c r="K3" s="30"/>
    </row>
    <row r="4" spans="1:12">
      <c r="A4" s="3" t="s">
        <v>6</v>
      </c>
      <c r="B4" t="s">
        <v>7</v>
      </c>
      <c r="C4" t="s">
        <v>8</v>
      </c>
      <c r="D4" t="s">
        <v>9</v>
      </c>
      <c r="G4" s="10" t="s">
        <v>10</v>
      </c>
      <c r="H4" s="30" t="s">
        <v>11</v>
      </c>
      <c r="I4" s="30"/>
      <c r="J4" s="10" t="s">
        <v>12</v>
      </c>
      <c r="K4" s="10" t="s">
        <v>13</v>
      </c>
    </row>
    <row r="5" spans="1:12">
      <c r="A5" s="4" t="s">
        <v>14</v>
      </c>
      <c r="B5">
        <v>375.5</v>
      </c>
      <c r="C5">
        <v>25.75</v>
      </c>
      <c r="D5">
        <v>401.25</v>
      </c>
      <c r="G5" s="11" t="s">
        <v>15</v>
      </c>
      <c r="H5" s="11">
        <v>40</v>
      </c>
      <c r="I5" s="11">
        <v>52</v>
      </c>
      <c r="J5" s="12">
        <v>4800</v>
      </c>
      <c r="K5" s="12">
        <v>6240</v>
      </c>
    </row>
    <row r="6" spans="1:12">
      <c r="A6" s="5" t="s">
        <v>16</v>
      </c>
      <c r="B6">
        <v>375.5</v>
      </c>
      <c r="C6">
        <v>25.75</v>
      </c>
      <c r="D6">
        <v>401.25</v>
      </c>
      <c r="G6" s="11" t="s">
        <v>17</v>
      </c>
      <c r="H6" s="11">
        <v>180</v>
      </c>
      <c r="I6" s="11">
        <v>234</v>
      </c>
      <c r="J6" s="12">
        <v>21600</v>
      </c>
      <c r="K6" s="12">
        <v>28080</v>
      </c>
    </row>
    <row r="7" spans="1:12">
      <c r="A7" s="6" t="s">
        <v>18</v>
      </c>
      <c r="B7">
        <v>375.5</v>
      </c>
      <c r="C7">
        <v>25.75</v>
      </c>
      <c r="D7">
        <v>401.25</v>
      </c>
      <c r="G7" s="11" t="s">
        <v>19</v>
      </c>
      <c r="H7" s="11">
        <v>12</v>
      </c>
      <c r="I7" s="11">
        <v>15.6</v>
      </c>
      <c r="J7" s="12">
        <v>1440</v>
      </c>
      <c r="K7" s="12">
        <v>1872</v>
      </c>
    </row>
    <row r="8" spans="1:12">
      <c r="A8" s="7" t="s">
        <v>20</v>
      </c>
      <c r="B8">
        <v>127</v>
      </c>
      <c r="C8">
        <v>12.5</v>
      </c>
      <c r="D8">
        <v>139.5</v>
      </c>
      <c r="G8" s="11" t="s">
        <v>21</v>
      </c>
      <c r="H8" s="11">
        <v>20</v>
      </c>
      <c r="I8" s="11">
        <v>26</v>
      </c>
      <c r="J8" s="12">
        <v>2400</v>
      </c>
      <c r="K8" s="12">
        <v>3120</v>
      </c>
    </row>
    <row r="9" spans="1:12">
      <c r="A9" s="7" t="s">
        <v>22</v>
      </c>
      <c r="B9">
        <v>62.5</v>
      </c>
      <c r="C9">
        <v>4</v>
      </c>
      <c r="D9">
        <v>66.5</v>
      </c>
      <c r="G9" s="11" t="s">
        <v>23</v>
      </c>
      <c r="H9" s="11">
        <v>5</v>
      </c>
      <c r="I9" s="11">
        <v>6.5</v>
      </c>
      <c r="J9" s="12">
        <v>600</v>
      </c>
      <c r="K9" s="12">
        <v>780</v>
      </c>
    </row>
    <row r="10" spans="1:12" ht="15" thickBot="1">
      <c r="A10" s="7" t="s">
        <v>24</v>
      </c>
      <c r="B10">
        <v>16.25</v>
      </c>
      <c r="D10">
        <v>16.25</v>
      </c>
      <c r="G10" s="8" t="s">
        <v>25</v>
      </c>
      <c r="H10" s="8">
        <f>SUM(H5:H9)</f>
        <v>257</v>
      </c>
      <c r="I10" s="8">
        <f>SUM(I5:I9)</f>
        <v>334.1</v>
      </c>
      <c r="J10" s="9">
        <f>SUM(J5:J9)</f>
        <v>30840</v>
      </c>
      <c r="K10" s="9">
        <f>SUM(K5:K9)</f>
        <v>40092</v>
      </c>
    </row>
    <row r="11" spans="1:12" ht="15" thickTop="1">
      <c r="A11" s="7" t="s">
        <v>26</v>
      </c>
      <c r="B11">
        <v>5.25</v>
      </c>
      <c r="C11">
        <v>1.75</v>
      </c>
      <c r="D11">
        <v>7</v>
      </c>
    </row>
    <row r="12" spans="1:12">
      <c r="A12" s="7" t="s">
        <v>27</v>
      </c>
      <c r="B12">
        <v>49.25</v>
      </c>
      <c r="C12">
        <v>2.75</v>
      </c>
      <c r="D12">
        <v>52</v>
      </c>
    </row>
    <row r="13" spans="1:12">
      <c r="A13" s="7" t="s">
        <v>28</v>
      </c>
      <c r="B13">
        <v>112.5</v>
      </c>
      <c r="C13">
        <v>2</v>
      </c>
      <c r="D13">
        <v>114.5</v>
      </c>
      <c r="G13" s="31" t="s">
        <v>29</v>
      </c>
      <c r="H13" s="32"/>
      <c r="I13" s="32"/>
      <c r="J13" s="33"/>
      <c r="K13" s="15" t="s">
        <v>30</v>
      </c>
      <c r="L13" s="16" t="s">
        <v>31</v>
      </c>
    </row>
    <row r="14" spans="1:12">
      <c r="A14" s="7" t="s">
        <v>32</v>
      </c>
      <c r="B14">
        <v>2.75</v>
      </c>
      <c r="C14">
        <v>2.75</v>
      </c>
      <c r="D14">
        <v>5.5</v>
      </c>
      <c r="G14" s="17" t="s">
        <v>10</v>
      </c>
      <c r="H14" s="17" t="s">
        <v>11</v>
      </c>
      <c r="I14" s="18" t="s">
        <v>12</v>
      </c>
      <c r="J14" s="18" t="s">
        <v>13</v>
      </c>
      <c r="K14" s="15" t="s">
        <v>11</v>
      </c>
      <c r="L14" s="19" t="s">
        <v>33</v>
      </c>
    </row>
    <row r="15" spans="1:12">
      <c r="A15" s="4" t="s">
        <v>9</v>
      </c>
      <c r="B15">
        <v>375.5</v>
      </c>
      <c r="C15">
        <v>25.75</v>
      </c>
      <c r="D15">
        <v>401.25</v>
      </c>
      <c r="G15" s="20" t="s">
        <v>15</v>
      </c>
      <c r="H15" s="20" t="s">
        <v>34</v>
      </c>
      <c r="I15" s="20" t="s">
        <v>35</v>
      </c>
      <c r="J15" s="20" t="s">
        <v>36</v>
      </c>
      <c r="K15" s="21">
        <v>53.25</v>
      </c>
      <c r="L15" s="19"/>
    </row>
    <row r="16" spans="1:12">
      <c r="G16" s="20" t="s">
        <v>17</v>
      </c>
      <c r="H16" s="20" t="s">
        <v>37</v>
      </c>
      <c r="I16" s="20" t="s">
        <v>38</v>
      </c>
      <c r="J16" s="20" t="s">
        <v>39</v>
      </c>
      <c r="K16" s="21">
        <v>248.25</v>
      </c>
      <c r="L16" s="19" t="s">
        <v>40</v>
      </c>
    </row>
    <row r="17" spans="7:12">
      <c r="G17" s="20" t="s">
        <v>19</v>
      </c>
      <c r="H17" s="20" t="s">
        <v>41</v>
      </c>
      <c r="I17" s="20" t="s">
        <v>42</v>
      </c>
      <c r="J17" s="20" t="s">
        <v>43</v>
      </c>
      <c r="K17" s="21">
        <v>3.75</v>
      </c>
      <c r="L17" s="19"/>
    </row>
    <row r="18" spans="7:12">
      <c r="G18" s="20" t="s">
        <v>21</v>
      </c>
      <c r="H18" s="20" t="s">
        <v>44</v>
      </c>
      <c r="I18" s="20" t="s">
        <v>45</v>
      </c>
      <c r="J18" s="20" t="s">
        <v>46</v>
      </c>
      <c r="K18" s="21">
        <v>26</v>
      </c>
      <c r="L18" s="19" t="s">
        <v>47</v>
      </c>
    </row>
    <row r="19" spans="7:12">
      <c r="G19" s="20" t="s">
        <v>23</v>
      </c>
      <c r="H19" s="20" t="s">
        <v>48</v>
      </c>
      <c r="I19" s="20" t="s">
        <v>49</v>
      </c>
      <c r="J19" s="20" t="s">
        <v>50</v>
      </c>
      <c r="K19" s="21">
        <v>6</v>
      </c>
      <c r="L19" s="19" t="s">
        <v>47</v>
      </c>
    </row>
    <row r="20" spans="7:12" ht="15" thickBot="1">
      <c r="G20" s="17" t="s">
        <v>25</v>
      </c>
      <c r="H20" s="17" t="s">
        <v>51</v>
      </c>
      <c r="I20" s="23" t="s">
        <v>52</v>
      </c>
      <c r="J20" s="23" t="s">
        <v>53</v>
      </c>
      <c r="K20" s="21">
        <v>337.25</v>
      </c>
      <c r="L20" s="19"/>
    </row>
    <row r="21" spans="7:12" ht="15" thickTop="1">
      <c r="G21" s="22"/>
      <c r="H21" s="22"/>
      <c r="I21" s="22"/>
      <c r="J21" s="24" t="s">
        <v>54</v>
      </c>
      <c r="K21" s="25">
        <v>48</v>
      </c>
      <c r="L21" s="19" t="s">
        <v>55</v>
      </c>
    </row>
    <row r="22" spans="7:12">
      <c r="G22" s="22"/>
      <c r="H22" s="22"/>
      <c r="I22" s="22"/>
      <c r="J22" s="26" t="s">
        <v>56</v>
      </c>
      <c r="K22" s="26">
        <v>385.25</v>
      </c>
      <c r="L22" s="22"/>
    </row>
    <row r="23" spans="7:12">
      <c r="G23" s="22"/>
      <c r="H23" s="22"/>
      <c r="I23" s="22"/>
      <c r="J23" s="27" t="s">
        <v>57</v>
      </c>
      <c r="K23" s="27" t="s">
        <v>58</v>
      </c>
      <c r="L23" s="22"/>
    </row>
    <row r="24" spans="7:12">
      <c r="G24" s="22"/>
      <c r="H24" s="22"/>
      <c r="I24" s="22"/>
      <c r="J24" s="22"/>
      <c r="K24" s="22"/>
      <c r="L24" s="22"/>
    </row>
    <row r="25" spans="7:12">
      <c r="G25" s="22"/>
      <c r="H25" s="22"/>
      <c r="I25" s="22"/>
      <c r="J25" s="22" t="s">
        <v>59</v>
      </c>
      <c r="K25" s="22" t="s">
        <v>60</v>
      </c>
      <c r="L25" s="22"/>
    </row>
    <row r="26" spans="7:12">
      <c r="G26" s="22"/>
      <c r="H26" s="22"/>
      <c r="I26" s="22"/>
      <c r="J26" s="22" t="s">
        <v>61</v>
      </c>
      <c r="K26" s="28">
        <v>1.1499999999999999</v>
      </c>
      <c r="L26" s="22"/>
    </row>
    <row r="28" spans="7:12">
      <c r="J28" s="29" t="s">
        <v>62</v>
      </c>
    </row>
    <row r="29" spans="7:12">
      <c r="J29" s="29" t="s">
        <v>63</v>
      </c>
    </row>
  </sheetData>
  <mergeCells count="3">
    <mergeCell ref="H4:I4"/>
    <mergeCell ref="G3:K3"/>
    <mergeCell ref="G13:J13"/>
  </mergeCell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28"/>
  <sheetViews>
    <sheetView topLeftCell="R1" workbookViewId="0">
      <pane ySplit="1" topLeftCell="A105" activePane="bottomLeft" state="frozen"/>
      <selection pane="bottomLeft"/>
    </sheetView>
  </sheetViews>
  <sheetFormatPr defaultRowHeight="14.45"/>
  <cols>
    <col min="1" max="1" width="9.28515625" bestFit="1" customWidth="1"/>
    <col min="2" max="2" width="14" bestFit="1" customWidth="1"/>
    <col min="3" max="3" width="14.42578125" bestFit="1" customWidth="1"/>
    <col min="4" max="4" width="37.7109375" bestFit="1" customWidth="1"/>
    <col min="5" max="5" width="15.7109375" bestFit="1" customWidth="1"/>
    <col min="6" max="7" width="15" bestFit="1" customWidth="1"/>
    <col min="8" max="8" width="14.42578125" bestFit="1" customWidth="1"/>
    <col min="9" max="9" width="23.42578125" bestFit="1" customWidth="1"/>
    <col min="10" max="10" width="11.28515625" bestFit="1" customWidth="1"/>
    <col min="11" max="11" width="37.7109375" bestFit="1" customWidth="1"/>
    <col min="12" max="12" width="15" bestFit="1" customWidth="1"/>
    <col min="13" max="13" width="16" bestFit="1" customWidth="1"/>
    <col min="14" max="14" width="14.28515625" bestFit="1" customWidth="1"/>
    <col min="15" max="15" width="12.28515625" bestFit="1" customWidth="1"/>
    <col min="16" max="16" width="12.140625" bestFit="1" customWidth="1"/>
    <col min="17" max="17" width="15" bestFit="1" customWidth="1"/>
    <col min="18" max="18" width="16.28515625" bestFit="1" customWidth="1"/>
    <col min="19" max="19" width="17.85546875" bestFit="1" customWidth="1"/>
    <col min="20" max="20" width="13.5703125" bestFit="1" customWidth="1"/>
    <col min="21" max="21" width="6.28515625" bestFit="1" customWidth="1"/>
    <col min="22" max="22" width="5.5703125" bestFit="1" customWidth="1"/>
    <col min="23" max="23" width="14.7109375" bestFit="1" customWidth="1"/>
    <col min="24" max="24" width="15.42578125" bestFit="1" customWidth="1"/>
    <col min="25" max="25" width="13.28515625" bestFit="1" customWidth="1"/>
    <col min="26" max="26" width="8.42578125" bestFit="1" customWidth="1"/>
    <col min="27" max="27" width="8.7109375" bestFit="1" customWidth="1"/>
    <col min="28" max="28" width="14.85546875" bestFit="1" customWidth="1"/>
    <col min="29" max="29" width="32.5703125" customWidth="1"/>
    <col min="30" max="30" width="15.7109375" bestFit="1" customWidth="1"/>
  </cols>
  <sheetData>
    <row r="1" spans="1:32">
      <c r="A1" t="s">
        <v>64</v>
      </c>
      <c r="B1" t="s">
        <v>65</v>
      </c>
      <c r="C1" t="s">
        <v>66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  <c r="J1" t="s">
        <v>73</v>
      </c>
      <c r="K1" t="s">
        <v>74</v>
      </c>
      <c r="L1" t="s">
        <v>75</v>
      </c>
      <c r="M1" t="s">
        <v>76</v>
      </c>
      <c r="N1" t="s">
        <v>77</v>
      </c>
      <c r="O1" t="s">
        <v>78</v>
      </c>
      <c r="P1" t="s">
        <v>79</v>
      </c>
      <c r="Q1" t="s">
        <v>80</v>
      </c>
      <c r="R1" t="s">
        <v>81</v>
      </c>
      <c r="S1" t="s">
        <v>82</v>
      </c>
      <c r="T1" t="s">
        <v>83</v>
      </c>
      <c r="U1" t="s">
        <v>11</v>
      </c>
      <c r="V1" t="s">
        <v>84</v>
      </c>
      <c r="W1" t="s">
        <v>85</v>
      </c>
      <c r="X1" t="s">
        <v>86</v>
      </c>
      <c r="Y1" t="s">
        <v>87</v>
      </c>
      <c r="Z1" t="s">
        <v>88</v>
      </c>
      <c r="AA1" t="s">
        <v>89</v>
      </c>
      <c r="AB1" t="s">
        <v>90</v>
      </c>
      <c r="AC1" t="s">
        <v>91</v>
      </c>
      <c r="AD1" t="s">
        <v>92</v>
      </c>
      <c r="AE1" s="14" t="s">
        <v>93</v>
      </c>
      <c r="AF1" s="14" t="s">
        <v>0</v>
      </c>
    </row>
    <row r="2" spans="1:32">
      <c r="A2" s="1">
        <v>45341</v>
      </c>
      <c r="B2" t="s">
        <v>20</v>
      </c>
      <c r="C2" t="s">
        <v>94</v>
      </c>
      <c r="D2" t="s">
        <v>95</v>
      </c>
      <c r="E2" t="s">
        <v>96</v>
      </c>
      <c r="F2" t="s">
        <v>97</v>
      </c>
      <c r="G2" t="s">
        <v>14</v>
      </c>
      <c r="H2" t="s">
        <v>98</v>
      </c>
      <c r="I2" t="s">
        <v>16</v>
      </c>
      <c r="J2" t="s">
        <v>99</v>
      </c>
      <c r="K2" t="s">
        <v>95</v>
      </c>
      <c r="L2" t="s">
        <v>26</v>
      </c>
      <c r="M2" t="s">
        <v>100</v>
      </c>
      <c r="N2" t="s">
        <v>24</v>
      </c>
      <c r="O2" t="s">
        <v>18</v>
      </c>
      <c r="P2">
        <v>214229</v>
      </c>
      <c r="Q2" t="s">
        <v>7</v>
      </c>
      <c r="R2" t="s">
        <v>101</v>
      </c>
      <c r="S2" t="s">
        <v>102</v>
      </c>
      <c r="T2">
        <v>90</v>
      </c>
      <c r="U2">
        <v>4</v>
      </c>
      <c r="V2" s="2">
        <v>0.16666666666666666</v>
      </c>
      <c r="W2">
        <v>360</v>
      </c>
      <c r="X2">
        <v>480</v>
      </c>
      <c r="Y2">
        <v>120</v>
      </c>
      <c r="Z2" t="s">
        <v>103</v>
      </c>
      <c r="AA2" t="s">
        <v>104</v>
      </c>
      <c r="AB2" t="s">
        <v>105</v>
      </c>
      <c r="AC2" t="s">
        <v>106</v>
      </c>
      <c r="AD2" t="s">
        <v>107</v>
      </c>
      <c r="AE2">
        <f>MONTH(A2)</f>
        <v>2</v>
      </c>
      <c r="AF2" t="str">
        <f>IF(AE2=1,"January",IF(AE2=2,"February",IF(AE2=3,"March",IF(AE2=4,"April",IF(AE2=5,"May")))))</f>
        <v>February</v>
      </c>
    </row>
    <row r="3" spans="1:32">
      <c r="A3" s="1">
        <v>45352</v>
      </c>
      <c r="B3" t="s">
        <v>20</v>
      </c>
      <c r="C3" t="s">
        <v>94</v>
      </c>
      <c r="D3" t="s">
        <v>95</v>
      </c>
      <c r="E3" t="s">
        <v>96</v>
      </c>
      <c r="F3" t="s">
        <v>97</v>
      </c>
      <c r="G3" t="s">
        <v>14</v>
      </c>
      <c r="H3" t="s">
        <v>98</v>
      </c>
      <c r="I3" t="s">
        <v>16</v>
      </c>
      <c r="J3" t="s">
        <v>99</v>
      </c>
      <c r="K3" t="s">
        <v>95</v>
      </c>
      <c r="L3" t="s">
        <v>26</v>
      </c>
      <c r="M3" t="s">
        <v>100</v>
      </c>
      <c r="N3" t="s">
        <v>24</v>
      </c>
      <c r="O3" t="s">
        <v>18</v>
      </c>
      <c r="P3">
        <v>220320</v>
      </c>
      <c r="Q3" t="s">
        <v>7</v>
      </c>
      <c r="R3" t="s">
        <v>101</v>
      </c>
      <c r="S3" t="s">
        <v>102</v>
      </c>
      <c r="T3">
        <v>90</v>
      </c>
      <c r="U3">
        <v>4</v>
      </c>
      <c r="V3" s="2">
        <v>0.16666666666666666</v>
      </c>
      <c r="W3">
        <v>360</v>
      </c>
      <c r="X3">
        <v>480</v>
      </c>
      <c r="Y3">
        <v>120</v>
      </c>
      <c r="Z3" t="s">
        <v>108</v>
      </c>
      <c r="AA3" t="s">
        <v>104</v>
      </c>
      <c r="AB3" t="s">
        <v>105</v>
      </c>
      <c r="AC3" t="s">
        <v>109</v>
      </c>
      <c r="AD3" t="s">
        <v>107</v>
      </c>
      <c r="AE3">
        <f t="shared" ref="AE3:AE13" si="0">MONTH(A3)</f>
        <v>3</v>
      </c>
      <c r="AF3" t="str">
        <f t="shared" ref="AF3:AF34" si="1">IF(AE3=1,"January",IF(AE3=2,"February",IF(AE3=3,"March",IF(AE3=4,"April",IF(AE3=5,"May")))))</f>
        <v>March</v>
      </c>
    </row>
    <row r="4" spans="1:32">
      <c r="A4" s="1">
        <v>45355</v>
      </c>
      <c r="B4" t="s">
        <v>20</v>
      </c>
      <c r="C4" t="s">
        <v>94</v>
      </c>
      <c r="D4" t="s">
        <v>95</v>
      </c>
      <c r="E4" t="s">
        <v>96</v>
      </c>
      <c r="F4" t="s">
        <v>97</v>
      </c>
      <c r="G4" t="s">
        <v>14</v>
      </c>
      <c r="H4" t="s">
        <v>98</v>
      </c>
      <c r="I4" t="s">
        <v>16</v>
      </c>
      <c r="J4" t="s">
        <v>99</v>
      </c>
      <c r="K4" t="s">
        <v>95</v>
      </c>
      <c r="L4" t="s">
        <v>26</v>
      </c>
      <c r="M4" t="s">
        <v>100</v>
      </c>
      <c r="N4" t="s">
        <v>24</v>
      </c>
      <c r="O4" t="s">
        <v>18</v>
      </c>
      <c r="P4">
        <v>220321</v>
      </c>
      <c r="Q4" t="s">
        <v>7</v>
      </c>
      <c r="R4" t="s">
        <v>101</v>
      </c>
      <c r="S4" t="s">
        <v>102</v>
      </c>
      <c r="T4">
        <v>90</v>
      </c>
      <c r="U4">
        <v>8</v>
      </c>
      <c r="V4" s="2">
        <v>0.33333333333333331</v>
      </c>
      <c r="W4">
        <v>720</v>
      </c>
      <c r="X4">
        <v>960</v>
      </c>
      <c r="Y4">
        <v>240</v>
      </c>
      <c r="Z4" t="s">
        <v>108</v>
      </c>
      <c r="AA4" t="s">
        <v>104</v>
      </c>
      <c r="AB4" t="s">
        <v>105</v>
      </c>
      <c r="AC4" t="s">
        <v>110</v>
      </c>
      <c r="AD4" t="s">
        <v>107</v>
      </c>
      <c r="AE4">
        <f t="shared" si="0"/>
        <v>3</v>
      </c>
      <c r="AF4" t="str">
        <f t="shared" si="1"/>
        <v>March</v>
      </c>
    </row>
    <row r="5" spans="1:32">
      <c r="A5" s="1">
        <v>45356</v>
      </c>
      <c r="B5" t="s">
        <v>20</v>
      </c>
      <c r="C5" t="s">
        <v>94</v>
      </c>
      <c r="D5" t="s">
        <v>95</v>
      </c>
      <c r="E5" t="s">
        <v>96</v>
      </c>
      <c r="F5" t="s">
        <v>97</v>
      </c>
      <c r="G5" t="s">
        <v>14</v>
      </c>
      <c r="H5" t="s">
        <v>98</v>
      </c>
      <c r="I5" t="s">
        <v>16</v>
      </c>
      <c r="J5" t="s">
        <v>99</v>
      </c>
      <c r="K5" t="s">
        <v>95</v>
      </c>
      <c r="L5" t="s">
        <v>26</v>
      </c>
      <c r="M5" t="s">
        <v>100</v>
      </c>
      <c r="N5" t="s">
        <v>24</v>
      </c>
      <c r="O5" t="s">
        <v>18</v>
      </c>
      <c r="P5">
        <v>220322</v>
      </c>
      <c r="Q5" t="s">
        <v>7</v>
      </c>
      <c r="R5" t="s">
        <v>101</v>
      </c>
      <c r="S5" t="s">
        <v>102</v>
      </c>
      <c r="T5">
        <v>90</v>
      </c>
      <c r="U5">
        <v>7</v>
      </c>
      <c r="V5" s="2">
        <v>0.29166666666666669</v>
      </c>
      <c r="W5">
        <v>630</v>
      </c>
      <c r="X5">
        <v>840</v>
      </c>
      <c r="Y5">
        <v>210</v>
      </c>
      <c r="Z5" t="s">
        <v>108</v>
      </c>
      <c r="AA5" t="s">
        <v>104</v>
      </c>
      <c r="AB5" t="s">
        <v>105</v>
      </c>
      <c r="AC5" t="s">
        <v>111</v>
      </c>
      <c r="AD5" t="s">
        <v>107</v>
      </c>
      <c r="AE5">
        <f t="shared" si="0"/>
        <v>3</v>
      </c>
      <c r="AF5" t="str">
        <f t="shared" si="1"/>
        <v>March</v>
      </c>
    </row>
    <row r="6" spans="1:32">
      <c r="A6" s="1">
        <v>45357</v>
      </c>
      <c r="B6" t="s">
        <v>20</v>
      </c>
      <c r="C6" t="s">
        <v>94</v>
      </c>
      <c r="D6" t="s">
        <v>95</v>
      </c>
      <c r="E6" t="s">
        <v>96</v>
      </c>
      <c r="F6" t="s">
        <v>97</v>
      </c>
      <c r="G6" t="s">
        <v>14</v>
      </c>
      <c r="H6" t="s">
        <v>98</v>
      </c>
      <c r="I6" t="s">
        <v>16</v>
      </c>
      <c r="J6" t="s">
        <v>99</v>
      </c>
      <c r="K6" t="s">
        <v>95</v>
      </c>
      <c r="L6" t="s">
        <v>26</v>
      </c>
      <c r="M6" t="s">
        <v>100</v>
      </c>
      <c r="N6" t="s">
        <v>24</v>
      </c>
      <c r="O6" t="s">
        <v>18</v>
      </c>
      <c r="P6">
        <v>221405</v>
      </c>
      <c r="Q6" t="s">
        <v>7</v>
      </c>
      <c r="R6" t="s">
        <v>101</v>
      </c>
      <c r="S6" t="s">
        <v>102</v>
      </c>
      <c r="T6">
        <v>90</v>
      </c>
      <c r="U6">
        <v>8</v>
      </c>
      <c r="V6" s="2">
        <v>0.33333333333333331</v>
      </c>
      <c r="W6">
        <v>720</v>
      </c>
      <c r="X6">
        <v>960</v>
      </c>
      <c r="Y6">
        <v>240</v>
      </c>
      <c r="Z6" t="s">
        <v>108</v>
      </c>
      <c r="AA6" t="s">
        <v>104</v>
      </c>
      <c r="AB6" t="s">
        <v>105</v>
      </c>
      <c r="AC6" t="s">
        <v>112</v>
      </c>
      <c r="AD6" t="s">
        <v>107</v>
      </c>
      <c r="AE6">
        <f t="shared" si="0"/>
        <v>3</v>
      </c>
      <c r="AF6" t="str">
        <f t="shared" si="1"/>
        <v>March</v>
      </c>
    </row>
    <row r="7" spans="1:32">
      <c r="A7" s="1">
        <v>45358</v>
      </c>
      <c r="B7" t="s">
        <v>20</v>
      </c>
      <c r="C7" t="s">
        <v>94</v>
      </c>
      <c r="D7" t="s">
        <v>95</v>
      </c>
      <c r="E7" t="s">
        <v>96</v>
      </c>
      <c r="F7" t="s">
        <v>97</v>
      </c>
      <c r="G7" t="s">
        <v>14</v>
      </c>
      <c r="H7" t="s">
        <v>98</v>
      </c>
      <c r="I7" t="s">
        <v>16</v>
      </c>
      <c r="J7" t="s">
        <v>99</v>
      </c>
      <c r="K7" t="s">
        <v>95</v>
      </c>
      <c r="L7" t="s">
        <v>26</v>
      </c>
      <c r="M7" t="s">
        <v>100</v>
      </c>
      <c r="N7" t="s">
        <v>24</v>
      </c>
      <c r="O7" t="s">
        <v>18</v>
      </c>
      <c r="P7">
        <v>221411</v>
      </c>
      <c r="Q7" t="s">
        <v>7</v>
      </c>
      <c r="R7" t="s">
        <v>101</v>
      </c>
      <c r="S7" t="s">
        <v>102</v>
      </c>
      <c r="T7">
        <v>90</v>
      </c>
      <c r="U7">
        <v>13</v>
      </c>
      <c r="V7" s="2">
        <v>0.54166666666666663</v>
      </c>
      <c r="W7">
        <v>1170</v>
      </c>
      <c r="X7">
        <v>1560</v>
      </c>
      <c r="Y7">
        <v>390</v>
      </c>
      <c r="Z7" t="s">
        <v>108</v>
      </c>
      <c r="AA7" t="s">
        <v>104</v>
      </c>
      <c r="AB7" t="s">
        <v>105</v>
      </c>
      <c r="AC7" t="s">
        <v>113</v>
      </c>
      <c r="AD7" t="s">
        <v>107</v>
      </c>
      <c r="AE7">
        <f t="shared" si="0"/>
        <v>3</v>
      </c>
      <c r="AF7" t="str">
        <f t="shared" si="1"/>
        <v>March</v>
      </c>
    </row>
    <row r="8" spans="1:32">
      <c r="A8" s="1">
        <v>45359</v>
      </c>
      <c r="B8" t="s">
        <v>20</v>
      </c>
      <c r="C8" t="s">
        <v>94</v>
      </c>
      <c r="D8" t="s">
        <v>95</v>
      </c>
      <c r="E8" t="s">
        <v>96</v>
      </c>
      <c r="F8" t="s">
        <v>97</v>
      </c>
      <c r="G8" t="s">
        <v>14</v>
      </c>
      <c r="H8" t="s">
        <v>98</v>
      </c>
      <c r="I8" t="s">
        <v>16</v>
      </c>
      <c r="J8" t="s">
        <v>99</v>
      </c>
      <c r="K8" t="s">
        <v>95</v>
      </c>
      <c r="L8" t="s">
        <v>26</v>
      </c>
      <c r="M8" t="s">
        <v>100</v>
      </c>
      <c r="N8" t="s">
        <v>24</v>
      </c>
      <c r="O8" t="s">
        <v>18</v>
      </c>
      <c r="P8">
        <v>221929</v>
      </c>
      <c r="Q8" t="s">
        <v>7</v>
      </c>
      <c r="R8" t="s">
        <v>101</v>
      </c>
      <c r="S8" t="s">
        <v>102</v>
      </c>
      <c r="T8">
        <v>90</v>
      </c>
      <c r="U8">
        <v>14</v>
      </c>
      <c r="V8" s="2">
        <v>0.58333333333333337</v>
      </c>
      <c r="W8">
        <v>1260</v>
      </c>
      <c r="X8">
        <v>1680</v>
      </c>
      <c r="Y8">
        <v>420</v>
      </c>
      <c r="Z8" t="s">
        <v>108</v>
      </c>
      <c r="AA8" t="s">
        <v>104</v>
      </c>
      <c r="AB8" t="s">
        <v>105</v>
      </c>
      <c r="AC8" t="s">
        <v>114</v>
      </c>
      <c r="AD8" t="s">
        <v>107</v>
      </c>
      <c r="AE8">
        <f t="shared" si="0"/>
        <v>3</v>
      </c>
      <c r="AF8" t="str">
        <f t="shared" si="1"/>
        <v>March</v>
      </c>
    </row>
    <row r="9" spans="1:32">
      <c r="A9" s="1">
        <v>45362</v>
      </c>
      <c r="B9" t="s">
        <v>20</v>
      </c>
      <c r="C9" t="s">
        <v>94</v>
      </c>
      <c r="D9" t="s">
        <v>95</v>
      </c>
      <c r="E9" t="s">
        <v>96</v>
      </c>
      <c r="F9" t="s">
        <v>97</v>
      </c>
      <c r="G9" t="s">
        <v>14</v>
      </c>
      <c r="H9" t="s">
        <v>98</v>
      </c>
      <c r="I9" t="s">
        <v>16</v>
      </c>
      <c r="J9" t="s">
        <v>99</v>
      </c>
      <c r="K9" t="s">
        <v>95</v>
      </c>
      <c r="L9" t="s">
        <v>26</v>
      </c>
      <c r="M9" t="s">
        <v>100</v>
      </c>
      <c r="N9" t="s">
        <v>24</v>
      </c>
      <c r="O9" t="s">
        <v>18</v>
      </c>
      <c r="P9">
        <v>222793</v>
      </c>
      <c r="Q9" t="s">
        <v>7</v>
      </c>
      <c r="R9" t="s">
        <v>101</v>
      </c>
      <c r="S9" t="s">
        <v>102</v>
      </c>
      <c r="T9">
        <v>90</v>
      </c>
      <c r="U9">
        <v>8</v>
      </c>
      <c r="V9" s="2">
        <v>0.33333333333333331</v>
      </c>
      <c r="W9">
        <v>720</v>
      </c>
      <c r="X9">
        <v>960</v>
      </c>
      <c r="Y9">
        <v>240</v>
      </c>
      <c r="Z9" t="s">
        <v>108</v>
      </c>
      <c r="AA9" t="s">
        <v>104</v>
      </c>
      <c r="AB9" t="s">
        <v>105</v>
      </c>
      <c r="AC9" t="s">
        <v>115</v>
      </c>
      <c r="AD9" t="s">
        <v>107</v>
      </c>
      <c r="AE9">
        <f t="shared" si="0"/>
        <v>3</v>
      </c>
      <c r="AF9" t="str">
        <f t="shared" si="1"/>
        <v>March</v>
      </c>
    </row>
    <row r="10" spans="1:32">
      <c r="A10" s="1">
        <v>45363</v>
      </c>
      <c r="B10" t="s">
        <v>20</v>
      </c>
      <c r="C10" t="s">
        <v>94</v>
      </c>
      <c r="D10" t="s">
        <v>95</v>
      </c>
      <c r="E10" t="s">
        <v>96</v>
      </c>
      <c r="F10" t="s">
        <v>97</v>
      </c>
      <c r="G10" t="s">
        <v>14</v>
      </c>
      <c r="H10" t="s">
        <v>98</v>
      </c>
      <c r="I10" t="s">
        <v>16</v>
      </c>
      <c r="J10" t="s">
        <v>99</v>
      </c>
      <c r="K10" t="s">
        <v>95</v>
      </c>
      <c r="L10" t="s">
        <v>26</v>
      </c>
      <c r="M10" t="s">
        <v>100</v>
      </c>
      <c r="N10" t="s">
        <v>24</v>
      </c>
      <c r="O10" t="s">
        <v>18</v>
      </c>
      <c r="P10">
        <v>222792</v>
      </c>
      <c r="Q10" t="s">
        <v>7</v>
      </c>
      <c r="R10" t="s">
        <v>101</v>
      </c>
      <c r="S10" t="s">
        <v>102</v>
      </c>
      <c r="T10">
        <v>90</v>
      </c>
      <c r="U10">
        <v>8</v>
      </c>
      <c r="V10" s="2">
        <v>0.33333333333333331</v>
      </c>
      <c r="W10">
        <v>720</v>
      </c>
      <c r="X10">
        <v>960</v>
      </c>
      <c r="Y10">
        <v>240</v>
      </c>
      <c r="Z10" t="s">
        <v>108</v>
      </c>
      <c r="AA10" t="s">
        <v>104</v>
      </c>
      <c r="AB10" t="s">
        <v>105</v>
      </c>
      <c r="AC10" t="s">
        <v>116</v>
      </c>
      <c r="AD10" t="s">
        <v>107</v>
      </c>
      <c r="AE10">
        <f t="shared" si="0"/>
        <v>3</v>
      </c>
      <c r="AF10" t="str">
        <f t="shared" si="1"/>
        <v>March</v>
      </c>
    </row>
    <row r="11" spans="1:32">
      <c r="A11" s="1">
        <v>45364</v>
      </c>
      <c r="B11" t="s">
        <v>20</v>
      </c>
      <c r="C11" t="s">
        <v>94</v>
      </c>
      <c r="D11" t="s">
        <v>95</v>
      </c>
      <c r="E11" t="s">
        <v>96</v>
      </c>
      <c r="F11" t="s">
        <v>97</v>
      </c>
      <c r="G11" t="s">
        <v>14</v>
      </c>
      <c r="H11" t="s">
        <v>98</v>
      </c>
      <c r="I11" t="s">
        <v>16</v>
      </c>
      <c r="J11" t="s">
        <v>99</v>
      </c>
      <c r="K11" t="s">
        <v>95</v>
      </c>
      <c r="L11" t="s">
        <v>26</v>
      </c>
      <c r="M11" t="s">
        <v>100</v>
      </c>
      <c r="N11" t="s">
        <v>24</v>
      </c>
      <c r="O11" t="s">
        <v>18</v>
      </c>
      <c r="P11">
        <v>223768</v>
      </c>
      <c r="Q11" t="s">
        <v>7</v>
      </c>
      <c r="R11" t="s">
        <v>101</v>
      </c>
      <c r="S11" t="s">
        <v>102</v>
      </c>
      <c r="T11">
        <v>90</v>
      </c>
      <c r="U11">
        <v>8</v>
      </c>
      <c r="V11" s="2">
        <v>0.33333333333333331</v>
      </c>
      <c r="W11">
        <v>720</v>
      </c>
      <c r="X11">
        <v>960</v>
      </c>
      <c r="Y11">
        <v>240</v>
      </c>
      <c r="Z11" t="s">
        <v>108</v>
      </c>
      <c r="AA11" t="s">
        <v>104</v>
      </c>
      <c r="AB11" t="s">
        <v>105</v>
      </c>
      <c r="AC11" t="s">
        <v>117</v>
      </c>
      <c r="AD11" t="s">
        <v>107</v>
      </c>
      <c r="AE11">
        <f t="shared" si="0"/>
        <v>3</v>
      </c>
      <c r="AF11" t="str">
        <f t="shared" si="1"/>
        <v>March</v>
      </c>
    </row>
    <row r="12" spans="1:32">
      <c r="A12" s="1">
        <v>45365</v>
      </c>
      <c r="B12" t="s">
        <v>20</v>
      </c>
      <c r="C12" t="s">
        <v>94</v>
      </c>
      <c r="D12" t="s">
        <v>95</v>
      </c>
      <c r="E12" t="s">
        <v>96</v>
      </c>
      <c r="F12" t="s">
        <v>97</v>
      </c>
      <c r="G12" t="s">
        <v>14</v>
      </c>
      <c r="H12" t="s">
        <v>98</v>
      </c>
      <c r="I12" t="s">
        <v>16</v>
      </c>
      <c r="J12" t="s">
        <v>99</v>
      </c>
      <c r="K12" t="s">
        <v>95</v>
      </c>
      <c r="L12" t="s">
        <v>26</v>
      </c>
      <c r="M12" t="s">
        <v>100</v>
      </c>
      <c r="N12" t="s">
        <v>24</v>
      </c>
      <c r="O12" t="s">
        <v>18</v>
      </c>
      <c r="P12">
        <v>224764</v>
      </c>
      <c r="Q12" t="s">
        <v>7</v>
      </c>
      <c r="R12" t="s">
        <v>101</v>
      </c>
      <c r="S12" t="s">
        <v>102</v>
      </c>
      <c r="T12">
        <v>90</v>
      </c>
      <c r="U12">
        <v>7</v>
      </c>
      <c r="V12" s="2">
        <v>0.29166666666666669</v>
      </c>
      <c r="W12">
        <v>630</v>
      </c>
      <c r="X12">
        <v>840</v>
      </c>
      <c r="Y12">
        <v>210</v>
      </c>
      <c r="Z12" t="s">
        <v>108</v>
      </c>
      <c r="AA12" t="s">
        <v>104</v>
      </c>
      <c r="AB12" t="s">
        <v>105</v>
      </c>
      <c r="AC12" t="s">
        <v>118</v>
      </c>
      <c r="AD12" t="s">
        <v>107</v>
      </c>
      <c r="AE12">
        <f t="shared" si="0"/>
        <v>3</v>
      </c>
      <c r="AF12" t="str">
        <f t="shared" si="1"/>
        <v>March</v>
      </c>
    </row>
    <row r="13" spans="1:32">
      <c r="A13" s="1">
        <v>45369</v>
      </c>
      <c r="B13" t="s">
        <v>20</v>
      </c>
      <c r="C13" t="s">
        <v>94</v>
      </c>
      <c r="D13" t="s">
        <v>95</v>
      </c>
      <c r="E13" t="s">
        <v>96</v>
      </c>
      <c r="F13" t="s">
        <v>97</v>
      </c>
      <c r="G13" t="s">
        <v>14</v>
      </c>
      <c r="H13" t="s">
        <v>98</v>
      </c>
      <c r="I13" t="s">
        <v>16</v>
      </c>
      <c r="J13" t="s">
        <v>99</v>
      </c>
      <c r="K13" t="s">
        <v>95</v>
      </c>
      <c r="L13" t="s">
        <v>26</v>
      </c>
      <c r="M13" t="s">
        <v>100</v>
      </c>
      <c r="N13" t="s">
        <v>24</v>
      </c>
      <c r="O13" t="s">
        <v>18</v>
      </c>
      <c r="P13">
        <v>225278</v>
      </c>
      <c r="Q13" t="s">
        <v>7</v>
      </c>
      <c r="R13" t="s">
        <v>101</v>
      </c>
      <c r="S13" t="s">
        <v>102</v>
      </c>
      <c r="T13">
        <v>90</v>
      </c>
      <c r="U13">
        <v>10</v>
      </c>
      <c r="V13" s="2">
        <v>0.41666666666666669</v>
      </c>
      <c r="W13">
        <v>900</v>
      </c>
      <c r="X13">
        <v>1200</v>
      </c>
      <c r="Y13">
        <v>300</v>
      </c>
      <c r="Z13" t="s">
        <v>108</v>
      </c>
      <c r="AA13" t="s">
        <v>104</v>
      </c>
      <c r="AB13" t="s">
        <v>105</v>
      </c>
      <c r="AC13" t="s">
        <v>119</v>
      </c>
      <c r="AD13" t="s">
        <v>107</v>
      </c>
      <c r="AE13">
        <f t="shared" si="0"/>
        <v>3</v>
      </c>
      <c r="AF13" t="str">
        <f t="shared" si="1"/>
        <v>March</v>
      </c>
    </row>
    <row r="14" spans="1:32">
      <c r="A14" s="1">
        <v>45370</v>
      </c>
      <c r="B14" t="s">
        <v>20</v>
      </c>
      <c r="C14" t="s">
        <v>94</v>
      </c>
      <c r="D14" t="s">
        <v>95</v>
      </c>
      <c r="E14" t="s">
        <v>96</v>
      </c>
      <c r="F14" t="s">
        <v>97</v>
      </c>
      <c r="G14" t="s">
        <v>14</v>
      </c>
      <c r="H14" t="s">
        <v>98</v>
      </c>
      <c r="I14" t="s">
        <v>16</v>
      </c>
      <c r="J14" t="s">
        <v>99</v>
      </c>
      <c r="K14" t="s">
        <v>95</v>
      </c>
      <c r="L14" t="s">
        <v>26</v>
      </c>
      <c r="M14" t="s">
        <v>100</v>
      </c>
      <c r="N14" t="s">
        <v>24</v>
      </c>
      <c r="O14" t="s">
        <v>18</v>
      </c>
      <c r="P14">
        <v>225791</v>
      </c>
      <c r="Q14" t="s">
        <v>7</v>
      </c>
      <c r="R14" t="s">
        <v>101</v>
      </c>
      <c r="S14" t="s">
        <v>102</v>
      </c>
      <c r="T14">
        <v>90</v>
      </c>
      <c r="U14">
        <v>9</v>
      </c>
      <c r="V14" s="2">
        <v>0.375</v>
      </c>
      <c r="W14">
        <v>810</v>
      </c>
      <c r="X14">
        <v>1080</v>
      </c>
      <c r="Y14">
        <v>270</v>
      </c>
      <c r="Z14" t="s">
        <v>108</v>
      </c>
      <c r="AA14" t="s">
        <v>104</v>
      </c>
      <c r="AB14" t="s">
        <v>105</v>
      </c>
      <c r="AC14" t="s">
        <v>120</v>
      </c>
      <c r="AD14" t="s">
        <v>107</v>
      </c>
      <c r="AE14">
        <f t="shared" ref="AE14:AE34" si="2">MONTH(A14)</f>
        <v>3</v>
      </c>
      <c r="AF14" t="str">
        <f t="shared" si="1"/>
        <v>March</v>
      </c>
    </row>
    <row r="15" spans="1:32">
      <c r="A15" s="1">
        <v>45371</v>
      </c>
      <c r="B15" t="s">
        <v>20</v>
      </c>
      <c r="C15" t="s">
        <v>94</v>
      </c>
      <c r="D15" t="s">
        <v>95</v>
      </c>
      <c r="E15" t="s">
        <v>96</v>
      </c>
      <c r="F15" t="s">
        <v>97</v>
      </c>
      <c r="G15" t="s">
        <v>14</v>
      </c>
      <c r="H15" t="s">
        <v>98</v>
      </c>
      <c r="I15" t="s">
        <v>16</v>
      </c>
      <c r="J15" t="s">
        <v>99</v>
      </c>
      <c r="K15" t="s">
        <v>95</v>
      </c>
      <c r="L15" t="s">
        <v>26</v>
      </c>
      <c r="M15" t="s">
        <v>100</v>
      </c>
      <c r="N15" t="s">
        <v>24</v>
      </c>
      <c r="O15" t="s">
        <v>18</v>
      </c>
      <c r="P15">
        <v>226260</v>
      </c>
      <c r="Q15" t="s">
        <v>7</v>
      </c>
      <c r="R15" t="s">
        <v>101</v>
      </c>
      <c r="S15" t="s">
        <v>102</v>
      </c>
      <c r="T15">
        <v>90</v>
      </c>
      <c r="U15">
        <v>5</v>
      </c>
      <c r="V15" s="2">
        <v>0.20833333333333334</v>
      </c>
      <c r="W15">
        <v>450</v>
      </c>
      <c r="X15">
        <v>600</v>
      </c>
      <c r="Y15">
        <v>150</v>
      </c>
      <c r="Z15" t="s">
        <v>108</v>
      </c>
      <c r="AA15" t="s">
        <v>104</v>
      </c>
      <c r="AB15" t="s">
        <v>105</v>
      </c>
      <c r="AC15" t="s">
        <v>121</v>
      </c>
      <c r="AD15" t="s">
        <v>107</v>
      </c>
      <c r="AE15">
        <f t="shared" si="2"/>
        <v>3</v>
      </c>
      <c r="AF15" t="str">
        <f t="shared" si="1"/>
        <v>March</v>
      </c>
    </row>
    <row r="16" spans="1:32">
      <c r="A16" s="1">
        <v>45377</v>
      </c>
      <c r="B16" t="s">
        <v>20</v>
      </c>
      <c r="C16" t="s">
        <v>94</v>
      </c>
      <c r="D16" t="s">
        <v>95</v>
      </c>
      <c r="E16" t="s">
        <v>96</v>
      </c>
      <c r="F16" t="s">
        <v>97</v>
      </c>
      <c r="G16" t="s">
        <v>14</v>
      </c>
      <c r="H16" t="s">
        <v>98</v>
      </c>
      <c r="I16" t="s">
        <v>16</v>
      </c>
      <c r="J16" t="s">
        <v>99</v>
      </c>
      <c r="K16" t="s">
        <v>95</v>
      </c>
      <c r="L16" t="s">
        <v>26</v>
      </c>
      <c r="M16" t="s">
        <v>100</v>
      </c>
      <c r="N16" t="s">
        <v>24</v>
      </c>
      <c r="O16" t="s">
        <v>18</v>
      </c>
      <c r="P16">
        <v>229200</v>
      </c>
      <c r="Q16" t="s">
        <v>8</v>
      </c>
      <c r="R16" t="s">
        <v>101</v>
      </c>
      <c r="S16" t="s">
        <v>102</v>
      </c>
      <c r="T16">
        <v>90</v>
      </c>
      <c r="U16">
        <v>3</v>
      </c>
      <c r="V16" s="2">
        <v>0.125</v>
      </c>
      <c r="W16">
        <v>270</v>
      </c>
      <c r="X16">
        <v>360</v>
      </c>
      <c r="Y16">
        <v>90</v>
      </c>
      <c r="Z16" t="s">
        <v>108</v>
      </c>
      <c r="AA16" t="s">
        <v>104</v>
      </c>
      <c r="AB16" t="s">
        <v>105</v>
      </c>
      <c r="AC16" t="s">
        <v>122</v>
      </c>
      <c r="AD16" t="s">
        <v>107</v>
      </c>
      <c r="AE16">
        <f t="shared" si="2"/>
        <v>3</v>
      </c>
      <c r="AF16" t="str">
        <f t="shared" si="1"/>
        <v>March</v>
      </c>
    </row>
    <row r="17" spans="1:32">
      <c r="A17" s="1">
        <v>45378</v>
      </c>
      <c r="B17" t="s">
        <v>20</v>
      </c>
      <c r="C17" t="s">
        <v>94</v>
      </c>
      <c r="D17" t="s">
        <v>95</v>
      </c>
      <c r="E17" t="s">
        <v>96</v>
      </c>
      <c r="F17" t="s">
        <v>97</v>
      </c>
      <c r="G17" t="s">
        <v>14</v>
      </c>
      <c r="H17" t="s">
        <v>98</v>
      </c>
      <c r="I17" t="s">
        <v>16</v>
      </c>
      <c r="J17" t="s">
        <v>99</v>
      </c>
      <c r="K17" t="s">
        <v>95</v>
      </c>
      <c r="L17" t="s">
        <v>26</v>
      </c>
      <c r="M17" t="s">
        <v>100</v>
      </c>
      <c r="N17" t="s">
        <v>24</v>
      </c>
      <c r="O17" t="s">
        <v>18</v>
      </c>
      <c r="P17">
        <v>229333</v>
      </c>
      <c r="Q17" t="s">
        <v>8</v>
      </c>
      <c r="R17" t="s">
        <v>101</v>
      </c>
      <c r="S17" t="s">
        <v>102</v>
      </c>
      <c r="T17">
        <v>90</v>
      </c>
      <c r="U17">
        <v>2</v>
      </c>
      <c r="V17" s="2">
        <v>8.3333333333333329E-2</v>
      </c>
      <c r="W17">
        <v>180</v>
      </c>
      <c r="X17">
        <v>240</v>
      </c>
      <c r="Y17">
        <v>60</v>
      </c>
      <c r="Z17" t="s">
        <v>108</v>
      </c>
      <c r="AA17" t="s">
        <v>104</v>
      </c>
      <c r="AB17" t="s">
        <v>105</v>
      </c>
      <c r="AC17" t="s">
        <v>123</v>
      </c>
      <c r="AD17" t="s">
        <v>107</v>
      </c>
      <c r="AE17">
        <f t="shared" si="2"/>
        <v>3</v>
      </c>
      <c r="AF17" t="str">
        <f t="shared" si="1"/>
        <v>March</v>
      </c>
    </row>
    <row r="18" spans="1:32">
      <c r="A18" s="1">
        <v>45393</v>
      </c>
      <c r="B18" t="s">
        <v>20</v>
      </c>
      <c r="C18" t="s">
        <v>94</v>
      </c>
      <c r="D18" t="s">
        <v>95</v>
      </c>
      <c r="E18" t="s">
        <v>96</v>
      </c>
      <c r="F18" t="s">
        <v>97</v>
      </c>
      <c r="G18" t="s">
        <v>14</v>
      </c>
      <c r="H18" t="s">
        <v>98</v>
      </c>
      <c r="I18" t="s">
        <v>16</v>
      </c>
      <c r="J18" t="s">
        <v>99</v>
      </c>
      <c r="K18" t="s">
        <v>95</v>
      </c>
      <c r="L18" t="s">
        <v>26</v>
      </c>
      <c r="M18" t="s">
        <v>100</v>
      </c>
      <c r="N18" t="s">
        <v>24</v>
      </c>
      <c r="O18" t="s">
        <v>18</v>
      </c>
      <c r="P18">
        <v>235421</v>
      </c>
      <c r="Q18" t="s">
        <v>8</v>
      </c>
      <c r="R18" t="s">
        <v>101</v>
      </c>
      <c r="S18" t="s">
        <v>102</v>
      </c>
      <c r="T18">
        <v>90</v>
      </c>
      <c r="U18">
        <v>2</v>
      </c>
      <c r="V18" s="2">
        <v>8.3333333333333329E-2</v>
      </c>
      <c r="W18">
        <v>180</v>
      </c>
      <c r="X18">
        <v>240</v>
      </c>
      <c r="Y18">
        <v>60</v>
      </c>
      <c r="Z18" t="s">
        <v>124</v>
      </c>
      <c r="AA18" t="s">
        <v>104</v>
      </c>
      <c r="AB18" t="s">
        <v>105</v>
      </c>
      <c r="AC18" t="s">
        <v>125</v>
      </c>
      <c r="AD18" t="s">
        <v>107</v>
      </c>
      <c r="AE18">
        <f t="shared" si="2"/>
        <v>4</v>
      </c>
      <c r="AF18" t="str">
        <f t="shared" si="1"/>
        <v>April</v>
      </c>
    </row>
    <row r="19" spans="1:32">
      <c r="A19" s="1">
        <v>45394</v>
      </c>
      <c r="B19" t="s">
        <v>20</v>
      </c>
      <c r="C19" t="s">
        <v>94</v>
      </c>
      <c r="D19" t="s">
        <v>95</v>
      </c>
      <c r="E19" t="s">
        <v>96</v>
      </c>
      <c r="F19" t="s">
        <v>97</v>
      </c>
      <c r="G19" t="s">
        <v>14</v>
      </c>
      <c r="H19" t="s">
        <v>98</v>
      </c>
      <c r="I19" t="s">
        <v>16</v>
      </c>
      <c r="J19" t="s">
        <v>99</v>
      </c>
      <c r="K19" t="s">
        <v>95</v>
      </c>
      <c r="L19" t="s">
        <v>26</v>
      </c>
      <c r="M19" t="s">
        <v>100</v>
      </c>
      <c r="N19" t="s">
        <v>24</v>
      </c>
      <c r="O19" t="s">
        <v>18</v>
      </c>
      <c r="P19">
        <v>236171</v>
      </c>
      <c r="Q19" t="s">
        <v>8</v>
      </c>
      <c r="R19" t="s">
        <v>101</v>
      </c>
      <c r="S19" t="s">
        <v>102</v>
      </c>
      <c r="T19">
        <v>90</v>
      </c>
      <c r="U19">
        <v>0.5</v>
      </c>
      <c r="V19" s="2">
        <v>2.0833333333333332E-2</v>
      </c>
      <c r="W19">
        <v>45</v>
      </c>
      <c r="X19">
        <v>60</v>
      </c>
      <c r="Y19">
        <v>15</v>
      </c>
      <c r="Z19" t="s">
        <v>124</v>
      </c>
      <c r="AA19" t="s">
        <v>104</v>
      </c>
      <c r="AB19" t="s">
        <v>105</v>
      </c>
      <c r="AC19" t="s">
        <v>126</v>
      </c>
      <c r="AD19" t="s">
        <v>107</v>
      </c>
      <c r="AE19">
        <f t="shared" si="2"/>
        <v>4</v>
      </c>
      <c r="AF19" t="str">
        <f t="shared" si="1"/>
        <v>April</v>
      </c>
    </row>
    <row r="20" spans="1:32">
      <c r="A20" s="1">
        <v>45421</v>
      </c>
      <c r="B20" t="s">
        <v>20</v>
      </c>
      <c r="C20" t="s">
        <v>94</v>
      </c>
      <c r="D20" t="s">
        <v>95</v>
      </c>
      <c r="E20" t="s">
        <v>96</v>
      </c>
      <c r="F20" t="s">
        <v>97</v>
      </c>
      <c r="G20" t="s">
        <v>14</v>
      </c>
      <c r="H20" t="s">
        <v>98</v>
      </c>
      <c r="I20" t="s">
        <v>16</v>
      </c>
      <c r="J20" t="s">
        <v>99</v>
      </c>
      <c r="K20" t="s">
        <v>95</v>
      </c>
      <c r="L20" t="s">
        <v>26</v>
      </c>
      <c r="M20" t="s">
        <v>100</v>
      </c>
      <c r="N20" t="s">
        <v>24</v>
      </c>
      <c r="O20" t="s">
        <v>18</v>
      </c>
      <c r="P20">
        <v>245626</v>
      </c>
      <c r="Q20" t="s">
        <v>8</v>
      </c>
      <c r="R20" t="s">
        <v>101</v>
      </c>
      <c r="S20" t="s">
        <v>102</v>
      </c>
      <c r="T20">
        <v>90</v>
      </c>
      <c r="U20">
        <v>1</v>
      </c>
      <c r="V20" s="2">
        <v>4.1666666666666664E-2</v>
      </c>
      <c r="W20">
        <v>90</v>
      </c>
      <c r="AA20" t="s">
        <v>104</v>
      </c>
      <c r="AB20" t="s">
        <v>105</v>
      </c>
      <c r="AC20" t="s">
        <v>127</v>
      </c>
      <c r="AD20" t="s">
        <v>107</v>
      </c>
      <c r="AE20">
        <f t="shared" si="2"/>
        <v>5</v>
      </c>
      <c r="AF20" t="str">
        <f t="shared" si="1"/>
        <v>May</v>
      </c>
    </row>
    <row r="21" spans="1:32">
      <c r="A21" s="1">
        <v>45422</v>
      </c>
      <c r="B21" t="s">
        <v>20</v>
      </c>
      <c r="C21" t="s">
        <v>94</v>
      </c>
      <c r="D21" t="s">
        <v>95</v>
      </c>
      <c r="E21" t="s">
        <v>96</v>
      </c>
      <c r="F21" t="s">
        <v>97</v>
      </c>
      <c r="G21" t="s">
        <v>14</v>
      </c>
      <c r="H21" t="s">
        <v>98</v>
      </c>
      <c r="I21" t="s">
        <v>16</v>
      </c>
      <c r="J21" t="s">
        <v>99</v>
      </c>
      <c r="K21" t="s">
        <v>95</v>
      </c>
      <c r="L21" t="s">
        <v>26</v>
      </c>
      <c r="M21" t="s">
        <v>100</v>
      </c>
      <c r="N21" t="s">
        <v>24</v>
      </c>
      <c r="O21" t="s">
        <v>18</v>
      </c>
      <c r="P21">
        <v>245627</v>
      </c>
      <c r="Q21" t="s">
        <v>8</v>
      </c>
      <c r="R21" t="s">
        <v>101</v>
      </c>
      <c r="S21" t="s">
        <v>102</v>
      </c>
      <c r="T21">
        <v>90</v>
      </c>
      <c r="U21">
        <v>4</v>
      </c>
      <c r="V21" s="2">
        <v>0.16666666666666666</v>
      </c>
      <c r="W21">
        <v>360</v>
      </c>
      <c r="AA21" t="s">
        <v>104</v>
      </c>
      <c r="AB21" t="s">
        <v>105</v>
      </c>
      <c r="AC21" t="s">
        <v>127</v>
      </c>
      <c r="AD21" t="s">
        <v>107</v>
      </c>
      <c r="AE21">
        <f t="shared" si="2"/>
        <v>5</v>
      </c>
      <c r="AF21" t="str">
        <f t="shared" si="1"/>
        <v>May</v>
      </c>
    </row>
    <row r="22" spans="1:32">
      <c r="A22" s="1">
        <v>45426</v>
      </c>
      <c r="B22" t="s">
        <v>20</v>
      </c>
      <c r="C22" t="s">
        <v>94</v>
      </c>
      <c r="D22" t="s">
        <v>95</v>
      </c>
      <c r="E22" t="s">
        <v>96</v>
      </c>
      <c r="F22" t="s">
        <v>97</v>
      </c>
      <c r="G22" t="s">
        <v>14</v>
      </c>
      <c r="H22" t="s">
        <v>98</v>
      </c>
      <c r="I22" t="s">
        <v>16</v>
      </c>
      <c r="J22" t="s">
        <v>99</v>
      </c>
      <c r="K22" t="s">
        <v>95</v>
      </c>
      <c r="L22" t="s">
        <v>26</v>
      </c>
      <c r="M22" t="s">
        <v>100</v>
      </c>
      <c r="N22" t="s">
        <v>24</v>
      </c>
      <c r="O22" t="s">
        <v>18</v>
      </c>
      <c r="P22">
        <v>246856</v>
      </c>
      <c r="Q22" t="s">
        <v>7</v>
      </c>
      <c r="R22" t="s">
        <v>101</v>
      </c>
      <c r="S22" t="s">
        <v>102</v>
      </c>
      <c r="T22">
        <v>90</v>
      </c>
      <c r="U22">
        <v>1</v>
      </c>
      <c r="V22" s="2">
        <v>4.1666666666666664E-2</v>
      </c>
      <c r="W22">
        <v>90</v>
      </c>
      <c r="AA22" t="s">
        <v>104</v>
      </c>
      <c r="AB22" t="s">
        <v>105</v>
      </c>
      <c r="AC22" t="s">
        <v>128</v>
      </c>
      <c r="AD22" t="s">
        <v>107</v>
      </c>
      <c r="AE22">
        <f t="shared" si="2"/>
        <v>5</v>
      </c>
      <c r="AF22" t="str">
        <f t="shared" si="1"/>
        <v>May</v>
      </c>
    </row>
    <row r="23" spans="1:32">
      <c r="A23" s="1">
        <v>45435</v>
      </c>
      <c r="B23" t="s">
        <v>20</v>
      </c>
      <c r="C23" t="s">
        <v>94</v>
      </c>
      <c r="D23" t="s">
        <v>95</v>
      </c>
      <c r="E23" t="s">
        <v>96</v>
      </c>
      <c r="F23" t="s">
        <v>97</v>
      </c>
      <c r="G23" t="s">
        <v>14</v>
      </c>
      <c r="H23" t="s">
        <v>98</v>
      </c>
      <c r="I23" t="s">
        <v>16</v>
      </c>
      <c r="J23" t="s">
        <v>99</v>
      </c>
      <c r="K23" t="s">
        <v>95</v>
      </c>
      <c r="L23" t="s">
        <v>26</v>
      </c>
      <c r="M23" t="s">
        <v>100</v>
      </c>
      <c r="N23" t="s">
        <v>24</v>
      </c>
      <c r="O23" t="s">
        <v>18</v>
      </c>
      <c r="P23">
        <v>251586</v>
      </c>
      <c r="Q23" t="s">
        <v>7</v>
      </c>
      <c r="R23" t="s">
        <v>101</v>
      </c>
      <c r="S23" t="s">
        <v>102</v>
      </c>
      <c r="T23">
        <v>90</v>
      </c>
      <c r="U23">
        <v>5</v>
      </c>
      <c r="V23" s="2">
        <v>0.20833333333333334</v>
      </c>
      <c r="W23">
        <v>450</v>
      </c>
      <c r="AA23" t="s">
        <v>104</v>
      </c>
      <c r="AC23" t="s">
        <v>129</v>
      </c>
      <c r="AD23" t="s">
        <v>107</v>
      </c>
      <c r="AE23">
        <f t="shared" si="2"/>
        <v>5</v>
      </c>
      <c r="AF23" t="str">
        <f t="shared" si="1"/>
        <v>May</v>
      </c>
    </row>
    <row r="24" spans="1:32">
      <c r="A24" s="1">
        <v>45436</v>
      </c>
      <c r="B24" t="s">
        <v>20</v>
      </c>
      <c r="C24" t="s">
        <v>94</v>
      </c>
      <c r="D24" t="s">
        <v>95</v>
      </c>
      <c r="E24" t="s">
        <v>96</v>
      </c>
      <c r="F24" t="s">
        <v>97</v>
      </c>
      <c r="G24" t="s">
        <v>14</v>
      </c>
      <c r="H24" t="s">
        <v>98</v>
      </c>
      <c r="I24" t="s">
        <v>16</v>
      </c>
      <c r="J24" t="s">
        <v>99</v>
      </c>
      <c r="K24" t="s">
        <v>95</v>
      </c>
      <c r="L24" t="s">
        <v>26</v>
      </c>
      <c r="M24" t="s">
        <v>100</v>
      </c>
      <c r="N24" t="s">
        <v>24</v>
      </c>
      <c r="O24" t="s">
        <v>18</v>
      </c>
      <c r="P24">
        <v>251345</v>
      </c>
      <c r="Q24" t="s">
        <v>7</v>
      </c>
      <c r="R24" t="s">
        <v>101</v>
      </c>
      <c r="S24" t="s">
        <v>102</v>
      </c>
      <c r="T24">
        <v>90</v>
      </c>
      <c r="U24">
        <v>8</v>
      </c>
      <c r="V24" s="2">
        <v>0.33333333333333331</v>
      </c>
      <c r="W24">
        <v>720</v>
      </c>
      <c r="AA24" t="s">
        <v>104</v>
      </c>
      <c r="AC24" t="s">
        <v>130</v>
      </c>
      <c r="AD24" t="s">
        <v>107</v>
      </c>
      <c r="AE24">
        <f t="shared" si="2"/>
        <v>5</v>
      </c>
      <c r="AF24" t="str">
        <f t="shared" si="1"/>
        <v>May</v>
      </c>
    </row>
    <row r="25" spans="1:32">
      <c r="A25" s="1">
        <v>45355</v>
      </c>
      <c r="B25" t="s">
        <v>27</v>
      </c>
      <c r="C25" t="s">
        <v>131</v>
      </c>
      <c r="D25" t="s">
        <v>95</v>
      </c>
      <c r="E25" t="s">
        <v>96</v>
      </c>
      <c r="F25" t="s">
        <v>97</v>
      </c>
      <c r="G25" t="s">
        <v>14</v>
      </c>
      <c r="H25" t="s">
        <v>98</v>
      </c>
      <c r="I25" t="s">
        <v>16</v>
      </c>
      <c r="J25" t="s">
        <v>99</v>
      </c>
      <c r="K25" t="s">
        <v>95</v>
      </c>
      <c r="L25" t="s">
        <v>26</v>
      </c>
      <c r="M25" t="s">
        <v>100</v>
      </c>
      <c r="N25" t="s">
        <v>132</v>
      </c>
      <c r="O25" t="s">
        <v>18</v>
      </c>
      <c r="P25">
        <v>219767</v>
      </c>
      <c r="Q25" t="s">
        <v>7</v>
      </c>
      <c r="R25" t="s">
        <v>101</v>
      </c>
      <c r="S25" t="s">
        <v>102</v>
      </c>
      <c r="T25">
        <v>90</v>
      </c>
      <c r="U25">
        <v>0.25</v>
      </c>
      <c r="V25" s="2">
        <v>1.0416666666666666E-2</v>
      </c>
      <c r="W25">
        <v>22.5</v>
      </c>
      <c r="X25">
        <v>30</v>
      </c>
      <c r="Y25">
        <v>7.5</v>
      </c>
      <c r="Z25" t="s">
        <v>108</v>
      </c>
      <c r="AA25" t="s">
        <v>104</v>
      </c>
      <c r="AB25" t="s">
        <v>105</v>
      </c>
      <c r="AC25" t="s">
        <v>132</v>
      </c>
      <c r="AD25" t="s">
        <v>107</v>
      </c>
      <c r="AE25">
        <f t="shared" si="2"/>
        <v>3</v>
      </c>
      <c r="AF25" t="str">
        <f t="shared" si="1"/>
        <v>March</v>
      </c>
    </row>
    <row r="26" spans="1:32">
      <c r="A26" s="1">
        <v>45356</v>
      </c>
      <c r="B26" t="s">
        <v>27</v>
      </c>
      <c r="C26" t="s">
        <v>131</v>
      </c>
      <c r="D26" t="s">
        <v>95</v>
      </c>
      <c r="E26" t="s">
        <v>96</v>
      </c>
      <c r="F26" t="s">
        <v>97</v>
      </c>
      <c r="G26" t="s">
        <v>14</v>
      </c>
      <c r="H26" t="s">
        <v>98</v>
      </c>
      <c r="I26" t="s">
        <v>16</v>
      </c>
      <c r="J26" t="s">
        <v>99</v>
      </c>
      <c r="K26" t="s">
        <v>95</v>
      </c>
      <c r="L26" t="s">
        <v>26</v>
      </c>
      <c r="M26" t="s">
        <v>100</v>
      </c>
      <c r="N26" t="s">
        <v>132</v>
      </c>
      <c r="O26" t="s">
        <v>18</v>
      </c>
      <c r="P26">
        <v>219760</v>
      </c>
      <c r="Q26" t="s">
        <v>7</v>
      </c>
      <c r="R26" t="s">
        <v>101</v>
      </c>
      <c r="S26" t="s">
        <v>102</v>
      </c>
      <c r="T26">
        <v>90</v>
      </c>
      <c r="U26">
        <v>3</v>
      </c>
      <c r="V26" s="2">
        <v>0.125</v>
      </c>
      <c r="W26">
        <v>270</v>
      </c>
      <c r="X26">
        <v>360</v>
      </c>
      <c r="Y26">
        <v>90</v>
      </c>
      <c r="Z26" t="s">
        <v>108</v>
      </c>
      <c r="AA26" t="s">
        <v>104</v>
      </c>
      <c r="AB26" t="s">
        <v>105</v>
      </c>
      <c r="AC26" t="s">
        <v>132</v>
      </c>
      <c r="AD26" t="s">
        <v>107</v>
      </c>
      <c r="AE26">
        <f t="shared" si="2"/>
        <v>3</v>
      </c>
      <c r="AF26" t="str">
        <f t="shared" si="1"/>
        <v>March</v>
      </c>
    </row>
    <row r="27" spans="1:32">
      <c r="A27" s="1">
        <v>45357</v>
      </c>
      <c r="B27" t="s">
        <v>27</v>
      </c>
      <c r="C27" t="s">
        <v>131</v>
      </c>
      <c r="D27" t="s">
        <v>95</v>
      </c>
      <c r="E27" t="s">
        <v>96</v>
      </c>
      <c r="F27" t="s">
        <v>97</v>
      </c>
      <c r="G27" t="s">
        <v>14</v>
      </c>
      <c r="H27" t="s">
        <v>98</v>
      </c>
      <c r="I27" t="s">
        <v>16</v>
      </c>
      <c r="J27" t="s">
        <v>99</v>
      </c>
      <c r="K27" t="s">
        <v>95</v>
      </c>
      <c r="L27" t="s">
        <v>26</v>
      </c>
      <c r="M27" t="s">
        <v>100</v>
      </c>
      <c r="N27" t="s">
        <v>132</v>
      </c>
      <c r="O27" t="s">
        <v>18</v>
      </c>
      <c r="P27">
        <v>221432</v>
      </c>
      <c r="Q27" t="s">
        <v>7</v>
      </c>
      <c r="R27" t="s">
        <v>101</v>
      </c>
      <c r="S27" t="s">
        <v>102</v>
      </c>
      <c r="T27">
        <v>90</v>
      </c>
      <c r="U27">
        <v>0.5</v>
      </c>
      <c r="V27" s="2">
        <v>2.0833333333333332E-2</v>
      </c>
      <c r="W27">
        <v>45</v>
      </c>
      <c r="X27">
        <v>60</v>
      </c>
      <c r="Y27">
        <v>15</v>
      </c>
      <c r="Z27" t="s">
        <v>108</v>
      </c>
      <c r="AA27" t="s">
        <v>104</v>
      </c>
      <c r="AB27" t="s">
        <v>105</v>
      </c>
      <c r="AC27" t="s">
        <v>132</v>
      </c>
      <c r="AD27" t="s">
        <v>107</v>
      </c>
      <c r="AE27">
        <f t="shared" si="2"/>
        <v>3</v>
      </c>
      <c r="AF27" t="str">
        <f t="shared" si="1"/>
        <v>March</v>
      </c>
    </row>
    <row r="28" spans="1:32">
      <c r="A28" s="1">
        <v>45358</v>
      </c>
      <c r="B28" t="s">
        <v>27</v>
      </c>
      <c r="C28" t="s">
        <v>131</v>
      </c>
      <c r="D28" t="s">
        <v>95</v>
      </c>
      <c r="E28" t="s">
        <v>96</v>
      </c>
      <c r="F28" t="s">
        <v>97</v>
      </c>
      <c r="G28" t="s">
        <v>14</v>
      </c>
      <c r="H28" t="s">
        <v>98</v>
      </c>
      <c r="I28" t="s">
        <v>16</v>
      </c>
      <c r="J28" t="s">
        <v>99</v>
      </c>
      <c r="K28" t="s">
        <v>95</v>
      </c>
      <c r="L28" t="s">
        <v>26</v>
      </c>
      <c r="M28" t="s">
        <v>100</v>
      </c>
      <c r="N28" t="s">
        <v>132</v>
      </c>
      <c r="O28" t="s">
        <v>18</v>
      </c>
      <c r="P28">
        <v>221439</v>
      </c>
      <c r="Q28" t="s">
        <v>7</v>
      </c>
      <c r="R28" t="s">
        <v>101</v>
      </c>
      <c r="S28" t="s">
        <v>102</v>
      </c>
      <c r="T28">
        <v>90</v>
      </c>
      <c r="U28">
        <v>0.5</v>
      </c>
      <c r="V28" s="2">
        <v>2.0833333333333332E-2</v>
      </c>
      <c r="W28">
        <v>45</v>
      </c>
      <c r="X28">
        <v>60</v>
      </c>
      <c r="Y28">
        <v>15</v>
      </c>
      <c r="Z28" t="s">
        <v>108</v>
      </c>
      <c r="AA28" t="s">
        <v>104</v>
      </c>
      <c r="AB28" t="s">
        <v>105</v>
      </c>
      <c r="AC28" t="s">
        <v>132</v>
      </c>
      <c r="AD28" t="s">
        <v>107</v>
      </c>
      <c r="AE28">
        <f t="shared" si="2"/>
        <v>3</v>
      </c>
      <c r="AF28" t="str">
        <f t="shared" si="1"/>
        <v>March</v>
      </c>
    </row>
    <row r="29" spans="1:32">
      <c r="A29" s="1">
        <v>45359</v>
      </c>
      <c r="B29" t="s">
        <v>27</v>
      </c>
      <c r="C29" t="s">
        <v>131</v>
      </c>
      <c r="D29" t="s">
        <v>95</v>
      </c>
      <c r="E29" t="s">
        <v>96</v>
      </c>
      <c r="F29" t="s">
        <v>97</v>
      </c>
      <c r="G29" t="s">
        <v>14</v>
      </c>
      <c r="H29" t="s">
        <v>98</v>
      </c>
      <c r="I29" t="s">
        <v>16</v>
      </c>
      <c r="J29" t="s">
        <v>99</v>
      </c>
      <c r="K29" t="s">
        <v>95</v>
      </c>
      <c r="L29" t="s">
        <v>26</v>
      </c>
      <c r="M29" t="s">
        <v>100</v>
      </c>
      <c r="N29" t="s">
        <v>132</v>
      </c>
      <c r="O29" t="s">
        <v>18</v>
      </c>
      <c r="P29">
        <v>221695</v>
      </c>
      <c r="Q29" t="s">
        <v>7</v>
      </c>
      <c r="R29" t="s">
        <v>101</v>
      </c>
      <c r="S29" t="s">
        <v>102</v>
      </c>
      <c r="T29">
        <v>90</v>
      </c>
      <c r="U29">
        <v>3</v>
      </c>
      <c r="V29" s="2">
        <v>0.125</v>
      </c>
      <c r="W29">
        <v>270</v>
      </c>
      <c r="X29">
        <v>360</v>
      </c>
      <c r="Y29">
        <v>90</v>
      </c>
      <c r="Z29" t="s">
        <v>108</v>
      </c>
      <c r="AA29" t="s">
        <v>104</v>
      </c>
      <c r="AB29" t="s">
        <v>105</v>
      </c>
      <c r="AC29" t="s">
        <v>132</v>
      </c>
      <c r="AD29" t="s">
        <v>107</v>
      </c>
      <c r="AE29">
        <f t="shared" si="2"/>
        <v>3</v>
      </c>
      <c r="AF29" t="str">
        <f t="shared" si="1"/>
        <v>March</v>
      </c>
    </row>
    <row r="30" spans="1:32">
      <c r="A30" s="1">
        <v>45362</v>
      </c>
      <c r="B30" t="s">
        <v>27</v>
      </c>
      <c r="C30" t="s">
        <v>131</v>
      </c>
      <c r="D30" t="s">
        <v>95</v>
      </c>
      <c r="E30" t="s">
        <v>96</v>
      </c>
      <c r="F30" t="s">
        <v>97</v>
      </c>
      <c r="G30" t="s">
        <v>14</v>
      </c>
      <c r="H30" t="s">
        <v>98</v>
      </c>
      <c r="I30" t="s">
        <v>16</v>
      </c>
      <c r="J30" t="s">
        <v>99</v>
      </c>
      <c r="K30" t="s">
        <v>95</v>
      </c>
      <c r="L30" t="s">
        <v>26</v>
      </c>
      <c r="M30" t="s">
        <v>100</v>
      </c>
      <c r="N30" t="s">
        <v>132</v>
      </c>
      <c r="O30" t="s">
        <v>18</v>
      </c>
      <c r="P30">
        <v>222865</v>
      </c>
      <c r="Q30" t="s">
        <v>7</v>
      </c>
      <c r="R30" t="s">
        <v>101</v>
      </c>
      <c r="S30" t="s">
        <v>102</v>
      </c>
      <c r="T30">
        <v>90</v>
      </c>
      <c r="U30">
        <v>3</v>
      </c>
      <c r="V30" s="2">
        <v>0.125</v>
      </c>
      <c r="W30">
        <v>270</v>
      </c>
      <c r="X30">
        <v>360</v>
      </c>
      <c r="Y30">
        <v>90</v>
      </c>
      <c r="Z30" t="s">
        <v>108</v>
      </c>
      <c r="AA30" t="s">
        <v>104</v>
      </c>
      <c r="AB30" t="s">
        <v>105</v>
      </c>
      <c r="AC30" t="s">
        <v>132</v>
      </c>
      <c r="AD30" t="s">
        <v>107</v>
      </c>
      <c r="AE30">
        <f t="shared" si="2"/>
        <v>3</v>
      </c>
      <c r="AF30" t="str">
        <f t="shared" si="1"/>
        <v>March</v>
      </c>
    </row>
    <row r="31" spans="1:32">
      <c r="A31" s="1">
        <v>45363</v>
      </c>
      <c r="B31" t="s">
        <v>27</v>
      </c>
      <c r="C31" t="s">
        <v>131</v>
      </c>
      <c r="D31" t="s">
        <v>95</v>
      </c>
      <c r="E31" t="s">
        <v>96</v>
      </c>
      <c r="F31" t="s">
        <v>97</v>
      </c>
      <c r="G31" t="s">
        <v>14</v>
      </c>
      <c r="H31" t="s">
        <v>98</v>
      </c>
      <c r="I31" t="s">
        <v>16</v>
      </c>
      <c r="J31" t="s">
        <v>99</v>
      </c>
      <c r="K31" t="s">
        <v>95</v>
      </c>
      <c r="L31" t="s">
        <v>26</v>
      </c>
      <c r="M31" t="s">
        <v>100</v>
      </c>
      <c r="N31" t="s">
        <v>132</v>
      </c>
      <c r="O31" t="s">
        <v>18</v>
      </c>
      <c r="P31">
        <v>222864</v>
      </c>
      <c r="Q31" t="s">
        <v>7</v>
      </c>
      <c r="R31" t="s">
        <v>101</v>
      </c>
      <c r="S31" t="s">
        <v>102</v>
      </c>
      <c r="T31">
        <v>90</v>
      </c>
      <c r="U31">
        <v>6</v>
      </c>
      <c r="V31" s="2">
        <v>0.25</v>
      </c>
      <c r="W31">
        <v>540</v>
      </c>
      <c r="X31">
        <v>720</v>
      </c>
      <c r="Y31">
        <v>180</v>
      </c>
      <c r="Z31" t="s">
        <v>108</v>
      </c>
      <c r="AA31" t="s">
        <v>104</v>
      </c>
      <c r="AB31" t="s">
        <v>105</v>
      </c>
      <c r="AC31" t="s">
        <v>132</v>
      </c>
      <c r="AD31" t="s">
        <v>107</v>
      </c>
      <c r="AE31">
        <f t="shared" si="2"/>
        <v>3</v>
      </c>
      <c r="AF31" t="str">
        <f t="shared" si="1"/>
        <v>March</v>
      </c>
    </row>
    <row r="32" spans="1:32">
      <c r="A32" s="1">
        <v>45364</v>
      </c>
      <c r="B32" t="s">
        <v>27</v>
      </c>
      <c r="C32" t="s">
        <v>131</v>
      </c>
      <c r="D32" t="s">
        <v>95</v>
      </c>
      <c r="E32" t="s">
        <v>96</v>
      </c>
      <c r="F32" t="s">
        <v>97</v>
      </c>
      <c r="G32" t="s">
        <v>14</v>
      </c>
      <c r="H32" t="s">
        <v>98</v>
      </c>
      <c r="I32" t="s">
        <v>16</v>
      </c>
      <c r="J32" t="s">
        <v>99</v>
      </c>
      <c r="K32" t="s">
        <v>95</v>
      </c>
      <c r="L32" t="s">
        <v>26</v>
      </c>
      <c r="M32" t="s">
        <v>100</v>
      </c>
      <c r="N32" t="s">
        <v>132</v>
      </c>
      <c r="O32" t="s">
        <v>18</v>
      </c>
      <c r="P32">
        <v>223766</v>
      </c>
      <c r="Q32" t="s">
        <v>7</v>
      </c>
      <c r="R32" t="s">
        <v>101</v>
      </c>
      <c r="S32" t="s">
        <v>102</v>
      </c>
      <c r="T32">
        <v>90</v>
      </c>
      <c r="U32">
        <v>6</v>
      </c>
      <c r="V32" s="2">
        <v>0.25</v>
      </c>
      <c r="W32">
        <v>540</v>
      </c>
      <c r="X32">
        <v>720</v>
      </c>
      <c r="Y32">
        <v>180</v>
      </c>
      <c r="Z32" t="s">
        <v>108</v>
      </c>
      <c r="AA32" t="s">
        <v>104</v>
      </c>
      <c r="AB32" t="s">
        <v>105</v>
      </c>
      <c r="AC32" t="s">
        <v>132</v>
      </c>
      <c r="AD32" t="s">
        <v>107</v>
      </c>
      <c r="AE32">
        <f t="shared" si="2"/>
        <v>3</v>
      </c>
      <c r="AF32" t="str">
        <f t="shared" si="1"/>
        <v>March</v>
      </c>
    </row>
    <row r="33" spans="1:32">
      <c r="A33" s="1">
        <v>45365</v>
      </c>
      <c r="B33" t="s">
        <v>27</v>
      </c>
      <c r="C33" t="s">
        <v>131</v>
      </c>
      <c r="D33" t="s">
        <v>95</v>
      </c>
      <c r="E33" t="s">
        <v>96</v>
      </c>
      <c r="F33" t="s">
        <v>97</v>
      </c>
      <c r="G33" t="s">
        <v>14</v>
      </c>
      <c r="H33" t="s">
        <v>98</v>
      </c>
      <c r="I33" t="s">
        <v>16</v>
      </c>
      <c r="J33" t="s">
        <v>99</v>
      </c>
      <c r="K33" t="s">
        <v>95</v>
      </c>
      <c r="L33" t="s">
        <v>26</v>
      </c>
      <c r="M33" t="s">
        <v>100</v>
      </c>
      <c r="N33" t="s">
        <v>132</v>
      </c>
      <c r="O33" t="s">
        <v>18</v>
      </c>
      <c r="P33">
        <v>224990</v>
      </c>
      <c r="Q33" t="s">
        <v>7</v>
      </c>
      <c r="R33" t="s">
        <v>101</v>
      </c>
      <c r="S33" t="s">
        <v>102</v>
      </c>
      <c r="T33">
        <v>90</v>
      </c>
      <c r="U33">
        <v>5.75</v>
      </c>
      <c r="V33" s="2">
        <v>0.23958333333333334</v>
      </c>
      <c r="W33">
        <v>517.5</v>
      </c>
      <c r="X33">
        <v>690</v>
      </c>
      <c r="Y33">
        <v>172.5</v>
      </c>
      <c r="Z33" t="s">
        <v>108</v>
      </c>
      <c r="AA33" t="s">
        <v>104</v>
      </c>
      <c r="AB33" t="s">
        <v>105</v>
      </c>
      <c r="AC33" t="s">
        <v>132</v>
      </c>
      <c r="AD33" t="s">
        <v>107</v>
      </c>
      <c r="AE33">
        <f t="shared" si="2"/>
        <v>3</v>
      </c>
      <c r="AF33" t="str">
        <f t="shared" si="1"/>
        <v>March</v>
      </c>
    </row>
    <row r="34" spans="1:32">
      <c r="A34" s="1">
        <v>45366</v>
      </c>
      <c r="B34" t="s">
        <v>27</v>
      </c>
      <c r="C34" t="s">
        <v>131</v>
      </c>
      <c r="D34" t="s">
        <v>95</v>
      </c>
      <c r="E34" t="s">
        <v>96</v>
      </c>
      <c r="F34" t="s">
        <v>97</v>
      </c>
      <c r="G34" t="s">
        <v>14</v>
      </c>
      <c r="H34" t="s">
        <v>98</v>
      </c>
      <c r="I34" t="s">
        <v>16</v>
      </c>
      <c r="J34" t="s">
        <v>99</v>
      </c>
      <c r="K34" t="s">
        <v>95</v>
      </c>
      <c r="L34" t="s">
        <v>26</v>
      </c>
      <c r="M34" t="s">
        <v>100</v>
      </c>
      <c r="N34" t="s">
        <v>132</v>
      </c>
      <c r="O34" t="s">
        <v>18</v>
      </c>
      <c r="P34">
        <v>225010</v>
      </c>
      <c r="Q34" t="s">
        <v>7</v>
      </c>
      <c r="R34" t="s">
        <v>101</v>
      </c>
      <c r="S34" t="s">
        <v>102</v>
      </c>
      <c r="T34">
        <v>90</v>
      </c>
      <c r="U34">
        <v>3</v>
      </c>
      <c r="V34" s="2">
        <v>0.125</v>
      </c>
      <c r="W34">
        <v>270</v>
      </c>
      <c r="X34">
        <v>360</v>
      </c>
      <c r="Y34">
        <v>90</v>
      </c>
      <c r="Z34" t="s">
        <v>108</v>
      </c>
      <c r="AA34" t="s">
        <v>104</v>
      </c>
      <c r="AB34" t="s">
        <v>105</v>
      </c>
      <c r="AC34" t="s">
        <v>132</v>
      </c>
      <c r="AD34" t="s">
        <v>107</v>
      </c>
      <c r="AE34">
        <f t="shared" si="2"/>
        <v>3</v>
      </c>
      <c r="AF34" t="str">
        <f t="shared" si="1"/>
        <v>March</v>
      </c>
    </row>
    <row r="35" spans="1:32">
      <c r="A35" s="1">
        <v>45369</v>
      </c>
      <c r="B35" t="s">
        <v>27</v>
      </c>
      <c r="C35" t="s">
        <v>131</v>
      </c>
      <c r="D35" t="s">
        <v>95</v>
      </c>
      <c r="E35" t="s">
        <v>96</v>
      </c>
      <c r="F35" t="s">
        <v>97</v>
      </c>
      <c r="G35" t="s">
        <v>14</v>
      </c>
      <c r="H35" t="s">
        <v>98</v>
      </c>
      <c r="I35" t="s">
        <v>16</v>
      </c>
      <c r="J35" t="s">
        <v>99</v>
      </c>
      <c r="K35" t="s">
        <v>95</v>
      </c>
      <c r="L35" t="s">
        <v>26</v>
      </c>
      <c r="M35" t="s">
        <v>100</v>
      </c>
      <c r="N35" t="s">
        <v>132</v>
      </c>
      <c r="O35" t="s">
        <v>18</v>
      </c>
      <c r="P35">
        <v>225329</v>
      </c>
      <c r="Q35" t="s">
        <v>7</v>
      </c>
      <c r="R35" t="s">
        <v>101</v>
      </c>
      <c r="S35" t="s">
        <v>102</v>
      </c>
      <c r="T35">
        <v>90</v>
      </c>
      <c r="U35">
        <v>5</v>
      </c>
      <c r="V35" s="2">
        <v>0.20833333333333334</v>
      </c>
      <c r="W35">
        <v>450</v>
      </c>
      <c r="X35">
        <v>600</v>
      </c>
      <c r="Y35">
        <v>150</v>
      </c>
      <c r="Z35" t="s">
        <v>108</v>
      </c>
      <c r="AA35" t="s">
        <v>104</v>
      </c>
      <c r="AB35" t="s">
        <v>105</v>
      </c>
      <c r="AC35" t="s">
        <v>132</v>
      </c>
      <c r="AD35" t="s">
        <v>107</v>
      </c>
      <c r="AE35">
        <f t="shared" ref="AE35" si="3">MONTH(A35)</f>
        <v>3</v>
      </c>
      <c r="AF35" t="str">
        <f t="shared" ref="AF35" si="4">IF(AE35=1,"January",IF(AE35=2,"February",IF(AE35=3,"March",IF(AE35=4,"April",IF(AE35=5,"May")))))</f>
        <v>March</v>
      </c>
    </row>
    <row r="36" spans="1:32">
      <c r="A36" s="1">
        <v>45370</v>
      </c>
      <c r="B36" t="s">
        <v>27</v>
      </c>
      <c r="C36" t="s">
        <v>131</v>
      </c>
      <c r="D36" t="s">
        <v>95</v>
      </c>
      <c r="E36" t="s">
        <v>96</v>
      </c>
      <c r="F36" t="s">
        <v>97</v>
      </c>
      <c r="G36" t="s">
        <v>14</v>
      </c>
      <c r="H36" t="s">
        <v>98</v>
      </c>
      <c r="I36" t="s">
        <v>16</v>
      </c>
      <c r="J36" t="s">
        <v>99</v>
      </c>
      <c r="K36" t="s">
        <v>95</v>
      </c>
      <c r="L36" t="s">
        <v>26</v>
      </c>
      <c r="M36" t="s">
        <v>100</v>
      </c>
      <c r="N36" t="s">
        <v>132</v>
      </c>
      <c r="O36" t="s">
        <v>18</v>
      </c>
      <c r="P36">
        <v>225809</v>
      </c>
      <c r="Q36" t="s">
        <v>7</v>
      </c>
      <c r="R36" t="s">
        <v>101</v>
      </c>
      <c r="S36" t="s">
        <v>102</v>
      </c>
      <c r="T36">
        <v>90</v>
      </c>
      <c r="U36">
        <v>6</v>
      </c>
      <c r="V36" s="2">
        <v>0.25</v>
      </c>
      <c r="W36">
        <v>540</v>
      </c>
      <c r="X36">
        <v>720</v>
      </c>
      <c r="Y36">
        <v>180</v>
      </c>
      <c r="Z36" t="s">
        <v>108</v>
      </c>
      <c r="AA36" t="s">
        <v>104</v>
      </c>
      <c r="AB36" t="s">
        <v>105</v>
      </c>
      <c r="AC36" t="s">
        <v>132</v>
      </c>
      <c r="AD36" t="s">
        <v>107</v>
      </c>
      <c r="AE36">
        <f t="shared" ref="AE36:AE37" si="5">MONTH(A36)</f>
        <v>3</v>
      </c>
      <c r="AF36" t="str">
        <f t="shared" ref="AF36:AF37" si="6">IF(AE36=1,"January",IF(AE36=2,"February",IF(AE36=3,"March",IF(AE36=4,"April",IF(AE36=5,"May")))))</f>
        <v>March</v>
      </c>
    </row>
    <row r="37" spans="1:32">
      <c r="A37" s="1">
        <v>45371</v>
      </c>
      <c r="B37" t="s">
        <v>27</v>
      </c>
      <c r="C37" t="s">
        <v>131</v>
      </c>
      <c r="D37" t="s">
        <v>95</v>
      </c>
      <c r="E37" t="s">
        <v>96</v>
      </c>
      <c r="F37" t="s">
        <v>97</v>
      </c>
      <c r="G37" t="s">
        <v>14</v>
      </c>
      <c r="H37" t="s">
        <v>98</v>
      </c>
      <c r="I37" t="s">
        <v>16</v>
      </c>
      <c r="J37" t="s">
        <v>99</v>
      </c>
      <c r="K37" t="s">
        <v>95</v>
      </c>
      <c r="L37" t="s">
        <v>26</v>
      </c>
      <c r="M37" t="s">
        <v>100</v>
      </c>
      <c r="N37" t="s">
        <v>132</v>
      </c>
      <c r="O37" t="s">
        <v>18</v>
      </c>
      <c r="P37">
        <v>226736</v>
      </c>
      <c r="Q37" t="s">
        <v>7</v>
      </c>
      <c r="R37" t="s">
        <v>101</v>
      </c>
      <c r="S37" t="s">
        <v>102</v>
      </c>
      <c r="T37">
        <v>90</v>
      </c>
      <c r="U37">
        <v>6.75</v>
      </c>
      <c r="V37" s="2">
        <v>0.28125</v>
      </c>
      <c r="W37">
        <v>607.5</v>
      </c>
      <c r="X37">
        <v>810</v>
      </c>
      <c r="Y37">
        <v>202.5</v>
      </c>
      <c r="Z37" t="s">
        <v>108</v>
      </c>
      <c r="AA37" t="s">
        <v>104</v>
      </c>
      <c r="AB37" t="s">
        <v>105</v>
      </c>
      <c r="AC37" t="s">
        <v>132</v>
      </c>
      <c r="AD37" t="s">
        <v>107</v>
      </c>
      <c r="AE37">
        <f t="shared" si="5"/>
        <v>3</v>
      </c>
      <c r="AF37" t="str">
        <f t="shared" si="6"/>
        <v>March</v>
      </c>
    </row>
    <row r="38" spans="1:32">
      <c r="A38" s="1">
        <v>45376</v>
      </c>
      <c r="B38" t="s">
        <v>27</v>
      </c>
      <c r="C38" t="s">
        <v>131</v>
      </c>
      <c r="D38" t="s">
        <v>95</v>
      </c>
      <c r="E38" t="s">
        <v>96</v>
      </c>
      <c r="F38" t="s">
        <v>97</v>
      </c>
      <c r="G38" t="s">
        <v>14</v>
      </c>
      <c r="H38" t="s">
        <v>98</v>
      </c>
      <c r="I38" t="s">
        <v>16</v>
      </c>
      <c r="J38" t="s">
        <v>99</v>
      </c>
      <c r="K38" t="s">
        <v>95</v>
      </c>
      <c r="L38" t="s">
        <v>26</v>
      </c>
      <c r="M38" t="s">
        <v>100</v>
      </c>
      <c r="N38" t="s">
        <v>132</v>
      </c>
      <c r="O38" t="s">
        <v>18</v>
      </c>
      <c r="P38">
        <v>228118</v>
      </c>
      <c r="Q38" t="s">
        <v>8</v>
      </c>
      <c r="R38" t="s">
        <v>101</v>
      </c>
      <c r="S38" t="s">
        <v>102</v>
      </c>
      <c r="T38">
        <v>90</v>
      </c>
      <c r="U38">
        <v>0.25</v>
      </c>
      <c r="V38" s="2">
        <v>1.0416666666666666E-2</v>
      </c>
      <c r="W38">
        <v>22.5</v>
      </c>
      <c r="X38">
        <v>30</v>
      </c>
      <c r="Y38">
        <v>7.5</v>
      </c>
      <c r="Z38" t="s">
        <v>108</v>
      </c>
      <c r="AA38" t="s">
        <v>104</v>
      </c>
      <c r="AB38" t="s">
        <v>105</v>
      </c>
      <c r="AC38" t="s">
        <v>133</v>
      </c>
      <c r="AD38" t="s">
        <v>107</v>
      </c>
      <c r="AE38">
        <f t="shared" ref="AE38:AE47" si="7">MONTH(A38)</f>
        <v>3</v>
      </c>
      <c r="AF38" t="str">
        <f t="shared" ref="AF38:AF47" si="8">IF(AE38=1,"January",IF(AE38=2,"February",IF(AE38=3,"March",IF(AE38=4,"April",IF(AE38=5,"May")))))</f>
        <v>March</v>
      </c>
    </row>
    <row r="39" spans="1:32">
      <c r="A39" s="1">
        <v>45377</v>
      </c>
      <c r="B39" t="s">
        <v>27</v>
      </c>
      <c r="C39" t="s">
        <v>131</v>
      </c>
      <c r="D39" t="s">
        <v>95</v>
      </c>
      <c r="E39" t="s">
        <v>96</v>
      </c>
      <c r="F39" t="s">
        <v>97</v>
      </c>
      <c r="G39" t="s">
        <v>14</v>
      </c>
      <c r="H39" t="s">
        <v>98</v>
      </c>
      <c r="I39" t="s">
        <v>16</v>
      </c>
      <c r="J39" t="s">
        <v>99</v>
      </c>
      <c r="K39" t="s">
        <v>95</v>
      </c>
      <c r="L39" t="s">
        <v>26</v>
      </c>
      <c r="M39" t="s">
        <v>100</v>
      </c>
      <c r="N39" t="s">
        <v>132</v>
      </c>
      <c r="O39" t="s">
        <v>18</v>
      </c>
      <c r="P39">
        <v>228090</v>
      </c>
      <c r="Q39" t="s">
        <v>8</v>
      </c>
      <c r="R39" t="s">
        <v>101</v>
      </c>
      <c r="S39" t="s">
        <v>102</v>
      </c>
      <c r="T39">
        <v>90</v>
      </c>
      <c r="U39">
        <v>0.75</v>
      </c>
      <c r="V39" s="2">
        <v>3.125E-2</v>
      </c>
      <c r="W39">
        <v>67.5</v>
      </c>
      <c r="X39">
        <v>90</v>
      </c>
      <c r="Y39">
        <v>22.5</v>
      </c>
      <c r="Z39" t="s">
        <v>108</v>
      </c>
      <c r="AA39" t="s">
        <v>104</v>
      </c>
      <c r="AB39" t="s">
        <v>105</v>
      </c>
      <c r="AC39" t="s">
        <v>134</v>
      </c>
      <c r="AD39" t="s">
        <v>107</v>
      </c>
      <c r="AE39">
        <f t="shared" si="7"/>
        <v>3</v>
      </c>
      <c r="AF39" t="str">
        <f t="shared" si="8"/>
        <v>March</v>
      </c>
    </row>
    <row r="40" spans="1:32">
      <c r="A40" s="1">
        <v>45394</v>
      </c>
      <c r="B40" t="s">
        <v>27</v>
      </c>
      <c r="C40" t="s">
        <v>131</v>
      </c>
      <c r="D40" t="s">
        <v>95</v>
      </c>
      <c r="E40" t="s">
        <v>96</v>
      </c>
      <c r="F40" t="s">
        <v>97</v>
      </c>
      <c r="G40" t="s">
        <v>14</v>
      </c>
      <c r="H40" t="s">
        <v>98</v>
      </c>
      <c r="I40" t="s">
        <v>16</v>
      </c>
      <c r="J40" t="s">
        <v>99</v>
      </c>
      <c r="K40" t="s">
        <v>95</v>
      </c>
      <c r="L40" t="s">
        <v>26</v>
      </c>
      <c r="M40" t="s">
        <v>100</v>
      </c>
      <c r="N40" t="s">
        <v>132</v>
      </c>
      <c r="O40" t="s">
        <v>18</v>
      </c>
      <c r="P40">
        <v>235014</v>
      </c>
      <c r="Q40" t="s">
        <v>8</v>
      </c>
      <c r="R40" t="s">
        <v>101</v>
      </c>
      <c r="S40" t="s">
        <v>102</v>
      </c>
      <c r="T40">
        <v>90</v>
      </c>
      <c r="U40">
        <v>0.75</v>
      </c>
      <c r="V40" s="2">
        <v>3.125E-2</v>
      </c>
      <c r="W40">
        <v>67.5</v>
      </c>
      <c r="X40">
        <v>90</v>
      </c>
      <c r="Y40">
        <v>22.5</v>
      </c>
      <c r="Z40" t="s">
        <v>124</v>
      </c>
      <c r="AA40" t="s">
        <v>104</v>
      </c>
      <c r="AB40" t="s">
        <v>105</v>
      </c>
      <c r="AC40" t="s">
        <v>132</v>
      </c>
      <c r="AD40" t="s">
        <v>107</v>
      </c>
      <c r="AE40">
        <f t="shared" si="7"/>
        <v>4</v>
      </c>
      <c r="AF40" t="str">
        <f t="shared" si="8"/>
        <v>April</v>
      </c>
    </row>
    <row r="41" spans="1:32">
      <c r="A41" s="1">
        <v>45398</v>
      </c>
      <c r="B41" t="s">
        <v>27</v>
      </c>
      <c r="C41" t="s">
        <v>131</v>
      </c>
      <c r="D41" t="s">
        <v>95</v>
      </c>
      <c r="E41" t="s">
        <v>96</v>
      </c>
      <c r="F41" t="s">
        <v>97</v>
      </c>
      <c r="G41" t="s">
        <v>14</v>
      </c>
      <c r="H41" t="s">
        <v>98</v>
      </c>
      <c r="I41" t="s">
        <v>16</v>
      </c>
      <c r="J41" t="s">
        <v>99</v>
      </c>
      <c r="K41" t="s">
        <v>95</v>
      </c>
      <c r="L41" t="s">
        <v>26</v>
      </c>
      <c r="M41" t="s">
        <v>100</v>
      </c>
      <c r="N41" t="s">
        <v>132</v>
      </c>
      <c r="O41" t="s">
        <v>18</v>
      </c>
      <c r="P41">
        <v>235802</v>
      </c>
      <c r="Q41" t="s">
        <v>8</v>
      </c>
      <c r="R41" t="s">
        <v>101</v>
      </c>
      <c r="S41" t="s">
        <v>102</v>
      </c>
      <c r="T41">
        <v>90</v>
      </c>
      <c r="U41">
        <v>1</v>
      </c>
      <c r="V41" s="2">
        <v>4.1666666666666664E-2</v>
      </c>
      <c r="W41">
        <v>90</v>
      </c>
      <c r="X41">
        <v>120</v>
      </c>
      <c r="Y41">
        <v>30</v>
      </c>
      <c r="Z41" t="s">
        <v>124</v>
      </c>
      <c r="AA41" t="s">
        <v>104</v>
      </c>
      <c r="AB41" t="s">
        <v>105</v>
      </c>
      <c r="AC41" t="s">
        <v>132</v>
      </c>
      <c r="AD41" t="s">
        <v>107</v>
      </c>
      <c r="AE41">
        <f t="shared" si="7"/>
        <v>4</v>
      </c>
      <c r="AF41" t="str">
        <f t="shared" si="8"/>
        <v>April</v>
      </c>
    </row>
    <row r="42" spans="1:32">
      <c r="A42" s="1">
        <v>45436</v>
      </c>
      <c r="B42" t="s">
        <v>27</v>
      </c>
      <c r="C42" t="s">
        <v>131</v>
      </c>
      <c r="D42" t="s">
        <v>95</v>
      </c>
      <c r="E42" t="s">
        <v>96</v>
      </c>
      <c r="F42" t="s">
        <v>97</v>
      </c>
      <c r="G42" t="s">
        <v>14</v>
      </c>
      <c r="H42" t="s">
        <v>98</v>
      </c>
      <c r="I42" t="s">
        <v>16</v>
      </c>
      <c r="J42" t="s">
        <v>99</v>
      </c>
      <c r="K42" t="s">
        <v>95</v>
      </c>
      <c r="L42" t="s">
        <v>26</v>
      </c>
      <c r="M42" t="s">
        <v>100</v>
      </c>
      <c r="N42" t="s">
        <v>132</v>
      </c>
      <c r="O42" t="s">
        <v>18</v>
      </c>
      <c r="P42">
        <v>251346</v>
      </c>
      <c r="Q42" t="s">
        <v>7</v>
      </c>
      <c r="R42" t="s">
        <v>101</v>
      </c>
      <c r="S42" t="s">
        <v>102</v>
      </c>
      <c r="T42">
        <v>90</v>
      </c>
      <c r="U42">
        <v>0.5</v>
      </c>
      <c r="V42" s="2">
        <v>2.0833333333333332E-2</v>
      </c>
      <c r="W42">
        <v>45</v>
      </c>
      <c r="AA42" t="s">
        <v>104</v>
      </c>
      <c r="AC42" t="s">
        <v>132</v>
      </c>
      <c r="AD42" t="s">
        <v>107</v>
      </c>
      <c r="AE42">
        <f t="shared" si="7"/>
        <v>5</v>
      </c>
      <c r="AF42" t="str">
        <f t="shared" si="8"/>
        <v>May</v>
      </c>
    </row>
    <row r="43" spans="1:32">
      <c r="A43" s="1">
        <v>45385</v>
      </c>
      <c r="B43" t="s">
        <v>32</v>
      </c>
      <c r="C43" t="s">
        <v>131</v>
      </c>
      <c r="D43" t="s">
        <v>95</v>
      </c>
      <c r="E43" t="s">
        <v>96</v>
      </c>
      <c r="F43" t="s">
        <v>97</v>
      </c>
      <c r="G43" t="s">
        <v>14</v>
      </c>
      <c r="H43" t="s">
        <v>98</v>
      </c>
      <c r="I43" t="s">
        <v>16</v>
      </c>
      <c r="J43" t="s">
        <v>99</v>
      </c>
      <c r="K43" t="s">
        <v>95</v>
      </c>
      <c r="L43" t="s">
        <v>26</v>
      </c>
      <c r="M43" t="s">
        <v>100</v>
      </c>
      <c r="N43" t="s">
        <v>132</v>
      </c>
      <c r="O43" t="s">
        <v>18</v>
      </c>
      <c r="P43">
        <v>230733</v>
      </c>
      <c r="Q43" t="s">
        <v>7</v>
      </c>
      <c r="R43" t="s">
        <v>101</v>
      </c>
      <c r="S43" t="s">
        <v>102</v>
      </c>
      <c r="T43">
        <v>90</v>
      </c>
      <c r="U43">
        <v>0.75</v>
      </c>
      <c r="V43" s="2">
        <v>3.125E-2</v>
      </c>
      <c r="W43">
        <v>67.5</v>
      </c>
      <c r="X43">
        <v>90</v>
      </c>
      <c r="Y43">
        <v>22.5</v>
      </c>
      <c r="Z43" t="s">
        <v>124</v>
      </c>
      <c r="AA43" t="s">
        <v>104</v>
      </c>
      <c r="AB43" t="s">
        <v>105</v>
      </c>
      <c r="AC43" t="s">
        <v>135</v>
      </c>
      <c r="AD43" t="s">
        <v>107</v>
      </c>
      <c r="AE43">
        <f t="shared" si="7"/>
        <v>4</v>
      </c>
      <c r="AF43" t="str">
        <f t="shared" si="8"/>
        <v>April</v>
      </c>
    </row>
    <row r="44" spans="1:32">
      <c r="A44" s="1">
        <v>45398</v>
      </c>
      <c r="B44" t="s">
        <v>32</v>
      </c>
      <c r="C44" t="s">
        <v>131</v>
      </c>
      <c r="D44" t="s">
        <v>95</v>
      </c>
      <c r="E44" t="s">
        <v>96</v>
      </c>
      <c r="F44" t="s">
        <v>97</v>
      </c>
      <c r="G44" t="s">
        <v>14</v>
      </c>
      <c r="H44" t="s">
        <v>98</v>
      </c>
      <c r="I44" t="s">
        <v>16</v>
      </c>
      <c r="J44" t="s">
        <v>99</v>
      </c>
      <c r="K44" t="s">
        <v>95</v>
      </c>
      <c r="L44" t="s">
        <v>26</v>
      </c>
      <c r="M44" t="s">
        <v>100</v>
      </c>
      <c r="N44" t="s">
        <v>132</v>
      </c>
      <c r="O44" t="s">
        <v>18</v>
      </c>
      <c r="P44">
        <v>236217</v>
      </c>
      <c r="Q44" t="s">
        <v>8</v>
      </c>
      <c r="R44" t="s">
        <v>101</v>
      </c>
      <c r="S44" t="s">
        <v>102</v>
      </c>
      <c r="T44">
        <v>90</v>
      </c>
      <c r="U44">
        <v>2.75</v>
      </c>
      <c r="V44" s="2">
        <v>0.11458333333333333</v>
      </c>
      <c r="W44">
        <v>247.5</v>
      </c>
      <c r="X44">
        <v>330</v>
      </c>
      <c r="Y44">
        <v>82.5</v>
      </c>
      <c r="Z44" t="s">
        <v>124</v>
      </c>
      <c r="AA44" t="s">
        <v>104</v>
      </c>
      <c r="AB44" t="s">
        <v>105</v>
      </c>
      <c r="AC44" t="s">
        <v>132</v>
      </c>
      <c r="AD44" t="s">
        <v>107</v>
      </c>
      <c r="AE44">
        <f t="shared" si="7"/>
        <v>4</v>
      </c>
      <c r="AF44" t="str">
        <f t="shared" si="8"/>
        <v>April</v>
      </c>
    </row>
    <row r="45" spans="1:32">
      <c r="A45" s="1">
        <v>45434</v>
      </c>
      <c r="B45" t="s">
        <v>32</v>
      </c>
      <c r="C45" t="s">
        <v>131</v>
      </c>
      <c r="D45" t="s">
        <v>95</v>
      </c>
      <c r="E45" t="s">
        <v>96</v>
      </c>
      <c r="F45" t="s">
        <v>97</v>
      </c>
      <c r="G45" t="s">
        <v>14</v>
      </c>
      <c r="H45" t="s">
        <v>98</v>
      </c>
      <c r="I45" t="s">
        <v>16</v>
      </c>
      <c r="J45" t="s">
        <v>99</v>
      </c>
      <c r="K45" t="s">
        <v>95</v>
      </c>
      <c r="L45" t="s">
        <v>26</v>
      </c>
      <c r="M45" t="s">
        <v>100</v>
      </c>
      <c r="N45" t="s">
        <v>132</v>
      </c>
      <c r="O45" t="s">
        <v>18</v>
      </c>
      <c r="P45">
        <v>251190</v>
      </c>
      <c r="Q45" t="s">
        <v>7</v>
      </c>
      <c r="R45" t="s">
        <v>101</v>
      </c>
      <c r="S45" t="s">
        <v>102</v>
      </c>
      <c r="T45">
        <v>90</v>
      </c>
      <c r="U45">
        <v>1</v>
      </c>
      <c r="V45" s="2">
        <v>4.1666666666666664E-2</v>
      </c>
      <c r="W45">
        <v>90</v>
      </c>
      <c r="AA45" t="s">
        <v>104</v>
      </c>
      <c r="AC45" t="s">
        <v>132</v>
      </c>
      <c r="AD45" t="s">
        <v>107</v>
      </c>
      <c r="AE45">
        <f t="shared" si="7"/>
        <v>5</v>
      </c>
      <c r="AF45" t="str">
        <f t="shared" si="8"/>
        <v>May</v>
      </c>
    </row>
    <row r="46" spans="1:32">
      <c r="A46" s="1">
        <v>45435</v>
      </c>
      <c r="B46" t="s">
        <v>32</v>
      </c>
      <c r="C46" t="s">
        <v>131</v>
      </c>
      <c r="D46" t="s">
        <v>95</v>
      </c>
      <c r="E46" t="s">
        <v>96</v>
      </c>
      <c r="F46" t="s">
        <v>97</v>
      </c>
      <c r="G46" t="s">
        <v>14</v>
      </c>
      <c r="H46" t="s">
        <v>98</v>
      </c>
      <c r="I46" t="s">
        <v>16</v>
      </c>
      <c r="J46" t="s">
        <v>99</v>
      </c>
      <c r="K46" t="s">
        <v>95</v>
      </c>
      <c r="L46" t="s">
        <v>26</v>
      </c>
      <c r="M46" t="s">
        <v>100</v>
      </c>
      <c r="N46" t="s">
        <v>132</v>
      </c>
      <c r="O46" t="s">
        <v>18</v>
      </c>
      <c r="P46">
        <v>251194</v>
      </c>
      <c r="Q46" t="s">
        <v>7</v>
      </c>
      <c r="R46" t="s">
        <v>101</v>
      </c>
      <c r="S46" t="s">
        <v>102</v>
      </c>
      <c r="T46">
        <v>90</v>
      </c>
      <c r="U46">
        <v>1</v>
      </c>
      <c r="V46" s="2">
        <v>4.1666666666666664E-2</v>
      </c>
      <c r="W46">
        <v>90</v>
      </c>
      <c r="AA46" t="s">
        <v>104</v>
      </c>
      <c r="AC46" t="s">
        <v>132</v>
      </c>
      <c r="AD46" t="s">
        <v>107</v>
      </c>
      <c r="AE46">
        <f t="shared" si="7"/>
        <v>5</v>
      </c>
      <c r="AF46" t="str">
        <f t="shared" si="8"/>
        <v>May</v>
      </c>
    </row>
    <row r="47" spans="1:32">
      <c r="A47" s="1">
        <v>45324</v>
      </c>
      <c r="B47" t="s">
        <v>22</v>
      </c>
      <c r="C47" t="s">
        <v>131</v>
      </c>
      <c r="D47" t="s">
        <v>95</v>
      </c>
      <c r="E47" t="s">
        <v>136</v>
      </c>
      <c r="F47" t="s">
        <v>97</v>
      </c>
      <c r="G47" t="s">
        <v>14</v>
      </c>
      <c r="H47" t="s">
        <v>98</v>
      </c>
      <c r="I47" t="s">
        <v>16</v>
      </c>
      <c r="J47" t="s">
        <v>99</v>
      </c>
      <c r="K47" t="s">
        <v>95</v>
      </c>
      <c r="L47" t="s">
        <v>26</v>
      </c>
      <c r="M47" t="s">
        <v>100</v>
      </c>
      <c r="N47" t="s">
        <v>137</v>
      </c>
      <c r="O47" t="s">
        <v>18</v>
      </c>
      <c r="P47">
        <v>209126</v>
      </c>
      <c r="Q47" t="s">
        <v>7</v>
      </c>
      <c r="R47" t="s">
        <v>101</v>
      </c>
      <c r="S47" t="s">
        <v>102</v>
      </c>
      <c r="T47">
        <v>90</v>
      </c>
      <c r="U47">
        <v>1</v>
      </c>
      <c r="V47" s="2">
        <v>4.1666666666666664E-2</v>
      </c>
      <c r="W47">
        <v>90</v>
      </c>
      <c r="X47">
        <v>120</v>
      </c>
      <c r="Y47">
        <v>30</v>
      </c>
      <c r="Z47" t="s">
        <v>103</v>
      </c>
      <c r="AA47" t="s">
        <v>104</v>
      </c>
      <c r="AB47" t="s">
        <v>105</v>
      </c>
      <c r="AC47" t="s">
        <v>132</v>
      </c>
      <c r="AD47" t="s">
        <v>107</v>
      </c>
      <c r="AE47">
        <f t="shared" si="7"/>
        <v>2</v>
      </c>
      <c r="AF47" t="str">
        <f t="shared" si="8"/>
        <v>February</v>
      </c>
    </row>
    <row r="48" spans="1:32">
      <c r="A48" s="1">
        <v>45337</v>
      </c>
      <c r="B48" t="s">
        <v>22</v>
      </c>
      <c r="C48" t="s">
        <v>131</v>
      </c>
      <c r="D48" t="s">
        <v>95</v>
      </c>
      <c r="E48" t="s">
        <v>136</v>
      </c>
      <c r="F48" t="s">
        <v>97</v>
      </c>
      <c r="G48" t="s">
        <v>14</v>
      </c>
      <c r="H48" t="s">
        <v>98</v>
      </c>
      <c r="I48" t="s">
        <v>16</v>
      </c>
      <c r="J48" t="s">
        <v>99</v>
      </c>
      <c r="K48" t="s">
        <v>95</v>
      </c>
      <c r="L48" t="s">
        <v>26</v>
      </c>
      <c r="M48" t="s">
        <v>100</v>
      </c>
      <c r="N48" t="s">
        <v>137</v>
      </c>
      <c r="O48" t="s">
        <v>18</v>
      </c>
      <c r="P48">
        <v>212410</v>
      </c>
      <c r="Q48" t="s">
        <v>7</v>
      </c>
      <c r="R48" t="s">
        <v>101</v>
      </c>
      <c r="S48" t="s">
        <v>102</v>
      </c>
      <c r="T48">
        <v>90</v>
      </c>
      <c r="U48">
        <v>7</v>
      </c>
      <c r="V48" s="2">
        <v>0.29166666666666669</v>
      </c>
      <c r="W48">
        <v>630</v>
      </c>
      <c r="X48">
        <v>840</v>
      </c>
      <c r="Y48">
        <v>210</v>
      </c>
      <c r="Z48" t="s">
        <v>103</v>
      </c>
      <c r="AA48" t="s">
        <v>104</v>
      </c>
      <c r="AB48" t="s">
        <v>105</v>
      </c>
      <c r="AC48" t="s">
        <v>132</v>
      </c>
      <c r="AD48" t="s">
        <v>107</v>
      </c>
      <c r="AE48">
        <f t="shared" ref="AE48:AE54" si="9">MONTH(A48)</f>
        <v>2</v>
      </c>
      <c r="AF48" t="str">
        <f t="shared" ref="AF48:AF54" si="10">IF(AE48=1,"January",IF(AE48=2,"February",IF(AE48=3,"March",IF(AE48=4,"April",IF(AE48=5,"May")))))</f>
        <v>February</v>
      </c>
    </row>
    <row r="49" spans="1:32">
      <c r="A49" s="1">
        <v>45338</v>
      </c>
      <c r="B49" t="s">
        <v>22</v>
      </c>
      <c r="C49" t="s">
        <v>131</v>
      </c>
      <c r="D49" t="s">
        <v>95</v>
      </c>
      <c r="E49" t="s">
        <v>136</v>
      </c>
      <c r="F49" t="s">
        <v>97</v>
      </c>
      <c r="G49" t="s">
        <v>14</v>
      </c>
      <c r="H49" t="s">
        <v>98</v>
      </c>
      <c r="I49" t="s">
        <v>16</v>
      </c>
      <c r="J49" t="s">
        <v>99</v>
      </c>
      <c r="K49" t="s">
        <v>95</v>
      </c>
      <c r="L49" t="s">
        <v>26</v>
      </c>
      <c r="M49" t="s">
        <v>100</v>
      </c>
      <c r="N49" t="s">
        <v>137</v>
      </c>
      <c r="O49" t="s">
        <v>18</v>
      </c>
      <c r="P49">
        <v>212409</v>
      </c>
      <c r="Q49" t="s">
        <v>7</v>
      </c>
      <c r="R49" t="s">
        <v>101</v>
      </c>
      <c r="S49" t="s">
        <v>102</v>
      </c>
      <c r="T49">
        <v>90</v>
      </c>
      <c r="U49">
        <v>2.5</v>
      </c>
      <c r="V49" s="2">
        <v>0.10416666666666667</v>
      </c>
      <c r="W49">
        <v>225</v>
      </c>
      <c r="X49">
        <v>300</v>
      </c>
      <c r="Y49">
        <v>75</v>
      </c>
      <c r="Z49" t="s">
        <v>103</v>
      </c>
      <c r="AA49" t="s">
        <v>104</v>
      </c>
      <c r="AB49" t="s">
        <v>105</v>
      </c>
      <c r="AC49" t="s">
        <v>132</v>
      </c>
      <c r="AD49" t="s">
        <v>107</v>
      </c>
      <c r="AE49">
        <f t="shared" si="9"/>
        <v>2</v>
      </c>
      <c r="AF49" t="str">
        <f t="shared" si="10"/>
        <v>February</v>
      </c>
    </row>
    <row r="50" spans="1:32">
      <c r="A50" s="1">
        <v>45342</v>
      </c>
      <c r="B50" t="s">
        <v>22</v>
      </c>
      <c r="C50" t="s">
        <v>131</v>
      </c>
      <c r="D50" t="s">
        <v>95</v>
      </c>
      <c r="E50" t="s">
        <v>136</v>
      </c>
      <c r="F50" t="s">
        <v>97</v>
      </c>
      <c r="G50" t="s">
        <v>14</v>
      </c>
      <c r="H50" t="s">
        <v>98</v>
      </c>
      <c r="I50" t="s">
        <v>16</v>
      </c>
      <c r="J50" t="s">
        <v>99</v>
      </c>
      <c r="K50" t="s">
        <v>95</v>
      </c>
      <c r="L50" t="s">
        <v>26</v>
      </c>
      <c r="M50" t="s">
        <v>100</v>
      </c>
      <c r="N50" t="s">
        <v>137</v>
      </c>
      <c r="O50" t="s">
        <v>18</v>
      </c>
      <c r="P50">
        <v>214277</v>
      </c>
      <c r="Q50" t="s">
        <v>7</v>
      </c>
      <c r="R50" t="s">
        <v>101</v>
      </c>
      <c r="S50" t="s">
        <v>102</v>
      </c>
      <c r="T50">
        <v>90</v>
      </c>
      <c r="U50">
        <v>7.25</v>
      </c>
      <c r="V50" s="2">
        <v>0.30208333333333331</v>
      </c>
      <c r="W50">
        <v>652.5</v>
      </c>
      <c r="X50">
        <v>870</v>
      </c>
      <c r="Y50">
        <v>217.5</v>
      </c>
      <c r="Z50" t="s">
        <v>103</v>
      </c>
      <c r="AA50" t="s">
        <v>104</v>
      </c>
      <c r="AB50" t="s">
        <v>105</v>
      </c>
      <c r="AC50" t="s">
        <v>132</v>
      </c>
      <c r="AD50" t="s">
        <v>107</v>
      </c>
      <c r="AE50">
        <f t="shared" si="9"/>
        <v>2</v>
      </c>
      <c r="AF50" t="str">
        <f t="shared" si="10"/>
        <v>February</v>
      </c>
    </row>
    <row r="51" spans="1:32">
      <c r="A51" s="1">
        <v>45343</v>
      </c>
      <c r="B51" t="s">
        <v>22</v>
      </c>
      <c r="C51" t="s">
        <v>131</v>
      </c>
      <c r="D51" t="s">
        <v>95</v>
      </c>
      <c r="E51" t="s">
        <v>136</v>
      </c>
      <c r="F51" t="s">
        <v>97</v>
      </c>
      <c r="G51" t="s">
        <v>14</v>
      </c>
      <c r="H51" t="s">
        <v>98</v>
      </c>
      <c r="I51" t="s">
        <v>16</v>
      </c>
      <c r="J51" t="s">
        <v>99</v>
      </c>
      <c r="K51" t="s">
        <v>95</v>
      </c>
      <c r="L51" t="s">
        <v>26</v>
      </c>
      <c r="M51" t="s">
        <v>100</v>
      </c>
      <c r="N51" t="s">
        <v>137</v>
      </c>
      <c r="O51" t="s">
        <v>18</v>
      </c>
      <c r="P51">
        <v>214280</v>
      </c>
      <c r="Q51" t="s">
        <v>7</v>
      </c>
      <c r="R51" t="s">
        <v>101</v>
      </c>
      <c r="S51" t="s">
        <v>102</v>
      </c>
      <c r="T51">
        <v>90</v>
      </c>
      <c r="U51">
        <v>4.25</v>
      </c>
      <c r="V51" s="2">
        <v>0.17708333333333334</v>
      </c>
      <c r="W51">
        <v>382.5</v>
      </c>
      <c r="X51">
        <v>510</v>
      </c>
      <c r="Y51">
        <v>127.5</v>
      </c>
      <c r="Z51" t="s">
        <v>103</v>
      </c>
      <c r="AA51" t="s">
        <v>104</v>
      </c>
      <c r="AB51" t="s">
        <v>105</v>
      </c>
      <c r="AC51" t="s">
        <v>132</v>
      </c>
      <c r="AD51" t="s">
        <v>107</v>
      </c>
      <c r="AE51">
        <f t="shared" si="9"/>
        <v>2</v>
      </c>
      <c r="AF51" t="str">
        <f t="shared" si="10"/>
        <v>February</v>
      </c>
    </row>
    <row r="52" spans="1:32">
      <c r="A52" s="1">
        <v>45344</v>
      </c>
      <c r="B52" t="s">
        <v>22</v>
      </c>
      <c r="C52" t="s">
        <v>131</v>
      </c>
      <c r="D52" t="s">
        <v>95</v>
      </c>
      <c r="E52" t="s">
        <v>136</v>
      </c>
      <c r="F52" t="s">
        <v>97</v>
      </c>
      <c r="G52" t="s">
        <v>14</v>
      </c>
      <c r="H52" t="s">
        <v>98</v>
      </c>
      <c r="I52" t="s">
        <v>16</v>
      </c>
      <c r="J52" t="s">
        <v>99</v>
      </c>
      <c r="K52" t="s">
        <v>95</v>
      </c>
      <c r="L52" t="s">
        <v>26</v>
      </c>
      <c r="M52" t="s">
        <v>100</v>
      </c>
      <c r="N52" t="s">
        <v>137</v>
      </c>
      <c r="O52" t="s">
        <v>18</v>
      </c>
      <c r="P52">
        <v>214563</v>
      </c>
      <c r="Q52" t="s">
        <v>7</v>
      </c>
      <c r="R52" t="s">
        <v>101</v>
      </c>
      <c r="S52" t="s">
        <v>102</v>
      </c>
      <c r="T52">
        <v>90</v>
      </c>
      <c r="U52">
        <v>1</v>
      </c>
      <c r="V52" s="2">
        <v>4.1666666666666664E-2</v>
      </c>
      <c r="W52">
        <v>90</v>
      </c>
      <c r="X52">
        <v>120</v>
      </c>
      <c r="Y52">
        <v>30</v>
      </c>
      <c r="Z52" t="s">
        <v>103</v>
      </c>
      <c r="AA52" t="s">
        <v>104</v>
      </c>
      <c r="AB52" t="s">
        <v>105</v>
      </c>
      <c r="AC52" t="s">
        <v>132</v>
      </c>
      <c r="AD52" t="s">
        <v>107</v>
      </c>
      <c r="AE52">
        <f t="shared" si="9"/>
        <v>2</v>
      </c>
      <c r="AF52" t="str">
        <f t="shared" si="10"/>
        <v>February</v>
      </c>
    </row>
    <row r="53" spans="1:32">
      <c r="A53" s="1">
        <v>45348</v>
      </c>
      <c r="B53" t="s">
        <v>22</v>
      </c>
      <c r="C53" t="s">
        <v>131</v>
      </c>
      <c r="D53" t="s">
        <v>95</v>
      </c>
      <c r="E53" t="s">
        <v>136</v>
      </c>
      <c r="F53" t="s">
        <v>97</v>
      </c>
      <c r="G53" t="s">
        <v>14</v>
      </c>
      <c r="H53" t="s">
        <v>98</v>
      </c>
      <c r="I53" t="s">
        <v>16</v>
      </c>
      <c r="J53" t="s">
        <v>99</v>
      </c>
      <c r="K53" t="s">
        <v>95</v>
      </c>
      <c r="L53" t="s">
        <v>26</v>
      </c>
      <c r="M53" t="s">
        <v>100</v>
      </c>
      <c r="N53" t="s">
        <v>137</v>
      </c>
      <c r="O53" t="s">
        <v>18</v>
      </c>
      <c r="P53">
        <v>216146</v>
      </c>
      <c r="Q53" t="s">
        <v>7</v>
      </c>
      <c r="R53" t="s">
        <v>101</v>
      </c>
      <c r="S53" t="s">
        <v>102</v>
      </c>
      <c r="T53">
        <v>90</v>
      </c>
      <c r="U53">
        <v>2</v>
      </c>
      <c r="V53" s="2">
        <v>8.3333333333333329E-2</v>
      </c>
      <c r="W53">
        <v>180</v>
      </c>
      <c r="X53">
        <v>240</v>
      </c>
      <c r="Y53">
        <v>60</v>
      </c>
      <c r="Z53" t="s">
        <v>103</v>
      </c>
      <c r="AA53" t="s">
        <v>104</v>
      </c>
      <c r="AB53" t="s">
        <v>105</v>
      </c>
      <c r="AC53" t="s">
        <v>132</v>
      </c>
      <c r="AD53" t="s">
        <v>107</v>
      </c>
      <c r="AE53">
        <f t="shared" si="9"/>
        <v>2</v>
      </c>
      <c r="AF53" t="str">
        <f t="shared" si="10"/>
        <v>February</v>
      </c>
    </row>
    <row r="54" spans="1:32">
      <c r="A54" s="1">
        <v>45349</v>
      </c>
      <c r="B54" t="s">
        <v>22</v>
      </c>
      <c r="C54" t="s">
        <v>131</v>
      </c>
      <c r="D54" t="s">
        <v>95</v>
      </c>
      <c r="E54" t="s">
        <v>136</v>
      </c>
      <c r="F54" t="s">
        <v>97</v>
      </c>
      <c r="G54" t="s">
        <v>14</v>
      </c>
      <c r="H54" t="s">
        <v>98</v>
      </c>
      <c r="I54" t="s">
        <v>16</v>
      </c>
      <c r="J54" t="s">
        <v>99</v>
      </c>
      <c r="K54" t="s">
        <v>95</v>
      </c>
      <c r="L54" t="s">
        <v>26</v>
      </c>
      <c r="M54" t="s">
        <v>100</v>
      </c>
      <c r="N54" t="s">
        <v>137</v>
      </c>
      <c r="O54" t="s">
        <v>18</v>
      </c>
      <c r="P54">
        <v>217055</v>
      </c>
      <c r="Q54" t="s">
        <v>7</v>
      </c>
      <c r="R54" t="s">
        <v>101</v>
      </c>
      <c r="S54" t="s">
        <v>102</v>
      </c>
      <c r="T54">
        <v>90</v>
      </c>
      <c r="U54">
        <v>0.25</v>
      </c>
      <c r="V54" s="2">
        <v>1.0416666666666666E-2</v>
      </c>
      <c r="W54">
        <v>22.5</v>
      </c>
      <c r="X54">
        <v>30</v>
      </c>
      <c r="Y54">
        <v>7.5</v>
      </c>
      <c r="Z54" t="s">
        <v>103</v>
      </c>
      <c r="AA54" t="s">
        <v>104</v>
      </c>
      <c r="AB54" t="s">
        <v>105</v>
      </c>
      <c r="AC54" t="s">
        <v>132</v>
      </c>
      <c r="AD54" t="s">
        <v>107</v>
      </c>
      <c r="AE54">
        <f t="shared" si="9"/>
        <v>2</v>
      </c>
      <c r="AF54" t="str">
        <f t="shared" si="10"/>
        <v>February</v>
      </c>
    </row>
    <row r="55" spans="1:32">
      <c r="A55" s="1">
        <v>45350</v>
      </c>
      <c r="B55" t="s">
        <v>22</v>
      </c>
      <c r="C55" t="s">
        <v>131</v>
      </c>
      <c r="D55" t="s">
        <v>95</v>
      </c>
      <c r="E55" t="s">
        <v>136</v>
      </c>
      <c r="F55" t="s">
        <v>97</v>
      </c>
      <c r="G55" t="s">
        <v>14</v>
      </c>
      <c r="H55" t="s">
        <v>98</v>
      </c>
      <c r="I55" t="s">
        <v>16</v>
      </c>
      <c r="J55" t="s">
        <v>99</v>
      </c>
      <c r="K55" t="s">
        <v>95</v>
      </c>
      <c r="L55" t="s">
        <v>26</v>
      </c>
      <c r="M55" t="s">
        <v>100</v>
      </c>
      <c r="N55" t="s">
        <v>137</v>
      </c>
      <c r="O55" t="s">
        <v>18</v>
      </c>
      <c r="P55">
        <v>217696</v>
      </c>
      <c r="Q55" t="s">
        <v>7</v>
      </c>
      <c r="R55" t="s">
        <v>101</v>
      </c>
      <c r="S55" t="s">
        <v>102</v>
      </c>
      <c r="T55">
        <v>90</v>
      </c>
      <c r="U55">
        <v>3.25</v>
      </c>
      <c r="V55" s="2">
        <v>0.13541666666666666</v>
      </c>
      <c r="W55">
        <v>292.5</v>
      </c>
      <c r="X55">
        <v>390</v>
      </c>
      <c r="Y55">
        <v>97.5</v>
      </c>
      <c r="Z55" t="s">
        <v>103</v>
      </c>
      <c r="AA55" t="s">
        <v>104</v>
      </c>
      <c r="AB55" t="s">
        <v>105</v>
      </c>
      <c r="AC55" t="s">
        <v>132</v>
      </c>
      <c r="AD55" t="s">
        <v>107</v>
      </c>
      <c r="AE55">
        <f t="shared" ref="AE55:AE57" si="11">MONTH(A55)</f>
        <v>2</v>
      </c>
      <c r="AF55" t="str">
        <f t="shared" ref="AF55:AF57" si="12">IF(AE55=1,"January",IF(AE55=2,"February",IF(AE55=3,"March",IF(AE55=4,"April",IF(AE55=5,"May")))))</f>
        <v>February</v>
      </c>
    </row>
    <row r="56" spans="1:32">
      <c r="A56" s="1">
        <v>45351</v>
      </c>
      <c r="B56" t="s">
        <v>22</v>
      </c>
      <c r="C56" t="s">
        <v>131</v>
      </c>
      <c r="D56" t="s">
        <v>95</v>
      </c>
      <c r="E56" t="s">
        <v>136</v>
      </c>
      <c r="F56" t="s">
        <v>97</v>
      </c>
      <c r="G56" t="s">
        <v>14</v>
      </c>
      <c r="H56" t="s">
        <v>98</v>
      </c>
      <c r="I56" t="s">
        <v>16</v>
      </c>
      <c r="J56" t="s">
        <v>99</v>
      </c>
      <c r="K56" t="s">
        <v>95</v>
      </c>
      <c r="L56" t="s">
        <v>26</v>
      </c>
      <c r="M56" t="s">
        <v>100</v>
      </c>
      <c r="N56" t="s">
        <v>137</v>
      </c>
      <c r="O56" t="s">
        <v>18</v>
      </c>
      <c r="P56">
        <v>217701</v>
      </c>
      <c r="Q56" t="s">
        <v>7</v>
      </c>
      <c r="R56" t="s">
        <v>101</v>
      </c>
      <c r="S56" t="s">
        <v>102</v>
      </c>
      <c r="T56">
        <v>90</v>
      </c>
      <c r="U56">
        <v>0.75</v>
      </c>
      <c r="V56" s="2">
        <v>3.125E-2</v>
      </c>
      <c r="W56">
        <v>67.5</v>
      </c>
      <c r="X56">
        <v>90</v>
      </c>
      <c r="Y56">
        <v>22.5</v>
      </c>
      <c r="Z56" t="s">
        <v>103</v>
      </c>
      <c r="AA56" t="s">
        <v>104</v>
      </c>
      <c r="AB56" t="s">
        <v>105</v>
      </c>
      <c r="AC56" t="s">
        <v>132</v>
      </c>
      <c r="AD56" t="s">
        <v>107</v>
      </c>
      <c r="AE56">
        <f t="shared" si="11"/>
        <v>2</v>
      </c>
      <c r="AF56" t="str">
        <f t="shared" si="12"/>
        <v>February</v>
      </c>
    </row>
    <row r="57" spans="1:32">
      <c r="A57" s="1">
        <v>45352</v>
      </c>
      <c r="B57" t="s">
        <v>22</v>
      </c>
      <c r="C57" t="s">
        <v>131</v>
      </c>
      <c r="D57" t="s">
        <v>95</v>
      </c>
      <c r="E57" t="s">
        <v>136</v>
      </c>
      <c r="F57" t="s">
        <v>97</v>
      </c>
      <c r="G57" t="s">
        <v>14</v>
      </c>
      <c r="H57" t="s">
        <v>98</v>
      </c>
      <c r="I57" t="s">
        <v>16</v>
      </c>
      <c r="J57" t="s">
        <v>99</v>
      </c>
      <c r="K57" t="s">
        <v>95</v>
      </c>
      <c r="L57" t="s">
        <v>26</v>
      </c>
      <c r="M57" t="s">
        <v>100</v>
      </c>
      <c r="N57" t="s">
        <v>137</v>
      </c>
      <c r="O57" t="s">
        <v>18</v>
      </c>
      <c r="P57">
        <v>219384</v>
      </c>
      <c r="Q57" t="s">
        <v>7</v>
      </c>
      <c r="R57" t="s">
        <v>101</v>
      </c>
      <c r="S57" t="s">
        <v>102</v>
      </c>
      <c r="T57">
        <v>90</v>
      </c>
      <c r="U57">
        <v>2.25</v>
      </c>
      <c r="V57" s="2">
        <v>9.375E-2</v>
      </c>
      <c r="W57">
        <v>202.5</v>
      </c>
      <c r="X57">
        <v>270</v>
      </c>
      <c r="Y57">
        <v>67.5</v>
      </c>
      <c r="Z57" t="s">
        <v>108</v>
      </c>
      <c r="AA57" t="s">
        <v>104</v>
      </c>
      <c r="AB57" t="s">
        <v>105</v>
      </c>
      <c r="AC57" t="s">
        <v>132</v>
      </c>
      <c r="AD57" t="s">
        <v>107</v>
      </c>
      <c r="AE57">
        <f t="shared" si="11"/>
        <v>3</v>
      </c>
      <c r="AF57" t="str">
        <f t="shared" si="12"/>
        <v>March</v>
      </c>
    </row>
    <row r="58" spans="1:32">
      <c r="A58" s="1">
        <v>45355</v>
      </c>
      <c r="B58" t="s">
        <v>22</v>
      </c>
      <c r="C58" t="s">
        <v>131</v>
      </c>
      <c r="D58" t="s">
        <v>95</v>
      </c>
      <c r="E58" t="s">
        <v>136</v>
      </c>
      <c r="F58" t="s">
        <v>97</v>
      </c>
      <c r="G58" t="s">
        <v>14</v>
      </c>
      <c r="H58" t="s">
        <v>98</v>
      </c>
      <c r="I58" t="s">
        <v>16</v>
      </c>
      <c r="J58" t="s">
        <v>99</v>
      </c>
      <c r="K58" t="s">
        <v>95</v>
      </c>
      <c r="L58" t="s">
        <v>26</v>
      </c>
      <c r="M58" t="s">
        <v>100</v>
      </c>
      <c r="N58" t="s">
        <v>137</v>
      </c>
      <c r="O58" t="s">
        <v>18</v>
      </c>
      <c r="P58">
        <v>219370</v>
      </c>
      <c r="Q58" t="s">
        <v>7</v>
      </c>
      <c r="R58" t="s">
        <v>101</v>
      </c>
      <c r="S58" t="s">
        <v>102</v>
      </c>
      <c r="T58">
        <v>90</v>
      </c>
      <c r="U58">
        <v>5.25</v>
      </c>
      <c r="V58" s="2">
        <v>0.21875</v>
      </c>
      <c r="W58">
        <v>472.5</v>
      </c>
      <c r="X58">
        <v>630</v>
      </c>
      <c r="Y58">
        <v>157.5</v>
      </c>
      <c r="Z58" t="s">
        <v>108</v>
      </c>
      <c r="AA58" t="s">
        <v>104</v>
      </c>
      <c r="AB58" t="s">
        <v>105</v>
      </c>
      <c r="AC58" t="s">
        <v>132</v>
      </c>
      <c r="AD58" t="s">
        <v>107</v>
      </c>
      <c r="AE58">
        <f t="shared" ref="AE58:AE109" si="13">MONTH(A58)</f>
        <v>3</v>
      </c>
      <c r="AF58" t="str">
        <f t="shared" ref="AF58:AF109" si="14">IF(AE58=1,"January",IF(AE58=2,"February",IF(AE58=3,"March",IF(AE58=4,"April",IF(AE58=5,"May")))))</f>
        <v>March</v>
      </c>
    </row>
    <row r="59" spans="1:32">
      <c r="A59" s="1">
        <v>45356</v>
      </c>
      <c r="B59" t="s">
        <v>22</v>
      </c>
      <c r="C59" t="s">
        <v>131</v>
      </c>
      <c r="D59" t="s">
        <v>95</v>
      </c>
      <c r="E59" t="s">
        <v>136</v>
      </c>
      <c r="F59" t="s">
        <v>97</v>
      </c>
      <c r="G59" t="s">
        <v>14</v>
      </c>
      <c r="H59" t="s">
        <v>98</v>
      </c>
      <c r="I59" t="s">
        <v>16</v>
      </c>
      <c r="J59" t="s">
        <v>99</v>
      </c>
      <c r="K59" t="s">
        <v>95</v>
      </c>
      <c r="L59" t="s">
        <v>26</v>
      </c>
      <c r="M59" t="s">
        <v>100</v>
      </c>
      <c r="N59" t="s">
        <v>137</v>
      </c>
      <c r="O59" t="s">
        <v>18</v>
      </c>
      <c r="P59">
        <v>219880</v>
      </c>
      <c r="Q59" t="s">
        <v>7</v>
      </c>
      <c r="R59" t="s">
        <v>101</v>
      </c>
      <c r="S59" t="s">
        <v>102</v>
      </c>
      <c r="T59">
        <v>90</v>
      </c>
      <c r="U59">
        <v>4.75</v>
      </c>
      <c r="V59" s="2">
        <v>0.19791666666666666</v>
      </c>
      <c r="W59">
        <v>427.5</v>
      </c>
      <c r="X59">
        <v>570</v>
      </c>
      <c r="Y59">
        <v>142.5</v>
      </c>
      <c r="Z59" t="s">
        <v>108</v>
      </c>
      <c r="AA59" t="s">
        <v>104</v>
      </c>
      <c r="AB59" t="s">
        <v>105</v>
      </c>
      <c r="AC59" t="s">
        <v>132</v>
      </c>
      <c r="AD59" t="s">
        <v>107</v>
      </c>
      <c r="AE59">
        <f t="shared" si="13"/>
        <v>3</v>
      </c>
      <c r="AF59" t="str">
        <f t="shared" si="14"/>
        <v>March</v>
      </c>
    </row>
    <row r="60" spans="1:32">
      <c r="A60" s="1">
        <v>45357</v>
      </c>
      <c r="B60" t="s">
        <v>22</v>
      </c>
      <c r="C60" t="s">
        <v>131</v>
      </c>
      <c r="D60" t="s">
        <v>95</v>
      </c>
      <c r="E60" t="s">
        <v>136</v>
      </c>
      <c r="F60" t="s">
        <v>97</v>
      </c>
      <c r="G60" t="s">
        <v>14</v>
      </c>
      <c r="H60" t="s">
        <v>98</v>
      </c>
      <c r="I60" t="s">
        <v>16</v>
      </c>
      <c r="J60" t="s">
        <v>99</v>
      </c>
      <c r="K60" t="s">
        <v>95</v>
      </c>
      <c r="L60" t="s">
        <v>26</v>
      </c>
      <c r="M60" t="s">
        <v>100</v>
      </c>
      <c r="N60" t="s">
        <v>137</v>
      </c>
      <c r="O60" t="s">
        <v>18</v>
      </c>
      <c r="P60">
        <v>220833</v>
      </c>
      <c r="Q60" t="s">
        <v>7</v>
      </c>
      <c r="R60" t="s">
        <v>101</v>
      </c>
      <c r="S60" t="s">
        <v>102</v>
      </c>
      <c r="T60">
        <v>90</v>
      </c>
      <c r="U60">
        <v>2.75</v>
      </c>
      <c r="V60" s="2">
        <v>0.11458333333333333</v>
      </c>
      <c r="W60">
        <v>247.5</v>
      </c>
      <c r="X60">
        <v>330</v>
      </c>
      <c r="Y60">
        <v>82.5</v>
      </c>
      <c r="Z60" t="s">
        <v>108</v>
      </c>
      <c r="AA60" t="s">
        <v>104</v>
      </c>
      <c r="AB60" t="s">
        <v>105</v>
      </c>
      <c r="AC60" t="s">
        <v>132</v>
      </c>
      <c r="AD60" t="s">
        <v>107</v>
      </c>
      <c r="AE60">
        <f t="shared" si="13"/>
        <v>3</v>
      </c>
      <c r="AF60" t="str">
        <f t="shared" si="14"/>
        <v>March</v>
      </c>
    </row>
    <row r="61" spans="1:32">
      <c r="A61" s="1">
        <v>45358</v>
      </c>
      <c r="B61" t="s">
        <v>22</v>
      </c>
      <c r="C61" t="s">
        <v>131</v>
      </c>
      <c r="D61" t="s">
        <v>95</v>
      </c>
      <c r="E61" t="s">
        <v>136</v>
      </c>
      <c r="F61" t="s">
        <v>97</v>
      </c>
      <c r="G61" t="s">
        <v>14</v>
      </c>
      <c r="H61" t="s">
        <v>98</v>
      </c>
      <c r="I61" t="s">
        <v>16</v>
      </c>
      <c r="J61" t="s">
        <v>99</v>
      </c>
      <c r="K61" t="s">
        <v>95</v>
      </c>
      <c r="L61" t="s">
        <v>26</v>
      </c>
      <c r="M61" t="s">
        <v>100</v>
      </c>
      <c r="N61" t="s">
        <v>137</v>
      </c>
      <c r="O61" t="s">
        <v>18</v>
      </c>
      <c r="P61">
        <v>221107</v>
      </c>
      <c r="Q61" t="s">
        <v>7</v>
      </c>
      <c r="R61" t="s">
        <v>101</v>
      </c>
      <c r="S61" t="s">
        <v>102</v>
      </c>
      <c r="T61">
        <v>90</v>
      </c>
      <c r="U61">
        <v>1</v>
      </c>
      <c r="V61" s="2">
        <v>4.1666666666666664E-2</v>
      </c>
      <c r="W61">
        <v>90</v>
      </c>
      <c r="X61">
        <v>120</v>
      </c>
      <c r="Y61">
        <v>30</v>
      </c>
      <c r="Z61" t="s">
        <v>108</v>
      </c>
      <c r="AA61" t="s">
        <v>104</v>
      </c>
      <c r="AB61" t="s">
        <v>105</v>
      </c>
      <c r="AC61" t="s">
        <v>132</v>
      </c>
      <c r="AD61" t="s">
        <v>107</v>
      </c>
      <c r="AE61">
        <f t="shared" si="13"/>
        <v>3</v>
      </c>
      <c r="AF61" t="str">
        <f t="shared" si="14"/>
        <v>March</v>
      </c>
    </row>
    <row r="62" spans="1:32">
      <c r="A62" s="1">
        <v>45359</v>
      </c>
      <c r="B62" t="s">
        <v>22</v>
      </c>
      <c r="C62" t="s">
        <v>131</v>
      </c>
      <c r="D62" t="s">
        <v>95</v>
      </c>
      <c r="E62" t="s">
        <v>136</v>
      </c>
      <c r="F62" t="s">
        <v>97</v>
      </c>
      <c r="G62" t="s">
        <v>14</v>
      </c>
      <c r="H62" t="s">
        <v>98</v>
      </c>
      <c r="I62" t="s">
        <v>16</v>
      </c>
      <c r="J62" t="s">
        <v>99</v>
      </c>
      <c r="K62" t="s">
        <v>95</v>
      </c>
      <c r="L62" t="s">
        <v>26</v>
      </c>
      <c r="M62" t="s">
        <v>100</v>
      </c>
      <c r="N62" t="s">
        <v>137</v>
      </c>
      <c r="O62" t="s">
        <v>18</v>
      </c>
      <c r="P62">
        <v>221735</v>
      </c>
      <c r="Q62" t="s">
        <v>7</v>
      </c>
      <c r="R62" t="s">
        <v>101</v>
      </c>
      <c r="S62" t="s">
        <v>102</v>
      </c>
      <c r="T62">
        <v>90</v>
      </c>
      <c r="U62">
        <v>0.5</v>
      </c>
      <c r="V62" s="2">
        <v>2.0833333333333332E-2</v>
      </c>
      <c r="W62">
        <v>45</v>
      </c>
      <c r="X62">
        <v>60</v>
      </c>
      <c r="Y62">
        <v>15</v>
      </c>
      <c r="Z62" t="s">
        <v>108</v>
      </c>
      <c r="AA62" t="s">
        <v>104</v>
      </c>
      <c r="AB62" t="s">
        <v>105</v>
      </c>
      <c r="AC62" t="s">
        <v>132</v>
      </c>
      <c r="AD62" t="s">
        <v>107</v>
      </c>
      <c r="AE62">
        <f t="shared" si="13"/>
        <v>3</v>
      </c>
      <c r="AF62" t="str">
        <f t="shared" si="14"/>
        <v>March</v>
      </c>
    </row>
    <row r="63" spans="1:32">
      <c r="A63" s="1">
        <v>45362</v>
      </c>
      <c r="B63" t="s">
        <v>22</v>
      </c>
      <c r="C63" t="s">
        <v>131</v>
      </c>
      <c r="D63" t="s">
        <v>95</v>
      </c>
      <c r="E63" t="s">
        <v>136</v>
      </c>
      <c r="F63" t="s">
        <v>97</v>
      </c>
      <c r="G63" t="s">
        <v>14</v>
      </c>
      <c r="H63" t="s">
        <v>98</v>
      </c>
      <c r="I63" t="s">
        <v>16</v>
      </c>
      <c r="J63" t="s">
        <v>99</v>
      </c>
      <c r="K63" t="s">
        <v>95</v>
      </c>
      <c r="L63" t="s">
        <v>26</v>
      </c>
      <c r="M63" t="s">
        <v>100</v>
      </c>
      <c r="N63" t="s">
        <v>137</v>
      </c>
      <c r="O63" t="s">
        <v>18</v>
      </c>
      <c r="P63">
        <v>222478</v>
      </c>
      <c r="Q63" t="s">
        <v>7</v>
      </c>
      <c r="R63" t="s">
        <v>101</v>
      </c>
      <c r="S63" t="s">
        <v>102</v>
      </c>
      <c r="T63">
        <v>90</v>
      </c>
      <c r="U63">
        <v>2.75</v>
      </c>
      <c r="V63" s="2">
        <v>0.11458333333333333</v>
      </c>
      <c r="W63">
        <v>247.5</v>
      </c>
      <c r="X63">
        <v>330</v>
      </c>
      <c r="Y63">
        <v>82.5</v>
      </c>
      <c r="Z63" t="s">
        <v>108</v>
      </c>
      <c r="AA63" t="s">
        <v>104</v>
      </c>
      <c r="AB63" t="s">
        <v>105</v>
      </c>
      <c r="AC63" t="s">
        <v>132</v>
      </c>
      <c r="AD63" t="s">
        <v>107</v>
      </c>
      <c r="AE63">
        <f t="shared" si="13"/>
        <v>3</v>
      </c>
      <c r="AF63" t="str">
        <f t="shared" si="14"/>
        <v>March</v>
      </c>
    </row>
    <row r="64" spans="1:32">
      <c r="A64" s="1">
        <v>45363</v>
      </c>
      <c r="B64" t="s">
        <v>22</v>
      </c>
      <c r="C64" t="s">
        <v>131</v>
      </c>
      <c r="D64" t="s">
        <v>95</v>
      </c>
      <c r="E64" t="s">
        <v>136</v>
      </c>
      <c r="F64" t="s">
        <v>97</v>
      </c>
      <c r="G64" t="s">
        <v>14</v>
      </c>
      <c r="H64" t="s">
        <v>98</v>
      </c>
      <c r="I64" t="s">
        <v>16</v>
      </c>
      <c r="J64" t="s">
        <v>99</v>
      </c>
      <c r="K64" t="s">
        <v>95</v>
      </c>
      <c r="L64" t="s">
        <v>26</v>
      </c>
      <c r="M64" t="s">
        <v>100</v>
      </c>
      <c r="N64" t="s">
        <v>137</v>
      </c>
      <c r="O64" t="s">
        <v>18</v>
      </c>
      <c r="P64">
        <v>223124</v>
      </c>
      <c r="Q64" t="s">
        <v>7</v>
      </c>
      <c r="R64" t="s">
        <v>101</v>
      </c>
      <c r="S64" t="s">
        <v>102</v>
      </c>
      <c r="T64">
        <v>90</v>
      </c>
      <c r="U64">
        <v>0.5</v>
      </c>
      <c r="V64" s="2">
        <v>2.0833333333333332E-2</v>
      </c>
      <c r="W64">
        <v>45</v>
      </c>
      <c r="X64">
        <v>60</v>
      </c>
      <c r="Y64">
        <v>15</v>
      </c>
      <c r="Z64" t="s">
        <v>108</v>
      </c>
      <c r="AA64" t="s">
        <v>104</v>
      </c>
      <c r="AB64" t="s">
        <v>105</v>
      </c>
      <c r="AC64" t="s">
        <v>132</v>
      </c>
      <c r="AD64" t="s">
        <v>107</v>
      </c>
      <c r="AE64">
        <f t="shared" si="13"/>
        <v>3</v>
      </c>
      <c r="AF64" t="str">
        <f t="shared" si="14"/>
        <v>March</v>
      </c>
    </row>
    <row r="65" spans="1:32">
      <c r="A65" s="1">
        <v>45364</v>
      </c>
      <c r="B65" t="s">
        <v>22</v>
      </c>
      <c r="C65" t="s">
        <v>131</v>
      </c>
      <c r="D65" t="s">
        <v>95</v>
      </c>
      <c r="E65" t="s">
        <v>136</v>
      </c>
      <c r="F65" t="s">
        <v>97</v>
      </c>
      <c r="G65" t="s">
        <v>14</v>
      </c>
      <c r="H65" t="s">
        <v>98</v>
      </c>
      <c r="I65" t="s">
        <v>16</v>
      </c>
      <c r="J65" t="s">
        <v>99</v>
      </c>
      <c r="K65" t="s">
        <v>95</v>
      </c>
      <c r="L65" t="s">
        <v>26</v>
      </c>
      <c r="M65" t="s">
        <v>100</v>
      </c>
      <c r="N65" t="s">
        <v>137</v>
      </c>
      <c r="O65" t="s">
        <v>18</v>
      </c>
      <c r="P65">
        <v>223117</v>
      </c>
      <c r="Q65" t="s">
        <v>7</v>
      </c>
      <c r="R65" t="s">
        <v>101</v>
      </c>
      <c r="S65" t="s">
        <v>102</v>
      </c>
      <c r="T65">
        <v>90</v>
      </c>
      <c r="U65">
        <v>0.25</v>
      </c>
      <c r="V65" s="2">
        <v>1.0416666666666666E-2</v>
      </c>
      <c r="W65">
        <v>22.5</v>
      </c>
      <c r="X65">
        <v>30</v>
      </c>
      <c r="Y65">
        <v>7.5</v>
      </c>
      <c r="Z65" t="s">
        <v>108</v>
      </c>
      <c r="AA65" t="s">
        <v>104</v>
      </c>
      <c r="AB65" t="s">
        <v>105</v>
      </c>
      <c r="AC65" t="s">
        <v>132</v>
      </c>
      <c r="AD65" t="s">
        <v>107</v>
      </c>
      <c r="AE65">
        <f t="shared" si="13"/>
        <v>3</v>
      </c>
      <c r="AF65" t="str">
        <f t="shared" si="14"/>
        <v>March</v>
      </c>
    </row>
    <row r="66" spans="1:32">
      <c r="A66" s="1">
        <v>45366</v>
      </c>
      <c r="B66" t="s">
        <v>22</v>
      </c>
      <c r="C66" t="s">
        <v>131</v>
      </c>
      <c r="D66" t="s">
        <v>95</v>
      </c>
      <c r="E66" t="s">
        <v>136</v>
      </c>
      <c r="F66" t="s">
        <v>97</v>
      </c>
      <c r="G66" t="s">
        <v>14</v>
      </c>
      <c r="H66" t="s">
        <v>98</v>
      </c>
      <c r="I66" t="s">
        <v>16</v>
      </c>
      <c r="J66" t="s">
        <v>99</v>
      </c>
      <c r="K66" t="s">
        <v>95</v>
      </c>
      <c r="L66" t="s">
        <v>26</v>
      </c>
      <c r="M66" t="s">
        <v>100</v>
      </c>
      <c r="N66" t="s">
        <v>137</v>
      </c>
      <c r="O66" t="s">
        <v>18</v>
      </c>
      <c r="P66">
        <v>224079</v>
      </c>
      <c r="Q66" t="s">
        <v>7</v>
      </c>
      <c r="R66" t="s">
        <v>101</v>
      </c>
      <c r="S66" t="s">
        <v>102</v>
      </c>
      <c r="T66">
        <v>90</v>
      </c>
      <c r="U66">
        <v>2.25</v>
      </c>
      <c r="V66" s="2">
        <v>9.375E-2</v>
      </c>
      <c r="W66">
        <v>202.5</v>
      </c>
      <c r="X66">
        <v>270</v>
      </c>
      <c r="Y66">
        <v>67.5</v>
      </c>
      <c r="Z66" t="s">
        <v>108</v>
      </c>
      <c r="AA66" t="s">
        <v>104</v>
      </c>
      <c r="AB66" t="s">
        <v>105</v>
      </c>
      <c r="AC66" t="s">
        <v>132</v>
      </c>
      <c r="AD66" t="s">
        <v>107</v>
      </c>
      <c r="AE66">
        <f t="shared" si="13"/>
        <v>3</v>
      </c>
      <c r="AF66" t="str">
        <f t="shared" si="14"/>
        <v>March</v>
      </c>
    </row>
    <row r="67" spans="1:32">
      <c r="A67" s="1">
        <v>45369</v>
      </c>
      <c r="B67" t="s">
        <v>22</v>
      </c>
      <c r="C67" t="s">
        <v>131</v>
      </c>
      <c r="D67" t="s">
        <v>95</v>
      </c>
      <c r="E67" t="s">
        <v>136</v>
      </c>
      <c r="F67" t="s">
        <v>97</v>
      </c>
      <c r="G67" t="s">
        <v>14</v>
      </c>
      <c r="H67" t="s">
        <v>98</v>
      </c>
      <c r="I67" t="s">
        <v>16</v>
      </c>
      <c r="J67" t="s">
        <v>99</v>
      </c>
      <c r="K67" t="s">
        <v>95</v>
      </c>
      <c r="L67" t="s">
        <v>26</v>
      </c>
      <c r="M67" t="s">
        <v>100</v>
      </c>
      <c r="N67" t="s">
        <v>137</v>
      </c>
      <c r="O67" t="s">
        <v>18</v>
      </c>
      <c r="P67">
        <v>225270</v>
      </c>
      <c r="Q67" t="s">
        <v>7</v>
      </c>
      <c r="R67" t="s">
        <v>101</v>
      </c>
      <c r="S67" t="s">
        <v>102</v>
      </c>
      <c r="T67">
        <v>90</v>
      </c>
      <c r="U67">
        <v>1.75</v>
      </c>
      <c r="V67" s="2">
        <v>7.2916666666666671E-2</v>
      </c>
      <c r="W67">
        <v>157.5</v>
      </c>
      <c r="X67">
        <v>210</v>
      </c>
      <c r="Y67">
        <v>52.5</v>
      </c>
      <c r="Z67" t="s">
        <v>108</v>
      </c>
      <c r="AA67" t="s">
        <v>104</v>
      </c>
      <c r="AB67" t="s">
        <v>105</v>
      </c>
      <c r="AC67" t="s">
        <v>132</v>
      </c>
      <c r="AD67" t="s">
        <v>107</v>
      </c>
      <c r="AE67">
        <f t="shared" si="13"/>
        <v>3</v>
      </c>
      <c r="AF67" t="str">
        <f t="shared" si="14"/>
        <v>March</v>
      </c>
    </row>
    <row r="68" spans="1:32">
      <c r="A68" s="1">
        <v>45370</v>
      </c>
      <c r="B68" t="s">
        <v>22</v>
      </c>
      <c r="C68" t="s">
        <v>131</v>
      </c>
      <c r="D68" t="s">
        <v>95</v>
      </c>
      <c r="E68" t="s">
        <v>136</v>
      </c>
      <c r="F68" t="s">
        <v>97</v>
      </c>
      <c r="G68" t="s">
        <v>14</v>
      </c>
      <c r="H68" t="s">
        <v>98</v>
      </c>
      <c r="I68" t="s">
        <v>16</v>
      </c>
      <c r="J68" t="s">
        <v>99</v>
      </c>
      <c r="K68" t="s">
        <v>95</v>
      </c>
      <c r="L68" t="s">
        <v>26</v>
      </c>
      <c r="M68" t="s">
        <v>100</v>
      </c>
      <c r="N68" t="s">
        <v>137</v>
      </c>
      <c r="O68" t="s">
        <v>18</v>
      </c>
      <c r="P68">
        <v>225840</v>
      </c>
      <c r="Q68" t="s">
        <v>7</v>
      </c>
      <c r="R68" t="s">
        <v>101</v>
      </c>
      <c r="S68" t="s">
        <v>102</v>
      </c>
      <c r="T68">
        <v>90</v>
      </c>
      <c r="U68">
        <v>1.25</v>
      </c>
      <c r="V68" s="2">
        <v>5.2083333333333336E-2</v>
      </c>
      <c r="W68">
        <v>112.5</v>
      </c>
      <c r="X68">
        <v>150</v>
      </c>
      <c r="Y68">
        <v>37.5</v>
      </c>
      <c r="Z68" t="s">
        <v>108</v>
      </c>
      <c r="AA68" t="s">
        <v>104</v>
      </c>
      <c r="AB68" t="s">
        <v>105</v>
      </c>
      <c r="AC68" t="s">
        <v>132</v>
      </c>
      <c r="AD68" t="s">
        <v>107</v>
      </c>
      <c r="AE68">
        <f t="shared" si="13"/>
        <v>3</v>
      </c>
      <c r="AF68" t="str">
        <f t="shared" si="14"/>
        <v>March</v>
      </c>
    </row>
    <row r="69" spans="1:32">
      <c r="A69" s="1">
        <v>45371</v>
      </c>
      <c r="B69" t="s">
        <v>22</v>
      </c>
      <c r="C69" t="s">
        <v>131</v>
      </c>
      <c r="D69" t="s">
        <v>95</v>
      </c>
      <c r="E69" t="s">
        <v>136</v>
      </c>
      <c r="F69" t="s">
        <v>97</v>
      </c>
      <c r="G69" t="s">
        <v>14</v>
      </c>
      <c r="H69" t="s">
        <v>98</v>
      </c>
      <c r="I69" t="s">
        <v>16</v>
      </c>
      <c r="J69" t="s">
        <v>99</v>
      </c>
      <c r="K69" t="s">
        <v>95</v>
      </c>
      <c r="L69" t="s">
        <v>26</v>
      </c>
      <c r="M69" t="s">
        <v>100</v>
      </c>
      <c r="N69" t="s">
        <v>137</v>
      </c>
      <c r="O69" t="s">
        <v>18</v>
      </c>
      <c r="P69">
        <v>225836</v>
      </c>
      <c r="Q69" t="s">
        <v>7</v>
      </c>
      <c r="R69" t="s">
        <v>101</v>
      </c>
      <c r="S69" t="s">
        <v>102</v>
      </c>
      <c r="T69">
        <v>90</v>
      </c>
      <c r="U69">
        <v>1.75</v>
      </c>
      <c r="V69" s="2">
        <v>7.2916666666666671E-2</v>
      </c>
      <c r="W69">
        <v>157.5</v>
      </c>
      <c r="X69">
        <v>210</v>
      </c>
      <c r="Y69">
        <v>52.5</v>
      </c>
      <c r="Z69" t="s">
        <v>108</v>
      </c>
      <c r="AA69" t="s">
        <v>104</v>
      </c>
      <c r="AB69" t="s">
        <v>105</v>
      </c>
      <c r="AC69" t="s">
        <v>132</v>
      </c>
      <c r="AD69" t="s">
        <v>107</v>
      </c>
      <c r="AE69">
        <f t="shared" si="13"/>
        <v>3</v>
      </c>
      <c r="AF69" t="str">
        <f t="shared" si="14"/>
        <v>March</v>
      </c>
    </row>
    <row r="70" spans="1:32">
      <c r="A70" s="1">
        <v>45373</v>
      </c>
      <c r="B70" t="s">
        <v>22</v>
      </c>
      <c r="C70" t="s">
        <v>131</v>
      </c>
      <c r="D70" t="s">
        <v>95</v>
      </c>
      <c r="E70" t="s">
        <v>136</v>
      </c>
      <c r="F70" t="s">
        <v>97</v>
      </c>
      <c r="G70" t="s">
        <v>14</v>
      </c>
      <c r="H70" t="s">
        <v>98</v>
      </c>
      <c r="I70" t="s">
        <v>16</v>
      </c>
      <c r="J70" t="s">
        <v>99</v>
      </c>
      <c r="K70" t="s">
        <v>95</v>
      </c>
      <c r="L70" t="s">
        <v>26</v>
      </c>
      <c r="M70" t="s">
        <v>100</v>
      </c>
      <c r="N70" t="s">
        <v>137</v>
      </c>
      <c r="O70" t="s">
        <v>18</v>
      </c>
      <c r="P70">
        <v>226473</v>
      </c>
      <c r="Q70" t="s">
        <v>7</v>
      </c>
      <c r="R70" t="s">
        <v>101</v>
      </c>
      <c r="S70" t="s">
        <v>102</v>
      </c>
      <c r="T70">
        <v>90</v>
      </c>
      <c r="U70">
        <v>1.5</v>
      </c>
      <c r="V70" s="2">
        <v>6.25E-2</v>
      </c>
      <c r="W70">
        <v>135</v>
      </c>
      <c r="X70">
        <v>180</v>
      </c>
      <c r="Y70">
        <v>45</v>
      </c>
      <c r="Z70" t="s">
        <v>108</v>
      </c>
      <c r="AA70" t="s">
        <v>104</v>
      </c>
      <c r="AB70" t="s">
        <v>105</v>
      </c>
      <c r="AC70" t="s">
        <v>132</v>
      </c>
      <c r="AD70" t="s">
        <v>107</v>
      </c>
      <c r="AE70">
        <f t="shared" si="13"/>
        <v>3</v>
      </c>
      <c r="AF70" t="str">
        <f t="shared" si="14"/>
        <v>March</v>
      </c>
    </row>
    <row r="71" spans="1:32">
      <c r="A71" s="1">
        <v>45376</v>
      </c>
      <c r="B71" t="s">
        <v>22</v>
      </c>
      <c r="C71" t="s">
        <v>131</v>
      </c>
      <c r="D71" t="s">
        <v>95</v>
      </c>
      <c r="E71" t="s">
        <v>136</v>
      </c>
      <c r="F71" t="s">
        <v>97</v>
      </c>
      <c r="G71" t="s">
        <v>14</v>
      </c>
      <c r="H71" t="s">
        <v>98</v>
      </c>
      <c r="I71" t="s">
        <v>16</v>
      </c>
      <c r="J71" t="s">
        <v>99</v>
      </c>
      <c r="K71" t="s">
        <v>95</v>
      </c>
      <c r="L71" t="s">
        <v>26</v>
      </c>
      <c r="M71" t="s">
        <v>100</v>
      </c>
      <c r="N71" t="s">
        <v>137</v>
      </c>
      <c r="O71" t="s">
        <v>18</v>
      </c>
      <c r="P71">
        <v>227596</v>
      </c>
      <c r="Q71" t="s">
        <v>7</v>
      </c>
      <c r="R71" t="s">
        <v>101</v>
      </c>
      <c r="S71" t="s">
        <v>102</v>
      </c>
      <c r="T71">
        <v>90</v>
      </c>
      <c r="U71">
        <v>2.25</v>
      </c>
      <c r="V71" s="2">
        <v>9.375E-2</v>
      </c>
      <c r="W71">
        <v>202.5</v>
      </c>
      <c r="X71">
        <v>270</v>
      </c>
      <c r="Y71">
        <v>67.5</v>
      </c>
      <c r="Z71" t="s">
        <v>108</v>
      </c>
      <c r="AA71" t="s">
        <v>104</v>
      </c>
      <c r="AB71" t="s">
        <v>105</v>
      </c>
      <c r="AC71" t="s">
        <v>132</v>
      </c>
      <c r="AD71" t="s">
        <v>107</v>
      </c>
      <c r="AE71">
        <f t="shared" si="13"/>
        <v>3</v>
      </c>
      <c r="AF71" t="str">
        <f t="shared" si="14"/>
        <v>March</v>
      </c>
    </row>
    <row r="72" spans="1:32">
      <c r="A72" s="1">
        <v>45377</v>
      </c>
      <c r="B72" t="s">
        <v>22</v>
      </c>
      <c r="C72" t="s">
        <v>131</v>
      </c>
      <c r="D72" t="s">
        <v>95</v>
      </c>
      <c r="E72" t="s">
        <v>136</v>
      </c>
      <c r="F72" t="s">
        <v>97</v>
      </c>
      <c r="G72" t="s">
        <v>14</v>
      </c>
      <c r="H72" t="s">
        <v>98</v>
      </c>
      <c r="I72" t="s">
        <v>16</v>
      </c>
      <c r="J72" t="s">
        <v>99</v>
      </c>
      <c r="K72" t="s">
        <v>95</v>
      </c>
      <c r="L72" t="s">
        <v>26</v>
      </c>
      <c r="M72" t="s">
        <v>100</v>
      </c>
      <c r="N72" t="s">
        <v>137</v>
      </c>
      <c r="O72" t="s">
        <v>18</v>
      </c>
      <c r="P72">
        <v>227592</v>
      </c>
      <c r="Q72" t="s">
        <v>7</v>
      </c>
      <c r="R72" t="s">
        <v>101</v>
      </c>
      <c r="S72" t="s">
        <v>102</v>
      </c>
      <c r="T72">
        <v>90</v>
      </c>
      <c r="U72">
        <v>1.5</v>
      </c>
      <c r="V72" s="2">
        <v>6.25E-2</v>
      </c>
      <c r="W72">
        <v>135</v>
      </c>
      <c r="X72">
        <v>180</v>
      </c>
      <c r="Y72">
        <v>45</v>
      </c>
      <c r="Z72" t="s">
        <v>108</v>
      </c>
      <c r="AA72" t="s">
        <v>104</v>
      </c>
      <c r="AB72" t="s">
        <v>105</v>
      </c>
      <c r="AC72" t="s">
        <v>132</v>
      </c>
      <c r="AD72" t="s">
        <v>107</v>
      </c>
      <c r="AE72">
        <f t="shared" si="13"/>
        <v>3</v>
      </c>
      <c r="AF72" t="str">
        <f t="shared" si="14"/>
        <v>March</v>
      </c>
    </row>
    <row r="73" spans="1:32">
      <c r="A73" s="1">
        <v>45378</v>
      </c>
      <c r="B73" t="s">
        <v>22</v>
      </c>
      <c r="C73" t="s">
        <v>131</v>
      </c>
      <c r="D73" t="s">
        <v>95</v>
      </c>
      <c r="E73" t="s">
        <v>136</v>
      </c>
      <c r="F73" t="s">
        <v>97</v>
      </c>
      <c r="G73" t="s">
        <v>14</v>
      </c>
      <c r="H73" t="s">
        <v>98</v>
      </c>
      <c r="I73" t="s">
        <v>16</v>
      </c>
      <c r="J73" t="s">
        <v>99</v>
      </c>
      <c r="K73" t="s">
        <v>95</v>
      </c>
      <c r="L73" t="s">
        <v>26</v>
      </c>
      <c r="M73" t="s">
        <v>100</v>
      </c>
      <c r="N73" t="s">
        <v>137</v>
      </c>
      <c r="O73" t="s">
        <v>18</v>
      </c>
      <c r="P73">
        <v>228791</v>
      </c>
      <c r="Q73" t="s">
        <v>7</v>
      </c>
      <c r="R73" t="s">
        <v>101</v>
      </c>
      <c r="S73" t="s">
        <v>102</v>
      </c>
      <c r="T73">
        <v>90</v>
      </c>
      <c r="U73">
        <v>1</v>
      </c>
      <c r="V73" s="2">
        <v>4.1666666666666664E-2</v>
      </c>
      <c r="W73">
        <v>90</v>
      </c>
      <c r="X73">
        <v>120</v>
      </c>
      <c r="Y73">
        <v>30</v>
      </c>
      <c r="Z73" t="s">
        <v>108</v>
      </c>
      <c r="AA73" t="s">
        <v>104</v>
      </c>
      <c r="AB73" t="s">
        <v>105</v>
      </c>
      <c r="AC73" t="s">
        <v>132</v>
      </c>
      <c r="AD73" t="s">
        <v>107</v>
      </c>
      <c r="AE73">
        <f t="shared" si="13"/>
        <v>3</v>
      </c>
      <c r="AF73" t="str">
        <f t="shared" si="14"/>
        <v>March</v>
      </c>
    </row>
    <row r="74" spans="1:32">
      <c r="A74" s="1">
        <v>45390</v>
      </c>
      <c r="B74" t="s">
        <v>22</v>
      </c>
      <c r="C74" t="s">
        <v>131</v>
      </c>
      <c r="D74" t="s">
        <v>95</v>
      </c>
      <c r="E74" t="s">
        <v>136</v>
      </c>
      <c r="F74" t="s">
        <v>97</v>
      </c>
      <c r="G74" t="s">
        <v>14</v>
      </c>
      <c r="H74" t="s">
        <v>98</v>
      </c>
      <c r="I74" t="s">
        <v>16</v>
      </c>
      <c r="J74" t="s">
        <v>99</v>
      </c>
      <c r="K74" t="s">
        <v>95</v>
      </c>
      <c r="L74" t="s">
        <v>26</v>
      </c>
      <c r="M74" t="s">
        <v>100</v>
      </c>
      <c r="N74" t="s">
        <v>137</v>
      </c>
      <c r="O74" t="s">
        <v>18</v>
      </c>
      <c r="P74">
        <v>233907</v>
      </c>
      <c r="Q74" t="s">
        <v>8</v>
      </c>
      <c r="R74" t="s">
        <v>101</v>
      </c>
      <c r="S74" t="s">
        <v>102</v>
      </c>
      <c r="T74">
        <v>90</v>
      </c>
      <c r="U74">
        <v>1.25</v>
      </c>
      <c r="V74" s="2">
        <v>5.2083333333333336E-2</v>
      </c>
      <c r="W74">
        <v>112.5</v>
      </c>
      <c r="X74">
        <v>150</v>
      </c>
      <c r="Y74">
        <v>37.5</v>
      </c>
      <c r="Z74" t="s">
        <v>124</v>
      </c>
      <c r="AA74" t="s">
        <v>104</v>
      </c>
      <c r="AB74" t="s">
        <v>105</v>
      </c>
      <c r="AC74" t="s">
        <v>132</v>
      </c>
      <c r="AD74" t="s">
        <v>107</v>
      </c>
      <c r="AE74">
        <f t="shared" si="13"/>
        <v>4</v>
      </c>
      <c r="AF74" t="str">
        <f t="shared" si="14"/>
        <v>April</v>
      </c>
    </row>
    <row r="75" spans="1:32">
      <c r="A75" s="1">
        <v>45391</v>
      </c>
      <c r="B75" t="s">
        <v>22</v>
      </c>
      <c r="C75" t="s">
        <v>131</v>
      </c>
      <c r="D75" t="s">
        <v>95</v>
      </c>
      <c r="E75" t="s">
        <v>136</v>
      </c>
      <c r="F75" t="s">
        <v>97</v>
      </c>
      <c r="G75" t="s">
        <v>14</v>
      </c>
      <c r="H75" t="s">
        <v>98</v>
      </c>
      <c r="I75" t="s">
        <v>16</v>
      </c>
      <c r="J75" t="s">
        <v>99</v>
      </c>
      <c r="K75" t="s">
        <v>95</v>
      </c>
      <c r="L75" t="s">
        <v>26</v>
      </c>
      <c r="M75" t="s">
        <v>100</v>
      </c>
      <c r="N75" t="s">
        <v>137</v>
      </c>
      <c r="O75" t="s">
        <v>18</v>
      </c>
      <c r="P75">
        <v>233908</v>
      </c>
      <c r="Q75" t="s">
        <v>8</v>
      </c>
      <c r="R75" t="s">
        <v>101</v>
      </c>
      <c r="S75" t="s">
        <v>102</v>
      </c>
      <c r="T75">
        <v>90</v>
      </c>
      <c r="U75">
        <v>0.25</v>
      </c>
      <c r="V75" s="2">
        <v>1.0416666666666666E-2</v>
      </c>
      <c r="W75">
        <v>22.5</v>
      </c>
      <c r="X75">
        <v>30</v>
      </c>
      <c r="Y75">
        <v>7.5</v>
      </c>
      <c r="Z75" t="s">
        <v>124</v>
      </c>
      <c r="AA75" t="s">
        <v>104</v>
      </c>
      <c r="AB75" t="s">
        <v>105</v>
      </c>
      <c r="AC75" t="s">
        <v>132</v>
      </c>
      <c r="AD75" t="s">
        <v>107</v>
      </c>
      <c r="AE75">
        <f t="shared" si="13"/>
        <v>4</v>
      </c>
      <c r="AF75" t="str">
        <f t="shared" si="14"/>
        <v>April</v>
      </c>
    </row>
    <row r="76" spans="1:32">
      <c r="A76" s="1">
        <v>45392</v>
      </c>
      <c r="B76" t="s">
        <v>22</v>
      </c>
      <c r="C76" t="s">
        <v>131</v>
      </c>
      <c r="D76" t="s">
        <v>95</v>
      </c>
      <c r="E76" t="s">
        <v>136</v>
      </c>
      <c r="F76" t="s">
        <v>97</v>
      </c>
      <c r="G76" t="s">
        <v>14</v>
      </c>
      <c r="H76" t="s">
        <v>98</v>
      </c>
      <c r="I76" t="s">
        <v>16</v>
      </c>
      <c r="J76" t="s">
        <v>99</v>
      </c>
      <c r="K76" t="s">
        <v>95</v>
      </c>
      <c r="L76" t="s">
        <v>26</v>
      </c>
      <c r="M76" t="s">
        <v>100</v>
      </c>
      <c r="N76" t="s">
        <v>137</v>
      </c>
      <c r="O76" t="s">
        <v>18</v>
      </c>
      <c r="P76">
        <v>233909</v>
      </c>
      <c r="Q76" t="s">
        <v>8</v>
      </c>
      <c r="R76" t="s">
        <v>101</v>
      </c>
      <c r="S76" t="s">
        <v>102</v>
      </c>
      <c r="T76">
        <v>90</v>
      </c>
      <c r="U76">
        <v>1.25</v>
      </c>
      <c r="V76" s="2">
        <v>5.2083333333333336E-2</v>
      </c>
      <c r="W76">
        <v>112.5</v>
      </c>
      <c r="X76">
        <v>150</v>
      </c>
      <c r="Y76">
        <v>37.5</v>
      </c>
      <c r="Z76" t="s">
        <v>124</v>
      </c>
      <c r="AA76" t="s">
        <v>104</v>
      </c>
      <c r="AB76" t="s">
        <v>105</v>
      </c>
      <c r="AC76" t="s">
        <v>132</v>
      </c>
      <c r="AD76" t="s">
        <v>107</v>
      </c>
      <c r="AE76">
        <f t="shared" si="13"/>
        <v>4</v>
      </c>
      <c r="AF76" t="str">
        <f t="shared" si="14"/>
        <v>April</v>
      </c>
    </row>
    <row r="77" spans="1:32">
      <c r="A77" s="1">
        <v>45393</v>
      </c>
      <c r="B77" t="s">
        <v>22</v>
      </c>
      <c r="C77" t="s">
        <v>131</v>
      </c>
      <c r="D77" t="s">
        <v>95</v>
      </c>
      <c r="E77" t="s">
        <v>136</v>
      </c>
      <c r="F77" t="s">
        <v>97</v>
      </c>
      <c r="G77" t="s">
        <v>14</v>
      </c>
      <c r="H77" t="s">
        <v>98</v>
      </c>
      <c r="I77" t="s">
        <v>16</v>
      </c>
      <c r="J77" t="s">
        <v>99</v>
      </c>
      <c r="K77" t="s">
        <v>95</v>
      </c>
      <c r="L77" t="s">
        <v>26</v>
      </c>
      <c r="M77" t="s">
        <v>100</v>
      </c>
      <c r="N77" t="s">
        <v>137</v>
      </c>
      <c r="O77" t="s">
        <v>18</v>
      </c>
      <c r="P77">
        <v>233906</v>
      </c>
      <c r="Q77" t="s">
        <v>8</v>
      </c>
      <c r="R77" t="s">
        <v>101</v>
      </c>
      <c r="S77" t="s">
        <v>102</v>
      </c>
      <c r="T77">
        <v>90</v>
      </c>
      <c r="U77">
        <v>1</v>
      </c>
      <c r="V77" s="2">
        <v>4.1666666666666664E-2</v>
      </c>
      <c r="W77">
        <v>90</v>
      </c>
      <c r="X77">
        <v>120</v>
      </c>
      <c r="Y77">
        <v>30</v>
      </c>
      <c r="Z77" t="s">
        <v>124</v>
      </c>
      <c r="AA77" t="s">
        <v>104</v>
      </c>
      <c r="AB77" t="s">
        <v>105</v>
      </c>
      <c r="AC77" t="s">
        <v>132</v>
      </c>
      <c r="AD77" t="s">
        <v>107</v>
      </c>
      <c r="AE77">
        <f t="shared" si="13"/>
        <v>4</v>
      </c>
      <c r="AF77" t="str">
        <f t="shared" si="14"/>
        <v>April</v>
      </c>
    </row>
    <row r="78" spans="1:32">
      <c r="A78" s="1">
        <v>45394</v>
      </c>
      <c r="B78" t="s">
        <v>22</v>
      </c>
      <c r="C78" t="s">
        <v>131</v>
      </c>
      <c r="D78" t="s">
        <v>95</v>
      </c>
      <c r="E78" t="s">
        <v>136</v>
      </c>
      <c r="F78" t="s">
        <v>97</v>
      </c>
      <c r="G78" t="s">
        <v>14</v>
      </c>
      <c r="H78" t="s">
        <v>98</v>
      </c>
      <c r="I78" t="s">
        <v>16</v>
      </c>
      <c r="J78" t="s">
        <v>99</v>
      </c>
      <c r="K78" t="s">
        <v>95</v>
      </c>
      <c r="L78" t="s">
        <v>26</v>
      </c>
      <c r="M78" t="s">
        <v>100</v>
      </c>
      <c r="N78" t="s">
        <v>137</v>
      </c>
      <c r="O78" t="s">
        <v>18</v>
      </c>
      <c r="P78">
        <v>234505</v>
      </c>
      <c r="Q78" t="s">
        <v>8</v>
      </c>
      <c r="R78" t="s">
        <v>101</v>
      </c>
      <c r="S78" t="s">
        <v>102</v>
      </c>
      <c r="T78">
        <v>90</v>
      </c>
      <c r="U78">
        <v>0.25</v>
      </c>
      <c r="V78" s="2">
        <v>1.0416666666666666E-2</v>
      </c>
      <c r="W78">
        <v>22.5</v>
      </c>
      <c r="X78">
        <v>30</v>
      </c>
      <c r="Y78">
        <v>7.5</v>
      </c>
      <c r="Z78" t="s">
        <v>124</v>
      </c>
      <c r="AA78" t="s">
        <v>104</v>
      </c>
      <c r="AB78" t="s">
        <v>105</v>
      </c>
      <c r="AC78" t="s">
        <v>132</v>
      </c>
      <c r="AD78" t="s">
        <v>107</v>
      </c>
      <c r="AE78">
        <f t="shared" si="13"/>
        <v>4</v>
      </c>
      <c r="AF78" t="str">
        <f t="shared" si="14"/>
        <v>April</v>
      </c>
    </row>
    <row r="79" spans="1:32">
      <c r="A79" s="1">
        <v>45355</v>
      </c>
      <c r="B79" t="s">
        <v>28</v>
      </c>
      <c r="C79" t="s">
        <v>94</v>
      </c>
      <c r="D79" t="s">
        <v>95</v>
      </c>
      <c r="E79" t="s">
        <v>96</v>
      </c>
      <c r="F79" t="s">
        <v>97</v>
      </c>
      <c r="G79" t="s">
        <v>14</v>
      </c>
      <c r="H79" t="s">
        <v>98</v>
      </c>
      <c r="I79" t="s">
        <v>16</v>
      </c>
      <c r="J79" t="s">
        <v>99</v>
      </c>
      <c r="K79" t="s">
        <v>95</v>
      </c>
      <c r="L79" t="s">
        <v>26</v>
      </c>
      <c r="M79" t="s">
        <v>100</v>
      </c>
      <c r="N79" t="s">
        <v>24</v>
      </c>
      <c r="O79" t="s">
        <v>18</v>
      </c>
      <c r="P79">
        <v>221465</v>
      </c>
      <c r="Q79" t="s">
        <v>7</v>
      </c>
      <c r="R79" t="s">
        <v>101</v>
      </c>
      <c r="S79" t="s">
        <v>102</v>
      </c>
      <c r="T79">
        <v>90</v>
      </c>
      <c r="U79">
        <v>8.5</v>
      </c>
      <c r="V79" s="2">
        <v>0.35416666666666669</v>
      </c>
      <c r="W79">
        <v>765</v>
      </c>
      <c r="X79">
        <v>1020</v>
      </c>
      <c r="Y79">
        <v>255</v>
      </c>
      <c r="Z79" t="s">
        <v>108</v>
      </c>
      <c r="AA79" t="s">
        <v>104</v>
      </c>
      <c r="AB79" t="s">
        <v>105</v>
      </c>
      <c r="AC79" t="e">
        <f ca="1">-- Grainger Website Integration Standup -- _xludf.Code walkthrough of existing LWC component -- Org setup</f>
        <v>#NAME?</v>
      </c>
      <c r="AD79" t="s">
        <v>107</v>
      </c>
      <c r="AE79">
        <f t="shared" si="13"/>
        <v>3</v>
      </c>
      <c r="AF79" t="str">
        <f t="shared" si="14"/>
        <v>March</v>
      </c>
    </row>
    <row r="80" spans="1:32">
      <c r="A80" s="1">
        <v>45356</v>
      </c>
      <c r="B80" t="s">
        <v>28</v>
      </c>
      <c r="C80" t="s">
        <v>94</v>
      </c>
      <c r="D80" t="s">
        <v>95</v>
      </c>
      <c r="E80" t="s">
        <v>96</v>
      </c>
      <c r="F80" t="s">
        <v>97</v>
      </c>
      <c r="G80" t="s">
        <v>14</v>
      </c>
      <c r="H80" t="s">
        <v>98</v>
      </c>
      <c r="I80" t="s">
        <v>16</v>
      </c>
      <c r="J80" t="s">
        <v>99</v>
      </c>
      <c r="K80" t="s">
        <v>95</v>
      </c>
      <c r="L80" t="s">
        <v>26</v>
      </c>
      <c r="M80" t="s">
        <v>100</v>
      </c>
      <c r="N80" t="s">
        <v>24</v>
      </c>
      <c r="O80" t="s">
        <v>18</v>
      </c>
      <c r="P80">
        <v>221467</v>
      </c>
      <c r="Q80" t="s">
        <v>7</v>
      </c>
      <c r="R80" t="s">
        <v>101</v>
      </c>
      <c r="S80" t="s">
        <v>102</v>
      </c>
      <c r="T80">
        <v>90</v>
      </c>
      <c r="U80">
        <v>8.5</v>
      </c>
      <c r="V80" s="2">
        <v>0.35416666666666669</v>
      </c>
      <c r="W80">
        <v>765</v>
      </c>
      <c r="X80">
        <v>1020</v>
      </c>
      <c r="Y80">
        <v>255</v>
      </c>
      <c r="Z80" t="s">
        <v>108</v>
      </c>
      <c r="AA80" t="s">
        <v>104</v>
      </c>
      <c r="AB80" t="s">
        <v>105</v>
      </c>
      <c r="AC80" t="s">
        <v>138</v>
      </c>
      <c r="AD80" t="s">
        <v>107</v>
      </c>
      <c r="AE80">
        <f t="shared" si="13"/>
        <v>3</v>
      </c>
      <c r="AF80" t="str">
        <f t="shared" si="14"/>
        <v>March</v>
      </c>
    </row>
    <row r="81" spans="1:32">
      <c r="A81" s="1">
        <v>45357</v>
      </c>
      <c r="B81" t="s">
        <v>28</v>
      </c>
      <c r="C81" t="s">
        <v>94</v>
      </c>
      <c r="D81" t="s">
        <v>95</v>
      </c>
      <c r="E81" t="s">
        <v>96</v>
      </c>
      <c r="F81" t="s">
        <v>97</v>
      </c>
      <c r="G81" t="s">
        <v>14</v>
      </c>
      <c r="H81" t="s">
        <v>98</v>
      </c>
      <c r="I81" t="s">
        <v>16</v>
      </c>
      <c r="J81" t="s">
        <v>99</v>
      </c>
      <c r="K81" t="s">
        <v>95</v>
      </c>
      <c r="L81" t="s">
        <v>26</v>
      </c>
      <c r="M81" t="s">
        <v>100</v>
      </c>
      <c r="N81" t="s">
        <v>24</v>
      </c>
      <c r="O81" t="s">
        <v>18</v>
      </c>
      <c r="P81">
        <v>221468</v>
      </c>
      <c r="Q81" t="s">
        <v>7</v>
      </c>
      <c r="R81" t="s">
        <v>101</v>
      </c>
      <c r="S81" t="s">
        <v>102</v>
      </c>
      <c r="T81">
        <v>90</v>
      </c>
      <c r="U81">
        <v>8.5</v>
      </c>
      <c r="V81" s="2">
        <v>0.35416666666666669</v>
      </c>
      <c r="W81">
        <v>765</v>
      </c>
      <c r="X81">
        <v>1020</v>
      </c>
      <c r="Y81">
        <v>255</v>
      </c>
      <c r="Z81" t="s">
        <v>108</v>
      </c>
      <c r="AA81" t="s">
        <v>104</v>
      </c>
      <c r="AB81" t="s">
        <v>105</v>
      </c>
      <c r="AC81" t="s">
        <v>139</v>
      </c>
      <c r="AD81" t="s">
        <v>107</v>
      </c>
      <c r="AE81">
        <f t="shared" si="13"/>
        <v>3</v>
      </c>
      <c r="AF81" t="str">
        <f t="shared" si="14"/>
        <v>March</v>
      </c>
    </row>
    <row r="82" spans="1:32">
      <c r="A82" s="1">
        <v>45358</v>
      </c>
      <c r="B82" t="s">
        <v>28</v>
      </c>
      <c r="C82" t="s">
        <v>94</v>
      </c>
      <c r="D82" t="s">
        <v>95</v>
      </c>
      <c r="E82" t="s">
        <v>96</v>
      </c>
      <c r="F82" t="s">
        <v>97</v>
      </c>
      <c r="G82" t="s">
        <v>14</v>
      </c>
      <c r="H82" t="s">
        <v>98</v>
      </c>
      <c r="I82" t="s">
        <v>16</v>
      </c>
      <c r="J82" t="s">
        <v>99</v>
      </c>
      <c r="K82" t="s">
        <v>95</v>
      </c>
      <c r="L82" t="s">
        <v>26</v>
      </c>
      <c r="M82" t="s">
        <v>100</v>
      </c>
      <c r="N82" t="s">
        <v>24</v>
      </c>
      <c r="O82" t="s">
        <v>18</v>
      </c>
      <c r="P82">
        <v>221469</v>
      </c>
      <c r="Q82" t="s">
        <v>7</v>
      </c>
      <c r="R82" t="s">
        <v>101</v>
      </c>
      <c r="S82" t="s">
        <v>102</v>
      </c>
      <c r="T82">
        <v>90</v>
      </c>
      <c r="U82">
        <v>8.5</v>
      </c>
      <c r="V82" s="2">
        <v>0.35416666666666669</v>
      </c>
      <c r="W82">
        <v>765</v>
      </c>
      <c r="X82">
        <v>1020</v>
      </c>
      <c r="Y82">
        <v>255</v>
      </c>
      <c r="Z82" t="s">
        <v>108</v>
      </c>
      <c r="AA82" t="s">
        <v>104</v>
      </c>
      <c r="AB82" t="s">
        <v>105</v>
      </c>
      <c r="AC82" t="s">
        <v>140</v>
      </c>
      <c r="AD82" t="s">
        <v>107</v>
      </c>
      <c r="AE82">
        <f t="shared" si="13"/>
        <v>3</v>
      </c>
      <c r="AF82" t="str">
        <f t="shared" si="14"/>
        <v>March</v>
      </c>
    </row>
    <row r="83" spans="1:32">
      <c r="A83" s="1">
        <v>45359</v>
      </c>
      <c r="B83" t="s">
        <v>28</v>
      </c>
      <c r="C83" t="s">
        <v>94</v>
      </c>
      <c r="D83" t="s">
        <v>95</v>
      </c>
      <c r="E83" t="s">
        <v>96</v>
      </c>
      <c r="F83" t="s">
        <v>97</v>
      </c>
      <c r="G83" t="s">
        <v>14</v>
      </c>
      <c r="H83" t="s">
        <v>98</v>
      </c>
      <c r="I83" t="s">
        <v>16</v>
      </c>
      <c r="J83" t="s">
        <v>99</v>
      </c>
      <c r="K83" t="s">
        <v>95</v>
      </c>
      <c r="L83" t="s">
        <v>26</v>
      </c>
      <c r="M83" t="s">
        <v>100</v>
      </c>
      <c r="N83" t="s">
        <v>24</v>
      </c>
      <c r="O83" t="s">
        <v>18</v>
      </c>
      <c r="P83">
        <v>221473</v>
      </c>
      <c r="Q83" t="s">
        <v>7</v>
      </c>
      <c r="R83" t="s">
        <v>101</v>
      </c>
      <c r="S83" t="s">
        <v>102</v>
      </c>
      <c r="T83">
        <v>90</v>
      </c>
      <c r="U83">
        <v>8.5</v>
      </c>
      <c r="V83" s="2">
        <v>0.35416666666666669</v>
      </c>
      <c r="W83">
        <v>765</v>
      </c>
      <c r="X83">
        <v>1020</v>
      </c>
      <c r="Y83">
        <v>255</v>
      </c>
      <c r="Z83" t="s">
        <v>108</v>
      </c>
      <c r="AA83" t="s">
        <v>104</v>
      </c>
      <c r="AB83" t="s">
        <v>105</v>
      </c>
      <c r="AC83" t="s">
        <v>141</v>
      </c>
      <c r="AD83" t="s">
        <v>107</v>
      </c>
      <c r="AE83">
        <f t="shared" si="13"/>
        <v>3</v>
      </c>
      <c r="AF83" t="str">
        <f t="shared" si="14"/>
        <v>March</v>
      </c>
    </row>
    <row r="84" spans="1:32">
      <c r="A84" s="1">
        <v>45362</v>
      </c>
      <c r="B84" t="s">
        <v>28</v>
      </c>
      <c r="C84" t="s">
        <v>94</v>
      </c>
      <c r="D84" t="s">
        <v>95</v>
      </c>
      <c r="E84" t="s">
        <v>96</v>
      </c>
      <c r="F84" t="s">
        <v>97</v>
      </c>
      <c r="G84" t="s">
        <v>14</v>
      </c>
      <c r="H84" t="s">
        <v>98</v>
      </c>
      <c r="I84" t="s">
        <v>16</v>
      </c>
      <c r="J84" t="s">
        <v>99</v>
      </c>
      <c r="K84" t="s">
        <v>95</v>
      </c>
      <c r="L84" t="s">
        <v>26</v>
      </c>
      <c r="M84" t="s">
        <v>100</v>
      </c>
      <c r="N84" t="s">
        <v>24</v>
      </c>
      <c r="O84" t="s">
        <v>18</v>
      </c>
      <c r="P84">
        <v>223686</v>
      </c>
      <c r="Q84" t="s">
        <v>7</v>
      </c>
      <c r="R84" t="s">
        <v>101</v>
      </c>
      <c r="S84" t="s">
        <v>102</v>
      </c>
      <c r="T84">
        <v>90</v>
      </c>
      <c r="U84">
        <v>9.5</v>
      </c>
      <c r="V84" s="2">
        <v>0.39583333333333331</v>
      </c>
      <c r="W84">
        <v>855</v>
      </c>
      <c r="X84">
        <v>1140</v>
      </c>
      <c r="Y84">
        <v>285</v>
      </c>
      <c r="Z84" t="s">
        <v>108</v>
      </c>
      <c r="AA84" t="s">
        <v>104</v>
      </c>
      <c r="AB84" t="s">
        <v>105</v>
      </c>
      <c r="AC84" t="s">
        <v>142</v>
      </c>
      <c r="AD84" t="s">
        <v>107</v>
      </c>
      <c r="AE84">
        <f t="shared" si="13"/>
        <v>3</v>
      </c>
      <c r="AF84" t="str">
        <f t="shared" si="14"/>
        <v>March</v>
      </c>
    </row>
    <row r="85" spans="1:32">
      <c r="A85" s="1">
        <v>45363</v>
      </c>
      <c r="B85" t="s">
        <v>28</v>
      </c>
      <c r="C85" t="s">
        <v>94</v>
      </c>
      <c r="D85" t="s">
        <v>95</v>
      </c>
      <c r="E85" t="s">
        <v>96</v>
      </c>
      <c r="F85" t="s">
        <v>97</v>
      </c>
      <c r="G85" t="s">
        <v>14</v>
      </c>
      <c r="H85" t="s">
        <v>98</v>
      </c>
      <c r="I85" t="s">
        <v>16</v>
      </c>
      <c r="J85" t="s">
        <v>99</v>
      </c>
      <c r="K85" t="s">
        <v>95</v>
      </c>
      <c r="L85" t="s">
        <v>26</v>
      </c>
      <c r="M85" t="s">
        <v>100</v>
      </c>
      <c r="N85" t="s">
        <v>24</v>
      </c>
      <c r="O85" t="s">
        <v>18</v>
      </c>
      <c r="P85">
        <v>223687</v>
      </c>
      <c r="Q85" t="s">
        <v>7</v>
      </c>
      <c r="R85" t="s">
        <v>101</v>
      </c>
      <c r="S85" t="s">
        <v>102</v>
      </c>
      <c r="T85">
        <v>90</v>
      </c>
      <c r="U85">
        <v>9</v>
      </c>
      <c r="V85" s="2">
        <v>0.375</v>
      </c>
      <c r="W85">
        <v>810</v>
      </c>
      <c r="X85">
        <v>1080</v>
      </c>
      <c r="Y85">
        <v>270</v>
      </c>
      <c r="Z85" t="s">
        <v>108</v>
      </c>
      <c r="AA85" t="s">
        <v>104</v>
      </c>
      <c r="AB85" t="s">
        <v>105</v>
      </c>
      <c r="AC85" t="s">
        <v>143</v>
      </c>
      <c r="AD85" t="s">
        <v>107</v>
      </c>
      <c r="AE85">
        <f t="shared" si="13"/>
        <v>3</v>
      </c>
      <c r="AF85" t="str">
        <f t="shared" si="14"/>
        <v>March</v>
      </c>
    </row>
    <row r="86" spans="1:32">
      <c r="A86" s="1">
        <v>45364</v>
      </c>
      <c r="B86" t="s">
        <v>28</v>
      </c>
      <c r="C86" t="s">
        <v>94</v>
      </c>
      <c r="D86" t="s">
        <v>95</v>
      </c>
      <c r="E86" t="s">
        <v>96</v>
      </c>
      <c r="F86" t="s">
        <v>97</v>
      </c>
      <c r="G86" t="s">
        <v>14</v>
      </c>
      <c r="H86" t="s">
        <v>98</v>
      </c>
      <c r="I86" t="s">
        <v>16</v>
      </c>
      <c r="J86" t="s">
        <v>99</v>
      </c>
      <c r="K86" t="s">
        <v>95</v>
      </c>
      <c r="L86" t="s">
        <v>26</v>
      </c>
      <c r="M86" t="s">
        <v>100</v>
      </c>
      <c r="N86" t="s">
        <v>24</v>
      </c>
      <c r="O86" t="s">
        <v>18</v>
      </c>
      <c r="P86">
        <v>223688</v>
      </c>
      <c r="Q86" t="s">
        <v>7</v>
      </c>
      <c r="R86" t="s">
        <v>101</v>
      </c>
      <c r="S86" t="s">
        <v>102</v>
      </c>
      <c r="T86">
        <v>90</v>
      </c>
      <c r="U86">
        <v>9</v>
      </c>
      <c r="V86" s="2">
        <v>0.375</v>
      </c>
      <c r="W86">
        <v>810</v>
      </c>
      <c r="X86">
        <v>1080</v>
      </c>
      <c r="Y86">
        <v>270</v>
      </c>
      <c r="Z86" t="s">
        <v>108</v>
      </c>
      <c r="AA86" t="s">
        <v>104</v>
      </c>
      <c r="AB86" t="s">
        <v>105</v>
      </c>
      <c r="AC86" t="s">
        <v>144</v>
      </c>
      <c r="AD86" t="s">
        <v>107</v>
      </c>
      <c r="AE86">
        <f t="shared" si="13"/>
        <v>3</v>
      </c>
      <c r="AF86" t="str">
        <f t="shared" si="14"/>
        <v>March</v>
      </c>
    </row>
    <row r="87" spans="1:32">
      <c r="A87" s="1">
        <v>45365</v>
      </c>
      <c r="B87" t="s">
        <v>28</v>
      </c>
      <c r="C87" t="s">
        <v>94</v>
      </c>
      <c r="D87" t="s">
        <v>95</v>
      </c>
      <c r="E87" t="s">
        <v>96</v>
      </c>
      <c r="F87" t="s">
        <v>97</v>
      </c>
      <c r="G87" t="s">
        <v>14</v>
      </c>
      <c r="H87" t="s">
        <v>98</v>
      </c>
      <c r="I87" t="s">
        <v>16</v>
      </c>
      <c r="J87" t="s">
        <v>99</v>
      </c>
      <c r="K87" t="s">
        <v>95</v>
      </c>
      <c r="L87" t="s">
        <v>26</v>
      </c>
      <c r="M87" t="s">
        <v>100</v>
      </c>
      <c r="N87" t="s">
        <v>24</v>
      </c>
      <c r="O87" t="s">
        <v>18</v>
      </c>
      <c r="P87">
        <v>223685</v>
      </c>
      <c r="Q87" t="s">
        <v>7</v>
      </c>
      <c r="R87" t="s">
        <v>101</v>
      </c>
      <c r="S87" t="s">
        <v>102</v>
      </c>
      <c r="T87">
        <v>90</v>
      </c>
      <c r="U87">
        <v>11</v>
      </c>
      <c r="V87" s="2">
        <v>0.45833333333333331</v>
      </c>
      <c r="W87">
        <v>990</v>
      </c>
      <c r="X87">
        <v>1320</v>
      </c>
      <c r="Y87">
        <v>330</v>
      </c>
      <c r="Z87" t="s">
        <v>108</v>
      </c>
      <c r="AA87" t="s">
        <v>104</v>
      </c>
      <c r="AB87" t="s">
        <v>105</v>
      </c>
      <c r="AC87" t="s">
        <v>145</v>
      </c>
      <c r="AD87" t="s">
        <v>107</v>
      </c>
      <c r="AE87">
        <f t="shared" si="13"/>
        <v>3</v>
      </c>
      <c r="AF87" t="str">
        <f t="shared" si="14"/>
        <v>March</v>
      </c>
    </row>
    <row r="88" spans="1:32">
      <c r="A88" s="1">
        <v>45366</v>
      </c>
      <c r="B88" t="s">
        <v>28</v>
      </c>
      <c r="C88" t="s">
        <v>94</v>
      </c>
      <c r="D88" t="s">
        <v>95</v>
      </c>
      <c r="E88" t="s">
        <v>96</v>
      </c>
      <c r="F88" t="s">
        <v>97</v>
      </c>
      <c r="G88" t="s">
        <v>14</v>
      </c>
      <c r="H88" t="s">
        <v>98</v>
      </c>
      <c r="I88" t="s">
        <v>16</v>
      </c>
      <c r="J88" t="s">
        <v>99</v>
      </c>
      <c r="K88" t="s">
        <v>95</v>
      </c>
      <c r="L88" t="s">
        <v>26</v>
      </c>
      <c r="M88" t="s">
        <v>100</v>
      </c>
      <c r="N88" t="s">
        <v>24</v>
      </c>
      <c r="O88" t="s">
        <v>18</v>
      </c>
      <c r="P88">
        <v>224214</v>
      </c>
      <c r="Q88" t="s">
        <v>7</v>
      </c>
      <c r="R88" t="s">
        <v>101</v>
      </c>
      <c r="S88" t="s">
        <v>102</v>
      </c>
      <c r="T88">
        <v>90</v>
      </c>
      <c r="U88">
        <v>8.5</v>
      </c>
      <c r="V88" s="2">
        <v>0.35416666666666669</v>
      </c>
      <c r="W88">
        <v>765</v>
      </c>
      <c r="X88">
        <v>1020</v>
      </c>
      <c r="Y88">
        <v>255</v>
      </c>
      <c r="Z88" t="s">
        <v>108</v>
      </c>
      <c r="AA88" t="s">
        <v>104</v>
      </c>
      <c r="AB88" t="s">
        <v>105</v>
      </c>
      <c r="AC88" t="s">
        <v>145</v>
      </c>
      <c r="AD88" t="s">
        <v>107</v>
      </c>
      <c r="AE88">
        <f t="shared" si="13"/>
        <v>3</v>
      </c>
      <c r="AF88" t="str">
        <f t="shared" si="14"/>
        <v>March</v>
      </c>
    </row>
    <row r="89" spans="1:32">
      <c r="A89" s="1">
        <v>45369</v>
      </c>
      <c r="B89" t="s">
        <v>28</v>
      </c>
      <c r="C89" t="s">
        <v>94</v>
      </c>
      <c r="D89" t="s">
        <v>95</v>
      </c>
      <c r="E89" t="s">
        <v>96</v>
      </c>
      <c r="F89" t="s">
        <v>97</v>
      </c>
      <c r="G89" t="s">
        <v>14</v>
      </c>
      <c r="H89" t="s">
        <v>98</v>
      </c>
      <c r="I89" t="s">
        <v>16</v>
      </c>
      <c r="J89" t="s">
        <v>99</v>
      </c>
      <c r="K89" t="s">
        <v>95</v>
      </c>
      <c r="L89" t="s">
        <v>26</v>
      </c>
      <c r="M89" t="s">
        <v>100</v>
      </c>
      <c r="N89" t="s">
        <v>24</v>
      </c>
      <c r="O89" t="s">
        <v>18</v>
      </c>
      <c r="P89">
        <v>225674</v>
      </c>
      <c r="Q89" t="s">
        <v>7</v>
      </c>
      <c r="R89" t="s">
        <v>101</v>
      </c>
      <c r="S89" t="s">
        <v>102</v>
      </c>
      <c r="T89">
        <v>90</v>
      </c>
      <c r="U89">
        <v>12</v>
      </c>
      <c r="V89" s="2">
        <v>0.5</v>
      </c>
      <c r="W89">
        <v>1080</v>
      </c>
      <c r="X89">
        <v>1440</v>
      </c>
      <c r="Y89">
        <v>360</v>
      </c>
      <c r="Z89" t="s">
        <v>108</v>
      </c>
      <c r="AA89" t="s">
        <v>104</v>
      </c>
      <c r="AB89" t="s">
        <v>105</v>
      </c>
      <c r="AC89" t="s">
        <v>146</v>
      </c>
      <c r="AD89" t="s">
        <v>107</v>
      </c>
      <c r="AE89">
        <f t="shared" si="13"/>
        <v>3</v>
      </c>
      <c r="AF89" t="str">
        <f t="shared" si="14"/>
        <v>March</v>
      </c>
    </row>
    <row r="90" spans="1:32">
      <c r="A90" s="1">
        <v>45370</v>
      </c>
      <c r="B90" t="s">
        <v>28</v>
      </c>
      <c r="C90" t="s">
        <v>94</v>
      </c>
      <c r="D90" t="s">
        <v>95</v>
      </c>
      <c r="E90" t="s">
        <v>96</v>
      </c>
      <c r="F90" t="s">
        <v>97</v>
      </c>
      <c r="G90" t="s">
        <v>14</v>
      </c>
      <c r="H90" t="s">
        <v>98</v>
      </c>
      <c r="I90" t="s">
        <v>16</v>
      </c>
      <c r="J90" t="s">
        <v>99</v>
      </c>
      <c r="K90" t="s">
        <v>95</v>
      </c>
      <c r="L90" t="s">
        <v>26</v>
      </c>
      <c r="M90" t="s">
        <v>100</v>
      </c>
      <c r="N90" t="s">
        <v>24</v>
      </c>
      <c r="O90" t="s">
        <v>18</v>
      </c>
      <c r="P90">
        <v>225675</v>
      </c>
      <c r="Q90" t="s">
        <v>7</v>
      </c>
      <c r="R90" t="s">
        <v>101</v>
      </c>
      <c r="S90" t="s">
        <v>102</v>
      </c>
      <c r="T90">
        <v>90</v>
      </c>
      <c r="U90">
        <v>11</v>
      </c>
      <c r="V90" s="2">
        <v>0.45833333333333331</v>
      </c>
      <c r="W90">
        <v>990</v>
      </c>
      <c r="X90">
        <v>1320</v>
      </c>
      <c r="Y90">
        <v>330</v>
      </c>
      <c r="Z90" t="s">
        <v>108</v>
      </c>
      <c r="AA90" t="s">
        <v>104</v>
      </c>
      <c r="AB90" t="s">
        <v>105</v>
      </c>
      <c r="AC90" t="e">
        <f ca="1">-- Grainger Website Integration Standup -- Working on Test classes related to UAT deployment</f>
        <v>#NAME?</v>
      </c>
      <c r="AD90" t="s">
        <v>107</v>
      </c>
      <c r="AE90">
        <f t="shared" si="13"/>
        <v>3</v>
      </c>
      <c r="AF90" t="str">
        <f t="shared" si="14"/>
        <v>March</v>
      </c>
    </row>
    <row r="91" spans="1:32">
      <c r="A91" s="1">
        <v>45377</v>
      </c>
      <c r="B91" t="s">
        <v>28</v>
      </c>
      <c r="C91" t="s">
        <v>94</v>
      </c>
      <c r="D91" t="s">
        <v>95</v>
      </c>
      <c r="E91" t="s">
        <v>96</v>
      </c>
      <c r="F91" t="s">
        <v>97</v>
      </c>
      <c r="G91" t="s">
        <v>14</v>
      </c>
      <c r="H91" t="s">
        <v>98</v>
      </c>
      <c r="I91" t="s">
        <v>16</v>
      </c>
      <c r="J91" t="s">
        <v>99</v>
      </c>
      <c r="K91" t="s">
        <v>95</v>
      </c>
      <c r="L91" t="s">
        <v>26</v>
      </c>
      <c r="M91" t="s">
        <v>100</v>
      </c>
      <c r="N91" t="s">
        <v>24</v>
      </c>
      <c r="O91" t="s">
        <v>18</v>
      </c>
      <c r="P91">
        <v>229435</v>
      </c>
      <c r="Q91" t="s">
        <v>8</v>
      </c>
      <c r="R91" t="s">
        <v>101</v>
      </c>
      <c r="S91" t="s">
        <v>102</v>
      </c>
      <c r="T91">
        <v>90</v>
      </c>
      <c r="U91">
        <v>2</v>
      </c>
      <c r="V91" s="2">
        <v>8.3333333333333329E-2</v>
      </c>
      <c r="W91">
        <v>180</v>
      </c>
      <c r="X91">
        <v>240</v>
      </c>
      <c r="Y91">
        <v>60</v>
      </c>
      <c r="Z91" t="s">
        <v>108</v>
      </c>
      <c r="AA91" t="s">
        <v>104</v>
      </c>
      <c r="AB91" t="s">
        <v>105</v>
      </c>
      <c r="AC91" t="s">
        <v>147</v>
      </c>
      <c r="AD91" t="s">
        <v>107</v>
      </c>
      <c r="AE91">
        <f t="shared" si="13"/>
        <v>3</v>
      </c>
      <c r="AF91" t="str">
        <f t="shared" si="14"/>
        <v>March</v>
      </c>
    </row>
    <row r="92" spans="1:32">
      <c r="A92" s="1">
        <v>45324</v>
      </c>
      <c r="B92" t="s">
        <v>24</v>
      </c>
      <c r="C92" t="s">
        <v>131</v>
      </c>
      <c r="D92" t="s">
        <v>95</v>
      </c>
      <c r="E92" t="s">
        <v>96</v>
      </c>
      <c r="F92" t="s">
        <v>97</v>
      </c>
      <c r="G92" t="s">
        <v>14</v>
      </c>
      <c r="H92" t="s">
        <v>98</v>
      </c>
      <c r="I92" t="s">
        <v>16</v>
      </c>
      <c r="J92" t="s">
        <v>99</v>
      </c>
      <c r="K92" t="s">
        <v>95</v>
      </c>
      <c r="L92" t="s">
        <v>26</v>
      </c>
      <c r="M92" t="s">
        <v>100</v>
      </c>
      <c r="N92" t="s">
        <v>132</v>
      </c>
      <c r="O92" t="s">
        <v>18</v>
      </c>
      <c r="P92">
        <v>215409</v>
      </c>
      <c r="Q92" t="s">
        <v>7</v>
      </c>
      <c r="R92" t="s">
        <v>101</v>
      </c>
      <c r="S92" t="s">
        <v>102</v>
      </c>
      <c r="T92">
        <v>90</v>
      </c>
      <c r="U92">
        <v>1</v>
      </c>
      <c r="V92" s="2">
        <v>4.1666666666666664E-2</v>
      </c>
      <c r="W92">
        <v>90</v>
      </c>
      <c r="X92">
        <v>120</v>
      </c>
      <c r="Y92">
        <v>30</v>
      </c>
      <c r="Z92" t="s">
        <v>103</v>
      </c>
      <c r="AA92" t="s">
        <v>104</v>
      </c>
      <c r="AB92" t="s">
        <v>105</v>
      </c>
      <c r="AC92" t="s">
        <v>148</v>
      </c>
      <c r="AD92" t="s">
        <v>107</v>
      </c>
      <c r="AE92">
        <f t="shared" si="13"/>
        <v>2</v>
      </c>
      <c r="AF92" t="str">
        <f t="shared" si="14"/>
        <v>February</v>
      </c>
    </row>
    <row r="93" spans="1:32">
      <c r="A93" s="1">
        <v>45337</v>
      </c>
      <c r="B93" t="s">
        <v>24</v>
      </c>
      <c r="C93" t="s">
        <v>131</v>
      </c>
      <c r="D93" t="s">
        <v>95</v>
      </c>
      <c r="E93" t="s">
        <v>96</v>
      </c>
      <c r="F93" t="s">
        <v>97</v>
      </c>
      <c r="G93" t="s">
        <v>14</v>
      </c>
      <c r="H93" t="s">
        <v>98</v>
      </c>
      <c r="I93" t="s">
        <v>16</v>
      </c>
      <c r="J93" t="s">
        <v>99</v>
      </c>
      <c r="K93" t="s">
        <v>95</v>
      </c>
      <c r="L93" t="s">
        <v>26</v>
      </c>
      <c r="M93" t="s">
        <v>100</v>
      </c>
      <c r="N93" t="s">
        <v>132</v>
      </c>
      <c r="O93" t="s">
        <v>18</v>
      </c>
      <c r="P93">
        <v>215527</v>
      </c>
      <c r="Q93" t="s">
        <v>7</v>
      </c>
      <c r="R93" t="s">
        <v>101</v>
      </c>
      <c r="S93" t="s">
        <v>102</v>
      </c>
      <c r="T93">
        <v>90</v>
      </c>
      <c r="U93">
        <v>1</v>
      </c>
      <c r="V93" s="2">
        <v>4.1666666666666664E-2</v>
      </c>
      <c r="W93">
        <v>90</v>
      </c>
      <c r="X93">
        <v>120</v>
      </c>
      <c r="Y93">
        <v>30</v>
      </c>
      <c r="Z93" t="s">
        <v>103</v>
      </c>
      <c r="AA93" t="s">
        <v>104</v>
      </c>
      <c r="AB93" t="s">
        <v>105</v>
      </c>
      <c r="AC93" t="s">
        <v>149</v>
      </c>
      <c r="AD93" t="s">
        <v>107</v>
      </c>
      <c r="AE93">
        <f t="shared" si="13"/>
        <v>2</v>
      </c>
      <c r="AF93" t="str">
        <f t="shared" si="14"/>
        <v>February</v>
      </c>
    </row>
    <row r="94" spans="1:32">
      <c r="A94" s="1">
        <v>45342</v>
      </c>
      <c r="B94" t="s">
        <v>24</v>
      </c>
      <c r="C94" t="s">
        <v>131</v>
      </c>
      <c r="D94" t="s">
        <v>95</v>
      </c>
      <c r="E94" t="s">
        <v>96</v>
      </c>
      <c r="F94" t="s">
        <v>97</v>
      </c>
      <c r="G94" t="s">
        <v>14</v>
      </c>
      <c r="H94" t="s">
        <v>98</v>
      </c>
      <c r="I94" t="s">
        <v>16</v>
      </c>
      <c r="J94" t="s">
        <v>99</v>
      </c>
      <c r="K94" t="s">
        <v>95</v>
      </c>
      <c r="L94" t="s">
        <v>26</v>
      </c>
      <c r="M94" t="s">
        <v>100</v>
      </c>
      <c r="N94" t="s">
        <v>132</v>
      </c>
      <c r="O94" t="s">
        <v>18</v>
      </c>
      <c r="P94">
        <v>215530</v>
      </c>
      <c r="Q94" t="s">
        <v>7</v>
      </c>
      <c r="R94" t="s">
        <v>101</v>
      </c>
      <c r="S94" t="s">
        <v>102</v>
      </c>
      <c r="T94">
        <v>90</v>
      </c>
      <c r="U94">
        <v>1</v>
      </c>
      <c r="V94" s="2">
        <v>4.1666666666666664E-2</v>
      </c>
      <c r="W94">
        <v>90</v>
      </c>
      <c r="X94">
        <v>120</v>
      </c>
      <c r="Y94">
        <v>30</v>
      </c>
      <c r="Z94" t="s">
        <v>103</v>
      </c>
      <c r="AA94" t="s">
        <v>104</v>
      </c>
      <c r="AB94" t="s">
        <v>105</v>
      </c>
      <c r="AC94" t="s">
        <v>150</v>
      </c>
      <c r="AD94" t="s">
        <v>107</v>
      </c>
      <c r="AE94">
        <f t="shared" si="13"/>
        <v>2</v>
      </c>
      <c r="AF94" t="str">
        <f t="shared" si="14"/>
        <v>February</v>
      </c>
    </row>
    <row r="95" spans="1:32">
      <c r="A95" s="1">
        <v>45355</v>
      </c>
      <c r="B95" t="s">
        <v>24</v>
      </c>
      <c r="C95" t="s">
        <v>131</v>
      </c>
      <c r="D95" t="s">
        <v>95</v>
      </c>
      <c r="E95" t="s">
        <v>96</v>
      </c>
      <c r="F95" t="s">
        <v>97</v>
      </c>
      <c r="G95" t="s">
        <v>14</v>
      </c>
      <c r="H95" t="s">
        <v>98</v>
      </c>
      <c r="I95" t="s">
        <v>16</v>
      </c>
      <c r="J95" t="s">
        <v>99</v>
      </c>
      <c r="K95" t="s">
        <v>95</v>
      </c>
      <c r="L95" t="s">
        <v>26</v>
      </c>
      <c r="M95" t="s">
        <v>100</v>
      </c>
      <c r="N95" t="s">
        <v>132</v>
      </c>
      <c r="O95" t="s">
        <v>18</v>
      </c>
      <c r="P95">
        <v>222207</v>
      </c>
      <c r="Q95" t="s">
        <v>7</v>
      </c>
      <c r="R95" t="s">
        <v>101</v>
      </c>
      <c r="S95" t="s">
        <v>102</v>
      </c>
      <c r="T95">
        <v>90</v>
      </c>
      <c r="U95">
        <v>2</v>
      </c>
      <c r="V95" s="2">
        <v>8.3333333333333329E-2</v>
      </c>
      <c r="W95">
        <v>180</v>
      </c>
      <c r="X95">
        <v>240</v>
      </c>
      <c r="Y95">
        <v>60</v>
      </c>
      <c r="Z95" t="s">
        <v>108</v>
      </c>
      <c r="AA95" t="s">
        <v>104</v>
      </c>
      <c r="AB95" t="s">
        <v>105</v>
      </c>
      <c r="AC95" t="s">
        <v>151</v>
      </c>
      <c r="AD95" t="s">
        <v>107</v>
      </c>
      <c r="AE95">
        <f t="shared" si="13"/>
        <v>3</v>
      </c>
      <c r="AF95" t="str">
        <f t="shared" si="14"/>
        <v>March</v>
      </c>
    </row>
    <row r="96" spans="1:32">
      <c r="A96" s="1">
        <v>45356</v>
      </c>
      <c r="B96" t="s">
        <v>24</v>
      </c>
      <c r="C96" t="s">
        <v>131</v>
      </c>
      <c r="D96" t="s">
        <v>95</v>
      </c>
      <c r="E96" t="s">
        <v>96</v>
      </c>
      <c r="F96" t="s">
        <v>97</v>
      </c>
      <c r="G96" t="s">
        <v>14</v>
      </c>
      <c r="H96" t="s">
        <v>98</v>
      </c>
      <c r="I96" t="s">
        <v>16</v>
      </c>
      <c r="J96" t="s">
        <v>99</v>
      </c>
      <c r="K96" t="s">
        <v>95</v>
      </c>
      <c r="L96" t="s">
        <v>26</v>
      </c>
      <c r="M96" t="s">
        <v>100</v>
      </c>
      <c r="N96" t="s">
        <v>132</v>
      </c>
      <c r="O96" t="s">
        <v>18</v>
      </c>
      <c r="P96">
        <v>222221</v>
      </c>
      <c r="Q96" t="s">
        <v>7</v>
      </c>
      <c r="R96" t="s">
        <v>101</v>
      </c>
      <c r="S96" t="s">
        <v>102</v>
      </c>
      <c r="T96">
        <v>90</v>
      </c>
      <c r="U96">
        <v>1.25</v>
      </c>
      <c r="V96" s="2">
        <v>5.2083333333333336E-2</v>
      </c>
      <c r="W96">
        <v>112.5</v>
      </c>
      <c r="X96">
        <v>150</v>
      </c>
      <c r="Y96">
        <v>37.5</v>
      </c>
      <c r="Z96" t="s">
        <v>108</v>
      </c>
      <c r="AA96" t="s">
        <v>104</v>
      </c>
      <c r="AB96" t="s">
        <v>105</v>
      </c>
      <c r="AC96" t="s">
        <v>152</v>
      </c>
      <c r="AD96" t="s">
        <v>107</v>
      </c>
      <c r="AE96">
        <f t="shared" si="13"/>
        <v>3</v>
      </c>
      <c r="AF96" t="str">
        <f t="shared" si="14"/>
        <v>March</v>
      </c>
    </row>
    <row r="97" spans="1:32">
      <c r="A97" s="1">
        <v>45357</v>
      </c>
      <c r="B97" t="s">
        <v>24</v>
      </c>
      <c r="C97" t="s">
        <v>131</v>
      </c>
      <c r="D97" t="s">
        <v>95</v>
      </c>
      <c r="E97" t="s">
        <v>96</v>
      </c>
      <c r="F97" t="s">
        <v>97</v>
      </c>
      <c r="G97" t="s">
        <v>14</v>
      </c>
      <c r="H97" t="s">
        <v>98</v>
      </c>
      <c r="I97" t="s">
        <v>16</v>
      </c>
      <c r="J97" t="s">
        <v>99</v>
      </c>
      <c r="K97" t="s">
        <v>95</v>
      </c>
      <c r="L97" t="s">
        <v>26</v>
      </c>
      <c r="M97" t="s">
        <v>100</v>
      </c>
      <c r="N97" t="s">
        <v>132</v>
      </c>
      <c r="O97" t="s">
        <v>18</v>
      </c>
      <c r="P97">
        <v>222223</v>
      </c>
      <c r="Q97" t="s">
        <v>7</v>
      </c>
      <c r="R97" t="s">
        <v>101</v>
      </c>
      <c r="S97" t="s">
        <v>102</v>
      </c>
      <c r="T97">
        <v>90</v>
      </c>
      <c r="U97">
        <v>1</v>
      </c>
      <c r="V97" s="2">
        <v>4.1666666666666664E-2</v>
      </c>
      <c r="W97">
        <v>90</v>
      </c>
      <c r="X97">
        <v>120</v>
      </c>
      <c r="Y97">
        <v>30</v>
      </c>
      <c r="Z97" t="s">
        <v>108</v>
      </c>
      <c r="AA97" t="s">
        <v>104</v>
      </c>
      <c r="AB97" t="s">
        <v>105</v>
      </c>
      <c r="AC97" t="s">
        <v>153</v>
      </c>
      <c r="AD97" t="s">
        <v>107</v>
      </c>
      <c r="AE97">
        <f t="shared" si="13"/>
        <v>3</v>
      </c>
      <c r="AF97" t="str">
        <f t="shared" si="14"/>
        <v>March</v>
      </c>
    </row>
    <row r="98" spans="1:32">
      <c r="A98" s="1">
        <v>45358</v>
      </c>
      <c r="B98" t="s">
        <v>24</v>
      </c>
      <c r="C98" t="s">
        <v>131</v>
      </c>
      <c r="D98" t="s">
        <v>95</v>
      </c>
      <c r="E98" t="s">
        <v>96</v>
      </c>
      <c r="F98" t="s">
        <v>97</v>
      </c>
      <c r="G98" t="s">
        <v>14</v>
      </c>
      <c r="H98" t="s">
        <v>98</v>
      </c>
      <c r="I98" t="s">
        <v>16</v>
      </c>
      <c r="J98" t="s">
        <v>99</v>
      </c>
      <c r="K98" t="s">
        <v>95</v>
      </c>
      <c r="L98" t="s">
        <v>26</v>
      </c>
      <c r="M98" t="s">
        <v>100</v>
      </c>
      <c r="N98" t="s">
        <v>132</v>
      </c>
      <c r="O98" t="s">
        <v>18</v>
      </c>
      <c r="P98">
        <v>222224</v>
      </c>
      <c r="Q98" t="s">
        <v>7</v>
      </c>
      <c r="R98" t="s">
        <v>101</v>
      </c>
      <c r="S98" t="s">
        <v>102</v>
      </c>
      <c r="T98">
        <v>90</v>
      </c>
      <c r="U98">
        <v>0.25</v>
      </c>
      <c r="V98" s="2">
        <v>1.0416666666666666E-2</v>
      </c>
      <c r="W98">
        <v>22.5</v>
      </c>
      <c r="X98">
        <v>30</v>
      </c>
      <c r="Y98">
        <v>7.5</v>
      </c>
      <c r="Z98" t="s">
        <v>108</v>
      </c>
      <c r="AA98" t="s">
        <v>104</v>
      </c>
      <c r="AB98" t="s">
        <v>105</v>
      </c>
      <c r="AC98" t="s">
        <v>154</v>
      </c>
      <c r="AD98" t="s">
        <v>107</v>
      </c>
      <c r="AE98">
        <f t="shared" si="13"/>
        <v>3</v>
      </c>
      <c r="AF98" t="str">
        <f t="shared" si="14"/>
        <v>March</v>
      </c>
    </row>
    <row r="99" spans="1:32">
      <c r="A99" s="1">
        <v>45359</v>
      </c>
      <c r="B99" t="s">
        <v>24</v>
      </c>
      <c r="C99" t="s">
        <v>131</v>
      </c>
      <c r="D99" t="s">
        <v>95</v>
      </c>
      <c r="E99" t="s">
        <v>96</v>
      </c>
      <c r="F99" t="s">
        <v>97</v>
      </c>
      <c r="G99" t="s">
        <v>14</v>
      </c>
      <c r="H99" t="s">
        <v>98</v>
      </c>
      <c r="I99" t="s">
        <v>16</v>
      </c>
      <c r="J99" t="s">
        <v>99</v>
      </c>
      <c r="K99" t="s">
        <v>95</v>
      </c>
      <c r="L99" t="s">
        <v>26</v>
      </c>
      <c r="M99" t="s">
        <v>100</v>
      </c>
      <c r="N99" t="s">
        <v>132</v>
      </c>
      <c r="O99" t="s">
        <v>18</v>
      </c>
      <c r="P99">
        <v>222225</v>
      </c>
      <c r="Q99" t="s">
        <v>7</v>
      </c>
      <c r="R99" t="s">
        <v>101</v>
      </c>
      <c r="S99" t="s">
        <v>102</v>
      </c>
      <c r="T99">
        <v>90</v>
      </c>
      <c r="U99">
        <v>0.75</v>
      </c>
      <c r="V99" s="2">
        <v>3.125E-2</v>
      </c>
      <c r="W99">
        <v>67.5</v>
      </c>
      <c r="X99">
        <v>90</v>
      </c>
      <c r="Y99">
        <v>22.5</v>
      </c>
      <c r="Z99" t="s">
        <v>108</v>
      </c>
      <c r="AA99" t="s">
        <v>104</v>
      </c>
      <c r="AB99" t="s">
        <v>105</v>
      </c>
      <c r="AC99" t="s">
        <v>155</v>
      </c>
      <c r="AD99" t="s">
        <v>107</v>
      </c>
      <c r="AE99">
        <f t="shared" si="13"/>
        <v>3</v>
      </c>
      <c r="AF99" t="str">
        <f t="shared" si="14"/>
        <v>March</v>
      </c>
    </row>
    <row r="100" spans="1:32">
      <c r="A100" s="1">
        <v>45362</v>
      </c>
      <c r="B100" t="s">
        <v>24</v>
      </c>
      <c r="C100" t="s">
        <v>131</v>
      </c>
      <c r="D100" t="s">
        <v>95</v>
      </c>
      <c r="E100" t="s">
        <v>96</v>
      </c>
      <c r="F100" t="s">
        <v>97</v>
      </c>
      <c r="G100" t="s">
        <v>14</v>
      </c>
      <c r="H100" t="s">
        <v>98</v>
      </c>
      <c r="I100" t="s">
        <v>16</v>
      </c>
      <c r="J100" t="s">
        <v>99</v>
      </c>
      <c r="K100" t="s">
        <v>95</v>
      </c>
      <c r="L100" t="s">
        <v>26</v>
      </c>
      <c r="M100" t="s">
        <v>100</v>
      </c>
      <c r="N100" t="s">
        <v>132</v>
      </c>
      <c r="O100" t="s">
        <v>18</v>
      </c>
      <c r="P100">
        <v>223052</v>
      </c>
      <c r="Q100" t="s">
        <v>7</v>
      </c>
      <c r="R100" t="s">
        <v>101</v>
      </c>
      <c r="S100" t="s">
        <v>102</v>
      </c>
      <c r="T100">
        <v>90</v>
      </c>
      <c r="U100">
        <v>1.25</v>
      </c>
      <c r="V100" s="2">
        <v>5.2083333333333336E-2</v>
      </c>
      <c r="W100">
        <v>112.5</v>
      </c>
      <c r="X100">
        <v>150</v>
      </c>
      <c r="Y100">
        <v>37.5</v>
      </c>
      <c r="Z100" t="s">
        <v>108</v>
      </c>
      <c r="AA100" t="s">
        <v>104</v>
      </c>
      <c r="AB100" t="s">
        <v>105</v>
      </c>
      <c r="AC100" t="s">
        <v>152</v>
      </c>
      <c r="AD100" t="s">
        <v>107</v>
      </c>
      <c r="AE100">
        <f t="shared" si="13"/>
        <v>3</v>
      </c>
      <c r="AF100" t="str">
        <f t="shared" si="14"/>
        <v>March</v>
      </c>
    </row>
    <row r="101" spans="1:32">
      <c r="A101" s="1">
        <v>45363</v>
      </c>
      <c r="B101" t="s">
        <v>24</v>
      </c>
      <c r="C101" t="s">
        <v>131</v>
      </c>
      <c r="D101" t="s">
        <v>95</v>
      </c>
      <c r="E101" t="s">
        <v>96</v>
      </c>
      <c r="F101" t="s">
        <v>97</v>
      </c>
      <c r="G101" t="s">
        <v>14</v>
      </c>
      <c r="H101" t="s">
        <v>98</v>
      </c>
      <c r="I101" t="s">
        <v>16</v>
      </c>
      <c r="J101" t="s">
        <v>99</v>
      </c>
      <c r="K101" t="s">
        <v>95</v>
      </c>
      <c r="L101" t="s">
        <v>26</v>
      </c>
      <c r="M101" t="s">
        <v>100</v>
      </c>
      <c r="N101" t="s">
        <v>132</v>
      </c>
      <c r="O101" t="s">
        <v>18</v>
      </c>
      <c r="P101">
        <v>223062</v>
      </c>
      <c r="Q101" t="s">
        <v>7</v>
      </c>
      <c r="R101" t="s">
        <v>101</v>
      </c>
      <c r="S101" t="s">
        <v>102</v>
      </c>
      <c r="T101">
        <v>90</v>
      </c>
      <c r="U101">
        <v>0.75</v>
      </c>
      <c r="V101" s="2">
        <v>3.125E-2</v>
      </c>
      <c r="W101">
        <v>67.5</v>
      </c>
      <c r="X101">
        <v>90</v>
      </c>
      <c r="Y101">
        <v>22.5</v>
      </c>
      <c r="Z101" t="s">
        <v>108</v>
      </c>
      <c r="AA101" t="s">
        <v>104</v>
      </c>
      <c r="AB101" t="s">
        <v>105</v>
      </c>
      <c r="AC101" t="s">
        <v>156</v>
      </c>
      <c r="AD101" t="s">
        <v>107</v>
      </c>
      <c r="AE101">
        <f t="shared" si="13"/>
        <v>3</v>
      </c>
      <c r="AF101" t="str">
        <f t="shared" si="14"/>
        <v>March</v>
      </c>
    </row>
    <row r="102" spans="1:32">
      <c r="A102" s="1">
        <v>45364</v>
      </c>
      <c r="B102" t="s">
        <v>24</v>
      </c>
      <c r="C102" t="s">
        <v>131</v>
      </c>
      <c r="D102" t="s">
        <v>95</v>
      </c>
      <c r="E102" t="s">
        <v>96</v>
      </c>
      <c r="F102" t="s">
        <v>97</v>
      </c>
      <c r="G102" t="s">
        <v>14</v>
      </c>
      <c r="H102" t="s">
        <v>98</v>
      </c>
      <c r="I102" t="s">
        <v>16</v>
      </c>
      <c r="J102" t="s">
        <v>99</v>
      </c>
      <c r="K102" t="s">
        <v>95</v>
      </c>
      <c r="L102" t="s">
        <v>26</v>
      </c>
      <c r="M102" t="s">
        <v>100</v>
      </c>
      <c r="N102" t="s">
        <v>132</v>
      </c>
      <c r="O102" t="s">
        <v>18</v>
      </c>
      <c r="P102">
        <v>225179</v>
      </c>
      <c r="Q102" t="s">
        <v>7</v>
      </c>
      <c r="R102" t="s">
        <v>101</v>
      </c>
      <c r="S102" t="s">
        <v>102</v>
      </c>
      <c r="T102">
        <v>90</v>
      </c>
      <c r="U102">
        <v>0.25</v>
      </c>
      <c r="V102" s="2">
        <v>1.0416666666666666E-2</v>
      </c>
      <c r="W102">
        <v>22.5</v>
      </c>
      <c r="X102">
        <v>30</v>
      </c>
      <c r="Y102">
        <v>7.5</v>
      </c>
      <c r="Z102" t="s">
        <v>108</v>
      </c>
      <c r="AA102" t="s">
        <v>104</v>
      </c>
      <c r="AB102" t="s">
        <v>105</v>
      </c>
      <c r="AC102" t="s">
        <v>154</v>
      </c>
      <c r="AD102" t="s">
        <v>107</v>
      </c>
      <c r="AE102">
        <f t="shared" si="13"/>
        <v>3</v>
      </c>
      <c r="AF102" t="str">
        <f t="shared" si="14"/>
        <v>March</v>
      </c>
    </row>
    <row r="103" spans="1:32">
      <c r="A103" s="1">
        <v>45365</v>
      </c>
      <c r="B103" t="s">
        <v>24</v>
      </c>
      <c r="C103" t="s">
        <v>131</v>
      </c>
      <c r="D103" t="s">
        <v>95</v>
      </c>
      <c r="E103" t="s">
        <v>96</v>
      </c>
      <c r="F103" t="s">
        <v>97</v>
      </c>
      <c r="G103" t="s">
        <v>14</v>
      </c>
      <c r="H103" t="s">
        <v>98</v>
      </c>
      <c r="I103" t="s">
        <v>16</v>
      </c>
      <c r="J103" t="s">
        <v>99</v>
      </c>
      <c r="K103" t="s">
        <v>95</v>
      </c>
      <c r="L103" t="s">
        <v>26</v>
      </c>
      <c r="M103" t="s">
        <v>100</v>
      </c>
      <c r="N103" t="s">
        <v>132</v>
      </c>
      <c r="O103" t="s">
        <v>18</v>
      </c>
      <c r="P103">
        <v>225180</v>
      </c>
      <c r="Q103" t="s">
        <v>7</v>
      </c>
      <c r="R103" t="s">
        <v>101</v>
      </c>
      <c r="S103" t="s">
        <v>102</v>
      </c>
      <c r="T103">
        <v>90</v>
      </c>
      <c r="U103">
        <v>0.25</v>
      </c>
      <c r="V103" s="2">
        <v>1.0416666666666666E-2</v>
      </c>
      <c r="W103">
        <v>22.5</v>
      </c>
      <c r="X103">
        <v>30</v>
      </c>
      <c r="Y103">
        <v>7.5</v>
      </c>
      <c r="Z103" t="s">
        <v>108</v>
      </c>
      <c r="AA103" t="s">
        <v>104</v>
      </c>
      <c r="AB103" t="s">
        <v>105</v>
      </c>
      <c r="AC103" t="s">
        <v>154</v>
      </c>
      <c r="AD103" t="s">
        <v>107</v>
      </c>
      <c r="AE103">
        <f t="shared" si="13"/>
        <v>3</v>
      </c>
      <c r="AF103" t="str">
        <f t="shared" si="14"/>
        <v>March</v>
      </c>
    </row>
    <row r="104" spans="1:32">
      <c r="A104" s="1">
        <v>45366</v>
      </c>
      <c r="B104" t="s">
        <v>24</v>
      </c>
      <c r="C104" t="s">
        <v>131</v>
      </c>
      <c r="D104" t="s">
        <v>95</v>
      </c>
      <c r="E104" t="s">
        <v>96</v>
      </c>
      <c r="F104" t="s">
        <v>97</v>
      </c>
      <c r="G104" t="s">
        <v>14</v>
      </c>
      <c r="H104" t="s">
        <v>98</v>
      </c>
      <c r="I104" t="s">
        <v>16</v>
      </c>
      <c r="J104" t="s">
        <v>99</v>
      </c>
      <c r="K104" t="s">
        <v>95</v>
      </c>
      <c r="L104" t="s">
        <v>26</v>
      </c>
      <c r="M104" t="s">
        <v>100</v>
      </c>
      <c r="N104" t="s">
        <v>132</v>
      </c>
      <c r="O104" t="s">
        <v>18</v>
      </c>
      <c r="P104">
        <v>225181</v>
      </c>
      <c r="Q104" t="s">
        <v>7</v>
      </c>
      <c r="R104" t="s">
        <v>101</v>
      </c>
      <c r="S104" t="s">
        <v>102</v>
      </c>
      <c r="T104">
        <v>90</v>
      </c>
      <c r="U104">
        <v>0.25</v>
      </c>
      <c r="V104" s="2">
        <v>1.0416666666666666E-2</v>
      </c>
      <c r="W104">
        <v>22.5</v>
      </c>
      <c r="X104">
        <v>30</v>
      </c>
      <c r="Y104">
        <v>7.5</v>
      </c>
      <c r="Z104" t="s">
        <v>108</v>
      </c>
      <c r="AA104" t="s">
        <v>104</v>
      </c>
      <c r="AB104" t="s">
        <v>105</v>
      </c>
      <c r="AC104" t="s">
        <v>154</v>
      </c>
      <c r="AD104" t="s">
        <v>107</v>
      </c>
      <c r="AE104">
        <f t="shared" si="13"/>
        <v>3</v>
      </c>
      <c r="AF104" t="str">
        <f t="shared" si="14"/>
        <v>March</v>
      </c>
    </row>
    <row r="105" spans="1:32">
      <c r="A105" s="1">
        <v>45369</v>
      </c>
      <c r="B105" t="s">
        <v>24</v>
      </c>
      <c r="C105" t="s">
        <v>131</v>
      </c>
      <c r="D105" t="s">
        <v>95</v>
      </c>
      <c r="E105" t="s">
        <v>96</v>
      </c>
      <c r="F105" t="s">
        <v>97</v>
      </c>
      <c r="G105" t="s">
        <v>14</v>
      </c>
      <c r="H105" t="s">
        <v>98</v>
      </c>
      <c r="I105" t="s">
        <v>16</v>
      </c>
      <c r="J105" t="s">
        <v>99</v>
      </c>
      <c r="K105" t="s">
        <v>95</v>
      </c>
      <c r="L105" t="s">
        <v>26</v>
      </c>
      <c r="M105" t="s">
        <v>100</v>
      </c>
      <c r="N105" t="s">
        <v>132</v>
      </c>
      <c r="O105" t="s">
        <v>18</v>
      </c>
      <c r="P105">
        <v>225185</v>
      </c>
      <c r="Q105" t="s">
        <v>7</v>
      </c>
      <c r="R105" t="s">
        <v>101</v>
      </c>
      <c r="S105" t="s">
        <v>102</v>
      </c>
      <c r="T105">
        <v>90</v>
      </c>
      <c r="U105">
        <v>0.75</v>
      </c>
      <c r="V105" s="2">
        <v>3.125E-2</v>
      </c>
      <c r="W105">
        <v>67.5</v>
      </c>
      <c r="X105">
        <v>90</v>
      </c>
      <c r="Y105">
        <v>22.5</v>
      </c>
      <c r="Z105" t="s">
        <v>108</v>
      </c>
      <c r="AA105" t="s">
        <v>104</v>
      </c>
      <c r="AB105" t="s">
        <v>105</v>
      </c>
      <c r="AC105" t="s">
        <v>157</v>
      </c>
      <c r="AD105" t="s">
        <v>107</v>
      </c>
      <c r="AE105">
        <f t="shared" si="13"/>
        <v>3</v>
      </c>
      <c r="AF105" t="str">
        <f t="shared" si="14"/>
        <v>March</v>
      </c>
    </row>
    <row r="106" spans="1:32">
      <c r="A106" s="1">
        <v>45370</v>
      </c>
      <c r="B106" t="s">
        <v>24</v>
      </c>
      <c r="C106" t="s">
        <v>131</v>
      </c>
      <c r="D106" t="s">
        <v>95</v>
      </c>
      <c r="E106" t="s">
        <v>96</v>
      </c>
      <c r="F106" t="s">
        <v>97</v>
      </c>
      <c r="G106" t="s">
        <v>14</v>
      </c>
      <c r="H106" t="s">
        <v>98</v>
      </c>
      <c r="I106" t="s">
        <v>16</v>
      </c>
      <c r="J106" t="s">
        <v>99</v>
      </c>
      <c r="K106" t="s">
        <v>95</v>
      </c>
      <c r="L106" t="s">
        <v>26</v>
      </c>
      <c r="M106" t="s">
        <v>100</v>
      </c>
      <c r="N106" t="s">
        <v>132</v>
      </c>
      <c r="O106" t="s">
        <v>18</v>
      </c>
      <c r="P106">
        <v>226119</v>
      </c>
      <c r="Q106" t="s">
        <v>7</v>
      </c>
      <c r="R106" t="s">
        <v>101</v>
      </c>
      <c r="S106" t="s">
        <v>102</v>
      </c>
      <c r="T106">
        <v>90</v>
      </c>
      <c r="U106">
        <v>0.25</v>
      </c>
      <c r="V106" s="2">
        <v>1.0416666666666666E-2</v>
      </c>
      <c r="W106">
        <v>22.5</v>
      </c>
      <c r="X106">
        <v>30</v>
      </c>
      <c r="Y106">
        <v>7.5</v>
      </c>
      <c r="Z106" t="s">
        <v>108</v>
      </c>
      <c r="AA106" t="s">
        <v>104</v>
      </c>
      <c r="AB106" t="s">
        <v>105</v>
      </c>
      <c r="AC106" t="s">
        <v>154</v>
      </c>
      <c r="AD106" t="s">
        <v>107</v>
      </c>
      <c r="AE106">
        <f t="shared" si="13"/>
        <v>3</v>
      </c>
      <c r="AF106" t="str">
        <f t="shared" si="14"/>
        <v>March</v>
      </c>
    </row>
    <row r="107" spans="1:32">
      <c r="A107" s="1">
        <v>45371</v>
      </c>
      <c r="B107" t="s">
        <v>24</v>
      </c>
      <c r="C107" t="s">
        <v>131</v>
      </c>
      <c r="D107" t="s">
        <v>95</v>
      </c>
      <c r="E107" t="s">
        <v>96</v>
      </c>
      <c r="F107" t="s">
        <v>97</v>
      </c>
      <c r="G107" t="s">
        <v>14</v>
      </c>
      <c r="H107" t="s">
        <v>98</v>
      </c>
      <c r="I107" t="s">
        <v>16</v>
      </c>
      <c r="J107" t="s">
        <v>99</v>
      </c>
      <c r="K107" t="s">
        <v>95</v>
      </c>
      <c r="L107" t="s">
        <v>26</v>
      </c>
      <c r="M107" t="s">
        <v>100</v>
      </c>
      <c r="N107" t="s">
        <v>132</v>
      </c>
      <c r="O107" t="s">
        <v>18</v>
      </c>
      <c r="P107">
        <v>227443</v>
      </c>
      <c r="Q107" t="s">
        <v>7</v>
      </c>
      <c r="R107" t="s">
        <v>101</v>
      </c>
      <c r="S107" t="s">
        <v>102</v>
      </c>
      <c r="T107">
        <v>90</v>
      </c>
      <c r="U107">
        <v>0.25</v>
      </c>
      <c r="V107" s="2">
        <v>1.0416666666666666E-2</v>
      </c>
      <c r="W107">
        <v>22.5</v>
      </c>
      <c r="X107">
        <v>30</v>
      </c>
      <c r="Y107">
        <v>7.5</v>
      </c>
      <c r="Z107" t="s">
        <v>108</v>
      </c>
      <c r="AA107" t="s">
        <v>104</v>
      </c>
      <c r="AB107" t="s">
        <v>105</v>
      </c>
      <c r="AC107" t="s">
        <v>154</v>
      </c>
      <c r="AD107" t="s">
        <v>107</v>
      </c>
      <c r="AE107">
        <f t="shared" si="13"/>
        <v>3</v>
      </c>
      <c r="AF107" t="str">
        <f t="shared" si="14"/>
        <v>March</v>
      </c>
    </row>
    <row r="108" spans="1:32">
      <c r="A108" s="1">
        <v>45373</v>
      </c>
      <c r="B108" t="s">
        <v>24</v>
      </c>
      <c r="C108" t="s">
        <v>131</v>
      </c>
      <c r="D108" t="s">
        <v>95</v>
      </c>
      <c r="E108" t="s">
        <v>96</v>
      </c>
      <c r="F108" t="s">
        <v>97</v>
      </c>
      <c r="G108" t="s">
        <v>14</v>
      </c>
      <c r="H108" t="s">
        <v>98</v>
      </c>
      <c r="I108" t="s">
        <v>16</v>
      </c>
      <c r="J108" t="s">
        <v>99</v>
      </c>
      <c r="K108" t="s">
        <v>95</v>
      </c>
      <c r="L108" t="s">
        <v>26</v>
      </c>
      <c r="M108" t="s">
        <v>100</v>
      </c>
      <c r="N108" t="s">
        <v>132</v>
      </c>
      <c r="O108" t="s">
        <v>18</v>
      </c>
      <c r="P108">
        <v>227449</v>
      </c>
      <c r="Q108" t="s">
        <v>7</v>
      </c>
      <c r="R108" t="s">
        <v>101</v>
      </c>
      <c r="S108" t="s">
        <v>102</v>
      </c>
      <c r="T108">
        <v>90</v>
      </c>
      <c r="U108">
        <v>1</v>
      </c>
      <c r="V108" s="2">
        <v>4.1666666666666664E-2</v>
      </c>
      <c r="W108">
        <v>90</v>
      </c>
      <c r="X108">
        <v>120</v>
      </c>
      <c r="Y108">
        <v>30</v>
      </c>
      <c r="Z108" t="s">
        <v>108</v>
      </c>
      <c r="AA108" t="s">
        <v>104</v>
      </c>
      <c r="AB108" t="s">
        <v>105</v>
      </c>
      <c r="AC108" t="s">
        <v>158</v>
      </c>
      <c r="AD108" t="s">
        <v>107</v>
      </c>
      <c r="AE108">
        <f t="shared" si="13"/>
        <v>3</v>
      </c>
      <c r="AF108" t="str">
        <f t="shared" si="14"/>
        <v>March</v>
      </c>
    </row>
    <row r="109" spans="1:32">
      <c r="A109" s="1">
        <v>45436</v>
      </c>
      <c r="B109" t="s">
        <v>24</v>
      </c>
      <c r="C109" t="s">
        <v>131</v>
      </c>
      <c r="D109" t="s">
        <v>95</v>
      </c>
      <c r="E109" t="s">
        <v>96</v>
      </c>
      <c r="F109" t="s">
        <v>97</v>
      </c>
      <c r="G109" t="s">
        <v>14</v>
      </c>
      <c r="H109" t="s">
        <v>98</v>
      </c>
      <c r="I109" t="s">
        <v>16</v>
      </c>
      <c r="J109" t="s">
        <v>99</v>
      </c>
      <c r="K109" t="s">
        <v>95</v>
      </c>
      <c r="L109" t="s">
        <v>26</v>
      </c>
      <c r="M109" t="s">
        <v>100</v>
      </c>
      <c r="N109" t="s">
        <v>132</v>
      </c>
      <c r="O109" t="s">
        <v>18</v>
      </c>
      <c r="P109">
        <v>251765</v>
      </c>
      <c r="Q109" t="s">
        <v>7</v>
      </c>
      <c r="R109" t="s">
        <v>101</v>
      </c>
      <c r="S109" t="s">
        <v>102</v>
      </c>
      <c r="T109">
        <v>90</v>
      </c>
      <c r="U109">
        <v>3</v>
      </c>
      <c r="V109" s="2">
        <v>0.125</v>
      </c>
      <c r="W109">
        <v>270</v>
      </c>
      <c r="AA109" t="s">
        <v>104</v>
      </c>
      <c r="AC109" t="s">
        <v>159</v>
      </c>
      <c r="AD109" t="s">
        <v>107</v>
      </c>
      <c r="AE109">
        <f t="shared" si="13"/>
        <v>5</v>
      </c>
      <c r="AF109" t="str">
        <f t="shared" si="14"/>
        <v>May</v>
      </c>
    </row>
    <row r="110" spans="1:32">
      <c r="A110" s="1">
        <v>45335</v>
      </c>
      <c r="B110" t="s">
        <v>26</v>
      </c>
      <c r="C110" t="s">
        <v>131</v>
      </c>
      <c r="D110" t="s">
        <v>95</v>
      </c>
      <c r="E110" t="s">
        <v>136</v>
      </c>
      <c r="F110" t="s">
        <v>97</v>
      </c>
      <c r="G110" t="s">
        <v>14</v>
      </c>
      <c r="H110" t="s">
        <v>98</v>
      </c>
      <c r="I110" t="s">
        <v>16</v>
      </c>
      <c r="J110" t="s">
        <v>99</v>
      </c>
      <c r="K110" t="s">
        <v>95</v>
      </c>
      <c r="L110" t="s">
        <v>26</v>
      </c>
      <c r="M110" t="s">
        <v>100</v>
      </c>
      <c r="N110" t="s">
        <v>132</v>
      </c>
      <c r="O110" t="s">
        <v>18</v>
      </c>
      <c r="P110">
        <v>211400</v>
      </c>
      <c r="Q110" t="s">
        <v>7</v>
      </c>
      <c r="R110" t="s">
        <v>101</v>
      </c>
      <c r="S110" t="s">
        <v>102</v>
      </c>
      <c r="T110">
        <v>90</v>
      </c>
      <c r="U110">
        <v>0.25</v>
      </c>
      <c r="V110" s="2">
        <v>1.0416666666666666E-2</v>
      </c>
      <c r="W110">
        <v>22.5</v>
      </c>
      <c r="X110">
        <v>30</v>
      </c>
      <c r="Y110">
        <v>7.5</v>
      </c>
      <c r="Z110" t="s">
        <v>103</v>
      </c>
      <c r="AA110" t="s">
        <v>104</v>
      </c>
      <c r="AB110" t="s">
        <v>105</v>
      </c>
      <c r="AC110" t="s">
        <v>132</v>
      </c>
      <c r="AD110" t="s">
        <v>107</v>
      </c>
      <c r="AE110">
        <f t="shared" ref="AE110:AE115" si="15">MONTH(A110)</f>
        <v>2</v>
      </c>
      <c r="AF110" t="str">
        <f t="shared" ref="AF110:AF115" si="16">IF(AE110=1,"January",IF(AE110=2,"February",IF(AE110=3,"March",IF(AE110=4,"April",IF(AE110=5,"May")))))</f>
        <v>February</v>
      </c>
    </row>
    <row r="111" spans="1:32">
      <c r="A111" s="1">
        <v>45348</v>
      </c>
      <c r="B111" t="s">
        <v>26</v>
      </c>
      <c r="C111" t="s">
        <v>131</v>
      </c>
      <c r="D111" t="s">
        <v>95</v>
      </c>
      <c r="E111" t="s">
        <v>136</v>
      </c>
      <c r="F111" t="s">
        <v>97</v>
      </c>
      <c r="G111" t="s">
        <v>14</v>
      </c>
      <c r="H111" t="s">
        <v>98</v>
      </c>
      <c r="I111" t="s">
        <v>16</v>
      </c>
      <c r="J111" t="s">
        <v>99</v>
      </c>
      <c r="K111" t="s">
        <v>95</v>
      </c>
      <c r="L111" t="s">
        <v>26</v>
      </c>
      <c r="M111" t="s">
        <v>100</v>
      </c>
      <c r="N111" t="s">
        <v>132</v>
      </c>
      <c r="O111" t="s">
        <v>18</v>
      </c>
      <c r="P111">
        <v>216824</v>
      </c>
      <c r="Q111" t="s">
        <v>7</v>
      </c>
      <c r="R111" t="s">
        <v>101</v>
      </c>
      <c r="S111" t="s">
        <v>102</v>
      </c>
      <c r="T111">
        <v>90</v>
      </c>
      <c r="U111">
        <v>0.25</v>
      </c>
      <c r="V111" s="2">
        <v>1.0416666666666666E-2</v>
      </c>
      <c r="W111">
        <v>22.5</v>
      </c>
      <c r="X111">
        <v>30</v>
      </c>
      <c r="Y111">
        <v>7.5</v>
      </c>
      <c r="Z111" t="s">
        <v>103</v>
      </c>
      <c r="AA111" t="s">
        <v>104</v>
      </c>
      <c r="AB111" t="s">
        <v>105</v>
      </c>
      <c r="AC111" t="s">
        <v>132</v>
      </c>
      <c r="AD111" t="s">
        <v>107</v>
      </c>
      <c r="AE111">
        <f t="shared" si="15"/>
        <v>2</v>
      </c>
      <c r="AF111" t="str">
        <f t="shared" si="16"/>
        <v>February</v>
      </c>
    </row>
    <row r="112" spans="1:32">
      <c r="A112" s="1">
        <v>45349</v>
      </c>
      <c r="B112" t="s">
        <v>26</v>
      </c>
      <c r="C112" t="s">
        <v>131</v>
      </c>
      <c r="D112" t="s">
        <v>95</v>
      </c>
      <c r="E112" t="s">
        <v>136</v>
      </c>
      <c r="F112" t="s">
        <v>97</v>
      </c>
      <c r="G112" t="s">
        <v>14</v>
      </c>
      <c r="H112" t="s">
        <v>98</v>
      </c>
      <c r="I112" t="s">
        <v>16</v>
      </c>
      <c r="J112" t="s">
        <v>99</v>
      </c>
      <c r="K112" t="s">
        <v>95</v>
      </c>
      <c r="L112" t="s">
        <v>26</v>
      </c>
      <c r="M112" t="s">
        <v>100</v>
      </c>
      <c r="N112" t="s">
        <v>132</v>
      </c>
      <c r="O112" t="s">
        <v>18</v>
      </c>
      <c r="P112">
        <v>217543</v>
      </c>
      <c r="Q112" t="s">
        <v>7</v>
      </c>
      <c r="R112" t="s">
        <v>101</v>
      </c>
      <c r="S112" t="s">
        <v>102</v>
      </c>
      <c r="T112">
        <v>90</v>
      </c>
      <c r="U112">
        <v>0.25</v>
      </c>
      <c r="V112" s="2">
        <v>1.0416666666666666E-2</v>
      </c>
      <c r="W112">
        <v>22.5</v>
      </c>
      <c r="X112">
        <v>30</v>
      </c>
      <c r="Y112">
        <v>7.5</v>
      </c>
      <c r="Z112" t="s">
        <v>103</v>
      </c>
      <c r="AA112" t="s">
        <v>104</v>
      </c>
      <c r="AB112" t="s">
        <v>105</v>
      </c>
      <c r="AC112" t="s">
        <v>132</v>
      </c>
      <c r="AD112" t="s">
        <v>107</v>
      </c>
      <c r="AE112">
        <f t="shared" si="15"/>
        <v>2</v>
      </c>
      <c r="AF112" t="str">
        <f t="shared" si="16"/>
        <v>February</v>
      </c>
    </row>
    <row r="113" spans="1:32">
      <c r="A113" s="1">
        <v>45357</v>
      </c>
      <c r="B113" t="s">
        <v>26</v>
      </c>
      <c r="C113" t="s">
        <v>131</v>
      </c>
      <c r="D113" t="s">
        <v>95</v>
      </c>
      <c r="E113" t="s">
        <v>136</v>
      </c>
      <c r="F113" t="s">
        <v>97</v>
      </c>
      <c r="G113" t="s">
        <v>14</v>
      </c>
      <c r="H113" t="s">
        <v>98</v>
      </c>
      <c r="I113" t="s">
        <v>16</v>
      </c>
      <c r="J113" t="s">
        <v>99</v>
      </c>
      <c r="K113" t="s">
        <v>95</v>
      </c>
      <c r="L113" t="s">
        <v>26</v>
      </c>
      <c r="M113" t="s">
        <v>100</v>
      </c>
      <c r="N113" t="s">
        <v>132</v>
      </c>
      <c r="O113" t="s">
        <v>18</v>
      </c>
      <c r="P113">
        <v>220641</v>
      </c>
      <c r="Q113" t="s">
        <v>7</v>
      </c>
      <c r="R113" t="s">
        <v>101</v>
      </c>
      <c r="S113" t="s">
        <v>102</v>
      </c>
      <c r="T113">
        <v>90</v>
      </c>
      <c r="U113">
        <v>0.5</v>
      </c>
      <c r="V113" s="2">
        <v>2.0833333333333332E-2</v>
      </c>
      <c r="W113">
        <v>45</v>
      </c>
      <c r="X113">
        <v>60</v>
      </c>
      <c r="Y113">
        <v>15</v>
      </c>
      <c r="Z113" t="s">
        <v>108</v>
      </c>
      <c r="AA113" t="s">
        <v>104</v>
      </c>
      <c r="AB113" t="s">
        <v>105</v>
      </c>
      <c r="AC113" t="s">
        <v>132</v>
      </c>
      <c r="AD113" t="s">
        <v>107</v>
      </c>
      <c r="AE113">
        <f t="shared" si="15"/>
        <v>3</v>
      </c>
      <c r="AF113" t="str">
        <f t="shared" si="16"/>
        <v>March</v>
      </c>
    </row>
    <row r="114" spans="1:32">
      <c r="A114" s="1">
        <v>45358</v>
      </c>
      <c r="B114" t="s">
        <v>26</v>
      </c>
      <c r="C114" t="s">
        <v>131</v>
      </c>
      <c r="D114" t="s">
        <v>95</v>
      </c>
      <c r="E114" t="s">
        <v>136</v>
      </c>
      <c r="F114" t="s">
        <v>97</v>
      </c>
      <c r="G114" t="s">
        <v>14</v>
      </c>
      <c r="H114" t="s">
        <v>98</v>
      </c>
      <c r="I114" t="s">
        <v>16</v>
      </c>
      <c r="J114" t="s">
        <v>99</v>
      </c>
      <c r="K114" t="s">
        <v>95</v>
      </c>
      <c r="L114" t="s">
        <v>26</v>
      </c>
      <c r="M114" t="s">
        <v>100</v>
      </c>
      <c r="N114" t="s">
        <v>132</v>
      </c>
      <c r="O114" t="s">
        <v>18</v>
      </c>
      <c r="P114">
        <v>221392</v>
      </c>
      <c r="Q114" t="s">
        <v>7</v>
      </c>
      <c r="R114" t="s">
        <v>101</v>
      </c>
      <c r="S114" t="s">
        <v>102</v>
      </c>
      <c r="T114">
        <v>90</v>
      </c>
      <c r="U114">
        <v>0.75</v>
      </c>
      <c r="V114" s="2">
        <v>3.125E-2</v>
      </c>
      <c r="W114">
        <v>67.5</v>
      </c>
      <c r="X114">
        <v>90</v>
      </c>
      <c r="Y114">
        <v>22.5</v>
      </c>
      <c r="Z114" t="s">
        <v>108</v>
      </c>
      <c r="AA114" t="s">
        <v>104</v>
      </c>
      <c r="AB114" t="s">
        <v>105</v>
      </c>
      <c r="AC114" t="s">
        <v>132</v>
      </c>
      <c r="AD114" t="s">
        <v>107</v>
      </c>
      <c r="AE114">
        <f t="shared" si="15"/>
        <v>3</v>
      </c>
      <c r="AF114" t="str">
        <f t="shared" si="16"/>
        <v>March</v>
      </c>
    </row>
    <row r="115" spans="1:32">
      <c r="A115" s="1">
        <v>45359</v>
      </c>
      <c r="B115" t="s">
        <v>26</v>
      </c>
      <c r="C115" t="s">
        <v>131</v>
      </c>
      <c r="D115" t="s">
        <v>95</v>
      </c>
      <c r="E115" t="s">
        <v>136</v>
      </c>
      <c r="F115" t="s">
        <v>97</v>
      </c>
      <c r="G115" t="s">
        <v>14</v>
      </c>
      <c r="H115" t="s">
        <v>98</v>
      </c>
      <c r="I115" t="s">
        <v>16</v>
      </c>
      <c r="J115" t="s">
        <v>99</v>
      </c>
      <c r="K115" t="s">
        <v>95</v>
      </c>
      <c r="L115" t="s">
        <v>26</v>
      </c>
      <c r="M115" t="s">
        <v>100</v>
      </c>
      <c r="N115" t="s">
        <v>132</v>
      </c>
      <c r="O115" t="s">
        <v>18</v>
      </c>
      <c r="P115">
        <v>221855</v>
      </c>
      <c r="Q115" t="s">
        <v>7</v>
      </c>
      <c r="R115" t="s">
        <v>101</v>
      </c>
      <c r="S115" t="s">
        <v>102</v>
      </c>
      <c r="T115">
        <v>90</v>
      </c>
      <c r="U115">
        <v>0.25</v>
      </c>
      <c r="V115" s="2">
        <v>1.0416666666666666E-2</v>
      </c>
      <c r="W115">
        <v>22.5</v>
      </c>
      <c r="X115">
        <v>30</v>
      </c>
      <c r="Y115">
        <v>7.5</v>
      </c>
      <c r="Z115" t="s">
        <v>108</v>
      </c>
      <c r="AA115" t="s">
        <v>104</v>
      </c>
      <c r="AB115" t="s">
        <v>105</v>
      </c>
      <c r="AC115" t="s">
        <v>132</v>
      </c>
      <c r="AD115" t="s">
        <v>107</v>
      </c>
      <c r="AE115">
        <f t="shared" si="15"/>
        <v>3</v>
      </c>
      <c r="AF115" t="str">
        <f t="shared" si="16"/>
        <v>March</v>
      </c>
    </row>
    <row r="116" spans="1:32">
      <c r="A116" s="1">
        <v>45362</v>
      </c>
      <c r="B116" t="s">
        <v>26</v>
      </c>
      <c r="C116" t="s">
        <v>131</v>
      </c>
      <c r="D116" t="s">
        <v>95</v>
      </c>
      <c r="E116" t="s">
        <v>136</v>
      </c>
      <c r="F116" t="s">
        <v>97</v>
      </c>
      <c r="G116" t="s">
        <v>14</v>
      </c>
      <c r="H116" t="s">
        <v>98</v>
      </c>
      <c r="I116" t="s">
        <v>16</v>
      </c>
      <c r="J116" t="s">
        <v>99</v>
      </c>
      <c r="K116" t="s">
        <v>95</v>
      </c>
      <c r="L116" t="s">
        <v>26</v>
      </c>
      <c r="M116" t="s">
        <v>100</v>
      </c>
      <c r="N116" t="s">
        <v>132</v>
      </c>
      <c r="O116" t="s">
        <v>18</v>
      </c>
      <c r="P116">
        <v>222786</v>
      </c>
      <c r="Q116" t="s">
        <v>7</v>
      </c>
      <c r="R116" t="s">
        <v>101</v>
      </c>
      <c r="S116" t="s">
        <v>102</v>
      </c>
      <c r="T116">
        <v>90</v>
      </c>
      <c r="U116">
        <v>0.5</v>
      </c>
      <c r="V116" s="2">
        <v>2.0833333333333332E-2</v>
      </c>
      <c r="W116">
        <v>45</v>
      </c>
      <c r="X116">
        <v>60</v>
      </c>
      <c r="Y116">
        <v>15</v>
      </c>
      <c r="Z116" t="s">
        <v>108</v>
      </c>
      <c r="AA116" t="s">
        <v>104</v>
      </c>
      <c r="AB116" t="s">
        <v>105</v>
      </c>
      <c r="AC116" t="s">
        <v>132</v>
      </c>
      <c r="AD116" t="s">
        <v>107</v>
      </c>
      <c r="AE116">
        <f t="shared" ref="AE116:AE119" si="17">MONTH(A116)</f>
        <v>3</v>
      </c>
      <c r="AF116" t="str">
        <f t="shared" ref="AF116:AF119" si="18">IF(AE116=1,"January",IF(AE116=2,"February",IF(AE116=3,"March",IF(AE116=4,"April",IF(AE116=5,"May")))))</f>
        <v>March</v>
      </c>
    </row>
    <row r="117" spans="1:32">
      <c r="A117" s="1">
        <v>45363</v>
      </c>
      <c r="B117" t="s">
        <v>26</v>
      </c>
      <c r="C117" t="s">
        <v>131</v>
      </c>
      <c r="D117" t="s">
        <v>95</v>
      </c>
      <c r="E117" t="s">
        <v>136</v>
      </c>
      <c r="F117" t="s">
        <v>97</v>
      </c>
      <c r="G117" t="s">
        <v>14</v>
      </c>
      <c r="H117" t="s">
        <v>98</v>
      </c>
      <c r="I117" t="s">
        <v>16</v>
      </c>
      <c r="J117" t="s">
        <v>99</v>
      </c>
      <c r="K117" t="s">
        <v>95</v>
      </c>
      <c r="L117" t="s">
        <v>26</v>
      </c>
      <c r="M117" t="s">
        <v>100</v>
      </c>
      <c r="N117" t="s">
        <v>132</v>
      </c>
      <c r="O117" t="s">
        <v>18</v>
      </c>
      <c r="P117">
        <v>223231</v>
      </c>
      <c r="Q117" t="s">
        <v>7</v>
      </c>
      <c r="R117" t="s">
        <v>101</v>
      </c>
      <c r="S117" t="s">
        <v>102</v>
      </c>
      <c r="T117">
        <v>90</v>
      </c>
      <c r="U117">
        <v>0.25</v>
      </c>
      <c r="V117" s="2">
        <v>1.0416666666666666E-2</v>
      </c>
      <c r="W117">
        <v>22.5</v>
      </c>
      <c r="X117">
        <v>30</v>
      </c>
      <c r="Y117">
        <v>7.5</v>
      </c>
      <c r="Z117" t="s">
        <v>108</v>
      </c>
      <c r="AA117" t="s">
        <v>104</v>
      </c>
      <c r="AB117" t="s">
        <v>105</v>
      </c>
      <c r="AC117" t="s">
        <v>132</v>
      </c>
      <c r="AD117" t="s">
        <v>107</v>
      </c>
      <c r="AE117">
        <f t="shared" si="17"/>
        <v>3</v>
      </c>
      <c r="AF117" t="str">
        <f t="shared" si="18"/>
        <v>March</v>
      </c>
    </row>
    <row r="118" spans="1:32">
      <c r="A118" s="1">
        <v>45364</v>
      </c>
      <c r="B118" t="s">
        <v>26</v>
      </c>
      <c r="C118" t="s">
        <v>131</v>
      </c>
      <c r="D118" t="s">
        <v>95</v>
      </c>
      <c r="E118" t="s">
        <v>136</v>
      </c>
      <c r="F118" t="s">
        <v>97</v>
      </c>
      <c r="G118" t="s">
        <v>14</v>
      </c>
      <c r="H118" t="s">
        <v>98</v>
      </c>
      <c r="I118" t="s">
        <v>16</v>
      </c>
      <c r="J118" t="s">
        <v>99</v>
      </c>
      <c r="K118" t="s">
        <v>95</v>
      </c>
      <c r="L118" t="s">
        <v>26</v>
      </c>
      <c r="M118" t="s">
        <v>100</v>
      </c>
      <c r="N118" t="s">
        <v>132</v>
      </c>
      <c r="O118" t="s">
        <v>18</v>
      </c>
      <c r="P118">
        <v>223427</v>
      </c>
      <c r="Q118" t="s">
        <v>7</v>
      </c>
      <c r="R118" t="s">
        <v>101</v>
      </c>
      <c r="S118" t="s">
        <v>102</v>
      </c>
      <c r="T118">
        <v>90</v>
      </c>
      <c r="U118">
        <v>0.25</v>
      </c>
      <c r="V118" s="2">
        <v>1.0416666666666666E-2</v>
      </c>
      <c r="W118">
        <v>22.5</v>
      </c>
      <c r="X118">
        <v>30</v>
      </c>
      <c r="Y118">
        <v>7.5</v>
      </c>
      <c r="Z118" t="s">
        <v>108</v>
      </c>
      <c r="AA118" t="s">
        <v>104</v>
      </c>
      <c r="AB118" t="s">
        <v>105</v>
      </c>
      <c r="AC118" t="s">
        <v>132</v>
      </c>
      <c r="AD118" t="s">
        <v>107</v>
      </c>
      <c r="AE118">
        <f t="shared" si="17"/>
        <v>3</v>
      </c>
      <c r="AF118" t="str">
        <f t="shared" si="18"/>
        <v>March</v>
      </c>
    </row>
    <row r="119" spans="1:32">
      <c r="A119" s="1">
        <v>45369</v>
      </c>
      <c r="B119" t="s">
        <v>26</v>
      </c>
      <c r="C119" t="s">
        <v>131</v>
      </c>
      <c r="D119" t="s">
        <v>95</v>
      </c>
      <c r="E119" t="s">
        <v>136</v>
      </c>
      <c r="F119" t="s">
        <v>97</v>
      </c>
      <c r="G119" t="s">
        <v>14</v>
      </c>
      <c r="H119" t="s">
        <v>98</v>
      </c>
      <c r="I119" t="s">
        <v>16</v>
      </c>
      <c r="J119" t="s">
        <v>99</v>
      </c>
      <c r="K119" t="s">
        <v>95</v>
      </c>
      <c r="L119" t="s">
        <v>26</v>
      </c>
      <c r="M119" t="s">
        <v>100</v>
      </c>
      <c r="N119" t="s">
        <v>132</v>
      </c>
      <c r="O119" t="s">
        <v>18</v>
      </c>
      <c r="P119">
        <v>225250</v>
      </c>
      <c r="Q119" t="s">
        <v>7</v>
      </c>
      <c r="R119" t="s">
        <v>101</v>
      </c>
      <c r="S119" t="s">
        <v>102</v>
      </c>
      <c r="T119">
        <v>90</v>
      </c>
      <c r="U119">
        <v>0.5</v>
      </c>
      <c r="V119" s="2">
        <v>2.0833333333333332E-2</v>
      </c>
      <c r="W119">
        <v>45</v>
      </c>
      <c r="X119">
        <v>60</v>
      </c>
      <c r="Y119">
        <v>15</v>
      </c>
      <c r="Z119" t="s">
        <v>108</v>
      </c>
      <c r="AA119" t="s">
        <v>104</v>
      </c>
      <c r="AB119" t="s">
        <v>105</v>
      </c>
      <c r="AC119" t="s">
        <v>132</v>
      </c>
      <c r="AD119" t="s">
        <v>107</v>
      </c>
      <c r="AE119">
        <f t="shared" si="17"/>
        <v>3</v>
      </c>
      <c r="AF119" t="str">
        <f t="shared" si="18"/>
        <v>March</v>
      </c>
    </row>
    <row r="120" spans="1:32">
      <c r="A120" s="1">
        <v>45370</v>
      </c>
      <c r="B120" t="s">
        <v>26</v>
      </c>
      <c r="C120" t="s">
        <v>131</v>
      </c>
      <c r="D120" t="s">
        <v>95</v>
      </c>
      <c r="E120" t="s">
        <v>136</v>
      </c>
      <c r="F120" t="s">
        <v>97</v>
      </c>
      <c r="G120" t="s">
        <v>14</v>
      </c>
      <c r="H120" t="s">
        <v>98</v>
      </c>
      <c r="I120" t="s">
        <v>16</v>
      </c>
      <c r="J120" t="s">
        <v>99</v>
      </c>
      <c r="K120" t="s">
        <v>95</v>
      </c>
      <c r="L120" t="s">
        <v>26</v>
      </c>
      <c r="M120" t="s">
        <v>100</v>
      </c>
      <c r="N120" t="s">
        <v>132</v>
      </c>
      <c r="O120" t="s">
        <v>18</v>
      </c>
      <c r="P120">
        <v>226039</v>
      </c>
      <c r="Q120" t="s">
        <v>7</v>
      </c>
      <c r="R120" t="s">
        <v>101</v>
      </c>
      <c r="S120" t="s">
        <v>102</v>
      </c>
      <c r="T120">
        <v>90</v>
      </c>
      <c r="U120">
        <v>0.25</v>
      </c>
      <c r="V120" s="2">
        <v>1.0416666666666666E-2</v>
      </c>
      <c r="W120">
        <v>22.5</v>
      </c>
      <c r="X120">
        <v>30</v>
      </c>
      <c r="Y120">
        <v>7.5</v>
      </c>
      <c r="Z120" t="s">
        <v>108</v>
      </c>
      <c r="AA120" t="s">
        <v>104</v>
      </c>
      <c r="AB120" t="s">
        <v>105</v>
      </c>
      <c r="AC120" t="s">
        <v>132</v>
      </c>
      <c r="AD120" t="s">
        <v>107</v>
      </c>
      <c r="AE120">
        <f t="shared" ref="AE120:AE121" si="19">MONTH(A120)</f>
        <v>3</v>
      </c>
      <c r="AF120" t="str">
        <f t="shared" ref="AF120:AF121" si="20">IF(AE120=1,"January",IF(AE120=2,"February",IF(AE120=3,"March",IF(AE120=4,"April",IF(AE120=5,"May")))))</f>
        <v>March</v>
      </c>
    </row>
    <row r="121" spans="1:32">
      <c r="A121" s="1">
        <v>45371</v>
      </c>
      <c r="B121" t="s">
        <v>26</v>
      </c>
      <c r="C121" t="s">
        <v>131</v>
      </c>
      <c r="D121" t="s">
        <v>95</v>
      </c>
      <c r="E121" t="s">
        <v>136</v>
      </c>
      <c r="F121" t="s">
        <v>97</v>
      </c>
      <c r="G121" t="s">
        <v>14</v>
      </c>
      <c r="H121" t="s">
        <v>98</v>
      </c>
      <c r="I121" t="s">
        <v>16</v>
      </c>
      <c r="J121" t="s">
        <v>99</v>
      </c>
      <c r="K121" t="s">
        <v>95</v>
      </c>
      <c r="L121" t="s">
        <v>26</v>
      </c>
      <c r="M121" t="s">
        <v>100</v>
      </c>
      <c r="N121" t="s">
        <v>132</v>
      </c>
      <c r="O121" t="s">
        <v>18</v>
      </c>
      <c r="P121">
        <v>226371</v>
      </c>
      <c r="Q121" t="s">
        <v>7</v>
      </c>
      <c r="R121" t="s">
        <v>101</v>
      </c>
      <c r="S121" t="s">
        <v>102</v>
      </c>
      <c r="T121">
        <v>90</v>
      </c>
      <c r="U121">
        <v>0.25</v>
      </c>
      <c r="V121" s="2">
        <v>1.0416666666666666E-2</v>
      </c>
      <c r="W121">
        <v>22.5</v>
      </c>
      <c r="X121">
        <v>30</v>
      </c>
      <c r="Y121">
        <v>7.5</v>
      </c>
      <c r="Z121" t="s">
        <v>108</v>
      </c>
      <c r="AA121" t="s">
        <v>104</v>
      </c>
      <c r="AB121" t="s">
        <v>105</v>
      </c>
      <c r="AC121" t="s">
        <v>132</v>
      </c>
      <c r="AD121" t="s">
        <v>107</v>
      </c>
      <c r="AE121">
        <f t="shared" si="19"/>
        <v>3</v>
      </c>
      <c r="AF121" t="str">
        <f t="shared" si="20"/>
        <v>March</v>
      </c>
    </row>
    <row r="122" spans="1:32">
      <c r="A122" s="1">
        <v>45373</v>
      </c>
      <c r="B122" t="s">
        <v>26</v>
      </c>
      <c r="C122" t="s">
        <v>131</v>
      </c>
      <c r="D122" t="s">
        <v>95</v>
      </c>
      <c r="E122" t="s">
        <v>136</v>
      </c>
      <c r="F122" t="s">
        <v>97</v>
      </c>
      <c r="G122" t="s">
        <v>14</v>
      </c>
      <c r="H122" t="s">
        <v>98</v>
      </c>
      <c r="I122" t="s">
        <v>16</v>
      </c>
      <c r="J122" t="s">
        <v>99</v>
      </c>
      <c r="K122" t="s">
        <v>95</v>
      </c>
      <c r="L122" t="s">
        <v>26</v>
      </c>
      <c r="M122" t="s">
        <v>100</v>
      </c>
      <c r="N122" t="s">
        <v>132</v>
      </c>
      <c r="O122" t="s">
        <v>18</v>
      </c>
      <c r="P122">
        <v>227407</v>
      </c>
      <c r="Q122" t="s">
        <v>7</v>
      </c>
      <c r="R122" t="s">
        <v>101</v>
      </c>
      <c r="S122" t="s">
        <v>102</v>
      </c>
      <c r="T122">
        <v>90</v>
      </c>
      <c r="U122">
        <v>1</v>
      </c>
      <c r="V122" s="2">
        <v>4.1666666666666664E-2</v>
      </c>
      <c r="W122">
        <v>90</v>
      </c>
      <c r="X122">
        <v>120</v>
      </c>
      <c r="Y122">
        <v>30</v>
      </c>
      <c r="Z122" t="s">
        <v>108</v>
      </c>
      <c r="AA122" t="s">
        <v>104</v>
      </c>
      <c r="AB122" t="s">
        <v>105</v>
      </c>
      <c r="AC122" t="s">
        <v>132</v>
      </c>
      <c r="AD122" t="s">
        <v>107</v>
      </c>
      <c r="AE122">
        <f t="shared" ref="AE122" si="21">MONTH(A122)</f>
        <v>3</v>
      </c>
      <c r="AF122" t="str">
        <f t="shared" ref="AF122" si="22">IF(AE122=1,"January",IF(AE122=2,"February",IF(AE122=3,"March",IF(AE122=4,"April",IF(AE122=5,"May")))))</f>
        <v>March</v>
      </c>
    </row>
    <row r="123" spans="1:32">
      <c r="A123" s="1">
        <v>45386</v>
      </c>
      <c r="B123" t="s">
        <v>26</v>
      </c>
      <c r="C123" t="s">
        <v>131</v>
      </c>
      <c r="D123" t="s">
        <v>95</v>
      </c>
      <c r="E123" t="s">
        <v>136</v>
      </c>
      <c r="F123" t="s">
        <v>97</v>
      </c>
      <c r="G123" t="s">
        <v>14</v>
      </c>
      <c r="H123" t="s">
        <v>98</v>
      </c>
      <c r="I123" t="s">
        <v>16</v>
      </c>
      <c r="J123" t="s">
        <v>99</v>
      </c>
      <c r="K123" t="s">
        <v>95</v>
      </c>
      <c r="L123" t="s">
        <v>26</v>
      </c>
      <c r="M123" t="s">
        <v>100</v>
      </c>
      <c r="N123" t="s">
        <v>132</v>
      </c>
      <c r="O123" t="s">
        <v>18</v>
      </c>
      <c r="P123">
        <v>231548</v>
      </c>
      <c r="Q123" t="s">
        <v>8</v>
      </c>
      <c r="R123" t="s">
        <v>101</v>
      </c>
      <c r="S123" t="s">
        <v>102</v>
      </c>
      <c r="T123">
        <v>90</v>
      </c>
      <c r="U123">
        <v>0.25</v>
      </c>
      <c r="V123" s="2">
        <v>1.0416666666666666E-2</v>
      </c>
      <c r="W123">
        <v>22.5</v>
      </c>
      <c r="X123">
        <v>30</v>
      </c>
      <c r="Y123">
        <v>7.5</v>
      </c>
      <c r="Z123" t="s">
        <v>124</v>
      </c>
      <c r="AA123" t="s">
        <v>104</v>
      </c>
      <c r="AB123" t="s">
        <v>105</v>
      </c>
      <c r="AC123" t="s">
        <v>132</v>
      </c>
      <c r="AD123" t="s">
        <v>107</v>
      </c>
      <c r="AE123">
        <f t="shared" ref="AE123:AE127" si="23">MONTH(A123)</f>
        <v>4</v>
      </c>
      <c r="AF123" t="str">
        <f t="shared" ref="AF123:AF127" si="24">IF(AE123=1,"January",IF(AE123=2,"February",IF(AE123=3,"March",IF(AE123=4,"April",IF(AE123=5,"May")))))</f>
        <v>April</v>
      </c>
    </row>
    <row r="124" spans="1:32">
      <c r="A124" s="1">
        <v>45387</v>
      </c>
      <c r="B124" t="s">
        <v>26</v>
      </c>
      <c r="C124" t="s">
        <v>131</v>
      </c>
      <c r="D124" t="s">
        <v>95</v>
      </c>
      <c r="E124" t="s">
        <v>136</v>
      </c>
      <c r="F124" t="s">
        <v>97</v>
      </c>
      <c r="G124" t="s">
        <v>14</v>
      </c>
      <c r="H124" t="s">
        <v>98</v>
      </c>
      <c r="I124" t="s">
        <v>16</v>
      </c>
      <c r="J124" t="s">
        <v>99</v>
      </c>
      <c r="K124" t="s">
        <v>95</v>
      </c>
      <c r="L124" t="s">
        <v>26</v>
      </c>
      <c r="M124" t="s">
        <v>100</v>
      </c>
      <c r="N124" t="s">
        <v>132</v>
      </c>
      <c r="O124" t="s">
        <v>18</v>
      </c>
      <c r="P124">
        <v>231549</v>
      </c>
      <c r="Q124" t="s">
        <v>8</v>
      </c>
      <c r="R124" t="s">
        <v>101</v>
      </c>
      <c r="S124" t="s">
        <v>102</v>
      </c>
      <c r="T124">
        <v>90</v>
      </c>
      <c r="U124">
        <v>0.25</v>
      </c>
      <c r="V124" s="2">
        <v>1.0416666666666666E-2</v>
      </c>
      <c r="W124">
        <v>22.5</v>
      </c>
      <c r="X124">
        <v>30</v>
      </c>
      <c r="Y124">
        <v>7.5</v>
      </c>
      <c r="Z124" t="s">
        <v>124</v>
      </c>
      <c r="AA124" t="s">
        <v>104</v>
      </c>
      <c r="AB124" t="s">
        <v>105</v>
      </c>
      <c r="AC124" t="s">
        <v>132</v>
      </c>
      <c r="AD124" t="s">
        <v>107</v>
      </c>
      <c r="AE124">
        <f t="shared" si="23"/>
        <v>4</v>
      </c>
      <c r="AF124" t="str">
        <f t="shared" si="24"/>
        <v>April</v>
      </c>
    </row>
    <row r="125" spans="1:32">
      <c r="A125" s="1">
        <v>45392</v>
      </c>
      <c r="B125" t="s">
        <v>26</v>
      </c>
      <c r="C125" t="s">
        <v>131</v>
      </c>
      <c r="D125" t="s">
        <v>95</v>
      </c>
      <c r="E125" t="s">
        <v>136</v>
      </c>
      <c r="F125" t="s">
        <v>97</v>
      </c>
      <c r="G125" t="s">
        <v>14</v>
      </c>
      <c r="H125" t="s">
        <v>98</v>
      </c>
      <c r="I125" t="s">
        <v>16</v>
      </c>
      <c r="J125" t="s">
        <v>99</v>
      </c>
      <c r="K125" t="s">
        <v>95</v>
      </c>
      <c r="L125" t="s">
        <v>26</v>
      </c>
      <c r="M125" t="s">
        <v>100</v>
      </c>
      <c r="N125" t="s">
        <v>132</v>
      </c>
      <c r="O125" t="s">
        <v>18</v>
      </c>
      <c r="P125">
        <v>233822</v>
      </c>
      <c r="Q125" t="s">
        <v>8</v>
      </c>
      <c r="R125" t="s">
        <v>101</v>
      </c>
      <c r="S125" t="s">
        <v>102</v>
      </c>
      <c r="T125">
        <v>90</v>
      </c>
      <c r="U125">
        <v>0.5</v>
      </c>
      <c r="V125" s="2">
        <v>2.0833333333333332E-2</v>
      </c>
      <c r="W125">
        <v>45</v>
      </c>
      <c r="X125">
        <v>60</v>
      </c>
      <c r="Y125">
        <v>15</v>
      </c>
      <c r="Z125" t="s">
        <v>124</v>
      </c>
      <c r="AA125" t="s">
        <v>104</v>
      </c>
      <c r="AB125" t="s">
        <v>105</v>
      </c>
      <c r="AC125" t="s">
        <v>132</v>
      </c>
      <c r="AD125" t="s">
        <v>107</v>
      </c>
      <c r="AE125">
        <f t="shared" si="23"/>
        <v>4</v>
      </c>
      <c r="AF125" t="str">
        <f t="shared" si="24"/>
        <v>April</v>
      </c>
    </row>
    <row r="126" spans="1:32">
      <c r="A126" s="1">
        <v>45393</v>
      </c>
      <c r="B126" t="s">
        <v>26</v>
      </c>
      <c r="C126" t="s">
        <v>131</v>
      </c>
      <c r="D126" t="s">
        <v>95</v>
      </c>
      <c r="E126" t="s">
        <v>136</v>
      </c>
      <c r="F126" t="s">
        <v>97</v>
      </c>
      <c r="G126" t="s">
        <v>14</v>
      </c>
      <c r="H126" t="s">
        <v>98</v>
      </c>
      <c r="I126" t="s">
        <v>16</v>
      </c>
      <c r="J126" t="s">
        <v>99</v>
      </c>
      <c r="K126" t="s">
        <v>95</v>
      </c>
      <c r="L126" t="s">
        <v>26</v>
      </c>
      <c r="M126" t="s">
        <v>100</v>
      </c>
      <c r="N126" t="s">
        <v>132</v>
      </c>
      <c r="O126" t="s">
        <v>18</v>
      </c>
      <c r="P126">
        <v>234264</v>
      </c>
      <c r="Q126" t="s">
        <v>8</v>
      </c>
      <c r="R126" t="s">
        <v>101</v>
      </c>
      <c r="S126" t="s">
        <v>102</v>
      </c>
      <c r="T126">
        <v>90</v>
      </c>
      <c r="U126">
        <v>0.25</v>
      </c>
      <c r="V126" s="2">
        <v>1.0416666666666666E-2</v>
      </c>
      <c r="W126">
        <v>22.5</v>
      </c>
      <c r="X126">
        <v>30</v>
      </c>
      <c r="Y126">
        <v>7.5</v>
      </c>
      <c r="Z126" t="s">
        <v>124</v>
      </c>
      <c r="AA126" t="s">
        <v>104</v>
      </c>
      <c r="AB126" t="s">
        <v>105</v>
      </c>
      <c r="AC126" t="s">
        <v>132</v>
      </c>
      <c r="AD126" t="s">
        <v>107</v>
      </c>
      <c r="AE126">
        <f t="shared" si="23"/>
        <v>4</v>
      </c>
      <c r="AF126" t="str">
        <f t="shared" si="24"/>
        <v>April</v>
      </c>
    </row>
    <row r="127" spans="1:32">
      <c r="A127" s="1">
        <v>45397</v>
      </c>
      <c r="B127" t="s">
        <v>26</v>
      </c>
      <c r="C127" t="s">
        <v>131</v>
      </c>
      <c r="D127" t="s">
        <v>95</v>
      </c>
      <c r="E127" t="s">
        <v>136</v>
      </c>
      <c r="F127" t="s">
        <v>97</v>
      </c>
      <c r="G127" t="s">
        <v>14</v>
      </c>
      <c r="H127" t="s">
        <v>98</v>
      </c>
      <c r="I127" t="s">
        <v>16</v>
      </c>
      <c r="J127" t="s">
        <v>99</v>
      </c>
      <c r="K127" t="s">
        <v>95</v>
      </c>
      <c r="L127" t="s">
        <v>26</v>
      </c>
      <c r="M127" t="s">
        <v>100</v>
      </c>
      <c r="N127" t="s">
        <v>132</v>
      </c>
      <c r="O127" t="s">
        <v>18</v>
      </c>
      <c r="P127">
        <v>235325</v>
      </c>
      <c r="Q127" t="s">
        <v>8</v>
      </c>
      <c r="R127" t="s">
        <v>101</v>
      </c>
      <c r="S127" t="s">
        <v>102</v>
      </c>
      <c r="T127">
        <v>90</v>
      </c>
      <c r="U127">
        <v>0.25</v>
      </c>
      <c r="V127" s="2">
        <v>1.0416666666666666E-2</v>
      </c>
      <c r="W127">
        <v>22.5</v>
      </c>
      <c r="X127">
        <v>30</v>
      </c>
      <c r="Y127">
        <v>7.5</v>
      </c>
      <c r="Z127" t="s">
        <v>124</v>
      </c>
      <c r="AA127" t="s">
        <v>104</v>
      </c>
      <c r="AB127" t="s">
        <v>105</v>
      </c>
      <c r="AC127" t="s">
        <v>132</v>
      </c>
      <c r="AD127" t="s">
        <v>107</v>
      </c>
      <c r="AE127">
        <f t="shared" si="23"/>
        <v>4</v>
      </c>
      <c r="AF127" t="str">
        <f t="shared" si="24"/>
        <v>April</v>
      </c>
    </row>
    <row r="128" spans="1:32">
      <c r="A128" s="1">
        <v>45398</v>
      </c>
      <c r="B128" t="s">
        <v>26</v>
      </c>
      <c r="C128" t="s">
        <v>131</v>
      </c>
      <c r="D128" t="s">
        <v>95</v>
      </c>
      <c r="E128" t="s">
        <v>136</v>
      </c>
      <c r="F128" t="s">
        <v>97</v>
      </c>
      <c r="G128" t="s">
        <v>14</v>
      </c>
      <c r="H128" t="s">
        <v>98</v>
      </c>
      <c r="I128" t="s">
        <v>16</v>
      </c>
      <c r="J128" t="s">
        <v>99</v>
      </c>
      <c r="K128" t="s">
        <v>95</v>
      </c>
      <c r="L128" t="s">
        <v>26</v>
      </c>
      <c r="M128" t="s">
        <v>100</v>
      </c>
      <c r="N128" t="s">
        <v>132</v>
      </c>
      <c r="O128" t="s">
        <v>18</v>
      </c>
      <c r="P128">
        <v>235993</v>
      </c>
      <c r="Q128" t="s">
        <v>8</v>
      </c>
      <c r="R128" t="s">
        <v>101</v>
      </c>
      <c r="S128" t="s">
        <v>102</v>
      </c>
      <c r="T128">
        <v>90</v>
      </c>
      <c r="U128">
        <v>0.25</v>
      </c>
      <c r="V128" s="2">
        <v>1.0416666666666666E-2</v>
      </c>
      <c r="W128">
        <v>22.5</v>
      </c>
      <c r="X128">
        <v>30</v>
      </c>
      <c r="Y128">
        <v>7.5</v>
      </c>
      <c r="Z128" t="s">
        <v>124</v>
      </c>
      <c r="AA128" t="s">
        <v>104</v>
      </c>
      <c r="AB128" t="s">
        <v>105</v>
      </c>
      <c r="AC128" t="s">
        <v>132</v>
      </c>
      <c r="AD128" t="s">
        <v>107</v>
      </c>
      <c r="AE128">
        <f t="shared" ref="AE128" si="25">MONTH(A128)</f>
        <v>4</v>
      </c>
      <c r="AF128" t="str">
        <f t="shared" ref="AF128" si="26">IF(AE128=1,"January",IF(AE128=2,"February",IF(AE128=3,"March",IF(AE128=4,"April",IF(AE128=5,"May")))))</f>
        <v>April</v>
      </c>
    </row>
  </sheetData>
  <autoFilter ref="A1:AF119" xr:uid="{00000000-0001-0000-01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5676dd91-060c-4b71-810a-dbdca5582071" ContentTypeId="0x010100B16301FA1C2D5E4DB9305F31D037531D020701" PreviousValue="false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20</Value>
    </TaxCatchAll>
    <ofdb165b7a42400995658a9538ebccb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PM Report</TermName>
          <TermId xmlns="http://schemas.microsoft.com/office/infopath/2007/PartnerControls">9d58a819-7b07-406f-ac0f-0f196f5e097b</TermId>
        </TermInfo>
      </Terms>
    </ofdb165b7a42400995658a9538ebccb7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Client Document" ma:contentTypeID="0x010100B16301FA1C2D5E4DB9305F31D037531D02070100EAEC246849C81A4BA7B470C1AFD8AAFF" ma:contentTypeVersion="3" ma:contentTypeDescription="A document associated with a client" ma:contentTypeScope="" ma:versionID="8660e9f4d2495e929d93e8a6616d4a81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07434d5f9b9ff652931a8c76cfaf3aa4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ofdb165b7a42400995658a9538ebccb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fdb165b7a42400995658a9538ebccb7" ma:index="14" ma:taxonomy="true" ma:internalName="ofdb165b7a42400995658a9538ebccb7" ma:taxonomyFieldName="Client_x0020_Document_x0020_Type" ma:displayName="Client Document Type" ma:readOnly="false" ma:default="" ma:fieldId="{8fdb165b-7a42-4009-9565-8a9538ebccb7}" ma:sspId="5676dd91-060c-4b71-810a-dbdca5582071" ma:termSetId="87785518-c8fe-4f86-8451-d27d55639c5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58065B4-6592-4AF6-AAA7-6485759AFDE6}"/>
</file>

<file path=customXml/itemProps2.xml><?xml version="1.0" encoding="utf-8"?>
<ds:datastoreItem xmlns:ds="http://schemas.openxmlformats.org/officeDocument/2006/customXml" ds:itemID="{CBB541AE-11D9-4ADD-87AA-A75E2DAC4539}"/>
</file>

<file path=customXml/itemProps3.xml><?xml version="1.0" encoding="utf-8"?>
<ds:datastoreItem xmlns:ds="http://schemas.openxmlformats.org/officeDocument/2006/customXml" ds:itemID="{D8DBCBFD-D211-47FB-837C-5AD6672E1129}"/>
</file>

<file path=customXml/itemProps4.xml><?xml version="1.0" encoding="utf-8"?>
<ds:datastoreItem xmlns:ds="http://schemas.openxmlformats.org/officeDocument/2006/customXml" ds:itemID="{AFD2C7B7-7F18-4100-B07E-0DC63583E8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Carami Le Grange</dc:creator>
  <cp:keywords/>
  <dc:description/>
  <cp:lastModifiedBy>Shaun Barrett</cp:lastModifiedBy>
  <cp:revision/>
  <dcterms:created xsi:type="dcterms:W3CDTF">2024-03-04T09:45:29Z</dcterms:created>
  <dcterms:modified xsi:type="dcterms:W3CDTF">2024-05-31T05:01:34Z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ient Document Type">
    <vt:lpwstr>20;#PM Report|9d58a819-7b07-406f-ac0f-0f196f5e097b</vt:lpwstr>
  </property>
  <property fmtid="{D5CDD505-2E9C-101B-9397-08002B2CF9AE}" pid="3" name="ContentTypeId">
    <vt:lpwstr>0x010100B16301FA1C2D5E4DB9305F31D037531D02070100EAEC246849C81A4BA7B470C1AFD8AAFF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</Properties>
</file>