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egrange\Downloads\"/>
    </mc:Choice>
  </mc:AlternateContent>
  <xr:revisionPtr revIDLastSave="0" documentId="13_ncr:1_{44A24E3D-4DB7-40F4-AF82-49587668850E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Pivot" sheetId="2" r:id="rId1"/>
    <sheet name="Project Timesheets(1)" sheetId="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F10" i="2"/>
  <c r="I10" i="2"/>
  <c r="H10" i="2"/>
</calcChain>
</file>

<file path=xl/sharedStrings.xml><?xml version="1.0" encoding="utf-8"?>
<sst xmlns="http://schemas.openxmlformats.org/spreadsheetml/2006/main" count="428" uniqueCount="73">
  <si>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</si>
  <si>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</si>
  <si>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</si>
  <si>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</si>
  <si>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</si>
  <si>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</si>
  <si>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</si>
  <si>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</si>
  <si>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</si>
  <si>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</si>
  <si>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</si>
  <si>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</si>
  <si>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</si>
  <si>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</si>
  <si>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</si>
  <si>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</si>
  <si>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</si>
  <si>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Billable Timecode</t>
  </si>
  <si>
    <t>Timecode Type</t>
  </si>
  <si>
    <t>Timecode Rate</t>
  </si>
  <si>
    <t>Hours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</si>
  <si>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</si>
  <si>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</si>
  <si>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</si>
  <si>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</si>
  <si>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</si>
  <si>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</si>
  <si>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</si>
  <si>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</si>
  <si>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</si>
  <si>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Anjali Salecha</t>
  </si>
  <si>
    <t>Hourly</t>
  </si>
  <si>
    <t>Open Box Software (Pty) Ltd (Open Box SA)</t>
  </si>
  <si>
    <t>Salesforce</t>
  </si>
  <si>
    <t>SA</t>
  </si>
  <si>
    <t>Grainger PLC</t>
  </si>
  <si>
    <t>OB-000532</t>
  </si>
  <si>
    <t>Website Integration (T&amp;M)</t>
  </si>
  <si>
    <t>Billable</t>
  </si>
  <si>
    <t>Shaun Barrett</t>
  </si>
  <si>
    <t>Brendan Canny</t>
  </si>
  <si>
    <t>Sam Duncan</t>
  </si>
  <si>
    <t>Analysis</t>
  </si>
  <si>
    <t>Delivery</t>
  </si>
  <si>
    <t>Billable timecode</t>
  </si>
  <si>
    <t>Standard Timecode</t>
  </si>
  <si>
    <t>IN07860</t>
  </si>
  <si>
    <t>GBP</t>
  </si>
  <si>
    <t>Reviewed</t>
  </si>
  <si>
    <t>Worked on editing json file swagger editor. Discussion with Sam about SwaggerHub mock api calling setup. Time to be logged to Grainger website integration work for publishing units.</t>
  </si>
  <si>
    <t>Not submitted</t>
  </si>
  <si>
    <t>Nikki Papenfus</t>
  </si>
  <si>
    <t>Salaried / Fixed</t>
  </si>
  <si>
    <t>Custom Software</t>
  </si>
  <si>
    <t>Andrew Pollock</t>
  </si>
  <si>
    <t xml:space="preserve"> </t>
  </si>
  <si>
    <t>Requirements gathering with Code+ Grainger</t>
  </si>
  <si>
    <t>Refinement with Nikki</t>
  </si>
  <si>
    <t>Refinement session with Grainger</t>
  </si>
  <si>
    <t>Row Labels</t>
  </si>
  <si>
    <t>Grand Total</t>
  </si>
  <si>
    <t>Column Labels</t>
  </si>
  <si>
    <t>Sum of Hours</t>
  </si>
  <si>
    <t>All hours logged in Feb 24</t>
  </si>
  <si>
    <t>SOW Estimates</t>
  </si>
  <si>
    <t>Phase</t>
  </si>
  <si>
    <t>Build</t>
  </si>
  <si>
    <t>Project Management</t>
  </si>
  <si>
    <t>UAT</t>
  </si>
  <si>
    <t>Production</t>
  </si>
  <si>
    <t>Total</t>
  </si>
  <si>
    <t>Lower Bound</t>
  </si>
  <si>
    <t>Upper 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</si>
</sst>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£-809]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5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33" borderId="0" xfId="0" applyFill="1"/>
    <xf numFmtId="0" fontId="0" fillId="0" borderId="0" xfId="0" applyAlignment="1">
      <alignment horizontal="left" indent="3"/>
    </xf>
    <xf numFmtId="0" fontId="16" fillId="0" borderId="10" xfId="0" applyFont="1" applyBorder="1"/>
    <xf numFmtId="166" fontId="16" fillId="0" borderId="10" xfId="0" applyNumberFormat="1" applyFont="1" applyBorder="1"/>
    <xf numFmtId="0" fontId="16" fillId="34" borderId="11" xfId="0" applyFont="1" applyFill="1" applyBorder="1" applyAlignment="1">
      <alignment horizontal="center"/>
    </xf>
    <xf numFmtId="0" fontId="16" fillId="34" borderId="11" xfId="0" applyFont="1" applyFill="1" applyBorder="1"/>
    <xf numFmtId="0" fontId="0" fillId="0" borderId="11" xfId="0" applyBorder="1"/>
    <xf numFmtId="166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Le Grange" refreshedDate="45355.486075231478" createdVersion="8" refreshedVersion="8" minRefreshableVersion="3" recordCount="17" xr:uid="{00000000-000A-0000-FFFF-FFFF13000000}">
  <cacheSource type="worksheet">
    <worksheetSource ref="A1:AD18" sheet="Project Timesheets(1)"/>
  </cacheSource>
  <cacheFields count="30">
    <cacheField name="Date" numFmtId="15">
      <sharedItems containsSemiMixedTypes="0" containsNonDate="0" containsDate="1" containsString="0" minDate="2024-02-02T00:00:00" maxDate="2024-03-01T00:00:00" count="12">
        <d v="2024-02-19T00:00:00"/>
        <d v="2024-02-02T00:00:00"/>
        <d v="2024-02-15T00:00:00"/>
        <d v="2024-02-16T00:00:00"/>
        <d v="2024-02-20T00:00:00"/>
        <d v="2024-02-21T00:00:00"/>
        <d v="2024-02-22T00:00:00"/>
        <d v="2024-02-26T00:00:00"/>
        <d v="2024-02-27T00:00:00"/>
        <d v="2024-02-28T00:00:00"/>
        <d v="2024-02-29T00:00:00"/>
        <d v="2024-02-13T00:00:00"/>
      </sharedItems>
    </cacheField>
    <cacheField name="Person" numFmtId="0">
      <sharedItems count="4">
        <s v="Anjali Salecha"/>
        <s v="Nikki Papenfus"/>
        <s v="Sam Duncan"/>
        <s v="Shaun Barrett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 count="1">
        <s v="Grainger PLC"/>
      </sharedItems>
    </cacheField>
    <cacheField name="Project Number" numFmtId="0">
      <sharedItems/>
    </cacheField>
    <cacheField name="Project Name" numFmtId="0">
      <sharedItems count="1">
        <s v="Website Integration (T&amp;M)"/>
      </sharedItems>
    </cacheField>
    <cacheField name="Project Type" numFmtId="0">
      <sharedItems count="1">
        <s v="Billable"/>
      </sharedItems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 count="1">
        <s v="Analysis"/>
      </sharedItems>
    </cacheField>
    <cacheField name="Time Entry ID" numFmtId="0">
      <sharedItems containsSemiMixedTypes="0" containsString="0" containsNumber="1" containsInteger="1" minValue="209126" maxValue="217701"/>
    </cacheField>
    <cacheField name="Timecode Name" numFmtId="0">
      <sharedItems count="1">
        <s v="Delivery"/>
      </sharedItems>
    </cacheField>
    <cacheField name="Billable Timecode" numFmtId="0">
      <sharedItems/>
    </cacheField>
    <cacheField name="Timecode Type" numFmtId="0">
      <sharedItems count="1">
        <s v="Standard Timecode"/>
      </sharedItems>
    </cacheField>
    <cacheField name="Timecode Rate" numFmtId="0">
      <sharedItems containsSemiMixedTypes="0" containsString="0" containsNumber="1" containsInteger="1" minValue="90" maxValue="90"/>
    </cacheField>
    <cacheField name="Hours" numFmtId="0">
      <sharedItems containsSemiMixedTypes="0" containsString="0" containsNumber="1" minValue="0.25" maxValue="7.25"/>
    </cacheField>
    <cacheField name="Time" numFmtId="20">
      <sharedItems containsSemiMixedTypes="0" containsNonDate="0" containsDate="1" containsString="0" minDate="1899-12-30T00:15:00" maxDate="1899-12-30T07:15:00"/>
    </cacheField>
    <cacheField name="Worked Amount" numFmtId="0">
      <sharedItems containsSemiMixedTypes="0" containsString="0" containsNumber="1" minValue="22.5" maxValue="652.5"/>
    </cacheField>
    <cacheField name="Invoiced Amount" numFmtId="0">
      <sharedItems containsSemiMixedTypes="0" containsString="0" containsNumber="1" containsInteger="1" minValue="30" maxValue="870"/>
    </cacheField>
    <cacheField name="Invoiced Delta" numFmtId="0">
      <sharedItems containsSemiMixedTypes="0" containsString="0" containsNumber="1" minValue="7.5" maxValue="217.5"/>
    </cacheField>
    <cacheField name="Invoice #" numFmtId="0">
      <sharedItems/>
    </cacheField>
    <cacheField name="Currency" numFmtId="0">
      <sharedItems/>
    </cacheField>
    <cacheField name="Reviewed Status" numFmtId="0">
      <sharedItems/>
    </cacheField>
    <cacheField name="Comment" numFmtId="0">
      <sharedItems/>
    </cacheField>
    <cacheField name="Timesheet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7">
  <r>
    <x v="0"/>
    <x v="0"/>
    <s v="Hourly"/>
    <s v="Open Box Software (Pty) Ltd (Open Box SA)"/>
    <s v="Salesforce"/>
    <s v="SA"/>
    <x v="0"/>
    <s v="OB-000532"/>
    <x v="0"/>
    <x v="0"/>
    <s v="Open Box Software (Pty) Ltd (Open Box SA)"/>
    <s v="Shaun Barrett"/>
    <s v="Brendan Canny"/>
    <s v="Sam Duncan"/>
    <x v="0"/>
    <n v="214229"/>
    <x v="0"/>
    <s v="Billable timecode"/>
    <x v="0"/>
    <n v="90"/>
    <n v="4"/>
    <d v="1899-12-30T04:00:00"/>
    <n v="360"/>
    <n v="480"/>
    <n v="120"/>
    <s v="IN07860"/>
    <s v="GBP"/>
    <s v="Reviewed"/>
    <s v="Worked on editing json file swagger editor. Discussion with Sam about SwaggerHub mock api calling setup. Time to be logged to Grainger website integration work for publishing units."/>
    <s v="Not submitted"/>
  </r>
  <r>
    <x v="1"/>
    <x v="1"/>
    <s v="Salaried / Fixed"/>
    <s v="Open Box Software (Pty) Ltd (Open Box SA)"/>
    <s v="Custom Software"/>
    <s v="SA"/>
    <x v="0"/>
    <s v="OB-000532"/>
    <x v="0"/>
    <x v="0"/>
    <s v="Open Box Software (Pty) Ltd (Open Box SA)"/>
    <s v="Shaun Barrett"/>
    <s v="Brendan Canny"/>
    <s v="Andrew Pollock"/>
    <x v="0"/>
    <n v="209126"/>
    <x v="0"/>
    <s v="Billable timecode"/>
    <x v="0"/>
    <n v="90"/>
    <n v="1"/>
    <d v="1899-12-30T01:00:00"/>
    <n v="90"/>
    <n v="120"/>
    <n v="30"/>
    <s v="IN07860"/>
    <s v="GBP"/>
    <s v="Reviewed"/>
    <s v=" "/>
    <s v="Not submitted"/>
  </r>
  <r>
    <x v="2"/>
    <x v="1"/>
    <s v="Salaried / Fixed"/>
    <s v="Open Box Software (Pty) Ltd (Open Box SA)"/>
    <s v="Custom Software"/>
    <s v="SA"/>
    <x v="0"/>
    <s v="OB-000532"/>
    <x v="0"/>
    <x v="0"/>
    <s v="Open Box Software (Pty) Ltd (Open Box SA)"/>
    <s v="Shaun Barrett"/>
    <s v="Brendan Canny"/>
    <s v="Andrew Pollock"/>
    <x v="0"/>
    <n v="212410"/>
    <x v="0"/>
    <s v="Billable timecode"/>
    <x v="0"/>
    <n v="90"/>
    <n v="7"/>
    <d v="1899-12-30T07:00:00"/>
    <n v="630"/>
    <n v="840"/>
    <n v="210"/>
    <s v="IN07860"/>
    <s v="GBP"/>
    <s v="Reviewed"/>
    <s v=" "/>
    <s v="Not submitted"/>
  </r>
  <r>
    <x v="3"/>
    <x v="1"/>
    <s v="Salaried / Fixed"/>
    <s v="Open Box Software (Pty) Ltd (Open Box SA)"/>
    <s v="Custom Software"/>
    <s v="SA"/>
    <x v="0"/>
    <s v="OB-000532"/>
    <x v="0"/>
    <x v="0"/>
    <s v="Open Box Software (Pty) Ltd (Open Box SA)"/>
    <s v="Shaun Barrett"/>
    <s v="Brendan Canny"/>
    <s v="Andrew Pollock"/>
    <x v="0"/>
    <n v="212409"/>
    <x v="0"/>
    <s v="Billable timecode"/>
    <x v="0"/>
    <n v="90"/>
    <n v="2.5"/>
    <d v="1899-12-30T02:30:00"/>
    <n v="225"/>
    <n v="300"/>
    <n v="75"/>
    <s v="IN07860"/>
    <s v="GBP"/>
    <s v="Reviewed"/>
    <s v=" "/>
    <s v="Not submitted"/>
  </r>
  <r>
    <x v="4"/>
    <x v="1"/>
    <s v="Salaried / Fixed"/>
    <s v="Open Box Software (Pty) Ltd (Open Box SA)"/>
    <s v="Custom Software"/>
    <s v="SA"/>
    <x v="0"/>
    <s v="OB-000532"/>
    <x v="0"/>
    <x v="0"/>
    <s v="Open Box Software (Pty) Ltd (Open Box SA)"/>
    <s v="Shaun Barrett"/>
    <s v="Brendan Canny"/>
    <s v="Andrew Pollock"/>
    <x v="0"/>
    <n v="214277"/>
    <x v="0"/>
    <s v="Billable timecode"/>
    <x v="0"/>
    <n v="90"/>
    <n v="7.25"/>
    <d v="1899-12-30T07:15:00"/>
    <n v="652.5"/>
    <n v="870"/>
    <n v="217.5"/>
    <s v="IN07860"/>
    <s v="GBP"/>
    <s v="Reviewed"/>
    <s v=" "/>
    <s v="Not submitted"/>
  </r>
  <r>
    <x v="5"/>
    <x v="1"/>
    <s v="Salaried / Fixed"/>
    <s v="Open Box Software (Pty) Ltd (Open Box SA)"/>
    <s v="Custom Software"/>
    <s v="SA"/>
    <x v="0"/>
    <s v="OB-000532"/>
    <x v="0"/>
    <x v="0"/>
    <s v="Open Box Software (Pty) Ltd (Open Box SA)"/>
    <s v="Shaun Barrett"/>
    <s v="Brendan Canny"/>
    <s v="Andrew Pollock"/>
    <x v="0"/>
    <n v="214280"/>
    <x v="0"/>
    <s v="Billable timecode"/>
    <x v="0"/>
    <n v="90"/>
    <n v="4.25"/>
    <d v="1899-12-30T04:15:00"/>
    <n v="382.5"/>
    <n v="510"/>
    <n v="127.5"/>
    <s v="IN07860"/>
    <s v="GBP"/>
    <s v="Reviewed"/>
    <s v=" "/>
    <s v="Not submitted"/>
  </r>
  <r>
    <x v="6"/>
    <x v="1"/>
    <s v="Salaried / Fixed"/>
    <s v="Open Box Software (Pty) Ltd (Open Box SA)"/>
    <s v="Custom Software"/>
    <s v="SA"/>
    <x v="0"/>
    <s v="OB-000532"/>
    <x v="0"/>
    <x v="0"/>
    <s v="Open Box Software (Pty) Ltd (Open Box SA)"/>
    <s v="Shaun Barrett"/>
    <s v="Brendan Canny"/>
    <s v="Andrew Pollock"/>
    <x v="0"/>
    <n v="214563"/>
    <x v="0"/>
    <s v="Billable timecode"/>
    <x v="0"/>
    <n v="90"/>
    <n v="1"/>
    <d v="1899-12-30T01:00:00"/>
    <n v="90"/>
    <n v="120"/>
    <n v="30"/>
    <s v="IN07860"/>
    <s v="GBP"/>
    <s v="Reviewed"/>
    <s v=" "/>
    <s v="Not submitted"/>
  </r>
  <r>
    <x v="7"/>
    <x v="1"/>
    <s v="Salaried / Fixed"/>
    <s v="Open Box Software (Pty) Ltd (Open Box SA)"/>
    <s v="Custom Software"/>
    <s v="SA"/>
    <x v="0"/>
    <s v="OB-000532"/>
    <x v="0"/>
    <x v="0"/>
    <s v="Open Box Software (Pty) Ltd (Open Box SA)"/>
    <s v="Shaun Barrett"/>
    <s v="Brendan Canny"/>
    <s v="Andrew Pollock"/>
    <x v="0"/>
    <n v="216146"/>
    <x v="0"/>
    <s v="Billable timecode"/>
    <x v="0"/>
    <n v="90"/>
    <n v="2"/>
    <d v="1899-12-30T02:00:00"/>
    <n v="180"/>
    <n v="240"/>
    <n v="60"/>
    <s v="IN07860"/>
    <s v="GBP"/>
    <s v="Reviewed"/>
    <s v=" "/>
    <s v="Not submitted"/>
  </r>
  <r>
    <x v="8"/>
    <x v="1"/>
    <s v="Salaried / Fixed"/>
    <s v="Open Box Software (Pty) Ltd (Open Box SA)"/>
    <s v="Custom Software"/>
    <s v="SA"/>
    <x v="0"/>
    <s v="OB-000532"/>
    <x v="0"/>
    <x v="0"/>
    <s v="Open Box Software (Pty) Ltd (Open Box SA)"/>
    <s v="Shaun Barrett"/>
    <s v="Brendan Canny"/>
    <s v="Andrew Pollock"/>
    <x v="0"/>
    <n v="217055"/>
    <x v="0"/>
    <s v="Billable timecode"/>
    <x v="0"/>
    <n v="90"/>
    <n v="0.25"/>
    <d v="1899-12-30T00:15:00"/>
    <n v="22.5"/>
    <n v="30"/>
    <n v="7.5"/>
    <s v="IN07860"/>
    <s v="GBP"/>
    <s v="Reviewed"/>
    <s v=" "/>
    <s v="Not submitted"/>
  </r>
  <r>
    <x v="9"/>
    <x v="1"/>
    <s v="Salaried / Fixed"/>
    <s v="Open Box Software (Pty) Ltd (Open Box SA)"/>
    <s v="Custom Software"/>
    <s v="SA"/>
    <x v="0"/>
    <s v="OB-000532"/>
    <x v="0"/>
    <x v="0"/>
    <s v="Open Box Software (Pty) Ltd (Open Box SA)"/>
    <s v="Shaun Barrett"/>
    <s v="Brendan Canny"/>
    <s v="Andrew Pollock"/>
    <x v="0"/>
    <n v="217696"/>
    <x v="0"/>
    <s v="Billable timecode"/>
    <x v="0"/>
    <n v="90"/>
    <n v="3.25"/>
    <d v="1899-12-30T03:15:00"/>
    <n v="292.5"/>
    <n v="390"/>
    <n v="97.5"/>
    <s v="IN07860"/>
    <s v="GBP"/>
    <s v="Reviewed"/>
    <s v=" "/>
    <s v="Not submitted"/>
  </r>
  <r>
    <x v="10"/>
    <x v="1"/>
    <s v="Salaried / Fixed"/>
    <s v="Open Box Software (Pty) Ltd (Open Box SA)"/>
    <s v="Custom Software"/>
    <s v="SA"/>
    <x v="0"/>
    <s v="OB-000532"/>
    <x v="0"/>
    <x v="0"/>
    <s v="Open Box Software (Pty) Ltd (Open Box SA)"/>
    <s v="Shaun Barrett"/>
    <s v="Brendan Canny"/>
    <s v="Andrew Pollock"/>
    <x v="0"/>
    <n v="217701"/>
    <x v="0"/>
    <s v="Billable timecode"/>
    <x v="0"/>
    <n v="90"/>
    <n v="0.75"/>
    <d v="1899-12-30T00:45:00"/>
    <n v="67.5"/>
    <n v="90"/>
    <n v="22.5"/>
    <s v="IN07860"/>
    <s v="GBP"/>
    <s v="Reviewed"/>
    <s v=" "/>
    <s v="Not submitted"/>
  </r>
  <r>
    <x v="1"/>
    <x v="2"/>
    <s v="Salaried / Fixed"/>
    <s v="Open Box Software (Pty) Ltd (Open Box SA)"/>
    <s v="Salesforce"/>
    <s v="SA"/>
    <x v="0"/>
    <s v="OB-000532"/>
    <x v="0"/>
    <x v="0"/>
    <s v="Open Box Software (Pty) Ltd (Open Box SA)"/>
    <s v="Shaun Barrett"/>
    <s v="Brendan Canny"/>
    <s v=" "/>
    <x v="0"/>
    <n v="215409"/>
    <x v="0"/>
    <s v="Billable timecode"/>
    <x v="0"/>
    <n v="90"/>
    <n v="1"/>
    <d v="1899-12-30T01:00:00"/>
    <n v="90"/>
    <n v="120"/>
    <n v="30"/>
    <s v="IN07860"/>
    <s v="GBP"/>
    <s v="Reviewed"/>
    <s v="Requirements gathering with Code+ Grainger"/>
    <s v="Not submitted"/>
  </r>
  <r>
    <x v="2"/>
    <x v="2"/>
    <s v="Salaried / Fixed"/>
    <s v="Open Box Software (Pty) Ltd (Open Box SA)"/>
    <s v="Salesforce"/>
    <s v="SA"/>
    <x v="0"/>
    <s v="OB-000532"/>
    <x v="0"/>
    <x v="0"/>
    <s v="Open Box Software (Pty) Ltd (Open Box SA)"/>
    <s v="Shaun Barrett"/>
    <s v="Brendan Canny"/>
    <s v=" "/>
    <x v="0"/>
    <n v="215527"/>
    <x v="0"/>
    <s v="Billable timecode"/>
    <x v="0"/>
    <n v="90"/>
    <n v="1"/>
    <d v="1899-12-30T01:00:00"/>
    <n v="90"/>
    <n v="120"/>
    <n v="30"/>
    <s v="IN07860"/>
    <s v="GBP"/>
    <s v="Reviewed"/>
    <s v="Refinement with Nikki"/>
    <s v="Not submitted"/>
  </r>
  <r>
    <x v="4"/>
    <x v="2"/>
    <s v="Salaried / Fixed"/>
    <s v="Open Box Software (Pty) Ltd (Open Box SA)"/>
    <s v="Salesforce"/>
    <s v="SA"/>
    <x v="0"/>
    <s v="OB-000532"/>
    <x v="0"/>
    <x v="0"/>
    <s v="Open Box Software (Pty) Ltd (Open Box SA)"/>
    <s v="Shaun Barrett"/>
    <s v="Brendan Canny"/>
    <s v=" "/>
    <x v="0"/>
    <n v="215530"/>
    <x v="0"/>
    <s v="Billable timecode"/>
    <x v="0"/>
    <n v="90"/>
    <n v="1"/>
    <d v="1899-12-30T01:00:00"/>
    <n v="90"/>
    <n v="120"/>
    <n v="30"/>
    <s v="IN07860"/>
    <s v="GBP"/>
    <s v="Reviewed"/>
    <s v="Refinement session with Grainger"/>
    <s v="Not submitted"/>
  </r>
  <r>
    <x v="11"/>
    <x v="3"/>
    <s v="Salaried / Fixed"/>
    <s v="Open Box Software (Pty) Ltd (Open Box SA)"/>
    <s v="Custom Software"/>
    <s v="SA"/>
    <x v="0"/>
    <s v="OB-000532"/>
    <x v="0"/>
    <x v="0"/>
    <s v="Open Box Software (Pty) Ltd (Open Box SA)"/>
    <s v="Shaun Barrett"/>
    <s v="Brendan Canny"/>
    <s v=" "/>
    <x v="0"/>
    <n v="211400"/>
    <x v="0"/>
    <s v="Billable timecode"/>
    <x v="0"/>
    <n v="90"/>
    <n v="0.25"/>
    <d v="1899-12-30T00:15:00"/>
    <n v="22.5"/>
    <n v="30"/>
    <n v="7.5"/>
    <s v="IN07860"/>
    <s v="GBP"/>
    <s v="Reviewed"/>
    <s v=" "/>
    <s v="Not submitted"/>
  </r>
  <r>
    <x v="7"/>
    <x v="3"/>
    <s v="Salaried / Fixed"/>
    <s v="Open Box Software (Pty) Ltd (Open Box SA)"/>
    <s v="Custom Software"/>
    <s v="SA"/>
    <x v="0"/>
    <s v="OB-000532"/>
    <x v="0"/>
    <x v="0"/>
    <s v="Open Box Software (Pty) Ltd (Open Box SA)"/>
    <s v="Shaun Barrett"/>
    <s v="Brendan Canny"/>
    <s v=" "/>
    <x v="0"/>
    <n v="216824"/>
    <x v="0"/>
    <s v="Billable timecode"/>
    <x v="0"/>
    <n v="90"/>
    <n v="0.25"/>
    <d v="1899-12-30T00:15:00"/>
    <n v="22.5"/>
    <n v="30"/>
    <n v="7.5"/>
    <s v="IN07860"/>
    <s v="GBP"/>
    <s v="Reviewed"/>
    <s v=" "/>
    <s v="Not submitted"/>
  </r>
  <r>
    <x v="8"/>
    <x v="3"/>
    <s v="Salaried / Fixed"/>
    <s v="Open Box Software (Pty) Ltd (Open Box SA)"/>
    <s v="Custom Software"/>
    <s v="SA"/>
    <x v="0"/>
    <s v="OB-000532"/>
    <x v="0"/>
    <x v="0"/>
    <s v="Open Box Software (Pty) Ltd (Open Box SA)"/>
    <s v="Shaun Barrett"/>
    <s v="Brendan Canny"/>
    <s v=" "/>
    <x v="0"/>
    <n v="217543"/>
    <x v="0"/>
    <s v="Billable timecode"/>
    <x v="0"/>
    <n v="90"/>
    <n v="0.25"/>
    <d v="1899-12-30T00:15:00"/>
    <n v="22.5"/>
    <n v="30"/>
    <n v="7.5"/>
    <s v="IN07860"/>
    <s v="GBP"/>
    <s v="Reviewed"/>
    <s v=" "/>
    <s v="Not submitt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2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3:B12" firstHeaderRow="1" firstDataRow="2" firstDataCol="1"/>
  <pivotFields count="30">
    <pivotField axis="axisRow" numFmtId="15" showAll="0">
      <items count="13">
        <item x="1"/>
        <item x="11"/>
        <item x="2"/>
        <item x="3"/>
        <item x="0"/>
        <item x="4"/>
        <item x="5"/>
        <item x="6"/>
        <item x="7"/>
        <item x="8"/>
        <item x="9"/>
        <item x="10"/>
        <item t="default"/>
      </items>
    </pivotField>
    <pivotField axis="axisRow" showAll="0">
      <items count="5">
        <item sd="0" x="0"/>
        <item sd="0" x="1"/>
        <item sd="0" x="2"/>
        <item sd="0" x="3"/>
        <item t="default"/>
      </items>
    </pivotField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axis="axisRow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axis="axisCol" showAll="0">
      <items count="2">
        <item x="0"/>
        <item t="default"/>
      </items>
    </pivotField>
    <pivotField showAll="0"/>
    <pivotField showAll="0">
      <items count="2">
        <item x="0"/>
        <item t="default"/>
      </items>
    </pivotField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5">
    <field x="6"/>
    <field x="8"/>
    <field x="14"/>
    <field x="1"/>
    <field x="0"/>
  </rowFields>
  <rowItems count="8">
    <i>
      <x/>
    </i>
    <i r="1">
      <x/>
    </i>
    <i r="2">
      <x/>
    </i>
    <i r="3">
      <x/>
    </i>
    <i r="3">
      <x v="1"/>
    </i>
    <i r="3">
      <x v="2"/>
    </i>
    <i r="3">
      <x v="3"/>
    </i>
    <i t="grand">
      <x/>
    </i>
  </rowItems>
  <colFields count="1">
    <field x="16"/>
  </colFields>
  <colItems count="1">
    <i>
      <x/>
    </i>
  </colItems>
  <dataFields count="1">
    <dataField name="Sum of Hours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/>
  </sheetViews>
  <sheetFormatPr defaultRowHeight="14.4" x14ac:dyDescent="0.3"/>
  <cols>
    <col min="1" max="1" width="27.5546875" bestFit="1" customWidth="1"/>
    <col min="2" max="2" width="16.33203125" bestFit="1" customWidth="1"/>
    <col min="3" max="3" width="6" bestFit="1" customWidth="1"/>
    <col min="4" max="4" width="12.109375" bestFit="1" customWidth="1"/>
    <col min="5" max="5" width="18.77734375" bestFit="1" customWidth="1"/>
    <col min="6" max="6" width="4" bestFit="1" customWidth="1"/>
    <col min="7" max="7" width="6" bestFit="1" customWidth="1"/>
    <col min="8" max="9" width="12.109375" bestFit="1" customWidth="1"/>
  </cols>
  <sheetData>
    <row r="1" spans="1:9" x14ac:dyDescent="0.3">
      <c r="A1" s="7" t="s">
        <v>63</v>
      </c>
    </row>
    <row r="3" spans="1:9" x14ac:dyDescent="0.3">
      <c r="A3" s="3" t="s">
        <v>62</v>
      </c>
      <c r="B3" s="3" t="s">
        <v>61</v>
      </c>
      <c r="C3" s="3"/>
      <c r="E3" s="11" t="s">
        <v>64</v>
      </c>
      <c r="F3" s="11"/>
      <c r="G3" s="11"/>
      <c r="H3" s="11"/>
      <c r="I3" s="11"/>
    </row>
    <row r="4" spans="1:9" x14ac:dyDescent="0.3">
      <c r="A4" s="3" t="s">
        <v>59</v>
      </c>
      <c r="B4" t="s">
        <v>43</v>
      </c>
      <c r="E4" s="12" t="s">
        <v>65</v>
      </c>
      <c r="F4" s="11" t="s">
        <v>20</v>
      </c>
      <c r="G4" s="11"/>
      <c r="H4" s="12" t="s">
        <v>71</v>
      </c>
      <c r="I4" s="12" t="s">
        <v>72</v>
      </c>
    </row>
    <row r="5" spans="1:9" x14ac:dyDescent="0.3">
      <c r="A5" s="4" t="s">
        <v>35</v>
      </c>
      <c r="B5">
        <v>37</v>
      </c>
      <c r="E5" s="13" t="s">
        <v>42</v>
      </c>
      <c r="F5" s="13">
        <v>40</v>
      </c>
      <c r="G5" s="13">
        <v>52</v>
      </c>
      <c r="H5" s="14">
        <v>4800</v>
      </c>
      <c r="I5" s="14">
        <v>6240</v>
      </c>
    </row>
    <row r="6" spans="1:9" x14ac:dyDescent="0.3">
      <c r="A6" s="5" t="s">
        <v>37</v>
      </c>
      <c r="B6">
        <v>37</v>
      </c>
      <c r="E6" s="13" t="s">
        <v>66</v>
      </c>
      <c r="F6" s="13">
        <v>180</v>
      </c>
      <c r="G6" s="13">
        <v>234</v>
      </c>
      <c r="H6" s="14">
        <v>21600</v>
      </c>
      <c r="I6" s="14">
        <v>28080</v>
      </c>
    </row>
    <row r="7" spans="1:9" x14ac:dyDescent="0.3">
      <c r="A7" s="6" t="s">
        <v>42</v>
      </c>
      <c r="B7">
        <v>37</v>
      </c>
      <c r="E7" s="13" t="s">
        <v>67</v>
      </c>
      <c r="F7" s="13">
        <v>12</v>
      </c>
      <c r="G7" s="13">
        <v>15.6</v>
      </c>
      <c r="H7" s="14">
        <v>1440</v>
      </c>
      <c r="I7" s="14">
        <v>1872</v>
      </c>
    </row>
    <row r="8" spans="1:9" x14ac:dyDescent="0.3">
      <c r="A8" s="8" t="s">
        <v>30</v>
      </c>
      <c r="B8">
        <v>4</v>
      </c>
      <c r="E8" s="13" t="s">
        <v>68</v>
      </c>
      <c r="F8" s="13">
        <v>20</v>
      </c>
      <c r="G8" s="13">
        <v>26</v>
      </c>
      <c r="H8" s="14">
        <v>2400</v>
      </c>
      <c r="I8" s="14">
        <v>3120</v>
      </c>
    </row>
    <row r="9" spans="1:9" x14ac:dyDescent="0.3">
      <c r="A9" s="8" t="s">
        <v>51</v>
      </c>
      <c r="B9">
        <v>29.25</v>
      </c>
      <c r="E9" s="13" t="s">
        <v>69</v>
      </c>
      <c r="F9" s="13">
        <v>5</v>
      </c>
      <c r="G9" s="13">
        <v>6.5</v>
      </c>
      <c r="H9" s="14">
        <v>600</v>
      </c>
      <c r="I9" s="14">
        <v>780</v>
      </c>
    </row>
    <row r="10" spans="1:9" ht="15" thickBot="1" x14ac:dyDescent="0.35">
      <c r="A10" s="8" t="s">
        <v>41</v>
      </c>
      <c r="B10">
        <v>3</v>
      </c>
      <c r="E10" s="9" t="s">
        <v>70</v>
      </c>
      <c r="F10" s="9">
        <f>SUM(F5:F9)</f>
        <v>257</v>
      </c>
      <c r="G10" s="9">
        <f>SUM(G5:G9)</f>
        <v>334.1</v>
      </c>
      <c r="H10" s="10">
        <f>SUM(H5:H9)</f>
        <v>30840</v>
      </c>
      <c r="I10" s="10">
        <f>SUM(I5:I9)</f>
        <v>40092</v>
      </c>
    </row>
    <row r="11" spans="1:9" ht="15" thickTop="1" x14ac:dyDescent="0.3">
      <c r="A11" s="8" t="s">
        <v>39</v>
      </c>
      <c r="B11">
        <v>0.75</v>
      </c>
    </row>
    <row r="12" spans="1:9" x14ac:dyDescent="0.3">
      <c r="A12" s="4" t="s">
        <v>60</v>
      </c>
      <c r="B12">
        <v>37</v>
      </c>
    </row>
  </sheetData>
  <mergeCells count="2">
    <mergeCell ref="F4:G4"/>
    <mergeCell ref="E3:I3"/>
  </mergeCell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8"/>
  <sheetViews>
    <sheetView workbookViewId="0">
      <selection sqref="A1:AD18"/>
    </sheetView>
  </sheetViews>
  <sheetFormatPr defaultRowHeight="14.4" x14ac:dyDescent="0.3"/>
  <cols>
    <col min="1" max="1" width="9.33203125" bestFit="1" customWidth="1"/>
    <col min="2" max="2" width="14" bestFit="1" customWidth="1"/>
    <col min="3" max="3" width="14.44140625" bestFit="1" customWidth="1"/>
    <col min="4" max="4" width="37.77734375" bestFit="1" customWidth="1"/>
    <col min="5" max="5" width="15.77734375" bestFit="1" customWidth="1"/>
    <col min="6" max="7" width="15" bestFit="1" customWidth="1"/>
    <col min="8" max="8" width="14.44140625" bestFit="1" customWidth="1"/>
    <col min="9" max="9" width="23.44140625" bestFit="1" customWidth="1"/>
    <col min="10" max="10" width="11.21875" bestFit="1" customWidth="1"/>
    <col min="11" max="11" width="37.77734375" bestFit="1" customWidth="1"/>
    <col min="12" max="12" width="15" bestFit="1" customWidth="1"/>
    <col min="13" max="13" width="16" bestFit="1" customWidth="1"/>
    <col min="14" max="14" width="14.33203125" bestFit="1" customWidth="1"/>
    <col min="15" max="15" width="12.33203125" bestFit="1" customWidth="1"/>
    <col min="16" max="16" width="12.109375" bestFit="1" customWidth="1"/>
    <col min="17" max="17" width="15" bestFit="1" customWidth="1"/>
    <col min="18" max="18" width="16.33203125" bestFit="1" customWidth="1"/>
    <col min="19" max="19" width="17.88671875" bestFit="1" customWidth="1"/>
    <col min="20" max="20" width="13.5546875" bestFit="1" customWidth="1"/>
    <col min="21" max="21" width="6.21875" bestFit="1" customWidth="1"/>
    <col min="22" max="22" width="5.5546875" bestFit="1" customWidth="1"/>
    <col min="23" max="23" width="14.6640625" bestFit="1" customWidth="1"/>
    <col min="24" max="24" width="15.44140625" bestFit="1" customWidth="1"/>
    <col min="25" max="25" width="13.21875" bestFit="1" customWidth="1"/>
    <col min="26" max="26" width="8.44140625" bestFit="1" customWidth="1"/>
    <col min="27" max="27" width="8.77734375" bestFit="1" customWidth="1"/>
    <col min="28" max="28" width="14.88671875" bestFit="1" customWidth="1"/>
    <col min="29" max="29" width="161.77734375" bestFit="1" customWidth="1"/>
    <col min="30" max="30" width="15.6640625" bestFit="1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s="1">
        <v>45341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32</v>
      </c>
      <c r="L2" t="s">
        <v>39</v>
      </c>
      <c r="M2" t="s">
        <v>40</v>
      </c>
      <c r="N2" t="s">
        <v>41</v>
      </c>
      <c r="O2" t="s">
        <v>42</v>
      </c>
      <c r="P2">
        <v>214229</v>
      </c>
      <c r="Q2" t="s">
        <v>43</v>
      </c>
      <c r="R2" t="s">
        <v>44</v>
      </c>
      <c r="S2" t="s">
        <v>45</v>
      </c>
      <c r="T2">
        <v>90</v>
      </c>
      <c r="U2">
        <v>4</v>
      </c>
      <c r="V2" s="2">
        <v>0.16666666666666666</v>
      </c>
      <c r="W2">
        <v>360</v>
      </c>
      <c r="X2">
        <v>480</v>
      </c>
      <c r="Y2">
        <v>120</v>
      </c>
      <c r="Z2" t="s">
        <v>46</v>
      </c>
      <c r="AA2" t="s">
        <v>47</v>
      </c>
      <c r="AB2" t="s">
        <v>48</v>
      </c>
      <c r="AC2" t="s">
        <v>49</v>
      </c>
      <c r="AD2" t="s">
        <v>50</v>
      </c>
    </row>
    <row r="3" spans="1:30" x14ac:dyDescent="0.3">
      <c r="A3" s="1">
        <v>45324</v>
      </c>
      <c r="B3" t="s">
        <v>51</v>
      </c>
      <c r="C3" t="s">
        <v>52</v>
      </c>
      <c r="D3" t="s">
        <v>32</v>
      </c>
      <c r="E3" t="s">
        <v>53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32</v>
      </c>
      <c r="L3" t="s">
        <v>39</v>
      </c>
      <c r="M3" t="s">
        <v>40</v>
      </c>
      <c r="N3" t="s">
        <v>54</v>
      </c>
      <c r="O3" t="s">
        <v>42</v>
      </c>
      <c r="P3">
        <v>209126</v>
      </c>
      <c r="Q3" t="s">
        <v>43</v>
      </c>
      <c r="R3" t="s">
        <v>44</v>
      </c>
      <c r="S3" t="s">
        <v>45</v>
      </c>
      <c r="T3">
        <v>90</v>
      </c>
      <c r="U3">
        <v>1</v>
      </c>
      <c r="V3" s="2">
        <v>4.1666666666666664E-2</v>
      </c>
      <c r="W3">
        <v>90</v>
      </c>
      <c r="X3">
        <v>120</v>
      </c>
      <c r="Y3">
        <v>30</v>
      </c>
      <c r="Z3" t="s">
        <v>46</v>
      </c>
      <c r="AA3" t="s">
        <v>47</v>
      </c>
      <c r="AB3" t="s">
        <v>48</v>
      </c>
      <c r="AC3" t="s">
        <v>55</v>
      </c>
      <c r="AD3" t="s">
        <v>50</v>
      </c>
    </row>
    <row r="4" spans="1:30" x14ac:dyDescent="0.3">
      <c r="A4" s="1">
        <v>45337</v>
      </c>
      <c r="B4" t="s">
        <v>51</v>
      </c>
      <c r="C4" t="s">
        <v>52</v>
      </c>
      <c r="D4" t="s">
        <v>32</v>
      </c>
      <c r="E4" t="s">
        <v>53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32</v>
      </c>
      <c r="L4" t="s">
        <v>39</v>
      </c>
      <c r="M4" t="s">
        <v>40</v>
      </c>
      <c r="N4" t="s">
        <v>54</v>
      </c>
      <c r="O4" t="s">
        <v>42</v>
      </c>
      <c r="P4">
        <v>212410</v>
      </c>
      <c r="Q4" t="s">
        <v>43</v>
      </c>
      <c r="R4" t="s">
        <v>44</v>
      </c>
      <c r="S4" t="s">
        <v>45</v>
      </c>
      <c r="T4">
        <v>90</v>
      </c>
      <c r="U4">
        <v>7</v>
      </c>
      <c r="V4" s="2">
        <v>0.29166666666666669</v>
      </c>
      <c r="W4">
        <v>630</v>
      </c>
      <c r="X4">
        <v>840</v>
      </c>
      <c r="Y4">
        <v>210</v>
      </c>
      <c r="Z4" t="s">
        <v>46</v>
      </c>
      <c r="AA4" t="s">
        <v>47</v>
      </c>
      <c r="AB4" t="s">
        <v>48</v>
      </c>
      <c r="AC4" t="s">
        <v>55</v>
      </c>
      <c r="AD4" t="s">
        <v>50</v>
      </c>
    </row>
    <row r="5" spans="1:30" x14ac:dyDescent="0.3">
      <c r="A5" s="1">
        <v>45338</v>
      </c>
      <c r="B5" t="s">
        <v>51</v>
      </c>
      <c r="C5" t="s">
        <v>52</v>
      </c>
      <c r="D5" t="s">
        <v>32</v>
      </c>
      <c r="E5" t="s">
        <v>53</v>
      </c>
      <c r="F5" t="s">
        <v>34</v>
      </c>
      <c r="G5" t="s">
        <v>35</v>
      </c>
      <c r="H5" t="s">
        <v>36</v>
      </c>
      <c r="I5" t="s">
        <v>37</v>
      </c>
      <c r="J5" t="s">
        <v>38</v>
      </c>
      <c r="K5" t="s">
        <v>32</v>
      </c>
      <c r="L5" t="s">
        <v>39</v>
      </c>
      <c r="M5" t="s">
        <v>40</v>
      </c>
      <c r="N5" t="s">
        <v>54</v>
      </c>
      <c r="O5" t="s">
        <v>42</v>
      </c>
      <c r="P5">
        <v>212409</v>
      </c>
      <c r="Q5" t="s">
        <v>43</v>
      </c>
      <c r="R5" t="s">
        <v>44</v>
      </c>
      <c r="S5" t="s">
        <v>45</v>
      </c>
      <c r="T5">
        <v>90</v>
      </c>
      <c r="U5">
        <v>2.5</v>
      </c>
      <c r="V5" s="2">
        <v>0.10416666666666667</v>
      </c>
      <c r="W5">
        <v>225</v>
      </c>
      <c r="X5">
        <v>300</v>
      </c>
      <c r="Y5">
        <v>75</v>
      </c>
      <c r="Z5" t="s">
        <v>46</v>
      </c>
      <c r="AA5" t="s">
        <v>47</v>
      </c>
      <c r="AB5" t="s">
        <v>48</v>
      </c>
      <c r="AC5" t="s">
        <v>55</v>
      </c>
      <c r="AD5" t="s">
        <v>50</v>
      </c>
    </row>
    <row r="6" spans="1:30" x14ac:dyDescent="0.3">
      <c r="A6" s="1">
        <v>45342</v>
      </c>
      <c r="B6" t="s">
        <v>51</v>
      </c>
      <c r="C6" t="s">
        <v>52</v>
      </c>
      <c r="D6" t="s">
        <v>32</v>
      </c>
      <c r="E6" t="s">
        <v>53</v>
      </c>
      <c r="F6" t="s">
        <v>34</v>
      </c>
      <c r="G6" t="s">
        <v>35</v>
      </c>
      <c r="H6" t="s">
        <v>36</v>
      </c>
      <c r="I6" t="s">
        <v>37</v>
      </c>
      <c r="J6" t="s">
        <v>38</v>
      </c>
      <c r="K6" t="s">
        <v>32</v>
      </c>
      <c r="L6" t="s">
        <v>39</v>
      </c>
      <c r="M6" t="s">
        <v>40</v>
      </c>
      <c r="N6" t="s">
        <v>54</v>
      </c>
      <c r="O6" t="s">
        <v>42</v>
      </c>
      <c r="P6">
        <v>214277</v>
      </c>
      <c r="Q6" t="s">
        <v>43</v>
      </c>
      <c r="R6" t="s">
        <v>44</v>
      </c>
      <c r="S6" t="s">
        <v>45</v>
      </c>
      <c r="T6">
        <v>90</v>
      </c>
      <c r="U6">
        <v>7.25</v>
      </c>
      <c r="V6" s="2">
        <v>0.30208333333333331</v>
      </c>
      <c r="W6">
        <v>652.5</v>
      </c>
      <c r="X6">
        <v>870</v>
      </c>
      <c r="Y6">
        <v>217.5</v>
      </c>
      <c r="Z6" t="s">
        <v>46</v>
      </c>
      <c r="AA6" t="s">
        <v>47</v>
      </c>
      <c r="AB6" t="s">
        <v>48</v>
      </c>
      <c r="AC6" t="s">
        <v>55</v>
      </c>
      <c r="AD6" t="s">
        <v>50</v>
      </c>
    </row>
    <row r="7" spans="1:30" x14ac:dyDescent="0.3">
      <c r="A7" s="1">
        <v>45343</v>
      </c>
      <c r="B7" t="s">
        <v>51</v>
      </c>
      <c r="C7" t="s">
        <v>52</v>
      </c>
      <c r="D7" t="s">
        <v>32</v>
      </c>
      <c r="E7" t="s">
        <v>53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32</v>
      </c>
      <c r="L7" t="s">
        <v>39</v>
      </c>
      <c r="M7" t="s">
        <v>40</v>
      </c>
      <c r="N7" t="s">
        <v>54</v>
      </c>
      <c r="O7" t="s">
        <v>42</v>
      </c>
      <c r="P7">
        <v>214280</v>
      </c>
      <c r="Q7" t="s">
        <v>43</v>
      </c>
      <c r="R7" t="s">
        <v>44</v>
      </c>
      <c r="S7" t="s">
        <v>45</v>
      </c>
      <c r="T7">
        <v>90</v>
      </c>
      <c r="U7">
        <v>4.25</v>
      </c>
      <c r="V7" s="2">
        <v>0.17708333333333334</v>
      </c>
      <c r="W7">
        <v>382.5</v>
      </c>
      <c r="X7">
        <v>510</v>
      </c>
      <c r="Y7">
        <v>127.5</v>
      </c>
      <c r="Z7" t="s">
        <v>46</v>
      </c>
      <c r="AA7" t="s">
        <v>47</v>
      </c>
      <c r="AB7" t="s">
        <v>48</v>
      </c>
      <c r="AC7" t="s">
        <v>55</v>
      </c>
      <c r="AD7" t="s">
        <v>50</v>
      </c>
    </row>
    <row r="8" spans="1:30" x14ac:dyDescent="0.3">
      <c r="A8" s="1">
        <v>45344</v>
      </c>
      <c r="B8" t="s">
        <v>51</v>
      </c>
      <c r="C8" t="s">
        <v>52</v>
      </c>
      <c r="D8" t="s">
        <v>32</v>
      </c>
      <c r="E8" t="s">
        <v>53</v>
      </c>
      <c r="F8" t="s">
        <v>34</v>
      </c>
      <c r="G8" t="s">
        <v>35</v>
      </c>
      <c r="H8" t="s">
        <v>36</v>
      </c>
      <c r="I8" t="s">
        <v>37</v>
      </c>
      <c r="J8" t="s">
        <v>38</v>
      </c>
      <c r="K8" t="s">
        <v>32</v>
      </c>
      <c r="L8" t="s">
        <v>39</v>
      </c>
      <c r="M8" t="s">
        <v>40</v>
      </c>
      <c r="N8" t="s">
        <v>54</v>
      </c>
      <c r="O8" t="s">
        <v>42</v>
      </c>
      <c r="P8">
        <v>214563</v>
      </c>
      <c r="Q8" t="s">
        <v>43</v>
      </c>
      <c r="R8" t="s">
        <v>44</v>
      </c>
      <c r="S8" t="s">
        <v>45</v>
      </c>
      <c r="T8">
        <v>90</v>
      </c>
      <c r="U8">
        <v>1</v>
      </c>
      <c r="V8" s="2">
        <v>4.1666666666666664E-2</v>
      </c>
      <c r="W8">
        <v>90</v>
      </c>
      <c r="X8">
        <v>120</v>
      </c>
      <c r="Y8">
        <v>30</v>
      </c>
      <c r="Z8" t="s">
        <v>46</v>
      </c>
      <c r="AA8" t="s">
        <v>47</v>
      </c>
      <c r="AB8" t="s">
        <v>48</v>
      </c>
      <c r="AC8" t="s">
        <v>55</v>
      </c>
      <c r="AD8" t="s">
        <v>50</v>
      </c>
    </row>
    <row r="9" spans="1:30" x14ac:dyDescent="0.3">
      <c r="A9" s="1">
        <v>45348</v>
      </c>
      <c r="B9" t="s">
        <v>51</v>
      </c>
      <c r="C9" t="s">
        <v>52</v>
      </c>
      <c r="D9" t="s">
        <v>32</v>
      </c>
      <c r="E9" t="s">
        <v>53</v>
      </c>
      <c r="F9" t="s">
        <v>34</v>
      </c>
      <c r="G9" t="s">
        <v>35</v>
      </c>
      <c r="H9" t="s">
        <v>36</v>
      </c>
      <c r="I9" t="s">
        <v>37</v>
      </c>
      <c r="J9" t="s">
        <v>38</v>
      </c>
      <c r="K9" t="s">
        <v>32</v>
      </c>
      <c r="L9" t="s">
        <v>39</v>
      </c>
      <c r="M9" t="s">
        <v>40</v>
      </c>
      <c r="N9" t="s">
        <v>54</v>
      </c>
      <c r="O9" t="s">
        <v>42</v>
      </c>
      <c r="P9">
        <v>216146</v>
      </c>
      <c r="Q9" t="s">
        <v>43</v>
      </c>
      <c r="R9" t="s">
        <v>44</v>
      </c>
      <c r="S9" t="s">
        <v>45</v>
      </c>
      <c r="T9">
        <v>90</v>
      </c>
      <c r="U9">
        <v>2</v>
      </c>
      <c r="V9" s="2">
        <v>8.3333333333333329E-2</v>
      </c>
      <c r="W9">
        <v>180</v>
      </c>
      <c r="X9">
        <v>240</v>
      </c>
      <c r="Y9">
        <v>60</v>
      </c>
      <c r="Z9" t="s">
        <v>46</v>
      </c>
      <c r="AA9" t="s">
        <v>47</v>
      </c>
      <c r="AB9" t="s">
        <v>48</v>
      </c>
      <c r="AC9" t="s">
        <v>55</v>
      </c>
      <c r="AD9" t="s">
        <v>50</v>
      </c>
    </row>
    <row r="10" spans="1:30" x14ac:dyDescent="0.3">
      <c r="A10" s="1">
        <v>45349</v>
      </c>
      <c r="B10" t="s">
        <v>51</v>
      </c>
      <c r="C10" t="s">
        <v>52</v>
      </c>
      <c r="D10" t="s">
        <v>32</v>
      </c>
      <c r="E10" t="s">
        <v>53</v>
      </c>
      <c r="F10" t="s">
        <v>34</v>
      </c>
      <c r="G10" t="s">
        <v>35</v>
      </c>
      <c r="H10" t="s">
        <v>36</v>
      </c>
      <c r="I10" t="s">
        <v>37</v>
      </c>
      <c r="J10" t="s">
        <v>38</v>
      </c>
      <c r="K10" t="s">
        <v>32</v>
      </c>
      <c r="L10" t="s">
        <v>39</v>
      </c>
      <c r="M10" t="s">
        <v>40</v>
      </c>
      <c r="N10" t="s">
        <v>54</v>
      </c>
      <c r="O10" t="s">
        <v>42</v>
      </c>
      <c r="P10">
        <v>217055</v>
      </c>
      <c r="Q10" t="s">
        <v>43</v>
      </c>
      <c r="R10" t="s">
        <v>44</v>
      </c>
      <c r="S10" t="s">
        <v>45</v>
      </c>
      <c r="T10">
        <v>90</v>
      </c>
      <c r="U10">
        <v>0.25</v>
      </c>
      <c r="V10" s="2">
        <v>1.0416666666666666E-2</v>
      </c>
      <c r="W10">
        <v>22.5</v>
      </c>
      <c r="X10">
        <v>30</v>
      </c>
      <c r="Y10">
        <v>7.5</v>
      </c>
      <c r="Z10" t="s">
        <v>46</v>
      </c>
      <c r="AA10" t="s">
        <v>47</v>
      </c>
      <c r="AB10" t="s">
        <v>48</v>
      </c>
      <c r="AC10" t="s">
        <v>55</v>
      </c>
      <c r="AD10" t="s">
        <v>50</v>
      </c>
    </row>
    <row r="11" spans="1:30" x14ac:dyDescent="0.3">
      <c r="A11" s="1">
        <v>45350</v>
      </c>
      <c r="B11" t="s">
        <v>51</v>
      </c>
      <c r="C11" t="s">
        <v>52</v>
      </c>
      <c r="D11" t="s">
        <v>32</v>
      </c>
      <c r="E11" t="s">
        <v>53</v>
      </c>
      <c r="F11" t="s">
        <v>34</v>
      </c>
      <c r="G11" t="s">
        <v>35</v>
      </c>
      <c r="H11" t="s">
        <v>36</v>
      </c>
      <c r="I11" t="s">
        <v>37</v>
      </c>
      <c r="J11" t="s">
        <v>38</v>
      </c>
      <c r="K11" t="s">
        <v>32</v>
      </c>
      <c r="L11" t="s">
        <v>39</v>
      </c>
      <c r="M11" t="s">
        <v>40</v>
      </c>
      <c r="N11" t="s">
        <v>54</v>
      </c>
      <c r="O11" t="s">
        <v>42</v>
      </c>
      <c r="P11">
        <v>217696</v>
      </c>
      <c r="Q11" t="s">
        <v>43</v>
      </c>
      <c r="R11" t="s">
        <v>44</v>
      </c>
      <c r="S11" t="s">
        <v>45</v>
      </c>
      <c r="T11">
        <v>90</v>
      </c>
      <c r="U11">
        <v>3.25</v>
      </c>
      <c r="V11" s="2">
        <v>0.13541666666666666</v>
      </c>
      <c r="W11">
        <v>292.5</v>
      </c>
      <c r="X11">
        <v>390</v>
      </c>
      <c r="Y11">
        <v>97.5</v>
      </c>
      <c r="Z11" t="s">
        <v>46</v>
      </c>
      <c r="AA11" t="s">
        <v>47</v>
      </c>
      <c r="AB11" t="s">
        <v>48</v>
      </c>
      <c r="AC11" t="s">
        <v>55</v>
      </c>
      <c r="AD11" t="s">
        <v>50</v>
      </c>
    </row>
    <row r="12" spans="1:30" x14ac:dyDescent="0.3">
      <c r="A12" s="1">
        <v>45351</v>
      </c>
      <c r="B12" t="s">
        <v>51</v>
      </c>
      <c r="C12" t="s">
        <v>52</v>
      </c>
      <c r="D12" t="s">
        <v>32</v>
      </c>
      <c r="E12" t="s">
        <v>53</v>
      </c>
      <c r="F12" t="s">
        <v>34</v>
      </c>
      <c r="G12" t="s">
        <v>35</v>
      </c>
      <c r="H12" t="s">
        <v>36</v>
      </c>
      <c r="I12" t="s">
        <v>37</v>
      </c>
      <c r="J12" t="s">
        <v>38</v>
      </c>
      <c r="K12" t="s">
        <v>32</v>
      </c>
      <c r="L12" t="s">
        <v>39</v>
      </c>
      <c r="M12" t="s">
        <v>40</v>
      </c>
      <c r="N12" t="s">
        <v>54</v>
      </c>
      <c r="O12" t="s">
        <v>42</v>
      </c>
      <c r="P12">
        <v>217701</v>
      </c>
      <c r="Q12" t="s">
        <v>43</v>
      </c>
      <c r="R12" t="s">
        <v>44</v>
      </c>
      <c r="S12" t="s">
        <v>45</v>
      </c>
      <c r="T12">
        <v>90</v>
      </c>
      <c r="U12">
        <v>0.75</v>
      </c>
      <c r="V12" s="2">
        <v>3.125E-2</v>
      </c>
      <c r="W12">
        <v>67.5</v>
      </c>
      <c r="X12">
        <v>90</v>
      </c>
      <c r="Y12">
        <v>22.5</v>
      </c>
      <c r="Z12" t="s">
        <v>46</v>
      </c>
      <c r="AA12" t="s">
        <v>47</v>
      </c>
      <c r="AB12" t="s">
        <v>48</v>
      </c>
      <c r="AC12" t="s">
        <v>55</v>
      </c>
      <c r="AD12" t="s">
        <v>50</v>
      </c>
    </row>
    <row r="13" spans="1:30" x14ac:dyDescent="0.3">
      <c r="A13" s="1">
        <v>45324</v>
      </c>
      <c r="B13" t="s">
        <v>41</v>
      </c>
      <c r="C13" t="s">
        <v>52</v>
      </c>
      <c r="D13" t="s">
        <v>32</v>
      </c>
      <c r="E13" t="s">
        <v>33</v>
      </c>
      <c r="F13" t="s">
        <v>34</v>
      </c>
      <c r="G13" t="s">
        <v>35</v>
      </c>
      <c r="H13" t="s">
        <v>36</v>
      </c>
      <c r="I13" t="s">
        <v>37</v>
      </c>
      <c r="J13" t="s">
        <v>38</v>
      </c>
      <c r="K13" t="s">
        <v>32</v>
      </c>
      <c r="L13" t="s">
        <v>39</v>
      </c>
      <c r="M13" t="s">
        <v>40</v>
      </c>
      <c r="N13" t="s">
        <v>55</v>
      </c>
      <c r="O13" t="s">
        <v>42</v>
      </c>
      <c r="P13">
        <v>215409</v>
      </c>
      <c r="Q13" t="s">
        <v>43</v>
      </c>
      <c r="R13" t="s">
        <v>44</v>
      </c>
      <c r="S13" t="s">
        <v>45</v>
      </c>
      <c r="T13">
        <v>90</v>
      </c>
      <c r="U13">
        <v>1</v>
      </c>
      <c r="V13" s="2">
        <v>4.1666666666666664E-2</v>
      </c>
      <c r="W13">
        <v>90</v>
      </c>
      <c r="X13">
        <v>120</v>
      </c>
      <c r="Y13">
        <v>30</v>
      </c>
      <c r="Z13" t="s">
        <v>46</v>
      </c>
      <c r="AA13" t="s">
        <v>47</v>
      </c>
      <c r="AB13" t="s">
        <v>48</v>
      </c>
      <c r="AC13" t="s">
        <v>56</v>
      </c>
      <c r="AD13" t="s">
        <v>50</v>
      </c>
    </row>
    <row r="14" spans="1:30" x14ac:dyDescent="0.3">
      <c r="A14" s="1">
        <v>45337</v>
      </c>
      <c r="B14" t="s">
        <v>41</v>
      </c>
      <c r="C14" t="s">
        <v>52</v>
      </c>
      <c r="D14" t="s">
        <v>32</v>
      </c>
      <c r="E14" t="s">
        <v>33</v>
      </c>
      <c r="F14" t="s">
        <v>34</v>
      </c>
      <c r="G14" t="s">
        <v>35</v>
      </c>
      <c r="H14" t="s">
        <v>36</v>
      </c>
      <c r="I14" t="s">
        <v>37</v>
      </c>
      <c r="J14" t="s">
        <v>38</v>
      </c>
      <c r="K14" t="s">
        <v>32</v>
      </c>
      <c r="L14" t="s">
        <v>39</v>
      </c>
      <c r="M14" t="s">
        <v>40</v>
      </c>
      <c r="N14" t="s">
        <v>55</v>
      </c>
      <c r="O14" t="s">
        <v>42</v>
      </c>
      <c r="P14">
        <v>215527</v>
      </c>
      <c r="Q14" t="s">
        <v>43</v>
      </c>
      <c r="R14" t="s">
        <v>44</v>
      </c>
      <c r="S14" t="s">
        <v>45</v>
      </c>
      <c r="T14">
        <v>90</v>
      </c>
      <c r="U14">
        <v>1</v>
      </c>
      <c r="V14" s="2">
        <v>4.1666666666666664E-2</v>
      </c>
      <c r="W14">
        <v>90</v>
      </c>
      <c r="X14">
        <v>120</v>
      </c>
      <c r="Y14">
        <v>30</v>
      </c>
      <c r="Z14" t="s">
        <v>46</v>
      </c>
      <c r="AA14" t="s">
        <v>47</v>
      </c>
      <c r="AB14" t="s">
        <v>48</v>
      </c>
      <c r="AC14" t="s">
        <v>57</v>
      </c>
      <c r="AD14" t="s">
        <v>50</v>
      </c>
    </row>
    <row r="15" spans="1:30" x14ac:dyDescent="0.3">
      <c r="A15" s="1">
        <v>45342</v>
      </c>
      <c r="B15" t="s">
        <v>41</v>
      </c>
      <c r="C15" t="s">
        <v>52</v>
      </c>
      <c r="D15" t="s">
        <v>32</v>
      </c>
      <c r="E15" t="s">
        <v>33</v>
      </c>
      <c r="F15" t="s">
        <v>34</v>
      </c>
      <c r="G15" t="s">
        <v>35</v>
      </c>
      <c r="H15" t="s">
        <v>36</v>
      </c>
      <c r="I15" t="s">
        <v>37</v>
      </c>
      <c r="J15" t="s">
        <v>38</v>
      </c>
      <c r="K15" t="s">
        <v>32</v>
      </c>
      <c r="L15" t="s">
        <v>39</v>
      </c>
      <c r="M15" t="s">
        <v>40</v>
      </c>
      <c r="N15" t="s">
        <v>55</v>
      </c>
      <c r="O15" t="s">
        <v>42</v>
      </c>
      <c r="P15">
        <v>215530</v>
      </c>
      <c r="Q15" t="s">
        <v>43</v>
      </c>
      <c r="R15" t="s">
        <v>44</v>
      </c>
      <c r="S15" t="s">
        <v>45</v>
      </c>
      <c r="T15">
        <v>90</v>
      </c>
      <c r="U15">
        <v>1</v>
      </c>
      <c r="V15" s="2">
        <v>4.1666666666666664E-2</v>
      </c>
      <c r="W15">
        <v>90</v>
      </c>
      <c r="X15">
        <v>120</v>
      </c>
      <c r="Y15">
        <v>30</v>
      </c>
      <c r="Z15" t="s">
        <v>46</v>
      </c>
      <c r="AA15" t="s">
        <v>47</v>
      </c>
      <c r="AB15" t="s">
        <v>48</v>
      </c>
      <c r="AC15" t="s">
        <v>58</v>
      </c>
      <c r="AD15" t="s">
        <v>50</v>
      </c>
    </row>
    <row r="16" spans="1:30" x14ac:dyDescent="0.3">
      <c r="A16" s="1">
        <v>45335</v>
      </c>
      <c r="B16" t="s">
        <v>39</v>
      </c>
      <c r="C16" t="s">
        <v>52</v>
      </c>
      <c r="D16" t="s">
        <v>32</v>
      </c>
      <c r="E16" t="s">
        <v>53</v>
      </c>
      <c r="F16" t="s">
        <v>34</v>
      </c>
      <c r="G16" t="s">
        <v>35</v>
      </c>
      <c r="H16" t="s">
        <v>36</v>
      </c>
      <c r="I16" t="s">
        <v>37</v>
      </c>
      <c r="J16" t="s">
        <v>38</v>
      </c>
      <c r="K16" t="s">
        <v>32</v>
      </c>
      <c r="L16" t="s">
        <v>39</v>
      </c>
      <c r="M16" t="s">
        <v>40</v>
      </c>
      <c r="N16" t="s">
        <v>55</v>
      </c>
      <c r="O16" t="s">
        <v>42</v>
      </c>
      <c r="P16">
        <v>211400</v>
      </c>
      <c r="Q16" t="s">
        <v>43</v>
      </c>
      <c r="R16" t="s">
        <v>44</v>
      </c>
      <c r="S16" t="s">
        <v>45</v>
      </c>
      <c r="T16">
        <v>90</v>
      </c>
      <c r="U16">
        <v>0.25</v>
      </c>
      <c r="V16" s="2">
        <v>1.0416666666666666E-2</v>
      </c>
      <c r="W16">
        <v>22.5</v>
      </c>
      <c r="X16">
        <v>30</v>
      </c>
      <c r="Y16">
        <v>7.5</v>
      </c>
      <c r="Z16" t="s">
        <v>46</v>
      </c>
      <c r="AA16" t="s">
        <v>47</v>
      </c>
      <c r="AB16" t="s">
        <v>48</v>
      </c>
      <c r="AC16" t="s">
        <v>55</v>
      </c>
      <c r="AD16" t="s">
        <v>50</v>
      </c>
    </row>
    <row r="17" spans="1:30" x14ac:dyDescent="0.3">
      <c r="A17" s="1">
        <v>45348</v>
      </c>
      <c r="B17" t="s">
        <v>39</v>
      </c>
      <c r="C17" t="s">
        <v>52</v>
      </c>
      <c r="D17" t="s">
        <v>32</v>
      </c>
      <c r="E17" t="s">
        <v>53</v>
      </c>
      <c r="F17" t="s">
        <v>34</v>
      </c>
      <c r="G17" t="s">
        <v>35</v>
      </c>
      <c r="H17" t="s">
        <v>36</v>
      </c>
      <c r="I17" t="s">
        <v>37</v>
      </c>
      <c r="J17" t="s">
        <v>38</v>
      </c>
      <c r="K17" t="s">
        <v>32</v>
      </c>
      <c r="L17" t="s">
        <v>39</v>
      </c>
      <c r="M17" t="s">
        <v>40</v>
      </c>
      <c r="N17" t="s">
        <v>55</v>
      </c>
      <c r="O17" t="s">
        <v>42</v>
      </c>
      <c r="P17">
        <v>216824</v>
      </c>
      <c r="Q17" t="s">
        <v>43</v>
      </c>
      <c r="R17" t="s">
        <v>44</v>
      </c>
      <c r="S17" t="s">
        <v>45</v>
      </c>
      <c r="T17">
        <v>90</v>
      </c>
      <c r="U17">
        <v>0.25</v>
      </c>
      <c r="V17" s="2">
        <v>1.0416666666666666E-2</v>
      </c>
      <c r="W17">
        <v>22.5</v>
      </c>
      <c r="X17">
        <v>30</v>
      </c>
      <c r="Y17">
        <v>7.5</v>
      </c>
      <c r="Z17" t="s">
        <v>46</v>
      </c>
      <c r="AA17" t="s">
        <v>47</v>
      </c>
      <c r="AB17" t="s">
        <v>48</v>
      </c>
      <c r="AC17" t="s">
        <v>55</v>
      </c>
      <c r="AD17" t="s">
        <v>50</v>
      </c>
    </row>
    <row r="18" spans="1:30" x14ac:dyDescent="0.3">
      <c r="A18" s="1">
        <v>45349</v>
      </c>
      <c r="B18" t="s">
        <v>39</v>
      </c>
      <c r="C18" t="s">
        <v>52</v>
      </c>
      <c r="D18" t="s">
        <v>32</v>
      </c>
      <c r="E18" t="s">
        <v>53</v>
      </c>
      <c r="F18" t="s">
        <v>34</v>
      </c>
      <c r="G18" t="s">
        <v>35</v>
      </c>
      <c r="H18" t="s">
        <v>36</v>
      </c>
      <c r="I18" t="s">
        <v>37</v>
      </c>
      <c r="J18" t="s">
        <v>38</v>
      </c>
      <c r="K18" t="s">
        <v>32</v>
      </c>
      <c r="L18" t="s">
        <v>39</v>
      </c>
      <c r="M18" t="s">
        <v>40</v>
      </c>
      <c r="N18" t="s">
        <v>55</v>
      </c>
      <c r="O18" t="s">
        <v>42</v>
      </c>
      <c r="P18">
        <v>217543</v>
      </c>
      <c r="Q18" t="s">
        <v>43</v>
      </c>
      <c r="R18" t="s">
        <v>44</v>
      </c>
      <c r="S18" t="s">
        <v>45</v>
      </c>
      <c r="T18">
        <v>90</v>
      </c>
      <c r="U18">
        <v>0.25</v>
      </c>
      <c r="V18" s="2">
        <v>1.0416666666666666E-2</v>
      </c>
      <c r="W18">
        <v>22.5</v>
      </c>
      <c r="X18">
        <v>30</v>
      </c>
      <c r="Y18">
        <v>7.5</v>
      </c>
      <c r="Z18" t="s">
        <v>46</v>
      </c>
      <c r="AA18" t="s">
        <v>47</v>
      </c>
      <c r="AB18" t="s">
        <v>48</v>
      </c>
      <c r="AC18" t="s">
        <v>55</v>
      </c>
      <c r="AD18" t="s">
        <v>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FE1459F8-66C2-422E-BADC-791762C1FB62}"/>
</file>

<file path=customXml/itemProps2.xml><?xml version="1.0" encoding="utf-8"?>
<ds:datastoreItem xmlns:ds="http://schemas.openxmlformats.org/officeDocument/2006/customXml" ds:itemID="{F5835815-7D96-4367-A7F1-C8399D8C6C6E}"/>
</file>

<file path=customXml/itemProps3.xml><?xml version="1.0" encoding="utf-8"?>
<ds:datastoreItem xmlns:ds="http://schemas.openxmlformats.org/officeDocument/2006/customXml" ds:itemID="{AEF25477-E499-4392-B1CA-F8E8AA257D93}"/>
</file>

<file path=customXml/itemProps4.xml><?xml version="1.0" encoding="utf-8"?>
<ds:datastoreItem xmlns:ds="http://schemas.openxmlformats.org/officeDocument/2006/customXml" ds:itemID="{3C465CE6-A94A-4DEE-A515-C13F509ECD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Project Timesheets(1)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Carami Le Grange</dc:creator>
  <cp:lastModifiedBy>Carami Le Grange</cp:lastModifiedBy>
  <dcterms:created xsi:type="dcterms:W3CDTF">2024-03-04T09:45:29Z</dcterms:created>
  <dcterms:modified xsi:type="dcterms:W3CDTF">2024-03-04T11:43:03Z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20;#PM Report|9d58a819-7b07-406f-ac0f-0f196f5e097b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</Properties>
</file>