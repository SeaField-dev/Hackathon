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grange\Downloads\"/>
    </mc:Choice>
  </mc:AlternateContent>
  <xr:revisionPtr revIDLastSave="0" documentId="13_ncr:1_{E351AAB6-89BA-49EE-A96F-2E9327325619}" xr6:coauthVersionLast="47" xr6:coauthVersionMax="47" xr10:uidLastSave="{00000000-0000-0000-0000-000000000000}"/>
  <bookViews>
    <workbookView xWindow="28680" yWindow="-2160" windowWidth="29040" windowHeight="15720" xr2:uid="{00000000-000D-0000-FFFF-FFFF00000000}"/>
  </bookViews>
  <sheets>
    <sheet name="Pivot" sheetId="2" r:id="rId1"/>
    <sheet name="Project Timesheets(1)" sheetId="1" r:id="rId2"/>
  </sheets>
  <calcPr calcId="191029"/>
  <pivotCaches>
    <pivotCache cacheId="8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0" i="1" l="1"/>
  <c r="AF50" i="1" s="1"/>
  <c r="AE51" i="1"/>
  <c r="AF51" i="1" s="1"/>
  <c r="AE52" i="1"/>
  <c r="AF52" i="1" s="1"/>
  <c r="AE53" i="1"/>
  <c r="AF53" i="1"/>
  <c r="AE54" i="1"/>
  <c r="AF54" i="1" s="1"/>
  <c r="AC36" i="1"/>
  <c r="AE14" i="1"/>
  <c r="AF14" i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/>
  <c r="AE22" i="1"/>
  <c r="AF22" i="1" s="1"/>
  <c r="AE23" i="1"/>
  <c r="AF23" i="1" s="1"/>
  <c r="AE24" i="1"/>
  <c r="AF24" i="1" s="1"/>
  <c r="AE25" i="1"/>
  <c r="AF25" i="1" s="1"/>
  <c r="AE26" i="1"/>
  <c r="AF26" i="1"/>
  <c r="AE27" i="1"/>
  <c r="AF27" i="1"/>
  <c r="AE28" i="1"/>
  <c r="AF28" i="1" s="1"/>
  <c r="AE29" i="1"/>
  <c r="AF29" i="1" s="1"/>
  <c r="AE30" i="1"/>
  <c r="AF30" i="1"/>
  <c r="AE31" i="1"/>
  <c r="AF31" i="1" s="1"/>
  <c r="AE32" i="1"/>
  <c r="AF32" i="1" s="1"/>
  <c r="AE33" i="1"/>
  <c r="AF33" i="1"/>
  <c r="AE34" i="1"/>
  <c r="AF34" i="1" s="1"/>
  <c r="AE35" i="1"/>
  <c r="AF35" i="1" s="1"/>
  <c r="AE36" i="1"/>
  <c r="AF36" i="1" s="1"/>
  <c r="AE37" i="1"/>
  <c r="AF37" i="1"/>
  <c r="AE38" i="1"/>
  <c r="AF38" i="1" s="1"/>
  <c r="AE39" i="1"/>
  <c r="AF39" i="1" s="1"/>
  <c r="AE40" i="1"/>
  <c r="AF40" i="1" s="1"/>
  <c r="AE41" i="1"/>
  <c r="AF41" i="1" s="1"/>
  <c r="AE42" i="1"/>
  <c r="AF42" i="1"/>
  <c r="AE43" i="1"/>
  <c r="AF43" i="1"/>
  <c r="AE44" i="1"/>
  <c r="AF44" i="1"/>
  <c r="AE45" i="1"/>
  <c r="AF45" i="1" s="1"/>
  <c r="AE46" i="1"/>
  <c r="AF46" i="1" s="1"/>
  <c r="AE47" i="1"/>
  <c r="AF47" i="1" s="1"/>
  <c r="AE48" i="1"/>
  <c r="AF48" i="1"/>
  <c r="AE49" i="1"/>
  <c r="AF49" i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G10" i="2"/>
  <c r="F10" i="2"/>
  <c r="I10" i="2"/>
  <c r="H10" i="2"/>
</calcChain>
</file>

<file path=xl/sharedStrings.xml><?xml version="1.0" encoding="utf-8"?>
<sst xmlns="http://schemas.openxmlformats.org/spreadsheetml/2006/main" count="1157" uniqueCount="95">
  <si>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</si>
  <si>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</si>
  <si>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</si>
  <si>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</si>
  <si>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</si>
  <si>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</si>
  <si>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</si>
  <si>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</si>
  <si>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</si>
  <si>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</si>
  <si>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</si>
  <si>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</si>
  <si>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</si>
  <si>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</si>
  <si>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</si>
  <si>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</si>
  <si>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</si>
  <si>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</si>
  <si>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</si>
  <si>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</si>
  <si>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</si>
  <si>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</si>
  <si>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</si>
  <si>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</si>
  <si>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</si>
  <si>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</si>
  <si>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</si>
  <si>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</si>
  <si>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</si>
  <si>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</si>
  <si>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</si>
  <si>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</si>
  <si>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</si>
  <si>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</si>
  <si>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</si>
  <si>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</si>
  <si>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</si>
  <si>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</si>
  <si>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</si>
  <si>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</si>
  <si>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</si>
  <si>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</si>
  <si>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</si>
  <si>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</si>
  <si>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</si>
  <si>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</si>
  <si>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</si>
  <si>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</si>
  <si>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</si>
  <si>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</si>
  <si>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</si>
  <si>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</si>
  <si>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</si>
  <si>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</si>
  <si>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</si>
  <si>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</si>
  <si>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Requirements gathering with Code+ Grainger</t>
  </si>
  <si>
    <t>Refinement with Nikki</t>
  </si>
  <si>
    <t>Refinement session with Grainger</t>
  </si>
  <si>
    <t>Row Labels</t>
  </si>
  <si>
    <t>Grand Total</t>
  </si>
  <si>
    <t>Column Labels</t>
  </si>
  <si>
    <t>Sum of Hours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</si>
  <si>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</si>
  <si>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</si>
  <si>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</si>
  <si>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</si>
  <si>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</si>
  <si>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</si>
  <si>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</si>
  <si>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</si>
  <si>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</si>
  <si>
    <t>&lt;- Filter By Month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</si>
  <si>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</si>
  <si>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</si>
  <si>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</si>
  <si>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</si>
  <si>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Khonani Davhana</t>
  </si>
  <si>
    <t>Matthew Cornfield</t>
  </si>
  <si>
    <t xml:space="preserve">Sachin  Deshmukh 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</si>
  <si>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</si>
  <si>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</si>
  <si>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</si>
  <si>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</si>
  <si>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Period</t>
  </si>
  <si>
    <t>Month</t>
  </si>
  <si>
    <t>(All)</t>
  </si>
  <si>
    <t>Analysis &amp; Build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</si>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</sst>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6" fillId="34" borderId="11" xfId="0" applyFont="1" applyFill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62.613117592591" createdVersion="8" refreshedVersion="8" minRefreshableVersion="3" recordCount="53" xr:uid="{5611E20E-EA4C-42AC-85EB-615E3C431B03}">
  <cacheSource type="worksheet">
    <worksheetSource ref="A1:AF54" sheet="Project Timesheets(1)"/>
  </cacheSource>
  <cacheFields count="32">
    <cacheField name="Date" numFmtId="15">
      <sharedItems containsSemiMixedTypes="0" containsNonDate="0" containsDate="1" containsString="0" minDate="2024-02-02T00:00:00" maxDate="2024-03-09T00:00:00" count="18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2-13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22225"/>
    </cacheField>
    <cacheField name="Timecode Name" numFmtId="0">
      <sharedItems count="1">
        <s v="Delivery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870"/>
    </cacheField>
    <cacheField name="Invoiced Delta" numFmtId="0">
      <sharedItems containsString="0" containsBlank="1" containsNumber="1" minValue="7.5" maxValue="217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3"/>
    </cacheField>
    <cacheField name="Month" numFmtId="0">
      <sharedItems count="2">
        <s v="February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m/>
    <m/>
    <m/>
    <s v="GBP"/>
    <m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m/>
    <m/>
    <m/>
    <s v="GBP"/>
    <m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m/>
    <m/>
    <m/>
    <s v="GBP"/>
    <m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m/>
    <m/>
    <m/>
    <s v="GBP"/>
    <m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m/>
    <m/>
    <m/>
    <s v="GBP"/>
    <m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m/>
    <m/>
    <m/>
    <s v="GBP"/>
    <m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m/>
    <m/>
    <m/>
    <s v="GBP"/>
    <m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0269"/>
    <x v="0"/>
    <s v="Billable timecode"/>
    <s v="Standard Timecode"/>
    <n v="90"/>
    <n v="2"/>
    <d v="1899-12-30T02:00:00"/>
    <n v="180"/>
    <m/>
    <m/>
    <m/>
    <s v="GBP"/>
    <m/>
    <s v=" "/>
    <s v="Not submitted"/>
    <n v="3"/>
    <x v="1"/>
  </r>
  <r>
    <x v="2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0268"/>
    <x v="0"/>
    <s v="Billable timecode"/>
    <s v="Standard Timecode"/>
    <n v="90"/>
    <n v="3"/>
    <d v="1899-12-30T03:00:00"/>
    <n v="270"/>
    <m/>
    <m/>
    <m/>
    <s v="GBP"/>
    <m/>
    <s v=" "/>
    <s v="Not submitted"/>
    <n v="3"/>
    <x v="1"/>
  </r>
  <r>
    <x v="3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901"/>
    <x v="0"/>
    <s v="Billable timecode"/>
    <s v="Standard Timecode"/>
    <n v="90"/>
    <n v="4"/>
    <d v="1899-12-30T04:00:00"/>
    <n v="360"/>
    <m/>
    <m/>
    <m/>
    <s v="GBP"/>
    <m/>
    <s v=" "/>
    <s v="Not submitted"/>
    <n v="3"/>
    <x v="1"/>
  </r>
  <r>
    <x v="4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0688"/>
    <x v="0"/>
    <s v="Billable timecode"/>
    <s v="Standard Timecode"/>
    <n v="90"/>
    <n v="5.75"/>
    <d v="1899-12-30T05:45:00"/>
    <n v="517.5"/>
    <m/>
    <m/>
    <m/>
    <s v="GBP"/>
    <m/>
    <s v=" "/>
    <s v="Not submitted"/>
    <n v="3"/>
    <x v="1"/>
  </r>
  <r>
    <x v="5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312"/>
    <x v="0"/>
    <s v="Billable timecode"/>
    <s v="Standard Timecode"/>
    <n v="90"/>
    <n v="7"/>
    <d v="1899-12-30T07:00:00"/>
    <n v="630"/>
    <m/>
    <m/>
    <m/>
    <s v="GBP"/>
    <m/>
    <s v=" "/>
    <s v="Not submitted"/>
    <n v="3"/>
    <x v="1"/>
  </r>
  <r>
    <x v="6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47"/>
    <x v="0"/>
    <s v="Billable timecode"/>
    <s v="Standard Timecode"/>
    <n v="90"/>
    <n v="6"/>
    <d v="1899-12-30T06:00:00"/>
    <n v="540"/>
    <m/>
    <m/>
    <m/>
    <s v="GBP"/>
    <m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1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m/>
    <m/>
    <m/>
    <s v="GBP"/>
    <m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m/>
    <m/>
    <m/>
    <s v="GBP"/>
    <m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m/>
    <m/>
    <m/>
    <s v="GBP"/>
    <m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m/>
    <m/>
    <m/>
    <s v="GBP"/>
    <m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m/>
    <m/>
    <m/>
    <s v="GBP"/>
    <m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m/>
    <m/>
    <m/>
    <s v="GBP"/>
    <m/>
    <s v=" "/>
    <s v="Not submitted"/>
    <n v="3"/>
    <x v="1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m/>
    <m/>
    <m/>
    <s v="GBP"/>
    <m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m/>
    <m/>
    <m/>
    <s v="GBP"/>
    <m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m/>
    <m/>
    <m/>
    <s v="GBP"/>
    <m/>
    <s v="-- Grainger Website Integration Standup -- Worked on SAWI 7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m/>
    <m/>
    <m/>
    <s v="GBP"/>
    <m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m/>
    <m/>
    <m/>
    <s v="GBP"/>
    <m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m/>
    <m/>
    <m/>
    <s v="GBP"/>
    <m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m/>
    <m/>
    <m/>
    <s v="GBP"/>
    <m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m/>
    <m/>
    <m/>
    <s v="GBP"/>
    <m/>
    <s v="Daily standup (15 mins) Environment management call (30 mins)"/>
    <s v="Not submitted"/>
    <n v="3"/>
    <x v="1"/>
  </r>
  <r>
    <x v="1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1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m/>
    <m/>
    <m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m/>
    <m/>
    <m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m/>
    <m/>
    <m/>
    <s v="GBP"/>
    <s v="Reviewed"/>
    <s v=" "/>
    <s v="Not submitted"/>
    <n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D151E-6F3D-418B-B0FB-24AB69838719}" name="PivotTable2" cacheId="8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B15" firstHeaderRow="1" firstDataRow="2" firstDataCol="1" rowPageCount="1" colPageCount="1"/>
  <pivotFields count="32">
    <pivotField axis="axisRow" numFmtId="15" showAll="0">
      <items count="19">
        <item x="7"/>
        <item x="17"/>
        <item x="8"/>
        <item x="9"/>
        <item x="0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2"/>
        <item sd="0" x="4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1">
    <i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cols>
    <col min="1" max="1" width="27.5546875" bestFit="1" customWidth="1"/>
    <col min="2" max="2" width="16.33203125" bestFit="1" customWidth="1"/>
    <col min="3" max="3" width="6" bestFit="1" customWidth="1"/>
    <col min="4" max="4" width="12.109375" bestFit="1" customWidth="1"/>
    <col min="5" max="5" width="18.77734375" bestFit="1" customWidth="1"/>
    <col min="6" max="6" width="4" bestFit="1" customWidth="1"/>
    <col min="7" max="7" width="6" bestFit="1" customWidth="1"/>
    <col min="8" max="9" width="12.109375" bestFit="1" customWidth="1"/>
  </cols>
  <sheetData>
    <row r="1" spans="1:9" x14ac:dyDescent="0.3">
      <c r="A1" s="3" t="s">
        <v>85</v>
      </c>
      <c r="B1" t="s">
        <v>86</v>
      </c>
      <c r="E1" s="13" t="s">
        <v>72</v>
      </c>
    </row>
    <row r="3" spans="1:9" x14ac:dyDescent="0.3">
      <c r="A3" s="3" t="s">
        <v>62</v>
      </c>
      <c r="B3" s="3" t="s">
        <v>61</v>
      </c>
      <c r="C3" s="3"/>
      <c r="E3" s="15" t="s">
        <v>63</v>
      </c>
      <c r="F3" s="15"/>
      <c r="G3" s="15"/>
      <c r="H3" s="15"/>
      <c r="I3" s="15"/>
    </row>
    <row r="4" spans="1:9" x14ac:dyDescent="0.3">
      <c r="A4" s="3" t="s">
        <v>59</v>
      </c>
      <c r="B4" t="s">
        <v>43</v>
      </c>
      <c r="E4" s="10" t="s">
        <v>64</v>
      </c>
      <c r="F4" s="15" t="s">
        <v>20</v>
      </c>
      <c r="G4" s="15"/>
      <c r="H4" s="10" t="s">
        <v>70</v>
      </c>
      <c r="I4" s="10" t="s">
        <v>71</v>
      </c>
    </row>
    <row r="5" spans="1:9" x14ac:dyDescent="0.3">
      <c r="A5" s="4" t="s">
        <v>35</v>
      </c>
      <c r="B5" s="16">
        <v>191.75</v>
      </c>
      <c r="E5" s="11" t="s">
        <v>42</v>
      </c>
      <c r="F5" s="11">
        <v>40</v>
      </c>
      <c r="G5" s="11">
        <v>52</v>
      </c>
      <c r="H5" s="12">
        <v>4800</v>
      </c>
      <c r="I5" s="12">
        <v>6240</v>
      </c>
    </row>
    <row r="6" spans="1:9" x14ac:dyDescent="0.3">
      <c r="A6" s="5" t="s">
        <v>37</v>
      </c>
      <c r="B6" s="16">
        <v>191.75</v>
      </c>
      <c r="E6" s="11" t="s">
        <v>65</v>
      </c>
      <c r="F6" s="11">
        <v>180</v>
      </c>
      <c r="G6" s="11">
        <v>234</v>
      </c>
      <c r="H6" s="12">
        <v>21600</v>
      </c>
      <c r="I6" s="12">
        <v>28080</v>
      </c>
    </row>
    <row r="7" spans="1:9" x14ac:dyDescent="0.3">
      <c r="A7" s="6" t="s">
        <v>87</v>
      </c>
      <c r="B7" s="16">
        <v>191.75</v>
      </c>
      <c r="E7" s="11" t="s">
        <v>66</v>
      </c>
      <c r="F7" s="11">
        <v>12</v>
      </c>
      <c r="G7" s="11">
        <v>15.6</v>
      </c>
      <c r="H7" s="12">
        <v>1440</v>
      </c>
      <c r="I7" s="12">
        <v>1872</v>
      </c>
    </row>
    <row r="8" spans="1:9" x14ac:dyDescent="0.3">
      <c r="A8" s="7" t="s">
        <v>30</v>
      </c>
      <c r="B8" s="16">
        <v>58</v>
      </c>
      <c r="E8" s="11" t="s">
        <v>67</v>
      </c>
      <c r="F8" s="11">
        <v>20</v>
      </c>
      <c r="G8" s="11">
        <v>26</v>
      </c>
      <c r="H8" s="12">
        <v>2400</v>
      </c>
      <c r="I8" s="12">
        <v>3120</v>
      </c>
    </row>
    <row r="9" spans="1:9" x14ac:dyDescent="0.3">
      <c r="A9" s="7" t="s">
        <v>51</v>
      </c>
      <c r="B9" s="16">
        <v>45.75</v>
      </c>
      <c r="E9" s="11" t="s">
        <v>68</v>
      </c>
      <c r="F9" s="11">
        <v>5</v>
      </c>
      <c r="G9" s="11">
        <v>6.5</v>
      </c>
      <c r="H9" s="12">
        <v>600</v>
      </c>
      <c r="I9" s="12">
        <v>780</v>
      </c>
    </row>
    <row r="10" spans="1:9" ht="15" thickBot="1" x14ac:dyDescent="0.35">
      <c r="A10" s="7" t="s">
        <v>41</v>
      </c>
      <c r="B10" s="16">
        <v>8.25</v>
      </c>
      <c r="E10" s="8" t="s">
        <v>69</v>
      </c>
      <c r="F10" s="8">
        <f>SUM(F5:F9)</f>
        <v>257</v>
      </c>
      <c r="G10" s="8">
        <f>SUM(G5:G9)</f>
        <v>334.1</v>
      </c>
      <c r="H10" s="9">
        <f>SUM(H5:H9)</f>
        <v>30840</v>
      </c>
      <c r="I10" s="9">
        <f>SUM(I5:I9)</f>
        <v>40092</v>
      </c>
    </row>
    <row r="11" spans="1:9" ht="15" thickTop="1" x14ac:dyDescent="0.3">
      <c r="A11" s="7" t="s">
        <v>39</v>
      </c>
      <c r="B11" s="16">
        <v>2.25</v>
      </c>
    </row>
    <row r="12" spans="1:9" x14ac:dyDescent="0.3">
      <c r="A12" s="7" t="s">
        <v>77</v>
      </c>
      <c r="B12" s="16">
        <v>7.25</v>
      </c>
    </row>
    <row r="13" spans="1:9" x14ac:dyDescent="0.3">
      <c r="A13" s="7" t="s">
        <v>78</v>
      </c>
      <c r="B13" s="16">
        <v>27.75</v>
      </c>
    </row>
    <row r="14" spans="1:9" x14ac:dyDescent="0.3">
      <c r="A14" s="7" t="s">
        <v>79</v>
      </c>
      <c r="B14" s="16">
        <v>42.5</v>
      </c>
    </row>
    <row r="15" spans="1:9" x14ac:dyDescent="0.3">
      <c r="A15" s="4" t="s">
        <v>60</v>
      </c>
      <c r="B15" s="16">
        <v>191.75</v>
      </c>
    </row>
  </sheetData>
  <mergeCells count="2">
    <mergeCell ref="F4:G4"/>
    <mergeCell ref="E3:I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4"/>
  <sheetViews>
    <sheetView topLeftCell="N17" workbookViewId="0"/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32.5546875" customWidth="1"/>
    <col min="30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4" t="s">
        <v>84</v>
      </c>
      <c r="AF1" s="14" t="s">
        <v>85</v>
      </c>
    </row>
    <row r="2" spans="1:32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87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 x14ac:dyDescent="0.3">
      <c r="A3" s="1">
        <v>45352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87</v>
      </c>
      <c r="P3">
        <v>220320</v>
      </c>
      <c r="Q3" t="s">
        <v>43</v>
      </c>
      <c r="R3" t="s">
        <v>44</v>
      </c>
      <c r="S3" t="s">
        <v>45</v>
      </c>
      <c r="T3">
        <v>90</v>
      </c>
      <c r="U3">
        <v>4</v>
      </c>
      <c r="V3" s="2">
        <v>0.16666666666666666</v>
      </c>
      <c r="W3">
        <v>360</v>
      </c>
      <c r="AA3" t="s">
        <v>47</v>
      </c>
      <c r="AC3" t="s">
        <v>73</v>
      </c>
      <c r="AD3" t="s">
        <v>50</v>
      </c>
      <c r="AE3">
        <f t="shared" ref="AE3:AE13" si="0">MONTH(A3)</f>
        <v>3</v>
      </c>
      <c r="AF3" t="str">
        <f t="shared" ref="AF3:AF49" si="1">IF(AE3=1,"January",IF(AE3=2,"February",IF(AE3=3,"March",IF(AE3=4,"April",IF(AE3=5,"May")))))</f>
        <v>March</v>
      </c>
    </row>
    <row r="4" spans="1:32" x14ac:dyDescent="0.3">
      <c r="A4" s="1">
        <v>45355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87</v>
      </c>
      <c r="P4">
        <v>220321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AA4" t="s">
        <v>47</v>
      </c>
      <c r="AC4" t="s">
        <v>74</v>
      </c>
      <c r="AD4" t="s">
        <v>50</v>
      </c>
      <c r="AE4">
        <f t="shared" si="0"/>
        <v>3</v>
      </c>
      <c r="AF4" t="str">
        <f t="shared" si="1"/>
        <v>March</v>
      </c>
    </row>
    <row r="5" spans="1:32" x14ac:dyDescent="0.3">
      <c r="A5" s="1">
        <v>45356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87</v>
      </c>
      <c r="P5">
        <v>220322</v>
      </c>
      <c r="Q5" t="s">
        <v>43</v>
      </c>
      <c r="R5" t="s">
        <v>44</v>
      </c>
      <c r="S5" t="s">
        <v>45</v>
      </c>
      <c r="T5">
        <v>90</v>
      </c>
      <c r="U5">
        <v>7</v>
      </c>
      <c r="V5" s="2">
        <v>0.29166666666666669</v>
      </c>
      <c r="W5">
        <v>630</v>
      </c>
      <c r="AA5" t="s">
        <v>47</v>
      </c>
      <c r="AC5" t="s">
        <v>75</v>
      </c>
      <c r="AD5" t="s">
        <v>50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45357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87</v>
      </c>
      <c r="P6">
        <v>221405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AA6" t="s">
        <v>47</v>
      </c>
      <c r="AC6" t="s">
        <v>76</v>
      </c>
      <c r="AD6" t="s">
        <v>50</v>
      </c>
      <c r="AE6">
        <f t="shared" si="0"/>
        <v>3</v>
      </c>
      <c r="AF6" t="str">
        <f t="shared" si="1"/>
        <v>March</v>
      </c>
    </row>
    <row r="7" spans="1:32" x14ac:dyDescent="0.3">
      <c r="A7" s="1">
        <v>45358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41</v>
      </c>
      <c r="O7" t="s">
        <v>87</v>
      </c>
      <c r="P7">
        <v>221411</v>
      </c>
      <c r="Q7" t="s">
        <v>43</v>
      </c>
      <c r="R7" t="s">
        <v>44</v>
      </c>
      <c r="S7" t="s">
        <v>45</v>
      </c>
      <c r="T7">
        <v>90</v>
      </c>
      <c r="U7">
        <v>13</v>
      </c>
      <c r="V7" s="2">
        <v>0.54166666666666663</v>
      </c>
      <c r="W7">
        <v>1170</v>
      </c>
      <c r="AA7" t="s">
        <v>47</v>
      </c>
      <c r="AC7" t="s">
        <v>88</v>
      </c>
      <c r="AD7" t="s">
        <v>50</v>
      </c>
      <c r="AE7">
        <f t="shared" si="0"/>
        <v>3</v>
      </c>
      <c r="AF7" t="str">
        <f t="shared" si="1"/>
        <v>March</v>
      </c>
    </row>
    <row r="8" spans="1:32" x14ac:dyDescent="0.3">
      <c r="A8" s="1">
        <v>45359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41</v>
      </c>
      <c r="O8" t="s">
        <v>87</v>
      </c>
      <c r="P8">
        <v>221929</v>
      </c>
      <c r="Q8" t="s">
        <v>43</v>
      </c>
      <c r="R8" t="s">
        <v>44</v>
      </c>
      <c r="S8" t="s">
        <v>45</v>
      </c>
      <c r="T8">
        <v>90</v>
      </c>
      <c r="U8">
        <v>14</v>
      </c>
      <c r="V8" s="2">
        <v>0.58333333333333337</v>
      </c>
      <c r="W8">
        <v>1260</v>
      </c>
      <c r="AA8" t="s">
        <v>47</v>
      </c>
      <c r="AC8" t="s">
        <v>89</v>
      </c>
      <c r="AD8" t="s">
        <v>50</v>
      </c>
      <c r="AE8">
        <f t="shared" si="0"/>
        <v>3</v>
      </c>
      <c r="AF8" t="str">
        <f t="shared" si="1"/>
        <v>March</v>
      </c>
    </row>
    <row r="9" spans="1:32" x14ac:dyDescent="0.3">
      <c r="A9" s="1">
        <v>45355</v>
      </c>
      <c r="B9" t="s">
        <v>77</v>
      </c>
      <c r="C9" t="s">
        <v>52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55</v>
      </c>
      <c r="O9" t="s">
        <v>87</v>
      </c>
      <c r="P9">
        <v>219767</v>
      </c>
      <c r="Q9" t="s">
        <v>43</v>
      </c>
      <c r="R9" t="s">
        <v>44</v>
      </c>
      <c r="S9" t="s">
        <v>45</v>
      </c>
      <c r="T9">
        <v>90</v>
      </c>
      <c r="U9">
        <v>0.25</v>
      </c>
      <c r="V9" s="2">
        <v>1.0416666666666666E-2</v>
      </c>
      <c r="W9">
        <v>22.5</v>
      </c>
      <c r="AA9" t="s">
        <v>47</v>
      </c>
      <c r="AC9" t="s">
        <v>55</v>
      </c>
      <c r="AD9" t="s">
        <v>50</v>
      </c>
      <c r="AE9">
        <f t="shared" si="0"/>
        <v>3</v>
      </c>
      <c r="AF9" t="str">
        <f t="shared" si="1"/>
        <v>March</v>
      </c>
    </row>
    <row r="10" spans="1:32" x14ac:dyDescent="0.3">
      <c r="A10" s="1">
        <v>45356</v>
      </c>
      <c r="B10" t="s">
        <v>77</v>
      </c>
      <c r="C10" t="s">
        <v>52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55</v>
      </c>
      <c r="O10" t="s">
        <v>87</v>
      </c>
      <c r="P10">
        <v>219760</v>
      </c>
      <c r="Q10" t="s">
        <v>43</v>
      </c>
      <c r="R10" t="s">
        <v>44</v>
      </c>
      <c r="S10" t="s">
        <v>45</v>
      </c>
      <c r="T10">
        <v>90</v>
      </c>
      <c r="U10">
        <v>3</v>
      </c>
      <c r="V10" s="2">
        <v>0.125</v>
      </c>
      <c r="W10">
        <v>270</v>
      </c>
      <c r="AA10" t="s">
        <v>47</v>
      </c>
      <c r="AC10" t="s">
        <v>55</v>
      </c>
      <c r="AD10" t="s">
        <v>50</v>
      </c>
      <c r="AE10">
        <f t="shared" si="0"/>
        <v>3</v>
      </c>
      <c r="AF10" t="str">
        <f t="shared" si="1"/>
        <v>March</v>
      </c>
    </row>
    <row r="11" spans="1:32" x14ac:dyDescent="0.3">
      <c r="A11" s="1">
        <v>45357</v>
      </c>
      <c r="B11" t="s">
        <v>77</v>
      </c>
      <c r="C11" t="s">
        <v>52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55</v>
      </c>
      <c r="O11" t="s">
        <v>87</v>
      </c>
      <c r="P11">
        <v>221432</v>
      </c>
      <c r="Q11" t="s">
        <v>43</v>
      </c>
      <c r="R11" t="s">
        <v>44</v>
      </c>
      <c r="S11" t="s">
        <v>45</v>
      </c>
      <c r="T11">
        <v>90</v>
      </c>
      <c r="U11">
        <v>0.5</v>
      </c>
      <c r="V11" s="2">
        <v>2.0833333333333332E-2</v>
      </c>
      <c r="W11">
        <v>45</v>
      </c>
      <c r="AA11" t="s">
        <v>47</v>
      </c>
      <c r="AC11" t="s">
        <v>55</v>
      </c>
      <c r="AD11" t="s">
        <v>50</v>
      </c>
      <c r="AE11">
        <f t="shared" si="0"/>
        <v>3</v>
      </c>
      <c r="AF11" t="str">
        <f t="shared" si="1"/>
        <v>March</v>
      </c>
    </row>
    <row r="12" spans="1:32" x14ac:dyDescent="0.3">
      <c r="A12" s="1">
        <v>45358</v>
      </c>
      <c r="B12" t="s">
        <v>77</v>
      </c>
      <c r="C12" t="s">
        <v>52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55</v>
      </c>
      <c r="O12" t="s">
        <v>87</v>
      </c>
      <c r="P12">
        <v>221439</v>
      </c>
      <c r="Q12" t="s">
        <v>43</v>
      </c>
      <c r="R12" t="s">
        <v>44</v>
      </c>
      <c r="S12" t="s">
        <v>45</v>
      </c>
      <c r="T12">
        <v>90</v>
      </c>
      <c r="U12">
        <v>0.5</v>
      </c>
      <c r="V12" s="2">
        <v>2.0833333333333332E-2</v>
      </c>
      <c r="W12">
        <v>45</v>
      </c>
      <c r="AA12" t="s">
        <v>47</v>
      </c>
      <c r="AC12" t="s">
        <v>55</v>
      </c>
      <c r="AD12" t="s">
        <v>50</v>
      </c>
      <c r="AE12">
        <f t="shared" si="0"/>
        <v>3</v>
      </c>
      <c r="AF12" t="str">
        <f t="shared" si="1"/>
        <v>March</v>
      </c>
    </row>
    <row r="13" spans="1:32" x14ac:dyDescent="0.3">
      <c r="A13" s="1">
        <v>45359</v>
      </c>
      <c r="B13" t="s">
        <v>77</v>
      </c>
      <c r="C13" t="s">
        <v>52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55</v>
      </c>
      <c r="O13" t="s">
        <v>87</v>
      </c>
      <c r="P13">
        <v>221695</v>
      </c>
      <c r="Q13" t="s">
        <v>43</v>
      </c>
      <c r="R13" t="s">
        <v>44</v>
      </c>
      <c r="S13" t="s">
        <v>45</v>
      </c>
      <c r="T13">
        <v>90</v>
      </c>
      <c r="U13">
        <v>3</v>
      </c>
      <c r="V13" s="2">
        <v>0.125</v>
      </c>
      <c r="W13">
        <v>270</v>
      </c>
      <c r="AA13" t="s">
        <v>47</v>
      </c>
      <c r="AC13" t="s">
        <v>55</v>
      </c>
      <c r="AD13" t="s">
        <v>50</v>
      </c>
      <c r="AE13">
        <f t="shared" si="0"/>
        <v>3</v>
      </c>
      <c r="AF13" t="str">
        <f t="shared" si="1"/>
        <v>March</v>
      </c>
    </row>
    <row r="14" spans="1:32" x14ac:dyDescent="0.3">
      <c r="A14" s="1">
        <v>45352</v>
      </c>
      <c r="B14" t="s">
        <v>78</v>
      </c>
      <c r="C14" t="s">
        <v>52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55</v>
      </c>
      <c r="O14" t="s">
        <v>87</v>
      </c>
      <c r="P14">
        <v>220269</v>
      </c>
      <c r="Q14" t="s">
        <v>43</v>
      </c>
      <c r="R14" t="s">
        <v>44</v>
      </c>
      <c r="S14" t="s">
        <v>45</v>
      </c>
      <c r="T14">
        <v>90</v>
      </c>
      <c r="U14">
        <v>2</v>
      </c>
      <c r="V14" s="2">
        <v>8.3333333333333329E-2</v>
      </c>
      <c r="W14">
        <v>180</v>
      </c>
      <c r="AA14" t="s">
        <v>47</v>
      </c>
      <c r="AC14" t="s">
        <v>55</v>
      </c>
      <c r="AD14" t="s">
        <v>50</v>
      </c>
      <c r="AE14">
        <f t="shared" ref="AE14:AE49" si="2">MONTH(A14)</f>
        <v>3</v>
      </c>
      <c r="AF14" t="str">
        <f t="shared" si="1"/>
        <v>March</v>
      </c>
    </row>
    <row r="15" spans="1:32" x14ac:dyDescent="0.3">
      <c r="A15" s="1">
        <v>45355</v>
      </c>
      <c r="B15" t="s">
        <v>78</v>
      </c>
      <c r="C15" t="s">
        <v>52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55</v>
      </c>
      <c r="O15" t="s">
        <v>87</v>
      </c>
      <c r="P15">
        <v>220268</v>
      </c>
      <c r="Q15" t="s">
        <v>43</v>
      </c>
      <c r="R15" t="s">
        <v>44</v>
      </c>
      <c r="S15" t="s">
        <v>45</v>
      </c>
      <c r="T15">
        <v>90</v>
      </c>
      <c r="U15">
        <v>3</v>
      </c>
      <c r="V15" s="2">
        <v>0.125</v>
      </c>
      <c r="W15">
        <v>270</v>
      </c>
      <c r="AA15" t="s">
        <v>47</v>
      </c>
      <c r="AC15" t="s">
        <v>55</v>
      </c>
      <c r="AD15" t="s">
        <v>50</v>
      </c>
      <c r="AE15">
        <f t="shared" si="2"/>
        <v>3</v>
      </c>
      <c r="AF15" t="str">
        <f t="shared" si="1"/>
        <v>March</v>
      </c>
    </row>
    <row r="16" spans="1:32" x14ac:dyDescent="0.3">
      <c r="A16" s="1">
        <v>45356</v>
      </c>
      <c r="B16" t="s">
        <v>78</v>
      </c>
      <c r="C16" t="s">
        <v>52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55</v>
      </c>
      <c r="O16" t="s">
        <v>87</v>
      </c>
      <c r="P16">
        <v>219901</v>
      </c>
      <c r="Q16" t="s">
        <v>43</v>
      </c>
      <c r="R16" t="s">
        <v>44</v>
      </c>
      <c r="S16" t="s">
        <v>45</v>
      </c>
      <c r="T16">
        <v>90</v>
      </c>
      <c r="U16">
        <v>4</v>
      </c>
      <c r="V16" s="2">
        <v>0.16666666666666666</v>
      </c>
      <c r="W16">
        <v>360</v>
      </c>
      <c r="AA16" t="s">
        <v>47</v>
      </c>
      <c r="AC16" t="s">
        <v>55</v>
      </c>
      <c r="AD16" t="s">
        <v>50</v>
      </c>
      <c r="AE16">
        <f t="shared" si="2"/>
        <v>3</v>
      </c>
      <c r="AF16" t="str">
        <f t="shared" si="1"/>
        <v>March</v>
      </c>
    </row>
    <row r="17" spans="1:32" x14ac:dyDescent="0.3">
      <c r="A17" s="1">
        <v>45357</v>
      </c>
      <c r="B17" t="s">
        <v>78</v>
      </c>
      <c r="C17" t="s">
        <v>52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55</v>
      </c>
      <c r="O17" t="s">
        <v>87</v>
      </c>
      <c r="P17">
        <v>220688</v>
      </c>
      <c r="Q17" t="s">
        <v>43</v>
      </c>
      <c r="R17" t="s">
        <v>44</v>
      </c>
      <c r="S17" t="s">
        <v>45</v>
      </c>
      <c r="T17">
        <v>90</v>
      </c>
      <c r="U17">
        <v>5.75</v>
      </c>
      <c r="V17" s="2">
        <v>0.23958333333333334</v>
      </c>
      <c r="W17">
        <v>517.5</v>
      </c>
      <c r="AA17" t="s">
        <v>47</v>
      </c>
      <c r="AC17" t="s">
        <v>55</v>
      </c>
      <c r="AD17" t="s">
        <v>50</v>
      </c>
      <c r="AE17">
        <f t="shared" si="2"/>
        <v>3</v>
      </c>
      <c r="AF17" t="str">
        <f t="shared" si="1"/>
        <v>March</v>
      </c>
    </row>
    <row r="18" spans="1:32" x14ac:dyDescent="0.3">
      <c r="A18" s="1">
        <v>45358</v>
      </c>
      <c r="B18" t="s">
        <v>78</v>
      </c>
      <c r="C18" t="s">
        <v>52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55</v>
      </c>
      <c r="O18" t="s">
        <v>87</v>
      </c>
      <c r="P18">
        <v>221312</v>
      </c>
      <c r="Q18" t="s">
        <v>43</v>
      </c>
      <c r="R18" t="s">
        <v>44</v>
      </c>
      <c r="S18" t="s">
        <v>45</v>
      </c>
      <c r="T18">
        <v>90</v>
      </c>
      <c r="U18">
        <v>7</v>
      </c>
      <c r="V18" s="2">
        <v>0.29166666666666669</v>
      </c>
      <c r="W18">
        <v>630</v>
      </c>
      <c r="AA18" t="s">
        <v>47</v>
      </c>
      <c r="AC18" t="s">
        <v>55</v>
      </c>
      <c r="AD18" t="s">
        <v>50</v>
      </c>
      <c r="AE18">
        <f t="shared" si="2"/>
        <v>3</v>
      </c>
      <c r="AF18" t="str">
        <f t="shared" si="1"/>
        <v>March</v>
      </c>
    </row>
    <row r="19" spans="1:32" x14ac:dyDescent="0.3">
      <c r="A19" s="1">
        <v>45359</v>
      </c>
      <c r="B19" t="s">
        <v>78</v>
      </c>
      <c r="C19" t="s">
        <v>52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55</v>
      </c>
      <c r="O19" t="s">
        <v>87</v>
      </c>
      <c r="P19">
        <v>221647</v>
      </c>
      <c r="Q19" t="s">
        <v>43</v>
      </c>
      <c r="R19" t="s">
        <v>44</v>
      </c>
      <c r="S19" t="s">
        <v>45</v>
      </c>
      <c r="T19">
        <v>90</v>
      </c>
      <c r="U19">
        <v>6</v>
      </c>
      <c r="V19" s="2">
        <v>0.25</v>
      </c>
      <c r="W19">
        <v>540</v>
      </c>
      <c r="AA19" t="s">
        <v>47</v>
      </c>
      <c r="AC19" t="s">
        <v>55</v>
      </c>
      <c r="AD19" t="s">
        <v>50</v>
      </c>
      <c r="AE19">
        <f t="shared" si="2"/>
        <v>3</v>
      </c>
      <c r="AF19" t="str">
        <f t="shared" si="1"/>
        <v>March</v>
      </c>
    </row>
    <row r="20" spans="1:32" x14ac:dyDescent="0.3">
      <c r="A20" s="1">
        <v>45324</v>
      </c>
      <c r="B20" t="s">
        <v>51</v>
      </c>
      <c r="C20" t="s">
        <v>52</v>
      </c>
      <c r="D20" t="s">
        <v>32</v>
      </c>
      <c r="E20" t="s">
        <v>53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54</v>
      </c>
      <c r="O20" t="s">
        <v>87</v>
      </c>
      <c r="P20">
        <v>209126</v>
      </c>
      <c r="Q20" t="s">
        <v>43</v>
      </c>
      <c r="R20" t="s">
        <v>44</v>
      </c>
      <c r="S20" t="s">
        <v>45</v>
      </c>
      <c r="T20">
        <v>90</v>
      </c>
      <c r="U20">
        <v>1</v>
      </c>
      <c r="V20" s="2">
        <v>4.1666666666666664E-2</v>
      </c>
      <c r="W20">
        <v>90</v>
      </c>
      <c r="X20">
        <v>120</v>
      </c>
      <c r="Y20">
        <v>30</v>
      </c>
      <c r="Z20" t="s">
        <v>46</v>
      </c>
      <c r="AA20" t="s">
        <v>47</v>
      </c>
      <c r="AB20" t="s">
        <v>48</v>
      </c>
      <c r="AC20" t="s">
        <v>55</v>
      </c>
      <c r="AD20" t="s">
        <v>50</v>
      </c>
      <c r="AE20">
        <f t="shared" si="2"/>
        <v>2</v>
      </c>
      <c r="AF20" t="str">
        <f t="shared" si="1"/>
        <v>February</v>
      </c>
    </row>
    <row r="21" spans="1:32" x14ac:dyDescent="0.3">
      <c r="A21" s="1">
        <v>45337</v>
      </c>
      <c r="B21" t="s">
        <v>51</v>
      </c>
      <c r="C21" t="s">
        <v>52</v>
      </c>
      <c r="D21" t="s">
        <v>32</v>
      </c>
      <c r="E21" t="s">
        <v>53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54</v>
      </c>
      <c r="O21" t="s">
        <v>87</v>
      </c>
      <c r="P21">
        <v>212410</v>
      </c>
      <c r="Q21" t="s">
        <v>43</v>
      </c>
      <c r="R21" t="s">
        <v>44</v>
      </c>
      <c r="S21" t="s">
        <v>45</v>
      </c>
      <c r="T21">
        <v>90</v>
      </c>
      <c r="U21">
        <v>7</v>
      </c>
      <c r="V21" s="2">
        <v>0.29166666666666669</v>
      </c>
      <c r="W21">
        <v>630</v>
      </c>
      <c r="X21">
        <v>840</v>
      </c>
      <c r="Y21">
        <v>210</v>
      </c>
      <c r="Z21" t="s">
        <v>46</v>
      </c>
      <c r="AA21" t="s">
        <v>47</v>
      </c>
      <c r="AB21" t="s">
        <v>48</v>
      </c>
      <c r="AC21" t="s">
        <v>55</v>
      </c>
      <c r="AD21" t="s">
        <v>50</v>
      </c>
      <c r="AE21">
        <f t="shared" si="2"/>
        <v>2</v>
      </c>
      <c r="AF21" t="str">
        <f t="shared" si="1"/>
        <v>February</v>
      </c>
    </row>
    <row r="22" spans="1:32" x14ac:dyDescent="0.3">
      <c r="A22" s="1">
        <v>45338</v>
      </c>
      <c r="B22" t="s">
        <v>51</v>
      </c>
      <c r="C22" t="s">
        <v>52</v>
      </c>
      <c r="D22" t="s">
        <v>32</v>
      </c>
      <c r="E22" t="s">
        <v>53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54</v>
      </c>
      <c r="O22" t="s">
        <v>87</v>
      </c>
      <c r="P22">
        <v>212409</v>
      </c>
      <c r="Q22" t="s">
        <v>43</v>
      </c>
      <c r="R22" t="s">
        <v>44</v>
      </c>
      <c r="S22" t="s">
        <v>45</v>
      </c>
      <c r="T22">
        <v>90</v>
      </c>
      <c r="U22">
        <v>2.5</v>
      </c>
      <c r="V22" s="2">
        <v>0.10416666666666667</v>
      </c>
      <c r="W22">
        <v>225</v>
      </c>
      <c r="X22">
        <v>300</v>
      </c>
      <c r="Y22">
        <v>75</v>
      </c>
      <c r="Z22" t="s">
        <v>46</v>
      </c>
      <c r="AA22" t="s">
        <v>47</v>
      </c>
      <c r="AB22" t="s">
        <v>48</v>
      </c>
      <c r="AC22" t="s">
        <v>55</v>
      </c>
      <c r="AD22" t="s">
        <v>50</v>
      </c>
      <c r="AE22">
        <f t="shared" si="2"/>
        <v>2</v>
      </c>
      <c r="AF22" t="str">
        <f t="shared" si="1"/>
        <v>February</v>
      </c>
    </row>
    <row r="23" spans="1:32" x14ac:dyDescent="0.3">
      <c r="A23" s="1">
        <v>45342</v>
      </c>
      <c r="B23" t="s">
        <v>51</v>
      </c>
      <c r="C23" t="s">
        <v>52</v>
      </c>
      <c r="D23" t="s">
        <v>32</v>
      </c>
      <c r="E23" t="s">
        <v>53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54</v>
      </c>
      <c r="O23" t="s">
        <v>87</v>
      </c>
      <c r="P23">
        <v>214277</v>
      </c>
      <c r="Q23" t="s">
        <v>43</v>
      </c>
      <c r="R23" t="s">
        <v>44</v>
      </c>
      <c r="S23" t="s">
        <v>45</v>
      </c>
      <c r="T23">
        <v>90</v>
      </c>
      <c r="U23">
        <v>7.25</v>
      </c>
      <c r="V23" s="2">
        <v>0.30208333333333331</v>
      </c>
      <c r="W23">
        <v>652.5</v>
      </c>
      <c r="X23">
        <v>870</v>
      </c>
      <c r="Y23">
        <v>217.5</v>
      </c>
      <c r="Z23" t="s">
        <v>46</v>
      </c>
      <c r="AA23" t="s">
        <v>47</v>
      </c>
      <c r="AB23" t="s">
        <v>48</v>
      </c>
      <c r="AC23" t="s">
        <v>55</v>
      </c>
      <c r="AD23" t="s">
        <v>50</v>
      </c>
      <c r="AE23">
        <f t="shared" si="2"/>
        <v>2</v>
      </c>
      <c r="AF23" t="str">
        <f t="shared" si="1"/>
        <v>February</v>
      </c>
    </row>
    <row r="24" spans="1:32" x14ac:dyDescent="0.3">
      <c r="A24" s="1">
        <v>45343</v>
      </c>
      <c r="B24" t="s">
        <v>51</v>
      </c>
      <c r="C24" t="s">
        <v>52</v>
      </c>
      <c r="D24" t="s">
        <v>32</v>
      </c>
      <c r="E24" t="s">
        <v>53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54</v>
      </c>
      <c r="O24" t="s">
        <v>87</v>
      </c>
      <c r="P24">
        <v>214280</v>
      </c>
      <c r="Q24" t="s">
        <v>43</v>
      </c>
      <c r="R24" t="s">
        <v>44</v>
      </c>
      <c r="S24" t="s">
        <v>45</v>
      </c>
      <c r="T24">
        <v>90</v>
      </c>
      <c r="U24">
        <v>4.25</v>
      </c>
      <c r="V24" s="2">
        <v>0.17708333333333334</v>
      </c>
      <c r="W24">
        <v>382.5</v>
      </c>
      <c r="X24">
        <v>510</v>
      </c>
      <c r="Y24">
        <v>127.5</v>
      </c>
      <c r="Z24" t="s">
        <v>46</v>
      </c>
      <c r="AA24" t="s">
        <v>47</v>
      </c>
      <c r="AB24" t="s">
        <v>48</v>
      </c>
      <c r="AC24" t="s">
        <v>55</v>
      </c>
      <c r="AD24" t="s">
        <v>50</v>
      </c>
      <c r="AE24">
        <f t="shared" si="2"/>
        <v>2</v>
      </c>
      <c r="AF24" t="str">
        <f t="shared" si="1"/>
        <v>February</v>
      </c>
    </row>
    <row r="25" spans="1:32" x14ac:dyDescent="0.3">
      <c r="A25" s="1">
        <v>45344</v>
      </c>
      <c r="B25" t="s">
        <v>51</v>
      </c>
      <c r="C25" t="s">
        <v>52</v>
      </c>
      <c r="D25" t="s">
        <v>32</v>
      </c>
      <c r="E25" t="s">
        <v>53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54</v>
      </c>
      <c r="O25" t="s">
        <v>87</v>
      </c>
      <c r="P25">
        <v>214563</v>
      </c>
      <c r="Q25" t="s">
        <v>43</v>
      </c>
      <c r="R25" t="s">
        <v>44</v>
      </c>
      <c r="S25" t="s">
        <v>45</v>
      </c>
      <c r="T25">
        <v>90</v>
      </c>
      <c r="U25">
        <v>1</v>
      </c>
      <c r="V25" s="2">
        <v>4.1666666666666664E-2</v>
      </c>
      <c r="W25">
        <v>90</v>
      </c>
      <c r="X25">
        <v>120</v>
      </c>
      <c r="Y25">
        <v>30</v>
      </c>
      <c r="Z25" t="s">
        <v>46</v>
      </c>
      <c r="AA25" t="s">
        <v>47</v>
      </c>
      <c r="AB25" t="s">
        <v>48</v>
      </c>
      <c r="AC25" t="s">
        <v>55</v>
      </c>
      <c r="AD25" t="s">
        <v>50</v>
      </c>
      <c r="AE25">
        <f t="shared" si="2"/>
        <v>2</v>
      </c>
      <c r="AF25" t="str">
        <f t="shared" si="1"/>
        <v>February</v>
      </c>
    </row>
    <row r="26" spans="1:32" x14ac:dyDescent="0.3">
      <c r="A26" s="1">
        <v>45348</v>
      </c>
      <c r="B26" t="s">
        <v>51</v>
      </c>
      <c r="C26" t="s">
        <v>52</v>
      </c>
      <c r="D26" t="s">
        <v>32</v>
      </c>
      <c r="E26" t="s">
        <v>53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54</v>
      </c>
      <c r="O26" t="s">
        <v>87</v>
      </c>
      <c r="P26">
        <v>216146</v>
      </c>
      <c r="Q26" t="s">
        <v>43</v>
      </c>
      <c r="R26" t="s">
        <v>44</v>
      </c>
      <c r="S26" t="s">
        <v>45</v>
      </c>
      <c r="T26">
        <v>90</v>
      </c>
      <c r="U26">
        <v>2</v>
      </c>
      <c r="V26" s="2">
        <v>8.3333333333333329E-2</v>
      </c>
      <c r="W26">
        <v>180</v>
      </c>
      <c r="X26">
        <v>240</v>
      </c>
      <c r="Y26">
        <v>60</v>
      </c>
      <c r="Z26" t="s">
        <v>46</v>
      </c>
      <c r="AA26" t="s">
        <v>47</v>
      </c>
      <c r="AB26" t="s">
        <v>48</v>
      </c>
      <c r="AC26" t="s">
        <v>55</v>
      </c>
      <c r="AD26" t="s">
        <v>50</v>
      </c>
      <c r="AE26">
        <f t="shared" si="2"/>
        <v>2</v>
      </c>
      <c r="AF26" t="str">
        <f t="shared" si="1"/>
        <v>February</v>
      </c>
    </row>
    <row r="27" spans="1:32" x14ac:dyDescent="0.3">
      <c r="A27" s="1">
        <v>45349</v>
      </c>
      <c r="B27" t="s">
        <v>51</v>
      </c>
      <c r="C27" t="s">
        <v>52</v>
      </c>
      <c r="D27" t="s">
        <v>32</v>
      </c>
      <c r="E27" t="s">
        <v>53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54</v>
      </c>
      <c r="O27" t="s">
        <v>87</v>
      </c>
      <c r="P27">
        <v>217055</v>
      </c>
      <c r="Q27" t="s">
        <v>43</v>
      </c>
      <c r="R27" t="s">
        <v>44</v>
      </c>
      <c r="S27" t="s">
        <v>45</v>
      </c>
      <c r="T27">
        <v>90</v>
      </c>
      <c r="U27">
        <v>0.25</v>
      </c>
      <c r="V27" s="2">
        <v>1.0416666666666666E-2</v>
      </c>
      <c r="W27">
        <v>22.5</v>
      </c>
      <c r="X27">
        <v>30</v>
      </c>
      <c r="Y27">
        <v>7.5</v>
      </c>
      <c r="Z27" t="s">
        <v>46</v>
      </c>
      <c r="AA27" t="s">
        <v>47</v>
      </c>
      <c r="AB27" t="s">
        <v>48</v>
      </c>
      <c r="AC27" t="s">
        <v>55</v>
      </c>
      <c r="AD27" t="s">
        <v>50</v>
      </c>
      <c r="AE27">
        <f t="shared" si="2"/>
        <v>2</v>
      </c>
      <c r="AF27" t="str">
        <f t="shared" si="1"/>
        <v>February</v>
      </c>
    </row>
    <row r="28" spans="1:32" x14ac:dyDescent="0.3">
      <c r="A28" s="1">
        <v>45350</v>
      </c>
      <c r="B28" t="s">
        <v>51</v>
      </c>
      <c r="C28" t="s">
        <v>52</v>
      </c>
      <c r="D28" t="s">
        <v>32</v>
      </c>
      <c r="E28" t="s">
        <v>53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54</v>
      </c>
      <c r="O28" t="s">
        <v>87</v>
      </c>
      <c r="P28">
        <v>217696</v>
      </c>
      <c r="Q28" t="s">
        <v>43</v>
      </c>
      <c r="R28" t="s">
        <v>44</v>
      </c>
      <c r="S28" t="s">
        <v>45</v>
      </c>
      <c r="T28">
        <v>90</v>
      </c>
      <c r="U28">
        <v>3.25</v>
      </c>
      <c r="V28" s="2">
        <v>0.13541666666666666</v>
      </c>
      <c r="W28">
        <v>292.5</v>
      </c>
      <c r="X28">
        <v>390</v>
      </c>
      <c r="Y28">
        <v>97.5</v>
      </c>
      <c r="Z28" t="s">
        <v>46</v>
      </c>
      <c r="AA28" t="s">
        <v>47</v>
      </c>
      <c r="AB28" t="s">
        <v>48</v>
      </c>
      <c r="AC28" t="s">
        <v>55</v>
      </c>
      <c r="AD28" t="s">
        <v>50</v>
      </c>
      <c r="AE28">
        <f t="shared" si="2"/>
        <v>2</v>
      </c>
      <c r="AF28" t="str">
        <f t="shared" si="1"/>
        <v>February</v>
      </c>
    </row>
    <row r="29" spans="1:32" x14ac:dyDescent="0.3">
      <c r="A29" s="1">
        <v>45351</v>
      </c>
      <c r="B29" t="s">
        <v>51</v>
      </c>
      <c r="C29" t="s">
        <v>52</v>
      </c>
      <c r="D29" t="s">
        <v>32</v>
      </c>
      <c r="E29" t="s">
        <v>53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54</v>
      </c>
      <c r="O29" t="s">
        <v>87</v>
      </c>
      <c r="P29">
        <v>217701</v>
      </c>
      <c r="Q29" t="s">
        <v>43</v>
      </c>
      <c r="R29" t="s">
        <v>44</v>
      </c>
      <c r="S29" t="s">
        <v>45</v>
      </c>
      <c r="T29">
        <v>90</v>
      </c>
      <c r="U29">
        <v>0.75</v>
      </c>
      <c r="V29" s="2">
        <v>3.125E-2</v>
      </c>
      <c r="W29">
        <v>67.5</v>
      </c>
      <c r="X29">
        <v>90</v>
      </c>
      <c r="Y29">
        <v>22.5</v>
      </c>
      <c r="Z29" t="s">
        <v>46</v>
      </c>
      <c r="AA29" t="s">
        <v>47</v>
      </c>
      <c r="AB29" t="s">
        <v>48</v>
      </c>
      <c r="AC29" t="s">
        <v>55</v>
      </c>
      <c r="AD29" t="s">
        <v>50</v>
      </c>
      <c r="AE29">
        <f t="shared" si="2"/>
        <v>2</v>
      </c>
      <c r="AF29" t="str">
        <f t="shared" si="1"/>
        <v>February</v>
      </c>
    </row>
    <row r="30" spans="1:32" x14ac:dyDescent="0.3">
      <c r="A30" s="1">
        <v>45352</v>
      </c>
      <c r="B30" t="s">
        <v>51</v>
      </c>
      <c r="C30" t="s">
        <v>52</v>
      </c>
      <c r="D30" t="s">
        <v>32</v>
      </c>
      <c r="E30" t="s">
        <v>53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54</v>
      </c>
      <c r="O30" t="s">
        <v>87</v>
      </c>
      <c r="P30">
        <v>219384</v>
      </c>
      <c r="Q30" t="s">
        <v>43</v>
      </c>
      <c r="R30" t="s">
        <v>44</v>
      </c>
      <c r="S30" t="s">
        <v>45</v>
      </c>
      <c r="T30">
        <v>90</v>
      </c>
      <c r="U30">
        <v>2.25</v>
      </c>
      <c r="V30" s="2">
        <v>9.375E-2</v>
      </c>
      <c r="W30">
        <v>202.5</v>
      </c>
      <c r="AA30" t="s">
        <v>47</v>
      </c>
      <c r="AC30" t="s">
        <v>55</v>
      </c>
      <c r="AD30" t="s">
        <v>50</v>
      </c>
      <c r="AE30">
        <f t="shared" si="2"/>
        <v>3</v>
      </c>
      <c r="AF30" t="str">
        <f t="shared" si="1"/>
        <v>March</v>
      </c>
    </row>
    <row r="31" spans="1:32" x14ac:dyDescent="0.3">
      <c r="A31" s="1">
        <v>45355</v>
      </c>
      <c r="B31" t="s">
        <v>51</v>
      </c>
      <c r="C31" t="s">
        <v>52</v>
      </c>
      <c r="D31" t="s">
        <v>32</v>
      </c>
      <c r="E31" t="s">
        <v>53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54</v>
      </c>
      <c r="O31" t="s">
        <v>87</v>
      </c>
      <c r="P31">
        <v>219370</v>
      </c>
      <c r="Q31" t="s">
        <v>43</v>
      </c>
      <c r="R31" t="s">
        <v>44</v>
      </c>
      <c r="S31" t="s">
        <v>45</v>
      </c>
      <c r="T31">
        <v>90</v>
      </c>
      <c r="U31">
        <v>5.25</v>
      </c>
      <c r="V31" s="2">
        <v>0.21875</v>
      </c>
      <c r="W31">
        <v>472.5</v>
      </c>
      <c r="AA31" t="s">
        <v>47</v>
      </c>
      <c r="AC31" t="s">
        <v>55</v>
      </c>
      <c r="AD31" t="s">
        <v>50</v>
      </c>
      <c r="AE31">
        <f t="shared" si="2"/>
        <v>3</v>
      </c>
      <c r="AF31" t="str">
        <f t="shared" si="1"/>
        <v>March</v>
      </c>
    </row>
    <row r="32" spans="1:32" x14ac:dyDescent="0.3">
      <c r="A32" s="1">
        <v>45356</v>
      </c>
      <c r="B32" t="s">
        <v>51</v>
      </c>
      <c r="C32" t="s">
        <v>52</v>
      </c>
      <c r="D32" t="s">
        <v>32</v>
      </c>
      <c r="E32" t="s">
        <v>53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54</v>
      </c>
      <c r="O32" t="s">
        <v>87</v>
      </c>
      <c r="P32">
        <v>219880</v>
      </c>
      <c r="Q32" t="s">
        <v>43</v>
      </c>
      <c r="R32" t="s">
        <v>44</v>
      </c>
      <c r="S32" t="s">
        <v>45</v>
      </c>
      <c r="T32">
        <v>90</v>
      </c>
      <c r="U32">
        <v>4.75</v>
      </c>
      <c r="V32" s="2">
        <v>0.19791666666666666</v>
      </c>
      <c r="W32">
        <v>427.5</v>
      </c>
      <c r="AA32" t="s">
        <v>47</v>
      </c>
      <c r="AC32" t="s">
        <v>55</v>
      </c>
      <c r="AD32" t="s">
        <v>50</v>
      </c>
      <c r="AE32">
        <f t="shared" si="2"/>
        <v>3</v>
      </c>
      <c r="AF32" t="str">
        <f t="shared" si="1"/>
        <v>March</v>
      </c>
    </row>
    <row r="33" spans="1:32" x14ac:dyDescent="0.3">
      <c r="A33" s="1">
        <v>45357</v>
      </c>
      <c r="B33" t="s">
        <v>51</v>
      </c>
      <c r="C33" t="s">
        <v>52</v>
      </c>
      <c r="D33" t="s">
        <v>32</v>
      </c>
      <c r="E33" t="s">
        <v>53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54</v>
      </c>
      <c r="O33" t="s">
        <v>87</v>
      </c>
      <c r="P33">
        <v>220833</v>
      </c>
      <c r="Q33" t="s">
        <v>43</v>
      </c>
      <c r="R33" t="s">
        <v>44</v>
      </c>
      <c r="S33" t="s">
        <v>45</v>
      </c>
      <c r="T33">
        <v>90</v>
      </c>
      <c r="U33">
        <v>2.75</v>
      </c>
      <c r="V33" s="2">
        <v>0.11458333333333333</v>
      </c>
      <c r="W33">
        <v>247.5</v>
      </c>
      <c r="AA33" t="s">
        <v>47</v>
      </c>
      <c r="AC33" t="s">
        <v>55</v>
      </c>
      <c r="AD33" t="s">
        <v>50</v>
      </c>
      <c r="AE33">
        <f t="shared" si="2"/>
        <v>3</v>
      </c>
      <c r="AF33" t="str">
        <f t="shared" si="1"/>
        <v>March</v>
      </c>
    </row>
    <row r="34" spans="1:32" x14ac:dyDescent="0.3">
      <c r="A34" s="1">
        <v>45358</v>
      </c>
      <c r="B34" t="s">
        <v>51</v>
      </c>
      <c r="C34" t="s">
        <v>52</v>
      </c>
      <c r="D34" t="s">
        <v>32</v>
      </c>
      <c r="E34" t="s">
        <v>53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54</v>
      </c>
      <c r="O34" t="s">
        <v>87</v>
      </c>
      <c r="P34">
        <v>221107</v>
      </c>
      <c r="Q34" t="s">
        <v>43</v>
      </c>
      <c r="R34" t="s">
        <v>44</v>
      </c>
      <c r="S34" t="s">
        <v>45</v>
      </c>
      <c r="T34">
        <v>90</v>
      </c>
      <c r="U34">
        <v>1</v>
      </c>
      <c r="V34" s="2">
        <v>4.1666666666666664E-2</v>
      </c>
      <c r="W34">
        <v>90</v>
      </c>
      <c r="AA34" t="s">
        <v>47</v>
      </c>
      <c r="AC34" t="s">
        <v>55</v>
      </c>
      <c r="AD34" t="s">
        <v>50</v>
      </c>
      <c r="AE34">
        <f t="shared" si="2"/>
        <v>3</v>
      </c>
      <c r="AF34" t="str">
        <f t="shared" si="1"/>
        <v>March</v>
      </c>
    </row>
    <row r="35" spans="1:32" x14ac:dyDescent="0.3">
      <c r="A35" s="1">
        <v>45359</v>
      </c>
      <c r="B35" t="s">
        <v>51</v>
      </c>
      <c r="C35" t="s">
        <v>52</v>
      </c>
      <c r="D35" t="s">
        <v>32</v>
      </c>
      <c r="E35" t="s">
        <v>53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54</v>
      </c>
      <c r="O35" t="s">
        <v>87</v>
      </c>
      <c r="P35">
        <v>221735</v>
      </c>
      <c r="Q35" t="s">
        <v>43</v>
      </c>
      <c r="R35" t="s">
        <v>44</v>
      </c>
      <c r="S35" t="s">
        <v>45</v>
      </c>
      <c r="T35">
        <v>90</v>
      </c>
      <c r="U35">
        <v>0.5</v>
      </c>
      <c r="V35" s="2">
        <v>2.0833333333333332E-2</v>
      </c>
      <c r="W35">
        <v>45</v>
      </c>
      <c r="AA35" t="s">
        <v>47</v>
      </c>
      <c r="AC35" t="s">
        <v>55</v>
      </c>
      <c r="AD35" t="s">
        <v>50</v>
      </c>
      <c r="AE35">
        <f t="shared" si="2"/>
        <v>3</v>
      </c>
      <c r="AF35" t="str">
        <f t="shared" si="1"/>
        <v>March</v>
      </c>
    </row>
    <row r="36" spans="1:32" x14ac:dyDescent="0.3">
      <c r="A36" s="1">
        <v>45355</v>
      </c>
      <c r="B36" t="s">
        <v>79</v>
      </c>
      <c r="C36" t="s">
        <v>31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41</v>
      </c>
      <c r="O36" t="s">
        <v>87</v>
      </c>
      <c r="P36">
        <v>221465</v>
      </c>
      <c r="Q36" t="s">
        <v>43</v>
      </c>
      <c r="R36" t="s">
        <v>44</v>
      </c>
      <c r="S36" t="s">
        <v>45</v>
      </c>
      <c r="T36">
        <v>90</v>
      </c>
      <c r="U36">
        <v>8.5</v>
      </c>
      <c r="V36" s="2">
        <v>0.35416666666666669</v>
      </c>
      <c r="W36">
        <v>765</v>
      </c>
      <c r="AA36" t="s">
        <v>47</v>
      </c>
      <c r="AC36" t="e">
        <f>-- Grainger Website Integration Standup -- Code walkthrough of existing LWC component -- Org setup</f>
        <v>#NAME?</v>
      </c>
      <c r="AD36" t="s">
        <v>50</v>
      </c>
      <c r="AE36">
        <f t="shared" si="2"/>
        <v>3</v>
      </c>
      <c r="AF36" t="str">
        <f t="shared" si="1"/>
        <v>March</v>
      </c>
    </row>
    <row r="37" spans="1:32" x14ac:dyDescent="0.3">
      <c r="A37" s="1">
        <v>45356</v>
      </c>
      <c r="B37" t="s">
        <v>79</v>
      </c>
      <c r="C37" t="s">
        <v>31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41</v>
      </c>
      <c r="O37" t="s">
        <v>87</v>
      </c>
      <c r="P37">
        <v>221467</v>
      </c>
      <c r="Q37" t="s">
        <v>43</v>
      </c>
      <c r="R37" t="s">
        <v>44</v>
      </c>
      <c r="S37" t="s">
        <v>45</v>
      </c>
      <c r="T37">
        <v>90</v>
      </c>
      <c r="U37">
        <v>8.5</v>
      </c>
      <c r="V37" s="2">
        <v>0.35416666666666669</v>
      </c>
      <c r="W37">
        <v>765</v>
      </c>
      <c r="AA37" t="s">
        <v>47</v>
      </c>
      <c r="AC37" t="s">
        <v>80</v>
      </c>
      <c r="AD37" t="s">
        <v>50</v>
      </c>
      <c r="AE37">
        <f t="shared" si="2"/>
        <v>3</v>
      </c>
      <c r="AF37" t="str">
        <f t="shared" si="1"/>
        <v>March</v>
      </c>
    </row>
    <row r="38" spans="1:32" x14ac:dyDescent="0.3">
      <c r="A38" s="1">
        <v>45357</v>
      </c>
      <c r="B38" t="s">
        <v>79</v>
      </c>
      <c r="C38" t="s">
        <v>31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41</v>
      </c>
      <c r="O38" t="s">
        <v>87</v>
      </c>
      <c r="P38">
        <v>221468</v>
      </c>
      <c r="Q38" t="s">
        <v>43</v>
      </c>
      <c r="R38" t="s">
        <v>44</v>
      </c>
      <c r="S38" t="s">
        <v>45</v>
      </c>
      <c r="T38">
        <v>90</v>
      </c>
      <c r="U38">
        <v>8.5</v>
      </c>
      <c r="V38" s="2">
        <v>0.35416666666666669</v>
      </c>
      <c r="W38">
        <v>765</v>
      </c>
      <c r="AA38" t="s">
        <v>47</v>
      </c>
      <c r="AC38" t="s">
        <v>81</v>
      </c>
      <c r="AD38" t="s">
        <v>50</v>
      </c>
      <c r="AE38">
        <f t="shared" si="2"/>
        <v>3</v>
      </c>
      <c r="AF38" t="str">
        <f t="shared" si="1"/>
        <v>March</v>
      </c>
    </row>
    <row r="39" spans="1:32" x14ac:dyDescent="0.3">
      <c r="A39" s="1">
        <v>45358</v>
      </c>
      <c r="B39" t="s">
        <v>79</v>
      </c>
      <c r="C39" t="s">
        <v>31</v>
      </c>
      <c r="D39" t="s">
        <v>32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41</v>
      </c>
      <c r="O39" t="s">
        <v>87</v>
      </c>
      <c r="P39">
        <v>221469</v>
      </c>
      <c r="Q39" t="s">
        <v>43</v>
      </c>
      <c r="R39" t="s">
        <v>44</v>
      </c>
      <c r="S39" t="s">
        <v>45</v>
      </c>
      <c r="T39">
        <v>90</v>
      </c>
      <c r="U39">
        <v>8.5</v>
      </c>
      <c r="V39" s="2">
        <v>0.35416666666666669</v>
      </c>
      <c r="W39">
        <v>765</v>
      </c>
      <c r="AA39" t="s">
        <v>47</v>
      </c>
      <c r="AC39" t="s">
        <v>82</v>
      </c>
      <c r="AD39" t="s">
        <v>50</v>
      </c>
      <c r="AE39">
        <f t="shared" si="2"/>
        <v>3</v>
      </c>
      <c r="AF39" t="str">
        <f t="shared" si="1"/>
        <v>March</v>
      </c>
    </row>
    <row r="40" spans="1:32" x14ac:dyDescent="0.3">
      <c r="A40" s="1">
        <v>45359</v>
      </c>
      <c r="B40" t="s">
        <v>79</v>
      </c>
      <c r="C40" t="s">
        <v>31</v>
      </c>
      <c r="D40" t="s">
        <v>32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41</v>
      </c>
      <c r="O40" t="s">
        <v>87</v>
      </c>
      <c r="P40">
        <v>221473</v>
      </c>
      <c r="Q40" t="s">
        <v>43</v>
      </c>
      <c r="R40" t="s">
        <v>44</v>
      </c>
      <c r="S40" t="s">
        <v>45</v>
      </c>
      <c r="T40">
        <v>90</v>
      </c>
      <c r="U40">
        <v>8.5</v>
      </c>
      <c r="V40" s="2">
        <v>0.35416666666666669</v>
      </c>
      <c r="W40">
        <v>765</v>
      </c>
      <c r="AA40" t="s">
        <v>47</v>
      </c>
      <c r="AC40" t="s">
        <v>83</v>
      </c>
      <c r="AD40" t="s">
        <v>50</v>
      </c>
      <c r="AE40">
        <f t="shared" si="2"/>
        <v>3</v>
      </c>
      <c r="AF40" t="str">
        <f t="shared" si="1"/>
        <v>March</v>
      </c>
    </row>
    <row r="41" spans="1:32" x14ac:dyDescent="0.3">
      <c r="A41" s="1">
        <v>45324</v>
      </c>
      <c r="B41" t="s">
        <v>41</v>
      </c>
      <c r="C41" t="s">
        <v>52</v>
      </c>
      <c r="D41" t="s">
        <v>32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55</v>
      </c>
      <c r="O41" t="s">
        <v>87</v>
      </c>
      <c r="P41">
        <v>215409</v>
      </c>
      <c r="Q41" t="s">
        <v>43</v>
      </c>
      <c r="R41" t="s">
        <v>44</v>
      </c>
      <c r="S41" t="s">
        <v>45</v>
      </c>
      <c r="T41">
        <v>90</v>
      </c>
      <c r="U41">
        <v>1</v>
      </c>
      <c r="V41" s="2">
        <v>4.1666666666666664E-2</v>
      </c>
      <c r="W41">
        <v>90</v>
      </c>
      <c r="X41">
        <v>120</v>
      </c>
      <c r="Y41">
        <v>30</v>
      </c>
      <c r="Z41" t="s">
        <v>46</v>
      </c>
      <c r="AA41" t="s">
        <v>47</v>
      </c>
      <c r="AB41" t="s">
        <v>48</v>
      </c>
      <c r="AC41" t="s">
        <v>56</v>
      </c>
      <c r="AD41" t="s">
        <v>50</v>
      </c>
      <c r="AE41">
        <f t="shared" si="2"/>
        <v>2</v>
      </c>
      <c r="AF41" t="str">
        <f t="shared" si="1"/>
        <v>February</v>
      </c>
    </row>
    <row r="42" spans="1:32" x14ac:dyDescent="0.3">
      <c r="A42" s="1">
        <v>45337</v>
      </c>
      <c r="B42" t="s">
        <v>41</v>
      </c>
      <c r="C42" t="s">
        <v>52</v>
      </c>
      <c r="D42" t="s">
        <v>32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55</v>
      </c>
      <c r="O42" t="s">
        <v>87</v>
      </c>
      <c r="P42">
        <v>215527</v>
      </c>
      <c r="Q42" t="s">
        <v>43</v>
      </c>
      <c r="R42" t="s">
        <v>44</v>
      </c>
      <c r="S42" t="s">
        <v>45</v>
      </c>
      <c r="T42">
        <v>90</v>
      </c>
      <c r="U42">
        <v>1</v>
      </c>
      <c r="V42" s="2">
        <v>4.1666666666666664E-2</v>
      </c>
      <c r="W42">
        <v>90</v>
      </c>
      <c r="X42">
        <v>120</v>
      </c>
      <c r="Y42">
        <v>30</v>
      </c>
      <c r="Z42" t="s">
        <v>46</v>
      </c>
      <c r="AA42" t="s">
        <v>47</v>
      </c>
      <c r="AB42" t="s">
        <v>48</v>
      </c>
      <c r="AC42" t="s">
        <v>57</v>
      </c>
      <c r="AD42" t="s">
        <v>50</v>
      </c>
      <c r="AE42">
        <f t="shared" si="2"/>
        <v>2</v>
      </c>
      <c r="AF42" t="str">
        <f t="shared" si="1"/>
        <v>February</v>
      </c>
    </row>
    <row r="43" spans="1:32" x14ac:dyDescent="0.3">
      <c r="A43" s="1">
        <v>45342</v>
      </c>
      <c r="B43" t="s">
        <v>41</v>
      </c>
      <c r="C43" t="s">
        <v>52</v>
      </c>
      <c r="D43" t="s">
        <v>32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55</v>
      </c>
      <c r="O43" t="s">
        <v>87</v>
      </c>
      <c r="P43">
        <v>215530</v>
      </c>
      <c r="Q43" t="s">
        <v>43</v>
      </c>
      <c r="R43" t="s">
        <v>44</v>
      </c>
      <c r="S43" t="s">
        <v>45</v>
      </c>
      <c r="T43">
        <v>90</v>
      </c>
      <c r="U43">
        <v>1</v>
      </c>
      <c r="V43" s="2">
        <v>4.1666666666666664E-2</v>
      </c>
      <c r="W43">
        <v>90</v>
      </c>
      <c r="X43">
        <v>120</v>
      </c>
      <c r="Y43">
        <v>30</v>
      </c>
      <c r="Z43" t="s">
        <v>46</v>
      </c>
      <c r="AA43" t="s">
        <v>47</v>
      </c>
      <c r="AB43" t="s">
        <v>48</v>
      </c>
      <c r="AC43" t="s">
        <v>58</v>
      </c>
      <c r="AD43" t="s">
        <v>50</v>
      </c>
      <c r="AE43">
        <f t="shared" si="2"/>
        <v>2</v>
      </c>
      <c r="AF43" t="str">
        <f t="shared" si="1"/>
        <v>February</v>
      </c>
    </row>
    <row r="44" spans="1:32" x14ac:dyDescent="0.3">
      <c r="A44" s="1">
        <v>45355</v>
      </c>
      <c r="B44" t="s">
        <v>41</v>
      </c>
      <c r="C44" t="s">
        <v>52</v>
      </c>
      <c r="D44" t="s">
        <v>32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55</v>
      </c>
      <c r="O44" t="s">
        <v>87</v>
      </c>
      <c r="P44">
        <v>222207</v>
      </c>
      <c r="Q44" t="s">
        <v>43</v>
      </c>
      <c r="R44" t="s">
        <v>44</v>
      </c>
      <c r="S44" t="s">
        <v>45</v>
      </c>
      <c r="T44">
        <v>90</v>
      </c>
      <c r="U44">
        <v>2</v>
      </c>
      <c r="V44" s="2">
        <v>8.3333333333333329E-2</v>
      </c>
      <c r="W44">
        <v>180</v>
      </c>
      <c r="AA44" t="s">
        <v>47</v>
      </c>
      <c r="AC44" t="s">
        <v>90</v>
      </c>
      <c r="AD44" t="s">
        <v>50</v>
      </c>
      <c r="AE44">
        <f t="shared" si="2"/>
        <v>3</v>
      </c>
      <c r="AF44" t="str">
        <f t="shared" si="1"/>
        <v>March</v>
      </c>
    </row>
    <row r="45" spans="1:32" x14ac:dyDescent="0.3">
      <c r="A45" s="1">
        <v>45356</v>
      </c>
      <c r="B45" t="s">
        <v>41</v>
      </c>
      <c r="C45" t="s">
        <v>52</v>
      </c>
      <c r="D45" t="s">
        <v>32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55</v>
      </c>
      <c r="O45" t="s">
        <v>87</v>
      </c>
      <c r="P45">
        <v>222221</v>
      </c>
      <c r="Q45" t="s">
        <v>43</v>
      </c>
      <c r="R45" t="s">
        <v>44</v>
      </c>
      <c r="S45" t="s">
        <v>45</v>
      </c>
      <c r="T45">
        <v>90</v>
      </c>
      <c r="U45">
        <v>1.25</v>
      </c>
      <c r="V45" s="2">
        <v>5.2083333333333336E-2</v>
      </c>
      <c r="W45">
        <v>112.5</v>
      </c>
      <c r="AA45" t="s">
        <v>47</v>
      </c>
      <c r="AC45" t="s">
        <v>91</v>
      </c>
      <c r="AD45" t="s">
        <v>50</v>
      </c>
      <c r="AE45">
        <f t="shared" si="2"/>
        <v>3</v>
      </c>
      <c r="AF45" t="str">
        <f t="shared" si="1"/>
        <v>March</v>
      </c>
    </row>
    <row r="46" spans="1:32" x14ac:dyDescent="0.3">
      <c r="A46" s="1">
        <v>45357</v>
      </c>
      <c r="B46" t="s">
        <v>41</v>
      </c>
      <c r="C46" t="s">
        <v>52</v>
      </c>
      <c r="D46" t="s">
        <v>32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55</v>
      </c>
      <c r="O46" t="s">
        <v>87</v>
      </c>
      <c r="P46">
        <v>222223</v>
      </c>
      <c r="Q46" t="s">
        <v>43</v>
      </c>
      <c r="R46" t="s">
        <v>44</v>
      </c>
      <c r="S46" t="s">
        <v>45</v>
      </c>
      <c r="T46">
        <v>90</v>
      </c>
      <c r="U46">
        <v>1</v>
      </c>
      <c r="V46" s="2">
        <v>4.1666666666666664E-2</v>
      </c>
      <c r="W46">
        <v>90</v>
      </c>
      <c r="AA46" t="s">
        <v>47</v>
      </c>
      <c r="AC46" t="s">
        <v>92</v>
      </c>
      <c r="AD46" t="s">
        <v>50</v>
      </c>
      <c r="AE46">
        <f t="shared" si="2"/>
        <v>3</v>
      </c>
      <c r="AF46" t="str">
        <f t="shared" si="1"/>
        <v>March</v>
      </c>
    </row>
    <row r="47" spans="1:32" x14ac:dyDescent="0.3">
      <c r="A47" s="1">
        <v>45358</v>
      </c>
      <c r="B47" t="s">
        <v>41</v>
      </c>
      <c r="C47" t="s">
        <v>52</v>
      </c>
      <c r="D47" t="s">
        <v>32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55</v>
      </c>
      <c r="O47" t="s">
        <v>87</v>
      </c>
      <c r="P47">
        <v>222224</v>
      </c>
      <c r="Q47" t="s">
        <v>43</v>
      </c>
      <c r="R47" t="s">
        <v>44</v>
      </c>
      <c r="S47" t="s">
        <v>45</v>
      </c>
      <c r="T47">
        <v>90</v>
      </c>
      <c r="U47">
        <v>0.25</v>
      </c>
      <c r="V47" s="2">
        <v>1.0416666666666666E-2</v>
      </c>
      <c r="W47">
        <v>22.5</v>
      </c>
      <c r="AA47" t="s">
        <v>47</v>
      </c>
      <c r="AC47" t="s">
        <v>93</v>
      </c>
      <c r="AD47" t="s">
        <v>50</v>
      </c>
      <c r="AE47">
        <f t="shared" si="2"/>
        <v>3</v>
      </c>
      <c r="AF47" t="str">
        <f t="shared" si="1"/>
        <v>March</v>
      </c>
    </row>
    <row r="48" spans="1:32" x14ac:dyDescent="0.3">
      <c r="A48" s="1">
        <v>45359</v>
      </c>
      <c r="B48" t="s">
        <v>41</v>
      </c>
      <c r="C48" t="s">
        <v>52</v>
      </c>
      <c r="D48" t="s">
        <v>32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55</v>
      </c>
      <c r="O48" t="s">
        <v>87</v>
      </c>
      <c r="P48">
        <v>222225</v>
      </c>
      <c r="Q48" t="s">
        <v>43</v>
      </c>
      <c r="R48" t="s">
        <v>44</v>
      </c>
      <c r="S48" t="s">
        <v>45</v>
      </c>
      <c r="T48">
        <v>90</v>
      </c>
      <c r="U48">
        <v>0.75</v>
      </c>
      <c r="V48" s="2">
        <v>3.125E-2</v>
      </c>
      <c r="W48">
        <v>67.5</v>
      </c>
      <c r="AA48" t="s">
        <v>47</v>
      </c>
      <c r="AC48" t="s">
        <v>94</v>
      </c>
      <c r="AD48" t="s">
        <v>50</v>
      </c>
      <c r="AE48">
        <f t="shared" si="2"/>
        <v>3</v>
      </c>
      <c r="AF48" t="str">
        <f t="shared" si="1"/>
        <v>March</v>
      </c>
    </row>
    <row r="49" spans="1:32" x14ac:dyDescent="0.3">
      <c r="A49" s="1">
        <v>45335</v>
      </c>
      <c r="B49" t="s">
        <v>39</v>
      </c>
      <c r="C49" t="s">
        <v>52</v>
      </c>
      <c r="D49" t="s">
        <v>32</v>
      </c>
      <c r="E49" t="s">
        <v>53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55</v>
      </c>
      <c r="O49" t="s">
        <v>87</v>
      </c>
      <c r="P49">
        <v>211400</v>
      </c>
      <c r="Q49" t="s">
        <v>43</v>
      </c>
      <c r="R49" t="s">
        <v>44</v>
      </c>
      <c r="S49" t="s">
        <v>45</v>
      </c>
      <c r="T49">
        <v>90</v>
      </c>
      <c r="U49">
        <v>0.25</v>
      </c>
      <c r="V49" s="2">
        <v>1.0416666666666666E-2</v>
      </c>
      <c r="W49">
        <v>22.5</v>
      </c>
      <c r="X49">
        <v>30</v>
      </c>
      <c r="Y49">
        <v>7.5</v>
      </c>
      <c r="Z49" t="s">
        <v>46</v>
      </c>
      <c r="AA49" t="s">
        <v>47</v>
      </c>
      <c r="AB49" t="s">
        <v>48</v>
      </c>
      <c r="AC49" t="s">
        <v>55</v>
      </c>
      <c r="AD49" t="s">
        <v>50</v>
      </c>
      <c r="AE49">
        <f t="shared" si="2"/>
        <v>2</v>
      </c>
      <c r="AF49" t="str">
        <f t="shared" si="1"/>
        <v>February</v>
      </c>
    </row>
    <row r="50" spans="1:32" x14ac:dyDescent="0.3">
      <c r="A50" s="1">
        <v>45348</v>
      </c>
      <c r="B50" t="s">
        <v>39</v>
      </c>
      <c r="C50" t="s">
        <v>52</v>
      </c>
      <c r="D50" t="s">
        <v>32</v>
      </c>
      <c r="E50" t="s">
        <v>53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55</v>
      </c>
      <c r="O50" t="s">
        <v>87</v>
      </c>
      <c r="P50">
        <v>216824</v>
      </c>
      <c r="Q50" t="s">
        <v>43</v>
      </c>
      <c r="R50" t="s">
        <v>44</v>
      </c>
      <c r="S50" t="s">
        <v>45</v>
      </c>
      <c r="T50">
        <v>90</v>
      </c>
      <c r="U50">
        <v>0.25</v>
      </c>
      <c r="V50" s="2">
        <v>1.0416666666666666E-2</v>
      </c>
      <c r="W50">
        <v>22.5</v>
      </c>
      <c r="X50">
        <v>30</v>
      </c>
      <c r="Y50">
        <v>7.5</v>
      </c>
      <c r="Z50" t="s">
        <v>46</v>
      </c>
      <c r="AA50" t="s">
        <v>47</v>
      </c>
      <c r="AB50" t="s">
        <v>48</v>
      </c>
      <c r="AC50" t="s">
        <v>55</v>
      </c>
      <c r="AD50" t="s">
        <v>50</v>
      </c>
      <c r="AE50">
        <f t="shared" ref="AE50:AE54" si="3">MONTH(A50)</f>
        <v>2</v>
      </c>
      <c r="AF50" t="str">
        <f t="shared" ref="AF50:AF54" si="4">IF(AE50=1,"January",IF(AE50=2,"February",IF(AE50=3,"March",IF(AE50=4,"April",IF(AE50=5,"May")))))</f>
        <v>February</v>
      </c>
    </row>
    <row r="51" spans="1:32" x14ac:dyDescent="0.3">
      <c r="A51" s="1">
        <v>45349</v>
      </c>
      <c r="B51" t="s">
        <v>39</v>
      </c>
      <c r="C51" t="s">
        <v>52</v>
      </c>
      <c r="D51" t="s">
        <v>32</v>
      </c>
      <c r="E51" t="s">
        <v>53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55</v>
      </c>
      <c r="O51" t="s">
        <v>87</v>
      </c>
      <c r="P51">
        <v>217543</v>
      </c>
      <c r="Q51" t="s">
        <v>43</v>
      </c>
      <c r="R51" t="s">
        <v>44</v>
      </c>
      <c r="S51" t="s">
        <v>45</v>
      </c>
      <c r="T51">
        <v>90</v>
      </c>
      <c r="U51">
        <v>0.25</v>
      </c>
      <c r="V51" s="2">
        <v>1.0416666666666666E-2</v>
      </c>
      <c r="W51">
        <v>22.5</v>
      </c>
      <c r="X51">
        <v>30</v>
      </c>
      <c r="Y51">
        <v>7.5</v>
      </c>
      <c r="Z51" t="s">
        <v>46</v>
      </c>
      <c r="AA51" t="s">
        <v>47</v>
      </c>
      <c r="AB51" t="s">
        <v>48</v>
      </c>
      <c r="AC51" t="s">
        <v>55</v>
      </c>
      <c r="AD51" t="s">
        <v>50</v>
      </c>
      <c r="AE51">
        <f t="shared" si="3"/>
        <v>2</v>
      </c>
      <c r="AF51" t="str">
        <f t="shared" si="4"/>
        <v>February</v>
      </c>
    </row>
    <row r="52" spans="1:32" x14ac:dyDescent="0.3">
      <c r="A52" s="1">
        <v>45357</v>
      </c>
      <c r="B52" t="s">
        <v>39</v>
      </c>
      <c r="C52" t="s">
        <v>52</v>
      </c>
      <c r="D52" t="s">
        <v>32</v>
      </c>
      <c r="E52" t="s">
        <v>53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55</v>
      </c>
      <c r="O52" t="s">
        <v>87</v>
      </c>
      <c r="P52">
        <v>220641</v>
      </c>
      <c r="Q52" t="s">
        <v>43</v>
      </c>
      <c r="R52" t="s">
        <v>44</v>
      </c>
      <c r="S52" t="s">
        <v>45</v>
      </c>
      <c r="T52">
        <v>90</v>
      </c>
      <c r="U52">
        <v>0.5</v>
      </c>
      <c r="V52" s="2">
        <v>2.0833333333333332E-2</v>
      </c>
      <c r="W52">
        <v>45</v>
      </c>
      <c r="AA52" t="s">
        <v>47</v>
      </c>
      <c r="AB52" t="s">
        <v>48</v>
      </c>
      <c r="AC52" t="s">
        <v>55</v>
      </c>
      <c r="AD52" t="s">
        <v>50</v>
      </c>
      <c r="AE52">
        <f t="shared" si="3"/>
        <v>3</v>
      </c>
      <c r="AF52" t="str">
        <f t="shared" si="4"/>
        <v>March</v>
      </c>
    </row>
    <row r="53" spans="1:32" x14ac:dyDescent="0.3">
      <c r="A53" s="1">
        <v>45358</v>
      </c>
      <c r="B53" t="s">
        <v>39</v>
      </c>
      <c r="C53" t="s">
        <v>52</v>
      </c>
      <c r="D53" t="s">
        <v>32</v>
      </c>
      <c r="E53" t="s">
        <v>53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55</v>
      </c>
      <c r="O53" t="s">
        <v>87</v>
      </c>
      <c r="P53">
        <v>221392</v>
      </c>
      <c r="Q53" t="s">
        <v>43</v>
      </c>
      <c r="R53" t="s">
        <v>44</v>
      </c>
      <c r="S53" t="s">
        <v>45</v>
      </c>
      <c r="T53">
        <v>90</v>
      </c>
      <c r="U53">
        <v>0.75</v>
      </c>
      <c r="V53" s="2">
        <v>3.125E-2</v>
      </c>
      <c r="W53">
        <v>67.5</v>
      </c>
      <c r="AA53" t="s">
        <v>47</v>
      </c>
      <c r="AB53" t="s">
        <v>48</v>
      </c>
      <c r="AC53" t="s">
        <v>55</v>
      </c>
      <c r="AD53" t="s">
        <v>50</v>
      </c>
      <c r="AE53">
        <f t="shared" si="3"/>
        <v>3</v>
      </c>
      <c r="AF53" t="str">
        <f t="shared" si="4"/>
        <v>March</v>
      </c>
    </row>
    <row r="54" spans="1:32" x14ac:dyDescent="0.3">
      <c r="A54" s="1">
        <v>45359</v>
      </c>
      <c r="B54" t="s">
        <v>39</v>
      </c>
      <c r="C54" t="s">
        <v>52</v>
      </c>
      <c r="D54" t="s">
        <v>32</v>
      </c>
      <c r="E54" t="s">
        <v>53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55</v>
      </c>
      <c r="O54" t="s">
        <v>87</v>
      </c>
      <c r="P54">
        <v>221855</v>
      </c>
      <c r="Q54" t="s">
        <v>43</v>
      </c>
      <c r="R54" t="s">
        <v>44</v>
      </c>
      <c r="S54" t="s">
        <v>45</v>
      </c>
      <c r="T54">
        <v>90</v>
      </c>
      <c r="U54">
        <v>0.25</v>
      </c>
      <c r="V54" s="2">
        <v>1.0416666666666666E-2</v>
      </c>
      <c r="W54">
        <v>22.5</v>
      </c>
      <c r="AA54" t="s">
        <v>47</v>
      </c>
      <c r="AB54" t="s">
        <v>48</v>
      </c>
      <c r="AC54" t="s">
        <v>55</v>
      </c>
      <c r="AD54" t="s">
        <v>50</v>
      </c>
      <c r="AE54">
        <f t="shared" si="3"/>
        <v>3</v>
      </c>
      <c r="AF54" t="str">
        <f t="shared" si="4"/>
        <v>March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84D36D97-AD71-48D9-9B49-70548ADDD49D}"/>
</file>

<file path=customXml/itemProps2.xml><?xml version="1.0" encoding="utf-8"?>
<ds:datastoreItem xmlns:ds="http://schemas.openxmlformats.org/officeDocument/2006/customXml" ds:itemID="{C93C48D7-68C7-434F-99F4-6E3C5BBFBF1B}"/>
</file>

<file path=customXml/itemProps3.xml><?xml version="1.0" encoding="utf-8"?>
<ds:datastoreItem xmlns:ds="http://schemas.openxmlformats.org/officeDocument/2006/customXml" ds:itemID="{5B0A916D-8851-4787-AEBC-6EDCE6A255F8}"/>
</file>

<file path=customXml/itemProps4.xml><?xml version="1.0" encoding="utf-8"?>
<ds:datastoreItem xmlns:ds="http://schemas.openxmlformats.org/officeDocument/2006/customXml" ds:itemID="{4C90FB46-D888-4309-97BE-99C9B023F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2024-03-11T12:42:55Z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