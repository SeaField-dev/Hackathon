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5" documentId="13_ncr:1_{BEB17BE3-AD1B-45FE-A196-4C9EE497E756}" xr6:coauthVersionLast="47" xr6:coauthVersionMax="47" xr10:uidLastSave="{EF6F4BE2-C8B8-4209-87B4-DB7C6B609783}"/>
  <bookViews>
    <workbookView xWindow="574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3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3" i="1" l="1"/>
  <c r="AF103" i="1" s="1"/>
  <c r="AE104" i="1"/>
  <c r="AF104" i="1" s="1"/>
  <c r="AE105" i="1"/>
  <c r="AF105" i="1"/>
  <c r="AC72" i="1"/>
  <c r="AC61" i="1"/>
  <c r="AE96" i="1"/>
  <c r="AF96" i="1"/>
  <c r="AE97" i="1"/>
  <c r="AF97" i="1" s="1"/>
  <c r="AE98" i="1"/>
  <c r="AF98" i="1"/>
  <c r="AE99" i="1"/>
  <c r="AF99" i="1"/>
  <c r="AE100" i="1"/>
  <c r="AF100" i="1" s="1"/>
  <c r="AE101" i="1"/>
  <c r="AF101" i="1"/>
  <c r="AE102" i="1"/>
  <c r="AF102" i="1"/>
  <c r="AE83" i="1"/>
  <c r="AF83" i="1" s="1"/>
  <c r="AE84" i="1"/>
  <c r="AF84" i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81" i="1" l="1"/>
  <c r="AF81" i="1" s="1"/>
  <c r="AE82" i="1"/>
  <c r="AF82" i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50" i="1"/>
  <c r="AF50" i="1" s="1"/>
  <c r="AE51" i="1"/>
  <c r="AF51" i="1" s="1"/>
  <c r="AE52" i="1"/>
  <c r="AF52" i="1" s="1"/>
  <c r="AE53" i="1"/>
  <c r="AF53" i="1"/>
  <c r="AE54" i="1"/>
  <c r="AF54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H10" i="2"/>
  <c r="G10" i="2"/>
  <c r="J10" i="2"/>
  <c r="I10" i="2"/>
</calcChain>
</file>

<file path=xl/sharedStrings.xml><?xml version="1.0" encoding="utf-8"?>
<sst xmlns="http://schemas.openxmlformats.org/spreadsheetml/2006/main" count="2389" uniqueCount="152">
  <si>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</si>
  <si>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</si>
  <si>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</si>
  <si>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</si>
  <si>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</si>
  <si>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</si>
  <si>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</si>
  <si>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</si>
  <si>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</si>
  <si>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</si>
  <si>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</si>
  <si>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</si>
  <si>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</si>
  <si>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</si>
  <si>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</si>
  <si>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</si>
  <si>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</si>
  <si>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</si>
  <si>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</si>
  <si>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</si>
  <si>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</si>
  <si>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</si>
  <si>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</si>
  <si>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</si>
  <si>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</si>
  <si>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</si>
  <si>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</si>
  <si>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</si>
  <si>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</si>
  <si>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</si>
  <si>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</si>
  <si>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</si>
  <si>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</si>
  <si>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</si>
  <si>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</si>
  <si>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</si>
  <si>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</si>
  <si>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</si>
  <si>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</si>
  <si>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</si>
  <si>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</si>
  <si>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</si>
  <si>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</si>
  <si>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</si>
  <si>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</si>
  <si>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</si>
  <si>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</si>
  <si>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</si>
  <si>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</si>
  <si>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</si>
  <si>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</si>
  <si>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</si>
  <si>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</si>
  <si>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</si>
  <si>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</si>
  <si>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</si>
  <si>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</si>
  <si>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</si>
  <si>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</si>
  <si>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</si>
  <si>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</si>
  <si>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</si>
  <si>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</si>
  <si>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</si>
  <si>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</si>
  <si>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</si>
  <si>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</si>
  <si>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</si>
  <si>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</si>
  <si>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</si>
  <si>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</si>
  <si>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</si>
  <si>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</si>
  <si>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</si>
  <si>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</si>
  <si>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</si>
  <si>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</si>
  <si>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</si>
  <si>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</si>
  <si>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</si>
  <si>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</si>
  <si>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</si>
  <si>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</si>
  <si>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</si>
  <si>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</si>
  <si>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</si>
  <si>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</si>
  <si>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</si>
  <si>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</si>
  <si>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</si>
  <si>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</si>
  <si>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</si>
  <si>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</si>
  <si>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</si>
  <si>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</si>
  <si>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</si>
  <si>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</si>
  <si>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</si>
  <si>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</si>
  <si>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</si>
  <si>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</si>
  <si>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</si>
  <si>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</si>
  <si>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</si>
  <si>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</si>
  <si>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</si>
  <si>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-- Grainger Website Integration Standup -- Working on SAWI 20 6</t>
  </si>
  <si>
    <t>Daily standup (15 mins) Code API demo (30 mins)</t>
  </si>
  <si>
    <t>Demo to Grainger &amp; Code</t>
  </si>
  <si>
    <t>SOW</t>
  </si>
  <si>
    <t>Actuals/Forecast</t>
  </si>
  <si>
    <t>Notes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</si>
  <si>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</si>
  <si>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</si>
  <si>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</si>
  <si>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</si>
  <si>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</si>
  <si>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</si>
  <si>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</si>
  <si>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</si>
  <si>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</si>
  <si>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</si>
  <si>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</si>
  <si>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</si>
  <si>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</si>
  <si>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</si>
  <si>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</si>
  <si>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</si>
  <si>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</si>
  <si>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</si>
  <si>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</si>
  <si>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</si>
  <si>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</si>
  <si>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</si>
  <si>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</si>
  <si>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</si>
  <si>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</si>
  <si>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</si>
  <si>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</si>
  <si>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</si>
  <si>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</si>
  <si>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Remaining hours -&gt; 32 (UAT &amp; Prod)</t>
  </si>
  <si>
    <t>Target Hours - 353 at 22 March</t>
  </si>
  <si>
    <t>Delivery - UAT</t>
  </si>
  <si>
    <t>Deployment of SAWI-57 to staging testing. Deployment to uat. Daily standup</t>
  </si>
  <si>
    <t>deployment to uat related to reverting profile permissions in uat from staging env</t>
  </si>
  <si>
    <t>Daily standup</t>
  </si>
  <si>
    <t>Standup &amp; QA (59 57 &amp;60)</t>
  </si>
  <si>
    <t>Worked on SAWI-59 and deployed to Staging and UAT</t>
  </si>
  <si>
    <t>IN07958</t>
  </si>
  <si>
    <t>Matthew Cornfield</t>
  </si>
  <si>
    <t>SAWI-63 - UAT Feedback - Added additional user permissions in UAT (Grainger revoked OB sys admin permissions)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</si>
</sst>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0" xfId="0" applyNumberFormat="1"/>
    <xf numFmtId="15" fontId="0" fillId="0" borderId="0" xfId="0" applyNumberFormat="1" applyAlignment="1">
      <alignment horizontal="left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0.527185648149" createdVersion="8" refreshedVersion="8" minRefreshableVersion="3" recordCount="104" xr:uid="{654A98A0-5557-42F0-8A23-FD239DDA7236}">
  <cacheSource type="worksheet">
    <worksheetSource ref="A1:AF105" sheet="Project Timesheets"/>
  </cacheSource>
  <cacheFields count="32">
    <cacheField name="Date" numFmtId="15">
      <sharedItems containsSemiMixedTypes="0" containsNonDate="0" containsDate="1" containsString="0" minDate="2024-02-02T00:00:00" maxDate="2024-04-06T00:00:00" count="33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3-15T00:00:00"/>
        <d v="2024-03-25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2-13T00:00:00"/>
        <d v="2024-04-04T00:00:00"/>
        <d v="2024-04-0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31549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4"/>
    </cacheField>
    <cacheField name="Month" numFmtId="0">
      <sharedItems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8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m/>
    <m/>
    <m/>
    <s v="GBP"/>
    <m/>
    <s v="SAWI-63 - UAT Feedback - Added additional user permissions in UAT (Grainger revoked OB sys admin permissions)"/>
    <s v="Not submitted"/>
    <n v="4"/>
    <x v="2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1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2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2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40823-6574-4C92-A19A-0D4E680B839D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1" firstDataRow="2" firstDataCol="1" rowPageCount="1" colPageCount="1"/>
  <pivotFields count="32">
    <pivotField axis="axisRow" numFmtId="15" showAll="0">
      <items count="34">
        <item x="1"/>
        <item x="2"/>
        <item x="3"/>
        <item x="4"/>
        <item x="5"/>
        <item x="6"/>
        <item x="7"/>
        <item x="8"/>
        <item x="9"/>
        <item x="10"/>
        <item x="16"/>
        <item x="0"/>
        <item x="19"/>
        <item x="20"/>
        <item x="21"/>
        <item x="22"/>
        <item x="23"/>
        <item x="24"/>
        <item x="25"/>
        <item x="26"/>
        <item x="27"/>
        <item x="28"/>
        <item x="30"/>
        <item x="11"/>
        <item x="12"/>
        <item x="13"/>
        <item x="29"/>
        <item x="17"/>
        <item x="14"/>
        <item x="15"/>
        <item x="18"/>
        <item x="31"/>
        <item x="32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2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4">
      <x v="30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13.33203125" bestFit="1" customWidth="1"/>
    <col min="4" max="4" width="11" bestFit="1" customWidth="1"/>
    <col min="5" max="5" width="11" customWidth="1"/>
    <col min="6" max="6" width="19.109375" bestFit="1" customWidth="1"/>
    <col min="7" max="7" width="8.5546875" bestFit="1" customWidth="1"/>
    <col min="8" max="8" width="12.21875" bestFit="1" customWidth="1"/>
    <col min="9" max="9" width="24.5546875" bestFit="1" customWidth="1"/>
    <col min="10" max="10" width="15.44140625" bestFit="1" customWidth="1"/>
    <col min="11" max="11" width="41.5546875" bestFit="1" customWidth="1"/>
  </cols>
  <sheetData>
    <row r="1" spans="1:11" x14ac:dyDescent="0.3">
      <c r="A1" s="3" t="s">
        <v>79</v>
      </c>
      <c r="B1" t="s">
        <v>80</v>
      </c>
      <c r="F1" s="13" t="s">
        <v>67</v>
      </c>
    </row>
    <row r="3" spans="1:11" x14ac:dyDescent="0.3">
      <c r="A3" s="3" t="s">
        <v>57</v>
      </c>
      <c r="B3" s="3" t="s">
        <v>56</v>
      </c>
      <c r="F3" s="30" t="s">
        <v>58</v>
      </c>
      <c r="G3" s="30"/>
      <c r="H3" s="30"/>
      <c r="I3" s="30"/>
      <c r="J3" s="30"/>
    </row>
    <row r="4" spans="1:11" x14ac:dyDescent="0.3">
      <c r="A4" s="3" t="s">
        <v>54</v>
      </c>
      <c r="B4" t="s">
        <v>43</v>
      </c>
      <c r="C4" t="s">
        <v>143</v>
      </c>
      <c r="D4" t="s">
        <v>55</v>
      </c>
      <c r="F4" s="10" t="s">
        <v>59</v>
      </c>
      <c r="G4" s="30" t="s">
        <v>20</v>
      </c>
      <c r="H4" s="30"/>
      <c r="I4" s="10" t="s">
        <v>65</v>
      </c>
      <c r="J4" s="10" t="s">
        <v>66</v>
      </c>
    </row>
    <row r="5" spans="1:11" x14ac:dyDescent="0.3">
      <c r="A5" s="4" t="s">
        <v>35</v>
      </c>
      <c r="B5" s="34">
        <v>356</v>
      </c>
      <c r="C5" s="34">
        <v>8.5</v>
      </c>
      <c r="D5" s="34">
        <v>364.5</v>
      </c>
      <c r="F5" s="11" t="s">
        <v>42</v>
      </c>
      <c r="G5" s="11">
        <v>40</v>
      </c>
      <c r="H5" s="11">
        <v>52</v>
      </c>
      <c r="I5" s="12">
        <v>4800</v>
      </c>
      <c r="J5" s="12">
        <v>6240</v>
      </c>
    </row>
    <row r="6" spans="1:11" x14ac:dyDescent="0.3">
      <c r="A6" s="5" t="s">
        <v>37</v>
      </c>
      <c r="B6" s="34">
        <v>356</v>
      </c>
      <c r="C6" s="34">
        <v>8.5</v>
      </c>
      <c r="D6" s="34">
        <v>364.5</v>
      </c>
      <c r="F6" s="11" t="s">
        <v>60</v>
      </c>
      <c r="G6" s="11">
        <v>180</v>
      </c>
      <c r="H6" s="11">
        <v>234</v>
      </c>
      <c r="I6" s="12">
        <v>21600</v>
      </c>
      <c r="J6" s="12">
        <v>28080</v>
      </c>
    </row>
    <row r="7" spans="1:11" x14ac:dyDescent="0.3">
      <c r="A7" s="6" t="s">
        <v>81</v>
      </c>
      <c r="B7" s="34">
        <v>356</v>
      </c>
      <c r="C7" s="34">
        <v>8.5</v>
      </c>
      <c r="D7" s="34">
        <v>364.5</v>
      </c>
      <c r="F7" s="11" t="s">
        <v>61</v>
      </c>
      <c r="G7" s="11">
        <v>12</v>
      </c>
      <c r="H7" s="11">
        <v>15.6</v>
      </c>
      <c r="I7" s="12">
        <v>1440</v>
      </c>
      <c r="J7" s="12">
        <v>1872</v>
      </c>
    </row>
    <row r="8" spans="1:11" x14ac:dyDescent="0.3">
      <c r="A8" s="7" t="s">
        <v>30</v>
      </c>
      <c r="B8" s="34">
        <v>113</v>
      </c>
      <c r="C8" s="34">
        <v>5</v>
      </c>
      <c r="D8" s="34">
        <v>118</v>
      </c>
      <c r="F8" s="11" t="s">
        <v>62</v>
      </c>
      <c r="G8" s="11">
        <v>20</v>
      </c>
      <c r="H8" s="11">
        <v>26</v>
      </c>
      <c r="I8" s="12">
        <v>2400</v>
      </c>
      <c r="J8" s="12">
        <v>3120</v>
      </c>
    </row>
    <row r="9" spans="1:11" x14ac:dyDescent="0.3">
      <c r="A9" s="7" t="s">
        <v>49</v>
      </c>
      <c r="B9" s="34">
        <v>62.5</v>
      </c>
      <c r="C9" s="34"/>
      <c r="D9" s="34">
        <v>62.5</v>
      </c>
      <c r="F9" s="11" t="s">
        <v>63</v>
      </c>
      <c r="G9" s="11">
        <v>5</v>
      </c>
      <c r="H9" s="11">
        <v>6.5</v>
      </c>
      <c r="I9" s="12">
        <v>600</v>
      </c>
      <c r="J9" s="12">
        <v>780</v>
      </c>
    </row>
    <row r="10" spans="1:11" ht="15" thickBot="1" x14ac:dyDescent="0.35">
      <c r="A10" s="7" t="s">
        <v>41</v>
      </c>
      <c r="B10" s="34">
        <v>13.25</v>
      </c>
      <c r="C10" s="34"/>
      <c r="D10" s="34">
        <v>13.25</v>
      </c>
      <c r="F10" s="8" t="s">
        <v>64</v>
      </c>
      <c r="G10" s="8">
        <f>SUM(G5:G9)</f>
        <v>257</v>
      </c>
      <c r="H10" s="8">
        <f>SUM(H5:H9)</f>
        <v>334.1</v>
      </c>
      <c r="I10" s="9">
        <f>SUM(I5:I9)</f>
        <v>30840</v>
      </c>
      <c r="J10" s="9">
        <f>SUM(J5:J9)</f>
        <v>40092</v>
      </c>
    </row>
    <row r="11" spans="1:11" ht="15" thickTop="1" x14ac:dyDescent="0.3">
      <c r="A11" s="7" t="s">
        <v>39</v>
      </c>
      <c r="B11" s="34">
        <v>5.25</v>
      </c>
      <c r="C11" s="34">
        <v>0.5</v>
      </c>
      <c r="D11" s="34">
        <v>5.75</v>
      </c>
    </row>
    <row r="12" spans="1:11" x14ac:dyDescent="0.3">
      <c r="A12" s="7" t="s">
        <v>72</v>
      </c>
      <c r="B12" s="34">
        <v>48.75</v>
      </c>
      <c r="C12" s="34">
        <v>1</v>
      </c>
      <c r="D12" s="34">
        <v>49.75</v>
      </c>
    </row>
    <row r="13" spans="1:11" x14ac:dyDescent="0.3">
      <c r="A13" s="7" t="s">
        <v>73</v>
      </c>
      <c r="B13" s="34">
        <v>112.5</v>
      </c>
      <c r="C13" s="34">
        <v>2</v>
      </c>
      <c r="D13" s="34">
        <v>114.5</v>
      </c>
      <c r="F13" s="31" t="s">
        <v>109</v>
      </c>
      <c r="G13" s="32"/>
      <c r="H13" s="32"/>
      <c r="I13" s="33"/>
      <c r="J13" s="15" t="s">
        <v>110</v>
      </c>
      <c r="K13" s="16" t="s">
        <v>111</v>
      </c>
    </row>
    <row r="14" spans="1:11" x14ac:dyDescent="0.3">
      <c r="A14" s="7" t="s">
        <v>150</v>
      </c>
      <c r="B14" s="34">
        <v>0.75</v>
      </c>
      <c r="C14" s="34"/>
      <c r="D14" s="34">
        <v>0.75</v>
      </c>
      <c r="F14" s="17" t="s">
        <v>59</v>
      </c>
      <c r="G14" s="17" t="s">
        <v>20</v>
      </c>
      <c r="H14" s="18" t="s">
        <v>65</v>
      </c>
      <c r="I14" s="18" t="s">
        <v>66</v>
      </c>
      <c r="J14" s="15" t="s">
        <v>20</v>
      </c>
      <c r="K14" s="19" t="s">
        <v>112</v>
      </c>
    </row>
    <row r="15" spans="1:11" x14ac:dyDescent="0.3">
      <c r="A15" s="35">
        <v>45385</v>
      </c>
      <c r="B15" s="34">
        <v>0.75</v>
      </c>
      <c r="C15" s="34"/>
      <c r="D15" s="34">
        <v>0.75</v>
      </c>
      <c r="F15" s="20" t="s">
        <v>42</v>
      </c>
      <c r="G15" s="20" t="s">
        <v>113</v>
      </c>
      <c r="H15" s="20" t="s">
        <v>114</v>
      </c>
      <c r="I15" s="20" t="s">
        <v>115</v>
      </c>
      <c r="J15" s="21">
        <v>53.25</v>
      </c>
      <c r="K15" s="19"/>
    </row>
    <row r="16" spans="1:11" x14ac:dyDescent="0.3">
      <c r="A16" s="4" t="s">
        <v>55</v>
      </c>
      <c r="B16" s="34">
        <v>356</v>
      </c>
      <c r="C16" s="34">
        <v>8.5</v>
      </c>
      <c r="D16" s="34">
        <v>364.5</v>
      </c>
      <c r="F16" s="20" t="s">
        <v>60</v>
      </c>
      <c r="G16" s="20" t="s">
        <v>116</v>
      </c>
      <c r="H16" s="20" t="s">
        <v>117</v>
      </c>
      <c r="I16" s="20" t="s">
        <v>118</v>
      </c>
      <c r="J16" s="21">
        <v>248.25</v>
      </c>
      <c r="K16" s="19" t="s">
        <v>119</v>
      </c>
    </row>
    <row r="17" spans="6:11" x14ac:dyDescent="0.3">
      <c r="F17" s="20" t="s">
        <v>61</v>
      </c>
      <c r="G17" s="20" t="s">
        <v>120</v>
      </c>
      <c r="H17" s="20" t="s">
        <v>121</v>
      </c>
      <c r="I17" s="20" t="s">
        <v>122</v>
      </c>
      <c r="J17" s="21">
        <v>3.75</v>
      </c>
      <c r="K17" s="19"/>
    </row>
    <row r="18" spans="6:11" x14ac:dyDescent="0.3">
      <c r="F18" s="20" t="s">
        <v>62</v>
      </c>
      <c r="G18" s="20" t="s">
        <v>123</v>
      </c>
      <c r="H18" s="20" t="s">
        <v>124</v>
      </c>
      <c r="I18" s="20" t="s">
        <v>125</v>
      </c>
      <c r="J18" s="21">
        <v>26</v>
      </c>
      <c r="K18" s="19" t="s">
        <v>126</v>
      </c>
    </row>
    <row r="19" spans="6:11" x14ac:dyDescent="0.3">
      <c r="F19" s="20" t="s">
        <v>63</v>
      </c>
      <c r="G19" s="20" t="s">
        <v>127</v>
      </c>
      <c r="H19" s="20" t="s">
        <v>128</v>
      </c>
      <c r="I19" s="20" t="s">
        <v>129</v>
      </c>
      <c r="J19" s="21">
        <v>6</v>
      </c>
      <c r="K19" s="19" t="s">
        <v>126</v>
      </c>
    </row>
    <row r="20" spans="6:11" ht="15" thickBot="1" x14ac:dyDescent="0.35">
      <c r="F20" s="17" t="s">
        <v>64</v>
      </c>
      <c r="G20" s="17" t="s">
        <v>130</v>
      </c>
      <c r="H20" s="23" t="s">
        <v>131</v>
      </c>
      <c r="I20" s="23" t="s">
        <v>132</v>
      </c>
      <c r="J20" s="21">
        <v>337.25</v>
      </c>
      <c r="K20" s="19"/>
    </row>
    <row r="21" spans="6:11" ht="15" thickTop="1" x14ac:dyDescent="0.3">
      <c r="F21" s="22"/>
      <c r="G21" s="22"/>
      <c r="H21" s="22"/>
      <c r="I21" s="24" t="s">
        <v>133</v>
      </c>
      <c r="J21" s="25">
        <v>48</v>
      </c>
      <c r="K21" s="19" t="s">
        <v>134</v>
      </c>
    </row>
    <row r="22" spans="6:11" x14ac:dyDescent="0.3">
      <c r="F22" s="22"/>
      <c r="G22" s="22"/>
      <c r="H22" s="22"/>
      <c r="I22" s="26" t="s">
        <v>135</v>
      </c>
      <c r="J22" s="26">
        <v>385.25</v>
      </c>
      <c r="K22" s="22"/>
    </row>
    <row r="23" spans="6:11" x14ac:dyDescent="0.3">
      <c r="F23" s="22"/>
      <c r="G23" s="22"/>
      <c r="H23" s="22"/>
      <c r="I23" s="27" t="s">
        <v>136</v>
      </c>
      <c r="J23" s="27" t="s">
        <v>137</v>
      </c>
      <c r="K23" s="22"/>
    </row>
    <row r="24" spans="6:11" x14ac:dyDescent="0.3">
      <c r="F24" s="22"/>
      <c r="G24" s="22"/>
      <c r="H24" s="22"/>
      <c r="I24" s="22"/>
      <c r="J24" s="22"/>
      <c r="K24" s="22"/>
    </row>
    <row r="25" spans="6:11" x14ac:dyDescent="0.3">
      <c r="F25" s="22"/>
      <c r="G25" s="22"/>
      <c r="H25" s="22"/>
      <c r="I25" s="22" t="s">
        <v>138</v>
      </c>
      <c r="J25" s="22" t="s">
        <v>139</v>
      </c>
      <c r="K25" s="22"/>
    </row>
    <row r="26" spans="6:11" x14ac:dyDescent="0.3">
      <c r="F26" s="22"/>
      <c r="G26" s="22"/>
      <c r="H26" s="22"/>
      <c r="I26" s="22" t="s">
        <v>140</v>
      </c>
      <c r="J26" s="28">
        <v>1.1499999999999999</v>
      </c>
      <c r="K26" s="22"/>
    </row>
    <row r="28" spans="6:11" x14ac:dyDescent="0.3">
      <c r="I28" s="29" t="s">
        <v>142</v>
      </c>
    </row>
    <row r="29" spans="6:11" x14ac:dyDescent="0.3">
      <c r="I29" s="29" t="s">
        <v>141</v>
      </c>
    </row>
  </sheetData>
  <mergeCells count="3">
    <mergeCell ref="G4:H4"/>
    <mergeCell ref="F3:J3"/>
    <mergeCell ref="F13:I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5"/>
  <sheetViews>
    <sheetView topLeftCell="N1" workbookViewId="0">
      <pane ySplit="1" topLeftCell="A69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78</v>
      </c>
      <c r="AF1" s="14" t="s">
        <v>79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81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98</v>
      </c>
      <c r="AA2" t="s">
        <v>46</v>
      </c>
      <c r="AB2" t="s">
        <v>47</v>
      </c>
      <c r="AC2" t="s">
        <v>99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81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149</v>
      </c>
      <c r="AA3" t="s">
        <v>46</v>
      </c>
      <c r="AB3" t="s">
        <v>47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49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81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149</v>
      </c>
      <c r="AA4" t="s">
        <v>46</v>
      </c>
      <c r="AB4" t="s">
        <v>47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81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149</v>
      </c>
      <c r="AA5" t="s">
        <v>46</v>
      </c>
      <c r="AB5" t="s">
        <v>47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81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149</v>
      </c>
      <c r="AA6" t="s">
        <v>46</v>
      </c>
      <c r="AB6" t="s">
        <v>47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81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149</v>
      </c>
      <c r="AA7" t="s">
        <v>46</v>
      </c>
      <c r="AB7" t="s">
        <v>47</v>
      </c>
      <c r="AC7" t="s">
        <v>82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81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149</v>
      </c>
      <c r="AA8" t="s">
        <v>46</v>
      </c>
      <c r="AB8" t="s">
        <v>47</v>
      </c>
      <c r="AC8" t="s">
        <v>83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81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149</v>
      </c>
      <c r="AA9" t="s">
        <v>46</v>
      </c>
      <c r="AB9" t="s">
        <v>47</v>
      </c>
      <c r="AC9" t="s">
        <v>89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81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149</v>
      </c>
      <c r="AA10" t="s">
        <v>46</v>
      </c>
      <c r="AB10" t="s">
        <v>47</v>
      </c>
      <c r="AC10" t="s">
        <v>90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81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149</v>
      </c>
      <c r="AA11" t="s">
        <v>46</v>
      </c>
      <c r="AB11" t="s">
        <v>47</v>
      </c>
      <c r="AC11" t="s">
        <v>91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81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149</v>
      </c>
      <c r="AA12" t="s">
        <v>46</v>
      </c>
      <c r="AB12" t="s">
        <v>47</v>
      </c>
      <c r="AC12" t="s">
        <v>92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45369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41</v>
      </c>
      <c r="O13" t="s">
        <v>81</v>
      </c>
      <c r="P13">
        <v>225278</v>
      </c>
      <c r="Q13" t="s">
        <v>43</v>
      </c>
      <c r="R13" t="s">
        <v>44</v>
      </c>
      <c r="S13" t="s">
        <v>45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149</v>
      </c>
      <c r="AA13" t="s">
        <v>46</v>
      </c>
      <c r="AB13" t="s">
        <v>47</v>
      </c>
      <c r="AC13" t="s">
        <v>103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45370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41</v>
      </c>
      <c r="O14" t="s">
        <v>81</v>
      </c>
      <c r="P14">
        <v>225791</v>
      </c>
      <c r="Q14" t="s">
        <v>43</v>
      </c>
      <c r="R14" t="s">
        <v>44</v>
      </c>
      <c r="S14" t="s">
        <v>45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149</v>
      </c>
      <c r="AA14" t="s">
        <v>46</v>
      </c>
      <c r="AB14" t="s">
        <v>47</v>
      </c>
      <c r="AC14" t="s">
        <v>104</v>
      </c>
      <c r="AD14" t="s">
        <v>48</v>
      </c>
      <c r="AE14">
        <f t="shared" ref="AE14:AE49" si="2">MONTH(A14)</f>
        <v>3</v>
      </c>
      <c r="AF14" t="str">
        <f t="shared" si="1"/>
        <v>March</v>
      </c>
    </row>
    <row r="15" spans="1:32" x14ac:dyDescent="0.3">
      <c r="A15" s="1">
        <v>45371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41</v>
      </c>
      <c r="O15" t="s">
        <v>81</v>
      </c>
      <c r="P15">
        <v>226260</v>
      </c>
      <c r="Q15" t="s">
        <v>43</v>
      </c>
      <c r="R15" t="s">
        <v>44</v>
      </c>
      <c r="S15" t="s">
        <v>45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149</v>
      </c>
      <c r="AA15" t="s">
        <v>46</v>
      </c>
      <c r="AB15" t="s">
        <v>47</v>
      </c>
      <c r="AC15" t="s">
        <v>105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45377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41</v>
      </c>
      <c r="O16" t="s">
        <v>81</v>
      </c>
      <c r="P16">
        <v>229200</v>
      </c>
      <c r="Q16" t="s">
        <v>143</v>
      </c>
      <c r="R16" t="s">
        <v>44</v>
      </c>
      <c r="S16" t="s">
        <v>45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149</v>
      </c>
      <c r="AA16" t="s">
        <v>46</v>
      </c>
      <c r="AB16" t="s">
        <v>47</v>
      </c>
      <c r="AC16" t="s">
        <v>144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45378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41</v>
      </c>
      <c r="O17" t="s">
        <v>81</v>
      </c>
      <c r="P17">
        <v>229333</v>
      </c>
      <c r="Q17" t="s">
        <v>143</v>
      </c>
      <c r="R17" t="s">
        <v>44</v>
      </c>
      <c r="S17" t="s">
        <v>45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149</v>
      </c>
      <c r="AA17" t="s">
        <v>46</v>
      </c>
      <c r="AB17" t="s">
        <v>47</v>
      </c>
      <c r="AC17" t="s">
        <v>145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45355</v>
      </c>
      <c r="B18" t="s">
        <v>72</v>
      </c>
      <c r="C18" t="s">
        <v>50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53</v>
      </c>
      <c r="O18" t="s">
        <v>81</v>
      </c>
      <c r="P18">
        <v>219767</v>
      </c>
      <c r="Q18" t="s">
        <v>43</v>
      </c>
      <c r="R18" t="s">
        <v>44</v>
      </c>
      <c r="S18" t="s">
        <v>45</v>
      </c>
      <c r="T18">
        <v>90</v>
      </c>
      <c r="U18">
        <v>0.25</v>
      </c>
      <c r="V18" s="2">
        <v>1.0416666666666666E-2</v>
      </c>
      <c r="W18">
        <v>22.5</v>
      </c>
      <c r="X18">
        <v>30</v>
      </c>
      <c r="Y18">
        <v>7.5</v>
      </c>
      <c r="Z18" t="s">
        <v>149</v>
      </c>
      <c r="AA18" t="s">
        <v>46</v>
      </c>
      <c r="AB18" t="s">
        <v>47</v>
      </c>
      <c r="AC18" t="s">
        <v>53</v>
      </c>
      <c r="AD18" t="s">
        <v>48</v>
      </c>
      <c r="AE18">
        <f t="shared" si="2"/>
        <v>3</v>
      </c>
      <c r="AF18" t="str">
        <f t="shared" si="1"/>
        <v>March</v>
      </c>
    </row>
    <row r="19" spans="1:32" x14ac:dyDescent="0.3">
      <c r="A19" s="1">
        <v>45356</v>
      </c>
      <c r="B19" t="s">
        <v>72</v>
      </c>
      <c r="C19" t="s">
        <v>50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53</v>
      </c>
      <c r="O19" t="s">
        <v>81</v>
      </c>
      <c r="P19">
        <v>219760</v>
      </c>
      <c r="Q19" t="s">
        <v>43</v>
      </c>
      <c r="R19" t="s">
        <v>44</v>
      </c>
      <c r="S19" t="s">
        <v>45</v>
      </c>
      <c r="T19">
        <v>90</v>
      </c>
      <c r="U19">
        <v>3</v>
      </c>
      <c r="V19" s="2">
        <v>0.125</v>
      </c>
      <c r="W19">
        <v>270</v>
      </c>
      <c r="X19">
        <v>360</v>
      </c>
      <c r="Y19">
        <v>90</v>
      </c>
      <c r="Z19" t="s">
        <v>149</v>
      </c>
      <c r="AA19" t="s">
        <v>46</v>
      </c>
      <c r="AB19" t="s">
        <v>47</v>
      </c>
      <c r="AC19" t="s">
        <v>53</v>
      </c>
      <c r="AD19" t="s">
        <v>48</v>
      </c>
      <c r="AE19">
        <f t="shared" si="2"/>
        <v>3</v>
      </c>
      <c r="AF19" t="str">
        <f t="shared" si="1"/>
        <v>March</v>
      </c>
    </row>
    <row r="20" spans="1:32" x14ac:dyDescent="0.3">
      <c r="A20" s="1">
        <v>45357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81</v>
      </c>
      <c r="P20">
        <v>221432</v>
      </c>
      <c r="Q20" t="s">
        <v>43</v>
      </c>
      <c r="R20" t="s">
        <v>44</v>
      </c>
      <c r="S20" t="s">
        <v>45</v>
      </c>
      <c r="T20">
        <v>90</v>
      </c>
      <c r="U20">
        <v>0.5</v>
      </c>
      <c r="V20" s="2">
        <v>2.0833333333333332E-2</v>
      </c>
      <c r="W20">
        <v>45</v>
      </c>
      <c r="X20">
        <v>60</v>
      </c>
      <c r="Y20">
        <v>15</v>
      </c>
      <c r="Z20" t="s">
        <v>149</v>
      </c>
      <c r="AA20" t="s">
        <v>46</v>
      </c>
      <c r="AB20" t="s">
        <v>47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45358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81</v>
      </c>
      <c r="P21">
        <v>221439</v>
      </c>
      <c r="Q21" t="s">
        <v>43</v>
      </c>
      <c r="R21" t="s">
        <v>44</v>
      </c>
      <c r="S21" t="s">
        <v>45</v>
      </c>
      <c r="T21">
        <v>90</v>
      </c>
      <c r="U21">
        <v>0.5</v>
      </c>
      <c r="V21" s="2">
        <v>2.0833333333333332E-2</v>
      </c>
      <c r="W21">
        <v>45</v>
      </c>
      <c r="X21">
        <v>60</v>
      </c>
      <c r="Y21">
        <v>15</v>
      </c>
      <c r="Z21" t="s">
        <v>149</v>
      </c>
      <c r="AA21" t="s">
        <v>46</v>
      </c>
      <c r="AB21" t="s">
        <v>47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45359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81</v>
      </c>
      <c r="P22">
        <v>221695</v>
      </c>
      <c r="Q22" t="s">
        <v>43</v>
      </c>
      <c r="R22" t="s">
        <v>44</v>
      </c>
      <c r="S22" t="s">
        <v>45</v>
      </c>
      <c r="T22">
        <v>90</v>
      </c>
      <c r="U22">
        <v>3</v>
      </c>
      <c r="V22" s="2">
        <v>0.125</v>
      </c>
      <c r="W22">
        <v>270</v>
      </c>
      <c r="X22">
        <v>360</v>
      </c>
      <c r="Y22">
        <v>90</v>
      </c>
      <c r="Z22" t="s">
        <v>149</v>
      </c>
      <c r="AA22" t="s">
        <v>46</v>
      </c>
      <c r="AB22" t="s">
        <v>47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45362</v>
      </c>
      <c r="B23" t="s">
        <v>72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81</v>
      </c>
      <c r="P23">
        <v>222865</v>
      </c>
      <c r="Q23" t="s">
        <v>43</v>
      </c>
      <c r="R23" t="s">
        <v>44</v>
      </c>
      <c r="S23" t="s">
        <v>45</v>
      </c>
      <c r="T23">
        <v>90</v>
      </c>
      <c r="U23">
        <v>3</v>
      </c>
      <c r="V23" s="2">
        <v>0.125</v>
      </c>
      <c r="W23">
        <v>270</v>
      </c>
      <c r="X23">
        <v>360</v>
      </c>
      <c r="Y23">
        <v>90</v>
      </c>
      <c r="Z23" t="s">
        <v>149</v>
      </c>
      <c r="AA23" t="s">
        <v>46</v>
      </c>
      <c r="AB23" t="s">
        <v>47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45363</v>
      </c>
      <c r="B24" t="s">
        <v>72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81</v>
      </c>
      <c r="P24">
        <v>222864</v>
      </c>
      <c r="Q24" t="s">
        <v>43</v>
      </c>
      <c r="R24" t="s">
        <v>44</v>
      </c>
      <c r="S24" t="s">
        <v>45</v>
      </c>
      <c r="T24">
        <v>90</v>
      </c>
      <c r="U24">
        <v>6</v>
      </c>
      <c r="V24" s="2">
        <v>0.25</v>
      </c>
      <c r="W24">
        <v>540</v>
      </c>
      <c r="X24">
        <v>720</v>
      </c>
      <c r="Y24">
        <v>180</v>
      </c>
      <c r="Z24" t="s">
        <v>149</v>
      </c>
      <c r="AA24" t="s">
        <v>46</v>
      </c>
      <c r="AB24" t="s">
        <v>47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45364</v>
      </c>
      <c r="B25" t="s">
        <v>72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81</v>
      </c>
      <c r="P25">
        <v>223766</v>
      </c>
      <c r="Q25" t="s">
        <v>43</v>
      </c>
      <c r="R25" t="s">
        <v>44</v>
      </c>
      <c r="S25" t="s">
        <v>45</v>
      </c>
      <c r="T25">
        <v>90</v>
      </c>
      <c r="U25">
        <v>6</v>
      </c>
      <c r="V25" s="2">
        <v>0.25</v>
      </c>
      <c r="W25">
        <v>540</v>
      </c>
      <c r="X25">
        <v>720</v>
      </c>
      <c r="Y25">
        <v>180</v>
      </c>
      <c r="Z25" t="s">
        <v>149</v>
      </c>
      <c r="AA25" t="s">
        <v>46</v>
      </c>
      <c r="AB25" t="s">
        <v>47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45365</v>
      </c>
      <c r="B26" t="s">
        <v>72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81</v>
      </c>
      <c r="P26">
        <v>224990</v>
      </c>
      <c r="Q26" t="s">
        <v>43</v>
      </c>
      <c r="R26" t="s">
        <v>44</v>
      </c>
      <c r="S26" t="s">
        <v>45</v>
      </c>
      <c r="T26">
        <v>90</v>
      </c>
      <c r="U26">
        <v>5.75</v>
      </c>
      <c r="V26" s="2">
        <v>0.23958333333333334</v>
      </c>
      <c r="W26">
        <v>517.5</v>
      </c>
      <c r="X26">
        <v>690</v>
      </c>
      <c r="Y26">
        <v>172.5</v>
      </c>
      <c r="Z26" t="s">
        <v>149</v>
      </c>
      <c r="AA26" t="s">
        <v>46</v>
      </c>
      <c r="AB26" t="s">
        <v>47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45366</v>
      </c>
      <c r="B27" t="s">
        <v>72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81</v>
      </c>
      <c r="P27">
        <v>225010</v>
      </c>
      <c r="Q27" t="s">
        <v>43</v>
      </c>
      <c r="R27" t="s">
        <v>44</v>
      </c>
      <c r="S27" t="s">
        <v>45</v>
      </c>
      <c r="T27">
        <v>90</v>
      </c>
      <c r="U27">
        <v>3</v>
      </c>
      <c r="V27" s="2">
        <v>0.125</v>
      </c>
      <c r="W27">
        <v>270</v>
      </c>
      <c r="X27">
        <v>360</v>
      </c>
      <c r="Y27">
        <v>90</v>
      </c>
      <c r="Z27" t="s">
        <v>149</v>
      </c>
      <c r="AA27" t="s">
        <v>46</v>
      </c>
      <c r="AB27" t="s">
        <v>47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45369</v>
      </c>
      <c r="B28" t="s">
        <v>72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81</v>
      </c>
      <c r="P28">
        <v>225329</v>
      </c>
      <c r="Q28" t="s">
        <v>43</v>
      </c>
      <c r="R28" t="s">
        <v>44</v>
      </c>
      <c r="S28" t="s">
        <v>45</v>
      </c>
      <c r="T28">
        <v>90</v>
      </c>
      <c r="U28">
        <v>5</v>
      </c>
      <c r="V28" s="2">
        <v>0.20833333333333334</v>
      </c>
      <c r="W28">
        <v>450</v>
      </c>
      <c r="X28">
        <v>600</v>
      </c>
      <c r="Y28">
        <v>150</v>
      </c>
      <c r="Z28" t="s">
        <v>149</v>
      </c>
      <c r="AA28" t="s">
        <v>46</v>
      </c>
      <c r="AB28" t="s">
        <v>47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45370</v>
      </c>
      <c r="B29" t="s">
        <v>72</v>
      </c>
      <c r="C29" t="s">
        <v>50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53</v>
      </c>
      <c r="O29" t="s">
        <v>81</v>
      </c>
      <c r="P29">
        <v>225809</v>
      </c>
      <c r="Q29" t="s">
        <v>43</v>
      </c>
      <c r="R29" t="s">
        <v>44</v>
      </c>
      <c r="S29" t="s">
        <v>45</v>
      </c>
      <c r="T29">
        <v>90</v>
      </c>
      <c r="U29">
        <v>6</v>
      </c>
      <c r="V29" s="2">
        <v>0.25</v>
      </c>
      <c r="W29">
        <v>540</v>
      </c>
      <c r="X29">
        <v>720</v>
      </c>
      <c r="Y29">
        <v>180</v>
      </c>
      <c r="Z29" t="s">
        <v>149</v>
      </c>
      <c r="AA29" t="s">
        <v>46</v>
      </c>
      <c r="AB29" t="s">
        <v>47</v>
      </c>
      <c r="AC29" t="s">
        <v>53</v>
      </c>
      <c r="AD29" t="s">
        <v>48</v>
      </c>
      <c r="AE29">
        <f t="shared" si="2"/>
        <v>3</v>
      </c>
      <c r="AF29" t="str">
        <f t="shared" si="1"/>
        <v>March</v>
      </c>
    </row>
    <row r="30" spans="1:32" x14ac:dyDescent="0.3">
      <c r="A30" s="1">
        <v>45371</v>
      </c>
      <c r="B30" t="s">
        <v>72</v>
      </c>
      <c r="C30" t="s">
        <v>50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53</v>
      </c>
      <c r="O30" t="s">
        <v>81</v>
      </c>
      <c r="P30">
        <v>226736</v>
      </c>
      <c r="Q30" t="s">
        <v>43</v>
      </c>
      <c r="R30" t="s">
        <v>44</v>
      </c>
      <c r="S30" t="s">
        <v>45</v>
      </c>
      <c r="T30">
        <v>90</v>
      </c>
      <c r="U30">
        <v>6.75</v>
      </c>
      <c r="V30" s="2">
        <v>0.28125</v>
      </c>
      <c r="W30">
        <v>607.5</v>
      </c>
      <c r="X30">
        <v>810</v>
      </c>
      <c r="Y30">
        <v>202.5</v>
      </c>
      <c r="Z30" t="s">
        <v>149</v>
      </c>
      <c r="AA30" t="s">
        <v>46</v>
      </c>
      <c r="AB30" t="s">
        <v>47</v>
      </c>
      <c r="AC30" t="s">
        <v>53</v>
      </c>
      <c r="AD30" t="s">
        <v>48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45376</v>
      </c>
      <c r="B31" t="s">
        <v>72</v>
      </c>
      <c r="C31" t="s">
        <v>50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53</v>
      </c>
      <c r="O31" t="s">
        <v>81</v>
      </c>
      <c r="P31">
        <v>228118</v>
      </c>
      <c r="Q31" t="s">
        <v>143</v>
      </c>
      <c r="R31" t="s">
        <v>44</v>
      </c>
      <c r="S31" t="s">
        <v>45</v>
      </c>
      <c r="T31">
        <v>90</v>
      </c>
      <c r="U31">
        <v>0.25</v>
      </c>
      <c r="V31" s="2">
        <v>1.0416666666666666E-2</v>
      </c>
      <c r="W31">
        <v>22.5</v>
      </c>
      <c r="X31">
        <v>30</v>
      </c>
      <c r="Y31">
        <v>7.5</v>
      </c>
      <c r="Z31" t="s">
        <v>149</v>
      </c>
      <c r="AA31" t="s">
        <v>46</v>
      </c>
      <c r="AB31" t="s">
        <v>47</v>
      </c>
      <c r="AC31" t="s">
        <v>146</v>
      </c>
      <c r="AD31" t="s">
        <v>48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45377</v>
      </c>
      <c r="B32" t="s">
        <v>72</v>
      </c>
      <c r="C32" t="s">
        <v>50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53</v>
      </c>
      <c r="O32" t="s">
        <v>81</v>
      </c>
      <c r="P32">
        <v>228090</v>
      </c>
      <c r="Q32" t="s">
        <v>143</v>
      </c>
      <c r="R32" t="s">
        <v>44</v>
      </c>
      <c r="S32" t="s">
        <v>45</v>
      </c>
      <c r="T32">
        <v>90</v>
      </c>
      <c r="U32">
        <v>0.75</v>
      </c>
      <c r="V32" s="2">
        <v>3.125E-2</v>
      </c>
      <c r="W32">
        <v>67.5</v>
      </c>
      <c r="X32">
        <v>90</v>
      </c>
      <c r="Y32">
        <v>22.5</v>
      </c>
      <c r="Z32" t="s">
        <v>149</v>
      </c>
      <c r="AA32" t="s">
        <v>46</v>
      </c>
      <c r="AB32" t="s">
        <v>47</v>
      </c>
      <c r="AC32" t="s">
        <v>147</v>
      </c>
      <c r="AD32" t="s">
        <v>48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45385</v>
      </c>
      <c r="B33" t="s">
        <v>150</v>
      </c>
      <c r="C33" t="s">
        <v>50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53</v>
      </c>
      <c r="O33" t="s">
        <v>81</v>
      </c>
      <c r="P33">
        <v>230733</v>
      </c>
      <c r="Q33" t="s">
        <v>43</v>
      </c>
      <c r="R33" t="s">
        <v>44</v>
      </c>
      <c r="S33" t="s">
        <v>45</v>
      </c>
      <c r="T33">
        <v>90</v>
      </c>
      <c r="U33">
        <v>0.75</v>
      </c>
      <c r="V33" s="2">
        <v>3.125E-2</v>
      </c>
      <c r="W33">
        <v>67.5</v>
      </c>
      <c r="AA33" t="s">
        <v>46</v>
      </c>
      <c r="AC33" t="s">
        <v>151</v>
      </c>
      <c r="AD33" t="s">
        <v>48</v>
      </c>
      <c r="AE33">
        <f t="shared" si="2"/>
        <v>4</v>
      </c>
      <c r="AF33" t="str">
        <f t="shared" si="1"/>
        <v>April</v>
      </c>
    </row>
    <row r="34" spans="1:32" x14ac:dyDescent="0.3">
      <c r="A34" s="1">
        <v>45324</v>
      </c>
      <c r="B34" t="s">
        <v>49</v>
      </c>
      <c r="C34" t="s">
        <v>50</v>
      </c>
      <c r="D34" t="s">
        <v>32</v>
      </c>
      <c r="E34" t="s">
        <v>51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52</v>
      </c>
      <c r="O34" t="s">
        <v>81</v>
      </c>
      <c r="P34">
        <v>209126</v>
      </c>
      <c r="Q34" t="s">
        <v>43</v>
      </c>
      <c r="R34" t="s">
        <v>44</v>
      </c>
      <c r="S34" t="s">
        <v>45</v>
      </c>
      <c r="T34">
        <v>90</v>
      </c>
      <c r="U34">
        <v>1</v>
      </c>
      <c r="V34" s="2">
        <v>4.1666666666666664E-2</v>
      </c>
      <c r="W34">
        <v>90</v>
      </c>
      <c r="X34">
        <v>120</v>
      </c>
      <c r="Y34">
        <v>30</v>
      </c>
      <c r="Z34" t="s">
        <v>98</v>
      </c>
      <c r="AA34" t="s">
        <v>46</v>
      </c>
      <c r="AB34" t="s">
        <v>47</v>
      </c>
      <c r="AC34" t="s">
        <v>53</v>
      </c>
      <c r="AD34" t="s">
        <v>48</v>
      </c>
      <c r="AE34">
        <f t="shared" si="2"/>
        <v>2</v>
      </c>
      <c r="AF34" t="str">
        <f t="shared" si="1"/>
        <v>February</v>
      </c>
    </row>
    <row r="35" spans="1:32" x14ac:dyDescent="0.3">
      <c r="A35" s="1">
        <v>45337</v>
      </c>
      <c r="B35" t="s">
        <v>49</v>
      </c>
      <c r="C35" t="s">
        <v>50</v>
      </c>
      <c r="D35" t="s">
        <v>32</v>
      </c>
      <c r="E35" t="s">
        <v>51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52</v>
      </c>
      <c r="O35" t="s">
        <v>81</v>
      </c>
      <c r="P35">
        <v>212410</v>
      </c>
      <c r="Q35" t="s">
        <v>43</v>
      </c>
      <c r="R35" t="s">
        <v>44</v>
      </c>
      <c r="S35" t="s">
        <v>45</v>
      </c>
      <c r="T35">
        <v>90</v>
      </c>
      <c r="U35">
        <v>7</v>
      </c>
      <c r="V35" s="2">
        <v>0.29166666666666669</v>
      </c>
      <c r="W35">
        <v>630</v>
      </c>
      <c r="X35">
        <v>840</v>
      </c>
      <c r="Y35">
        <v>210</v>
      </c>
      <c r="Z35" t="s">
        <v>98</v>
      </c>
      <c r="AA35" t="s">
        <v>46</v>
      </c>
      <c r="AB35" t="s">
        <v>47</v>
      </c>
      <c r="AC35" t="s">
        <v>53</v>
      </c>
      <c r="AD35" t="s">
        <v>48</v>
      </c>
      <c r="AE35">
        <f t="shared" si="2"/>
        <v>2</v>
      </c>
      <c r="AF35" t="str">
        <f t="shared" si="1"/>
        <v>February</v>
      </c>
    </row>
    <row r="36" spans="1:32" x14ac:dyDescent="0.3">
      <c r="A36" s="1">
        <v>45338</v>
      </c>
      <c r="B36" t="s">
        <v>49</v>
      </c>
      <c r="C36" t="s">
        <v>50</v>
      </c>
      <c r="D36" t="s">
        <v>32</v>
      </c>
      <c r="E36" t="s">
        <v>51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52</v>
      </c>
      <c r="O36" t="s">
        <v>81</v>
      </c>
      <c r="P36">
        <v>212409</v>
      </c>
      <c r="Q36" t="s">
        <v>43</v>
      </c>
      <c r="R36" t="s">
        <v>44</v>
      </c>
      <c r="S36" t="s">
        <v>45</v>
      </c>
      <c r="T36">
        <v>90</v>
      </c>
      <c r="U36">
        <v>2.5</v>
      </c>
      <c r="V36" s="2">
        <v>0.10416666666666667</v>
      </c>
      <c r="W36">
        <v>225</v>
      </c>
      <c r="X36">
        <v>300</v>
      </c>
      <c r="Y36">
        <v>75</v>
      </c>
      <c r="Z36" t="s">
        <v>98</v>
      </c>
      <c r="AA36" t="s">
        <v>46</v>
      </c>
      <c r="AB36" t="s">
        <v>47</v>
      </c>
      <c r="AC36" t="s">
        <v>53</v>
      </c>
      <c r="AD36" t="s">
        <v>48</v>
      </c>
      <c r="AE36">
        <f t="shared" si="2"/>
        <v>2</v>
      </c>
      <c r="AF36" t="str">
        <f t="shared" si="1"/>
        <v>February</v>
      </c>
    </row>
    <row r="37" spans="1:32" x14ac:dyDescent="0.3">
      <c r="A37" s="1">
        <v>45342</v>
      </c>
      <c r="B37" t="s">
        <v>49</v>
      </c>
      <c r="C37" t="s">
        <v>50</v>
      </c>
      <c r="D37" t="s">
        <v>32</v>
      </c>
      <c r="E37" t="s">
        <v>51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52</v>
      </c>
      <c r="O37" t="s">
        <v>81</v>
      </c>
      <c r="P37">
        <v>214277</v>
      </c>
      <c r="Q37" t="s">
        <v>43</v>
      </c>
      <c r="R37" t="s">
        <v>44</v>
      </c>
      <c r="S37" t="s">
        <v>45</v>
      </c>
      <c r="T37">
        <v>90</v>
      </c>
      <c r="U37">
        <v>7.25</v>
      </c>
      <c r="V37" s="2">
        <v>0.30208333333333331</v>
      </c>
      <c r="W37">
        <v>652.5</v>
      </c>
      <c r="X37">
        <v>870</v>
      </c>
      <c r="Y37">
        <v>217.5</v>
      </c>
      <c r="Z37" t="s">
        <v>98</v>
      </c>
      <c r="AA37" t="s">
        <v>46</v>
      </c>
      <c r="AB37" t="s">
        <v>47</v>
      </c>
      <c r="AC37" t="s">
        <v>53</v>
      </c>
      <c r="AD37" t="s">
        <v>48</v>
      </c>
      <c r="AE37">
        <f t="shared" si="2"/>
        <v>2</v>
      </c>
      <c r="AF37" t="str">
        <f t="shared" si="1"/>
        <v>February</v>
      </c>
    </row>
    <row r="38" spans="1:32" x14ac:dyDescent="0.3">
      <c r="A38" s="1">
        <v>45343</v>
      </c>
      <c r="B38" t="s">
        <v>49</v>
      </c>
      <c r="C38" t="s">
        <v>50</v>
      </c>
      <c r="D38" t="s">
        <v>32</v>
      </c>
      <c r="E38" t="s">
        <v>51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52</v>
      </c>
      <c r="O38" t="s">
        <v>81</v>
      </c>
      <c r="P38">
        <v>214280</v>
      </c>
      <c r="Q38" t="s">
        <v>43</v>
      </c>
      <c r="R38" t="s">
        <v>44</v>
      </c>
      <c r="S38" t="s">
        <v>45</v>
      </c>
      <c r="T38">
        <v>90</v>
      </c>
      <c r="U38">
        <v>4.25</v>
      </c>
      <c r="V38" s="2">
        <v>0.17708333333333334</v>
      </c>
      <c r="W38">
        <v>382.5</v>
      </c>
      <c r="X38">
        <v>510</v>
      </c>
      <c r="Y38">
        <v>127.5</v>
      </c>
      <c r="Z38" t="s">
        <v>98</v>
      </c>
      <c r="AA38" t="s">
        <v>46</v>
      </c>
      <c r="AB38" t="s">
        <v>47</v>
      </c>
      <c r="AC38" t="s">
        <v>53</v>
      </c>
      <c r="AD38" t="s">
        <v>48</v>
      </c>
      <c r="AE38">
        <f t="shared" si="2"/>
        <v>2</v>
      </c>
      <c r="AF38" t="str">
        <f t="shared" si="1"/>
        <v>February</v>
      </c>
    </row>
    <row r="39" spans="1:32" x14ac:dyDescent="0.3">
      <c r="A39" s="1">
        <v>45344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81</v>
      </c>
      <c r="P39">
        <v>214563</v>
      </c>
      <c r="Q39" t="s">
        <v>43</v>
      </c>
      <c r="R39" t="s">
        <v>44</v>
      </c>
      <c r="S39" t="s">
        <v>45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98</v>
      </c>
      <c r="AA39" t="s">
        <v>46</v>
      </c>
      <c r="AB39" t="s">
        <v>47</v>
      </c>
      <c r="AC39" t="s">
        <v>53</v>
      </c>
      <c r="AD39" t="s">
        <v>48</v>
      </c>
      <c r="AE39">
        <f t="shared" si="2"/>
        <v>2</v>
      </c>
      <c r="AF39" t="str">
        <f t="shared" si="1"/>
        <v>February</v>
      </c>
    </row>
    <row r="40" spans="1:32" x14ac:dyDescent="0.3">
      <c r="A40" s="1">
        <v>45348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81</v>
      </c>
      <c r="P40">
        <v>216146</v>
      </c>
      <c r="Q40" t="s">
        <v>43</v>
      </c>
      <c r="R40" t="s">
        <v>44</v>
      </c>
      <c r="S40" t="s">
        <v>45</v>
      </c>
      <c r="T40">
        <v>90</v>
      </c>
      <c r="U40">
        <v>2</v>
      </c>
      <c r="V40" s="2">
        <v>8.3333333333333329E-2</v>
      </c>
      <c r="W40">
        <v>180</v>
      </c>
      <c r="X40">
        <v>240</v>
      </c>
      <c r="Y40">
        <v>60</v>
      </c>
      <c r="Z40" t="s">
        <v>98</v>
      </c>
      <c r="AA40" t="s">
        <v>46</v>
      </c>
      <c r="AB40" t="s">
        <v>47</v>
      </c>
      <c r="AC40" t="s">
        <v>53</v>
      </c>
      <c r="AD40" t="s">
        <v>48</v>
      </c>
      <c r="AE40">
        <f t="shared" si="2"/>
        <v>2</v>
      </c>
      <c r="AF40" t="str">
        <f t="shared" si="1"/>
        <v>February</v>
      </c>
    </row>
    <row r="41" spans="1:32" x14ac:dyDescent="0.3">
      <c r="A41" s="1">
        <v>45349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81</v>
      </c>
      <c r="P41">
        <v>217055</v>
      </c>
      <c r="Q41" t="s">
        <v>43</v>
      </c>
      <c r="R41" t="s">
        <v>44</v>
      </c>
      <c r="S41" t="s">
        <v>45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98</v>
      </c>
      <c r="AA41" t="s">
        <v>46</v>
      </c>
      <c r="AB41" t="s">
        <v>47</v>
      </c>
      <c r="AC41" t="s">
        <v>53</v>
      </c>
      <c r="AD41" t="s">
        <v>48</v>
      </c>
      <c r="AE41">
        <f t="shared" si="2"/>
        <v>2</v>
      </c>
      <c r="AF41" t="str">
        <f t="shared" si="1"/>
        <v>February</v>
      </c>
    </row>
    <row r="42" spans="1:32" x14ac:dyDescent="0.3">
      <c r="A42" s="1">
        <v>45350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81</v>
      </c>
      <c r="P42">
        <v>217696</v>
      </c>
      <c r="Q42" t="s">
        <v>43</v>
      </c>
      <c r="R42" t="s">
        <v>44</v>
      </c>
      <c r="S42" t="s">
        <v>45</v>
      </c>
      <c r="T42">
        <v>90</v>
      </c>
      <c r="U42">
        <v>3.25</v>
      </c>
      <c r="V42" s="2">
        <v>0.13541666666666666</v>
      </c>
      <c r="W42">
        <v>292.5</v>
      </c>
      <c r="X42">
        <v>390</v>
      </c>
      <c r="Y42">
        <v>97.5</v>
      </c>
      <c r="Z42" t="s">
        <v>98</v>
      </c>
      <c r="AA42" t="s">
        <v>46</v>
      </c>
      <c r="AB42" t="s">
        <v>47</v>
      </c>
      <c r="AC42" t="s">
        <v>53</v>
      </c>
      <c r="AD42" t="s">
        <v>48</v>
      </c>
      <c r="AE42">
        <f t="shared" si="2"/>
        <v>2</v>
      </c>
      <c r="AF42" t="str">
        <f t="shared" si="1"/>
        <v>February</v>
      </c>
    </row>
    <row r="43" spans="1:32" x14ac:dyDescent="0.3">
      <c r="A43" s="1">
        <v>45351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81</v>
      </c>
      <c r="P43">
        <v>217701</v>
      </c>
      <c r="Q43" t="s">
        <v>43</v>
      </c>
      <c r="R43" t="s">
        <v>44</v>
      </c>
      <c r="S43" t="s">
        <v>45</v>
      </c>
      <c r="T43">
        <v>90</v>
      </c>
      <c r="U43">
        <v>0.75</v>
      </c>
      <c r="V43" s="2">
        <v>3.125E-2</v>
      </c>
      <c r="W43">
        <v>67.5</v>
      </c>
      <c r="X43">
        <v>90</v>
      </c>
      <c r="Y43">
        <v>22.5</v>
      </c>
      <c r="Z43" t="s">
        <v>98</v>
      </c>
      <c r="AA43" t="s">
        <v>46</v>
      </c>
      <c r="AB43" t="s">
        <v>47</v>
      </c>
      <c r="AC43" t="s">
        <v>53</v>
      </c>
      <c r="AD43" t="s">
        <v>48</v>
      </c>
      <c r="AE43">
        <f t="shared" si="2"/>
        <v>2</v>
      </c>
      <c r="AF43" t="str">
        <f t="shared" si="1"/>
        <v>February</v>
      </c>
    </row>
    <row r="44" spans="1:32" x14ac:dyDescent="0.3">
      <c r="A44" s="1">
        <v>45352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81</v>
      </c>
      <c r="P44">
        <v>219384</v>
      </c>
      <c r="Q44" t="s">
        <v>43</v>
      </c>
      <c r="R44" t="s">
        <v>44</v>
      </c>
      <c r="S44" t="s">
        <v>45</v>
      </c>
      <c r="T44">
        <v>90</v>
      </c>
      <c r="U44">
        <v>2.25</v>
      </c>
      <c r="V44" s="2">
        <v>9.375E-2</v>
      </c>
      <c r="W44">
        <v>202.5</v>
      </c>
      <c r="X44">
        <v>270</v>
      </c>
      <c r="Y44">
        <v>67.5</v>
      </c>
      <c r="Z44" t="s">
        <v>149</v>
      </c>
      <c r="AA44" t="s">
        <v>46</v>
      </c>
      <c r="AB44" t="s">
        <v>47</v>
      </c>
      <c r="AC44" t="s">
        <v>53</v>
      </c>
      <c r="AD44" t="s">
        <v>48</v>
      </c>
      <c r="AE44">
        <f t="shared" si="2"/>
        <v>3</v>
      </c>
      <c r="AF44" t="str">
        <f t="shared" si="1"/>
        <v>March</v>
      </c>
    </row>
    <row r="45" spans="1:32" x14ac:dyDescent="0.3">
      <c r="A45" s="1">
        <v>45355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81</v>
      </c>
      <c r="P45">
        <v>219370</v>
      </c>
      <c r="Q45" t="s">
        <v>43</v>
      </c>
      <c r="R45" t="s">
        <v>44</v>
      </c>
      <c r="S45" t="s">
        <v>45</v>
      </c>
      <c r="T45">
        <v>90</v>
      </c>
      <c r="U45">
        <v>5.25</v>
      </c>
      <c r="V45" s="2">
        <v>0.21875</v>
      </c>
      <c r="W45">
        <v>472.5</v>
      </c>
      <c r="X45">
        <v>630</v>
      </c>
      <c r="Y45">
        <v>157.5</v>
      </c>
      <c r="Z45" t="s">
        <v>149</v>
      </c>
      <c r="AA45" t="s">
        <v>46</v>
      </c>
      <c r="AB45" t="s">
        <v>47</v>
      </c>
      <c r="AC45" t="s">
        <v>53</v>
      </c>
      <c r="AD45" t="s">
        <v>48</v>
      </c>
      <c r="AE45">
        <f t="shared" si="2"/>
        <v>3</v>
      </c>
      <c r="AF45" t="str">
        <f t="shared" si="1"/>
        <v>March</v>
      </c>
    </row>
    <row r="46" spans="1:32" x14ac:dyDescent="0.3">
      <c r="A46" s="1">
        <v>45356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81</v>
      </c>
      <c r="P46">
        <v>219880</v>
      </c>
      <c r="Q46" t="s">
        <v>43</v>
      </c>
      <c r="R46" t="s">
        <v>44</v>
      </c>
      <c r="S46" t="s">
        <v>45</v>
      </c>
      <c r="T46">
        <v>90</v>
      </c>
      <c r="U46">
        <v>4.75</v>
      </c>
      <c r="V46" s="2">
        <v>0.19791666666666666</v>
      </c>
      <c r="W46">
        <v>427.5</v>
      </c>
      <c r="X46">
        <v>570</v>
      </c>
      <c r="Y46">
        <v>142.5</v>
      </c>
      <c r="Z46" t="s">
        <v>149</v>
      </c>
      <c r="AA46" t="s">
        <v>46</v>
      </c>
      <c r="AB46" t="s">
        <v>47</v>
      </c>
      <c r="AC46" t="s">
        <v>53</v>
      </c>
      <c r="AD46" t="s">
        <v>48</v>
      </c>
      <c r="AE46">
        <f t="shared" si="2"/>
        <v>3</v>
      </c>
      <c r="AF46" t="str">
        <f t="shared" si="1"/>
        <v>March</v>
      </c>
    </row>
    <row r="47" spans="1:32" x14ac:dyDescent="0.3">
      <c r="A47" s="1">
        <v>45357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81</v>
      </c>
      <c r="P47">
        <v>220833</v>
      </c>
      <c r="Q47" t="s">
        <v>43</v>
      </c>
      <c r="R47" t="s">
        <v>44</v>
      </c>
      <c r="S47" t="s">
        <v>45</v>
      </c>
      <c r="T47">
        <v>90</v>
      </c>
      <c r="U47">
        <v>2.75</v>
      </c>
      <c r="V47" s="2">
        <v>0.11458333333333333</v>
      </c>
      <c r="W47">
        <v>247.5</v>
      </c>
      <c r="X47">
        <v>330</v>
      </c>
      <c r="Y47">
        <v>82.5</v>
      </c>
      <c r="Z47" t="s">
        <v>149</v>
      </c>
      <c r="AA47" t="s">
        <v>46</v>
      </c>
      <c r="AB47" t="s">
        <v>47</v>
      </c>
      <c r="AC47" t="s">
        <v>53</v>
      </c>
      <c r="AD47" t="s">
        <v>48</v>
      </c>
      <c r="AE47">
        <f t="shared" si="2"/>
        <v>3</v>
      </c>
      <c r="AF47" t="str">
        <f t="shared" si="1"/>
        <v>March</v>
      </c>
    </row>
    <row r="48" spans="1:32" x14ac:dyDescent="0.3">
      <c r="A48" s="1">
        <v>45358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81</v>
      </c>
      <c r="P48">
        <v>221107</v>
      </c>
      <c r="Q48" t="s">
        <v>43</v>
      </c>
      <c r="R48" t="s">
        <v>44</v>
      </c>
      <c r="S48" t="s">
        <v>45</v>
      </c>
      <c r="T48">
        <v>90</v>
      </c>
      <c r="U48">
        <v>1</v>
      </c>
      <c r="V48" s="2">
        <v>4.1666666666666664E-2</v>
      </c>
      <c r="W48">
        <v>90</v>
      </c>
      <c r="X48">
        <v>120</v>
      </c>
      <c r="Y48">
        <v>30</v>
      </c>
      <c r="Z48" t="s">
        <v>149</v>
      </c>
      <c r="AA48" t="s">
        <v>46</v>
      </c>
      <c r="AB48" t="s">
        <v>47</v>
      </c>
      <c r="AC48" t="s">
        <v>53</v>
      </c>
      <c r="AD48" t="s">
        <v>48</v>
      </c>
      <c r="AE48">
        <f t="shared" si="2"/>
        <v>3</v>
      </c>
      <c r="AF48" t="str">
        <f t="shared" si="1"/>
        <v>March</v>
      </c>
    </row>
    <row r="49" spans="1:32" x14ac:dyDescent="0.3">
      <c r="A49" s="1">
        <v>45359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81</v>
      </c>
      <c r="P49">
        <v>221735</v>
      </c>
      <c r="Q49" t="s">
        <v>43</v>
      </c>
      <c r="R49" t="s">
        <v>44</v>
      </c>
      <c r="S49" t="s">
        <v>45</v>
      </c>
      <c r="T49">
        <v>90</v>
      </c>
      <c r="U49">
        <v>0.5</v>
      </c>
      <c r="V49" s="2">
        <v>2.0833333333333332E-2</v>
      </c>
      <c r="W49">
        <v>45</v>
      </c>
      <c r="X49">
        <v>60</v>
      </c>
      <c r="Y49">
        <v>15</v>
      </c>
      <c r="Z49" t="s">
        <v>149</v>
      </c>
      <c r="AA49" t="s">
        <v>46</v>
      </c>
      <c r="AB49" t="s">
        <v>47</v>
      </c>
      <c r="AC49" t="s">
        <v>53</v>
      </c>
      <c r="AD49" t="s">
        <v>48</v>
      </c>
      <c r="AE49">
        <f t="shared" si="2"/>
        <v>3</v>
      </c>
      <c r="AF49" t="str">
        <f t="shared" si="1"/>
        <v>March</v>
      </c>
    </row>
    <row r="50" spans="1:32" x14ac:dyDescent="0.3">
      <c r="A50" s="1">
        <v>45362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81</v>
      </c>
      <c r="P50">
        <v>222478</v>
      </c>
      <c r="Q50" t="s">
        <v>43</v>
      </c>
      <c r="R50" t="s">
        <v>44</v>
      </c>
      <c r="S50" t="s">
        <v>45</v>
      </c>
      <c r="T50">
        <v>90</v>
      </c>
      <c r="U50">
        <v>2.75</v>
      </c>
      <c r="V50" s="2">
        <v>0.11458333333333333</v>
      </c>
      <c r="W50">
        <v>247.5</v>
      </c>
      <c r="X50">
        <v>330</v>
      </c>
      <c r="Y50">
        <v>82.5</v>
      </c>
      <c r="Z50" t="s">
        <v>149</v>
      </c>
      <c r="AA50" t="s">
        <v>46</v>
      </c>
      <c r="AB50" t="s">
        <v>47</v>
      </c>
      <c r="AC50" t="s">
        <v>53</v>
      </c>
      <c r="AD50" t="s">
        <v>48</v>
      </c>
      <c r="AE50">
        <f t="shared" ref="AE50:AE54" si="3">MONTH(A50)</f>
        <v>3</v>
      </c>
      <c r="AF50" t="str">
        <f t="shared" ref="AF50:AF54" si="4">IF(AE50=1,"January",IF(AE50=2,"February",IF(AE50=3,"March",IF(AE50=4,"April",IF(AE50=5,"May")))))</f>
        <v>March</v>
      </c>
    </row>
    <row r="51" spans="1:32" x14ac:dyDescent="0.3">
      <c r="A51" s="1">
        <v>45363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81</v>
      </c>
      <c r="P51">
        <v>223124</v>
      </c>
      <c r="Q51" t="s">
        <v>43</v>
      </c>
      <c r="R51" t="s">
        <v>44</v>
      </c>
      <c r="S51" t="s">
        <v>45</v>
      </c>
      <c r="T51">
        <v>90</v>
      </c>
      <c r="U51">
        <v>0.5</v>
      </c>
      <c r="V51" s="2">
        <v>2.0833333333333332E-2</v>
      </c>
      <c r="W51">
        <v>45</v>
      </c>
      <c r="X51">
        <v>60</v>
      </c>
      <c r="Y51">
        <v>15</v>
      </c>
      <c r="Z51" t="s">
        <v>149</v>
      </c>
      <c r="AA51" t="s">
        <v>46</v>
      </c>
      <c r="AB51" t="s">
        <v>47</v>
      </c>
      <c r="AC51" t="s">
        <v>53</v>
      </c>
      <c r="AD51" t="s">
        <v>48</v>
      </c>
      <c r="AE51">
        <f t="shared" si="3"/>
        <v>3</v>
      </c>
      <c r="AF51" t="str">
        <f t="shared" si="4"/>
        <v>March</v>
      </c>
    </row>
    <row r="52" spans="1:32" x14ac:dyDescent="0.3">
      <c r="A52" s="1">
        <v>45364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81</v>
      </c>
      <c r="P52">
        <v>223117</v>
      </c>
      <c r="Q52" t="s">
        <v>43</v>
      </c>
      <c r="R52" t="s">
        <v>44</v>
      </c>
      <c r="S52" t="s">
        <v>45</v>
      </c>
      <c r="T52">
        <v>90</v>
      </c>
      <c r="U52">
        <v>0.25</v>
      </c>
      <c r="V52" s="2">
        <v>1.0416666666666666E-2</v>
      </c>
      <c r="W52">
        <v>22.5</v>
      </c>
      <c r="X52">
        <v>30</v>
      </c>
      <c r="Y52">
        <v>7.5</v>
      </c>
      <c r="Z52" t="s">
        <v>149</v>
      </c>
      <c r="AA52" t="s">
        <v>46</v>
      </c>
      <c r="AB52" t="s">
        <v>47</v>
      </c>
      <c r="AC52" t="s">
        <v>53</v>
      </c>
      <c r="AD52" t="s">
        <v>48</v>
      </c>
      <c r="AE52">
        <f t="shared" si="3"/>
        <v>3</v>
      </c>
      <c r="AF52" t="str">
        <f t="shared" si="4"/>
        <v>March</v>
      </c>
    </row>
    <row r="53" spans="1:32" x14ac:dyDescent="0.3">
      <c r="A53" s="1">
        <v>45366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81</v>
      </c>
      <c r="P53">
        <v>224079</v>
      </c>
      <c r="Q53" t="s">
        <v>43</v>
      </c>
      <c r="R53" t="s">
        <v>44</v>
      </c>
      <c r="S53" t="s">
        <v>45</v>
      </c>
      <c r="T53">
        <v>90</v>
      </c>
      <c r="U53">
        <v>2.25</v>
      </c>
      <c r="V53" s="2">
        <v>9.375E-2</v>
      </c>
      <c r="W53">
        <v>202.5</v>
      </c>
      <c r="X53">
        <v>270</v>
      </c>
      <c r="Y53">
        <v>67.5</v>
      </c>
      <c r="Z53" t="s">
        <v>149</v>
      </c>
      <c r="AA53" t="s">
        <v>46</v>
      </c>
      <c r="AB53" t="s">
        <v>47</v>
      </c>
      <c r="AC53" t="s">
        <v>53</v>
      </c>
      <c r="AD53" t="s">
        <v>48</v>
      </c>
      <c r="AE53">
        <f t="shared" si="3"/>
        <v>3</v>
      </c>
      <c r="AF53" t="str">
        <f t="shared" si="4"/>
        <v>March</v>
      </c>
    </row>
    <row r="54" spans="1:32" x14ac:dyDescent="0.3">
      <c r="A54" s="1">
        <v>45369</v>
      </c>
      <c r="B54" t="s">
        <v>49</v>
      </c>
      <c r="C54" t="s">
        <v>50</v>
      </c>
      <c r="D54" t="s">
        <v>32</v>
      </c>
      <c r="E54" t="s">
        <v>51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52</v>
      </c>
      <c r="O54" t="s">
        <v>81</v>
      </c>
      <c r="P54">
        <v>225270</v>
      </c>
      <c r="Q54" t="s">
        <v>43</v>
      </c>
      <c r="R54" t="s">
        <v>44</v>
      </c>
      <c r="S54" t="s">
        <v>45</v>
      </c>
      <c r="T54">
        <v>90</v>
      </c>
      <c r="U54">
        <v>1.75</v>
      </c>
      <c r="V54" s="2">
        <v>7.2916666666666671E-2</v>
      </c>
      <c r="W54">
        <v>157.5</v>
      </c>
      <c r="X54">
        <v>210</v>
      </c>
      <c r="Y54">
        <v>52.5</v>
      </c>
      <c r="Z54" t="s">
        <v>149</v>
      </c>
      <c r="AA54" t="s">
        <v>46</v>
      </c>
      <c r="AB54" t="s">
        <v>47</v>
      </c>
      <c r="AC54" t="s">
        <v>53</v>
      </c>
      <c r="AD54" t="s">
        <v>48</v>
      </c>
      <c r="AE54">
        <f t="shared" si="3"/>
        <v>3</v>
      </c>
      <c r="AF54" t="str">
        <f t="shared" si="4"/>
        <v>March</v>
      </c>
    </row>
    <row r="55" spans="1:32" x14ac:dyDescent="0.3">
      <c r="A55" s="1">
        <v>45370</v>
      </c>
      <c r="B55" t="s">
        <v>49</v>
      </c>
      <c r="C55" t="s">
        <v>50</v>
      </c>
      <c r="D55" t="s">
        <v>32</v>
      </c>
      <c r="E55" t="s">
        <v>51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52</v>
      </c>
      <c r="O55" t="s">
        <v>81</v>
      </c>
      <c r="P55">
        <v>225840</v>
      </c>
      <c r="Q55" t="s">
        <v>43</v>
      </c>
      <c r="R55" t="s">
        <v>44</v>
      </c>
      <c r="S55" t="s">
        <v>45</v>
      </c>
      <c r="T55">
        <v>90</v>
      </c>
      <c r="U55">
        <v>1.25</v>
      </c>
      <c r="V55" s="2">
        <v>5.2083333333333336E-2</v>
      </c>
      <c r="W55">
        <v>112.5</v>
      </c>
      <c r="X55">
        <v>150</v>
      </c>
      <c r="Y55">
        <v>37.5</v>
      </c>
      <c r="Z55" t="s">
        <v>149</v>
      </c>
      <c r="AA55" t="s">
        <v>46</v>
      </c>
      <c r="AB55" t="s">
        <v>47</v>
      </c>
      <c r="AC55" t="s">
        <v>53</v>
      </c>
      <c r="AD55" t="s">
        <v>48</v>
      </c>
      <c r="AE55">
        <f t="shared" ref="AE55:AE63" si="5">MONTH(A55)</f>
        <v>3</v>
      </c>
      <c r="AF55" t="str">
        <f t="shared" ref="AF55:AF63" si="6">IF(AE55=1,"January",IF(AE55=2,"February",IF(AE55=3,"March",IF(AE55=4,"April",IF(AE55=5,"May")))))</f>
        <v>March</v>
      </c>
    </row>
    <row r="56" spans="1:32" x14ac:dyDescent="0.3">
      <c r="A56" s="1">
        <v>45371</v>
      </c>
      <c r="B56" t="s">
        <v>49</v>
      </c>
      <c r="C56" t="s">
        <v>50</v>
      </c>
      <c r="D56" t="s">
        <v>32</v>
      </c>
      <c r="E56" t="s">
        <v>51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52</v>
      </c>
      <c r="O56" t="s">
        <v>81</v>
      </c>
      <c r="P56">
        <v>225836</v>
      </c>
      <c r="Q56" t="s">
        <v>43</v>
      </c>
      <c r="R56" t="s">
        <v>44</v>
      </c>
      <c r="S56" t="s">
        <v>45</v>
      </c>
      <c r="T56">
        <v>90</v>
      </c>
      <c r="U56">
        <v>1.75</v>
      </c>
      <c r="V56" s="2">
        <v>7.2916666666666671E-2</v>
      </c>
      <c r="W56">
        <v>157.5</v>
      </c>
      <c r="X56">
        <v>210</v>
      </c>
      <c r="Y56">
        <v>52.5</v>
      </c>
      <c r="Z56" t="s">
        <v>149</v>
      </c>
      <c r="AA56" t="s">
        <v>46</v>
      </c>
      <c r="AB56" t="s">
        <v>47</v>
      </c>
      <c r="AC56" t="s">
        <v>53</v>
      </c>
      <c r="AD56" t="s">
        <v>48</v>
      </c>
      <c r="AE56">
        <f t="shared" si="5"/>
        <v>3</v>
      </c>
      <c r="AF56" t="str">
        <f t="shared" si="6"/>
        <v>March</v>
      </c>
    </row>
    <row r="57" spans="1:32" x14ac:dyDescent="0.3">
      <c r="A57" s="1">
        <v>45373</v>
      </c>
      <c r="B57" t="s">
        <v>49</v>
      </c>
      <c r="C57" t="s">
        <v>50</v>
      </c>
      <c r="D57" t="s">
        <v>32</v>
      </c>
      <c r="E57" t="s">
        <v>51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52</v>
      </c>
      <c r="O57" t="s">
        <v>81</v>
      </c>
      <c r="P57">
        <v>226473</v>
      </c>
      <c r="Q57" t="s">
        <v>43</v>
      </c>
      <c r="R57" t="s">
        <v>44</v>
      </c>
      <c r="S57" t="s">
        <v>45</v>
      </c>
      <c r="T57">
        <v>90</v>
      </c>
      <c r="U57">
        <v>1.5</v>
      </c>
      <c r="V57" s="2">
        <v>6.25E-2</v>
      </c>
      <c r="W57">
        <v>135</v>
      </c>
      <c r="X57">
        <v>180</v>
      </c>
      <c r="Y57">
        <v>45</v>
      </c>
      <c r="Z57" t="s">
        <v>149</v>
      </c>
      <c r="AA57" t="s">
        <v>46</v>
      </c>
      <c r="AB57" t="s">
        <v>47</v>
      </c>
      <c r="AC57" t="s">
        <v>53</v>
      </c>
      <c r="AD57" t="s">
        <v>48</v>
      </c>
      <c r="AE57">
        <f t="shared" si="5"/>
        <v>3</v>
      </c>
      <c r="AF57" t="str">
        <f t="shared" si="6"/>
        <v>March</v>
      </c>
    </row>
    <row r="58" spans="1:32" x14ac:dyDescent="0.3">
      <c r="A58" s="1">
        <v>45376</v>
      </c>
      <c r="B58" t="s">
        <v>49</v>
      </c>
      <c r="C58" t="s">
        <v>50</v>
      </c>
      <c r="D58" t="s">
        <v>32</v>
      </c>
      <c r="E58" t="s">
        <v>51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52</v>
      </c>
      <c r="O58" t="s">
        <v>81</v>
      </c>
      <c r="P58">
        <v>227596</v>
      </c>
      <c r="Q58" t="s">
        <v>43</v>
      </c>
      <c r="R58" t="s">
        <v>44</v>
      </c>
      <c r="S58" t="s">
        <v>45</v>
      </c>
      <c r="T58">
        <v>90</v>
      </c>
      <c r="U58">
        <v>2.25</v>
      </c>
      <c r="V58" s="2">
        <v>9.375E-2</v>
      </c>
      <c r="W58">
        <v>202.5</v>
      </c>
      <c r="X58">
        <v>270</v>
      </c>
      <c r="Y58">
        <v>67.5</v>
      </c>
      <c r="Z58" t="s">
        <v>149</v>
      </c>
      <c r="AA58" t="s">
        <v>46</v>
      </c>
      <c r="AB58" t="s">
        <v>47</v>
      </c>
      <c r="AC58" t="s">
        <v>53</v>
      </c>
      <c r="AD58" t="s">
        <v>48</v>
      </c>
      <c r="AE58">
        <f t="shared" si="5"/>
        <v>3</v>
      </c>
      <c r="AF58" t="str">
        <f t="shared" si="6"/>
        <v>March</v>
      </c>
    </row>
    <row r="59" spans="1:32" x14ac:dyDescent="0.3">
      <c r="A59" s="1">
        <v>45377</v>
      </c>
      <c r="B59" t="s">
        <v>49</v>
      </c>
      <c r="C59" t="s">
        <v>50</v>
      </c>
      <c r="D59" t="s">
        <v>32</v>
      </c>
      <c r="E59" t="s">
        <v>51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52</v>
      </c>
      <c r="O59" t="s">
        <v>81</v>
      </c>
      <c r="P59">
        <v>227592</v>
      </c>
      <c r="Q59" t="s">
        <v>43</v>
      </c>
      <c r="R59" t="s">
        <v>44</v>
      </c>
      <c r="S59" t="s">
        <v>45</v>
      </c>
      <c r="T59">
        <v>90</v>
      </c>
      <c r="U59">
        <v>1.5</v>
      </c>
      <c r="V59" s="2">
        <v>6.25E-2</v>
      </c>
      <c r="W59">
        <v>135</v>
      </c>
      <c r="X59">
        <v>180</v>
      </c>
      <c r="Y59">
        <v>45</v>
      </c>
      <c r="Z59" t="s">
        <v>149</v>
      </c>
      <c r="AA59" t="s">
        <v>46</v>
      </c>
      <c r="AB59" t="s">
        <v>47</v>
      </c>
      <c r="AC59" t="s">
        <v>53</v>
      </c>
      <c r="AD59" t="s">
        <v>48</v>
      </c>
      <c r="AE59">
        <f t="shared" si="5"/>
        <v>3</v>
      </c>
      <c r="AF59" t="str">
        <f t="shared" si="6"/>
        <v>March</v>
      </c>
    </row>
    <row r="60" spans="1:32" x14ac:dyDescent="0.3">
      <c r="A60" s="1">
        <v>45378</v>
      </c>
      <c r="B60" t="s">
        <v>49</v>
      </c>
      <c r="C60" t="s">
        <v>50</v>
      </c>
      <c r="D60" t="s">
        <v>32</v>
      </c>
      <c r="E60" t="s">
        <v>51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52</v>
      </c>
      <c r="O60" t="s">
        <v>81</v>
      </c>
      <c r="P60">
        <v>228791</v>
      </c>
      <c r="Q60" t="s">
        <v>43</v>
      </c>
      <c r="R60" t="s">
        <v>44</v>
      </c>
      <c r="S60" t="s">
        <v>45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149</v>
      </c>
      <c r="AA60" t="s">
        <v>46</v>
      </c>
      <c r="AB60" t="s">
        <v>47</v>
      </c>
      <c r="AC60" t="s">
        <v>53</v>
      </c>
      <c r="AD60" t="s">
        <v>48</v>
      </c>
      <c r="AE60">
        <f t="shared" si="5"/>
        <v>3</v>
      </c>
      <c r="AF60" t="str">
        <f t="shared" si="6"/>
        <v>March</v>
      </c>
    </row>
    <row r="61" spans="1:32" x14ac:dyDescent="0.3">
      <c r="A61" s="1">
        <v>45355</v>
      </c>
      <c r="B61" t="s">
        <v>73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41</v>
      </c>
      <c r="O61" t="s">
        <v>81</v>
      </c>
      <c r="P61">
        <v>221465</v>
      </c>
      <c r="Q61" t="s">
        <v>43</v>
      </c>
      <c r="R61" t="s">
        <v>44</v>
      </c>
      <c r="S61" t="s">
        <v>45</v>
      </c>
      <c r="T61">
        <v>90</v>
      </c>
      <c r="U61">
        <v>8.5</v>
      </c>
      <c r="V61" s="2">
        <v>0.35416666666666669</v>
      </c>
      <c r="W61">
        <v>765</v>
      </c>
      <c r="X61">
        <v>1020</v>
      </c>
      <c r="Y61">
        <v>255</v>
      </c>
      <c r="Z61" t="s">
        <v>149</v>
      </c>
      <c r="AA61" t="s">
        <v>46</v>
      </c>
      <c r="AB61" t="s">
        <v>47</v>
      </c>
      <c r="AC61" t="e">
        <f>-- Grainger Website Integration Standup -- Code walkthrough of existing LWC component -- Org setup</f>
        <v>#NAME?</v>
      </c>
      <c r="AD61" t="s">
        <v>48</v>
      </c>
      <c r="AE61">
        <f t="shared" si="5"/>
        <v>3</v>
      </c>
      <c r="AF61" t="str">
        <f t="shared" si="6"/>
        <v>March</v>
      </c>
    </row>
    <row r="62" spans="1:32" x14ac:dyDescent="0.3">
      <c r="A62" s="1">
        <v>45356</v>
      </c>
      <c r="B62" t="s">
        <v>73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41</v>
      </c>
      <c r="O62" t="s">
        <v>81</v>
      </c>
      <c r="P62">
        <v>221467</v>
      </c>
      <c r="Q62" t="s">
        <v>43</v>
      </c>
      <c r="R62" t="s">
        <v>44</v>
      </c>
      <c r="S62" t="s">
        <v>45</v>
      </c>
      <c r="T62">
        <v>90</v>
      </c>
      <c r="U62">
        <v>8.5</v>
      </c>
      <c r="V62" s="2">
        <v>0.35416666666666669</v>
      </c>
      <c r="W62">
        <v>765</v>
      </c>
      <c r="X62">
        <v>1020</v>
      </c>
      <c r="Y62">
        <v>255</v>
      </c>
      <c r="Z62" t="s">
        <v>149</v>
      </c>
      <c r="AA62" t="s">
        <v>46</v>
      </c>
      <c r="AB62" t="s">
        <v>47</v>
      </c>
      <c r="AC62" t="s">
        <v>74</v>
      </c>
      <c r="AD62" t="s">
        <v>48</v>
      </c>
      <c r="AE62">
        <f t="shared" si="5"/>
        <v>3</v>
      </c>
      <c r="AF62" t="str">
        <f t="shared" si="6"/>
        <v>March</v>
      </c>
    </row>
    <row r="63" spans="1:32" x14ac:dyDescent="0.3">
      <c r="A63" s="1">
        <v>45357</v>
      </c>
      <c r="B63" t="s">
        <v>73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41</v>
      </c>
      <c r="O63" t="s">
        <v>81</v>
      </c>
      <c r="P63">
        <v>221468</v>
      </c>
      <c r="Q63" t="s">
        <v>43</v>
      </c>
      <c r="R63" t="s">
        <v>44</v>
      </c>
      <c r="S63" t="s">
        <v>45</v>
      </c>
      <c r="T63">
        <v>90</v>
      </c>
      <c r="U63">
        <v>8.5</v>
      </c>
      <c r="V63" s="2">
        <v>0.35416666666666669</v>
      </c>
      <c r="W63">
        <v>765</v>
      </c>
      <c r="X63">
        <v>1020</v>
      </c>
      <c r="Y63">
        <v>255</v>
      </c>
      <c r="Z63" t="s">
        <v>149</v>
      </c>
      <c r="AA63" t="s">
        <v>46</v>
      </c>
      <c r="AB63" t="s">
        <v>47</v>
      </c>
      <c r="AC63" t="s">
        <v>75</v>
      </c>
      <c r="AD63" t="s">
        <v>48</v>
      </c>
      <c r="AE63">
        <f t="shared" si="5"/>
        <v>3</v>
      </c>
      <c r="AF63" t="str">
        <f t="shared" si="6"/>
        <v>March</v>
      </c>
    </row>
    <row r="64" spans="1:32" x14ac:dyDescent="0.3">
      <c r="A64" s="1">
        <v>45358</v>
      </c>
      <c r="B64" t="s">
        <v>73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41</v>
      </c>
      <c r="O64" t="s">
        <v>81</v>
      </c>
      <c r="P64">
        <v>221469</v>
      </c>
      <c r="Q64" t="s">
        <v>43</v>
      </c>
      <c r="R64" t="s">
        <v>44</v>
      </c>
      <c r="S64" t="s">
        <v>45</v>
      </c>
      <c r="T64">
        <v>90</v>
      </c>
      <c r="U64">
        <v>8.5</v>
      </c>
      <c r="V64" s="2">
        <v>0.35416666666666669</v>
      </c>
      <c r="W64">
        <v>765</v>
      </c>
      <c r="X64">
        <v>1020</v>
      </c>
      <c r="Y64">
        <v>255</v>
      </c>
      <c r="Z64" t="s">
        <v>149</v>
      </c>
      <c r="AA64" t="s">
        <v>46</v>
      </c>
      <c r="AB64" t="s">
        <v>47</v>
      </c>
      <c r="AC64" t="s">
        <v>76</v>
      </c>
      <c r="AD64" t="s">
        <v>48</v>
      </c>
      <c r="AE64">
        <f t="shared" ref="AE64:AE80" si="7">MONTH(A64)</f>
        <v>3</v>
      </c>
      <c r="AF64" t="str">
        <f t="shared" ref="AF64:AF80" si="8">IF(AE64=1,"January",IF(AE64=2,"February",IF(AE64=3,"March",IF(AE64=4,"April",IF(AE64=5,"May")))))</f>
        <v>March</v>
      </c>
    </row>
    <row r="65" spans="1:32" x14ac:dyDescent="0.3">
      <c r="A65" s="1">
        <v>45359</v>
      </c>
      <c r="B65" t="s">
        <v>73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41</v>
      </c>
      <c r="O65" t="s">
        <v>81</v>
      </c>
      <c r="P65">
        <v>221473</v>
      </c>
      <c r="Q65" t="s">
        <v>43</v>
      </c>
      <c r="R65" t="s">
        <v>44</v>
      </c>
      <c r="S65" t="s">
        <v>45</v>
      </c>
      <c r="T65">
        <v>90</v>
      </c>
      <c r="U65">
        <v>8.5</v>
      </c>
      <c r="V65" s="2">
        <v>0.35416666666666669</v>
      </c>
      <c r="W65">
        <v>765</v>
      </c>
      <c r="X65">
        <v>1020</v>
      </c>
      <c r="Y65">
        <v>255</v>
      </c>
      <c r="Z65" t="s">
        <v>149</v>
      </c>
      <c r="AA65" t="s">
        <v>46</v>
      </c>
      <c r="AB65" t="s">
        <v>47</v>
      </c>
      <c r="AC65" t="s">
        <v>77</v>
      </c>
      <c r="AD65" t="s">
        <v>48</v>
      </c>
      <c r="AE65">
        <f t="shared" si="7"/>
        <v>3</v>
      </c>
      <c r="AF65" t="str">
        <f t="shared" si="8"/>
        <v>March</v>
      </c>
    </row>
    <row r="66" spans="1:32" x14ac:dyDescent="0.3">
      <c r="A66" s="1">
        <v>45362</v>
      </c>
      <c r="B66" t="s">
        <v>73</v>
      </c>
      <c r="C66" t="s">
        <v>31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41</v>
      </c>
      <c r="O66" t="s">
        <v>81</v>
      </c>
      <c r="P66">
        <v>223686</v>
      </c>
      <c r="Q66" t="s">
        <v>43</v>
      </c>
      <c r="R66" t="s">
        <v>44</v>
      </c>
      <c r="S66" t="s">
        <v>45</v>
      </c>
      <c r="T66">
        <v>90</v>
      </c>
      <c r="U66">
        <v>9.5</v>
      </c>
      <c r="V66" s="2">
        <v>0.39583333333333331</v>
      </c>
      <c r="W66">
        <v>855</v>
      </c>
      <c r="X66">
        <v>1140</v>
      </c>
      <c r="Y66">
        <v>285</v>
      </c>
      <c r="Z66" t="s">
        <v>149</v>
      </c>
      <c r="AA66" t="s">
        <v>46</v>
      </c>
      <c r="AB66" t="s">
        <v>47</v>
      </c>
      <c r="AC66" t="s">
        <v>93</v>
      </c>
      <c r="AD66" t="s">
        <v>48</v>
      </c>
      <c r="AE66">
        <f t="shared" si="7"/>
        <v>3</v>
      </c>
      <c r="AF66" t="str">
        <f t="shared" si="8"/>
        <v>March</v>
      </c>
    </row>
    <row r="67" spans="1:32" x14ac:dyDescent="0.3">
      <c r="A67" s="1">
        <v>45363</v>
      </c>
      <c r="B67" t="s">
        <v>73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41</v>
      </c>
      <c r="O67" t="s">
        <v>81</v>
      </c>
      <c r="P67">
        <v>223687</v>
      </c>
      <c r="Q67" t="s">
        <v>43</v>
      </c>
      <c r="R67" t="s">
        <v>44</v>
      </c>
      <c r="S67" t="s">
        <v>45</v>
      </c>
      <c r="T67">
        <v>90</v>
      </c>
      <c r="U67">
        <v>9</v>
      </c>
      <c r="V67" s="2">
        <v>0.375</v>
      </c>
      <c r="W67">
        <v>810</v>
      </c>
      <c r="X67">
        <v>1080</v>
      </c>
      <c r="Y67">
        <v>270</v>
      </c>
      <c r="Z67" t="s">
        <v>149</v>
      </c>
      <c r="AA67" t="s">
        <v>46</v>
      </c>
      <c r="AB67" t="s">
        <v>47</v>
      </c>
      <c r="AC67" t="s">
        <v>94</v>
      </c>
      <c r="AD67" t="s">
        <v>48</v>
      </c>
      <c r="AE67">
        <f t="shared" si="7"/>
        <v>3</v>
      </c>
      <c r="AF67" t="str">
        <f t="shared" si="8"/>
        <v>March</v>
      </c>
    </row>
    <row r="68" spans="1:32" x14ac:dyDescent="0.3">
      <c r="A68" s="1">
        <v>45364</v>
      </c>
      <c r="B68" t="s">
        <v>73</v>
      </c>
      <c r="C68" t="s">
        <v>31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41</v>
      </c>
      <c r="O68" t="s">
        <v>81</v>
      </c>
      <c r="P68">
        <v>223688</v>
      </c>
      <c r="Q68" t="s">
        <v>43</v>
      </c>
      <c r="R68" t="s">
        <v>44</v>
      </c>
      <c r="S68" t="s">
        <v>45</v>
      </c>
      <c r="T68">
        <v>90</v>
      </c>
      <c r="U68">
        <v>9</v>
      </c>
      <c r="V68" s="2">
        <v>0.375</v>
      </c>
      <c r="W68">
        <v>810</v>
      </c>
      <c r="X68">
        <v>1080</v>
      </c>
      <c r="Y68">
        <v>270</v>
      </c>
      <c r="Z68" t="s">
        <v>149</v>
      </c>
      <c r="AA68" t="s">
        <v>46</v>
      </c>
      <c r="AB68" t="s">
        <v>47</v>
      </c>
      <c r="AC68" t="s">
        <v>95</v>
      </c>
      <c r="AD68" t="s">
        <v>48</v>
      </c>
      <c r="AE68">
        <f t="shared" si="7"/>
        <v>3</v>
      </c>
      <c r="AF68" t="str">
        <f t="shared" si="8"/>
        <v>March</v>
      </c>
    </row>
    <row r="69" spans="1:32" x14ac:dyDescent="0.3">
      <c r="A69" s="1">
        <v>45365</v>
      </c>
      <c r="B69" t="s">
        <v>73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41</v>
      </c>
      <c r="O69" t="s">
        <v>81</v>
      </c>
      <c r="P69">
        <v>223685</v>
      </c>
      <c r="Q69" t="s">
        <v>43</v>
      </c>
      <c r="R69" t="s">
        <v>44</v>
      </c>
      <c r="S69" t="s">
        <v>45</v>
      </c>
      <c r="T69">
        <v>90</v>
      </c>
      <c r="U69">
        <v>11</v>
      </c>
      <c r="V69" s="2">
        <v>0.45833333333333331</v>
      </c>
      <c r="W69">
        <v>990</v>
      </c>
      <c r="X69">
        <v>1320</v>
      </c>
      <c r="Y69">
        <v>330</v>
      </c>
      <c r="Z69" t="s">
        <v>149</v>
      </c>
      <c r="AA69" t="s">
        <v>46</v>
      </c>
      <c r="AB69" t="s">
        <v>47</v>
      </c>
      <c r="AC69" t="s">
        <v>96</v>
      </c>
      <c r="AD69" t="s">
        <v>48</v>
      </c>
      <c r="AE69">
        <f t="shared" si="7"/>
        <v>3</v>
      </c>
      <c r="AF69" t="str">
        <f t="shared" si="8"/>
        <v>March</v>
      </c>
    </row>
    <row r="70" spans="1:32" x14ac:dyDescent="0.3">
      <c r="A70" s="1">
        <v>45366</v>
      </c>
      <c r="B70" t="s">
        <v>73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41</v>
      </c>
      <c r="O70" t="s">
        <v>81</v>
      </c>
      <c r="P70">
        <v>224214</v>
      </c>
      <c r="Q70" t="s">
        <v>43</v>
      </c>
      <c r="R70" t="s">
        <v>44</v>
      </c>
      <c r="S70" t="s">
        <v>45</v>
      </c>
      <c r="T70">
        <v>90</v>
      </c>
      <c r="U70">
        <v>8.5</v>
      </c>
      <c r="V70" s="2">
        <v>0.35416666666666669</v>
      </c>
      <c r="W70">
        <v>765</v>
      </c>
      <c r="X70">
        <v>1020</v>
      </c>
      <c r="Y70">
        <v>255</v>
      </c>
      <c r="Z70" t="s">
        <v>149</v>
      </c>
      <c r="AA70" t="s">
        <v>46</v>
      </c>
      <c r="AB70" t="s">
        <v>47</v>
      </c>
      <c r="AC70" t="s">
        <v>96</v>
      </c>
      <c r="AD70" t="s">
        <v>48</v>
      </c>
      <c r="AE70">
        <f t="shared" si="7"/>
        <v>3</v>
      </c>
      <c r="AF70" t="str">
        <f t="shared" si="8"/>
        <v>March</v>
      </c>
    </row>
    <row r="71" spans="1:32" x14ac:dyDescent="0.3">
      <c r="A71" s="1">
        <v>45369</v>
      </c>
      <c r="B71" t="s">
        <v>73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41</v>
      </c>
      <c r="O71" t="s">
        <v>81</v>
      </c>
      <c r="P71">
        <v>225674</v>
      </c>
      <c r="Q71" t="s">
        <v>43</v>
      </c>
      <c r="R71" t="s">
        <v>44</v>
      </c>
      <c r="S71" t="s">
        <v>45</v>
      </c>
      <c r="T71">
        <v>90</v>
      </c>
      <c r="U71">
        <v>12</v>
      </c>
      <c r="V71" s="2">
        <v>0.5</v>
      </c>
      <c r="W71">
        <v>1080</v>
      </c>
      <c r="X71">
        <v>1440</v>
      </c>
      <c r="Y71">
        <v>360</v>
      </c>
      <c r="Z71" t="s">
        <v>149</v>
      </c>
      <c r="AA71" t="s">
        <v>46</v>
      </c>
      <c r="AB71" t="s">
        <v>47</v>
      </c>
      <c r="AC71" t="s">
        <v>106</v>
      </c>
      <c r="AD71" t="s">
        <v>48</v>
      </c>
      <c r="AE71">
        <f t="shared" si="7"/>
        <v>3</v>
      </c>
      <c r="AF71" t="str">
        <f t="shared" si="8"/>
        <v>March</v>
      </c>
    </row>
    <row r="72" spans="1:32" x14ac:dyDescent="0.3">
      <c r="A72" s="1">
        <v>45370</v>
      </c>
      <c r="B72" t="s">
        <v>73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41</v>
      </c>
      <c r="O72" t="s">
        <v>81</v>
      </c>
      <c r="P72">
        <v>225675</v>
      </c>
      <c r="Q72" t="s">
        <v>43</v>
      </c>
      <c r="R72" t="s">
        <v>44</v>
      </c>
      <c r="S72" t="s">
        <v>45</v>
      </c>
      <c r="T72">
        <v>90</v>
      </c>
      <c r="U72">
        <v>11</v>
      </c>
      <c r="V72" s="2">
        <v>0.45833333333333331</v>
      </c>
      <c r="W72">
        <v>990</v>
      </c>
      <c r="X72">
        <v>1320</v>
      </c>
      <c r="Y72">
        <v>330</v>
      </c>
      <c r="Z72" t="s">
        <v>149</v>
      </c>
      <c r="AA72" t="s">
        <v>46</v>
      </c>
      <c r="AB72" t="s">
        <v>47</v>
      </c>
      <c r="AC72" t="e">
        <f>-- Grainger Website Integration Standup -- Working on Test classes related to UAT deployment</f>
        <v>#NAME?</v>
      </c>
      <c r="AD72" t="s">
        <v>48</v>
      </c>
      <c r="AE72">
        <f t="shared" si="7"/>
        <v>3</v>
      </c>
      <c r="AF72" t="str">
        <f t="shared" si="8"/>
        <v>March</v>
      </c>
    </row>
    <row r="73" spans="1:32" x14ac:dyDescent="0.3">
      <c r="A73" s="1">
        <v>45377</v>
      </c>
      <c r="B73" t="s">
        <v>73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41</v>
      </c>
      <c r="O73" t="s">
        <v>81</v>
      </c>
      <c r="P73">
        <v>229435</v>
      </c>
      <c r="Q73" t="s">
        <v>143</v>
      </c>
      <c r="R73" t="s">
        <v>44</v>
      </c>
      <c r="S73" t="s">
        <v>45</v>
      </c>
      <c r="T73">
        <v>90</v>
      </c>
      <c r="U73">
        <v>2</v>
      </c>
      <c r="V73" s="2">
        <v>8.3333333333333329E-2</v>
      </c>
      <c r="W73">
        <v>180</v>
      </c>
      <c r="X73">
        <v>240</v>
      </c>
      <c r="Y73">
        <v>60</v>
      </c>
      <c r="Z73" t="s">
        <v>149</v>
      </c>
      <c r="AA73" t="s">
        <v>46</v>
      </c>
      <c r="AB73" t="s">
        <v>47</v>
      </c>
      <c r="AC73" t="s">
        <v>148</v>
      </c>
      <c r="AD73" t="s">
        <v>48</v>
      </c>
      <c r="AE73">
        <f t="shared" si="7"/>
        <v>3</v>
      </c>
      <c r="AF73" t="str">
        <f t="shared" si="8"/>
        <v>March</v>
      </c>
    </row>
    <row r="74" spans="1:32" x14ac:dyDescent="0.3">
      <c r="A74" s="1">
        <v>45324</v>
      </c>
      <c r="B74" t="s">
        <v>41</v>
      </c>
      <c r="C74" t="s">
        <v>50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53</v>
      </c>
      <c r="O74" t="s">
        <v>81</v>
      </c>
      <c r="P74">
        <v>215409</v>
      </c>
      <c r="Q74" t="s">
        <v>43</v>
      </c>
      <c r="R74" t="s">
        <v>44</v>
      </c>
      <c r="S74" t="s">
        <v>45</v>
      </c>
      <c r="T74">
        <v>90</v>
      </c>
      <c r="U74">
        <v>1</v>
      </c>
      <c r="V74" s="2">
        <v>4.1666666666666664E-2</v>
      </c>
      <c r="W74">
        <v>90</v>
      </c>
      <c r="X74">
        <v>120</v>
      </c>
      <c r="Y74">
        <v>30</v>
      </c>
      <c r="Z74" t="s">
        <v>98</v>
      </c>
      <c r="AA74" t="s">
        <v>46</v>
      </c>
      <c r="AB74" t="s">
        <v>47</v>
      </c>
      <c r="AC74" t="s">
        <v>100</v>
      </c>
      <c r="AD74" t="s">
        <v>48</v>
      </c>
      <c r="AE74">
        <f t="shared" si="7"/>
        <v>2</v>
      </c>
      <c r="AF74" t="str">
        <f t="shared" si="8"/>
        <v>February</v>
      </c>
    </row>
    <row r="75" spans="1:32" x14ac:dyDescent="0.3">
      <c r="A75" s="1">
        <v>45337</v>
      </c>
      <c r="B75" t="s">
        <v>41</v>
      </c>
      <c r="C75" t="s">
        <v>50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53</v>
      </c>
      <c r="O75" t="s">
        <v>81</v>
      </c>
      <c r="P75">
        <v>215527</v>
      </c>
      <c r="Q75" t="s">
        <v>43</v>
      </c>
      <c r="R75" t="s">
        <v>44</v>
      </c>
      <c r="S75" t="s">
        <v>45</v>
      </c>
      <c r="T75">
        <v>90</v>
      </c>
      <c r="U75">
        <v>1</v>
      </c>
      <c r="V75" s="2">
        <v>4.1666666666666664E-2</v>
      </c>
      <c r="W75">
        <v>90</v>
      </c>
      <c r="X75">
        <v>120</v>
      </c>
      <c r="Y75">
        <v>30</v>
      </c>
      <c r="Z75" t="s">
        <v>98</v>
      </c>
      <c r="AA75" t="s">
        <v>46</v>
      </c>
      <c r="AB75" t="s">
        <v>47</v>
      </c>
      <c r="AC75" t="s">
        <v>101</v>
      </c>
      <c r="AD75" t="s">
        <v>48</v>
      </c>
      <c r="AE75">
        <f t="shared" si="7"/>
        <v>2</v>
      </c>
      <c r="AF75" t="str">
        <f t="shared" si="8"/>
        <v>February</v>
      </c>
    </row>
    <row r="76" spans="1:32" x14ac:dyDescent="0.3">
      <c r="A76" s="1">
        <v>45342</v>
      </c>
      <c r="B76" t="s">
        <v>41</v>
      </c>
      <c r="C76" t="s">
        <v>50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53</v>
      </c>
      <c r="O76" t="s">
        <v>81</v>
      </c>
      <c r="P76">
        <v>215530</v>
      </c>
      <c r="Q76" t="s">
        <v>43</v>
      </c>
      <c r="R76" t="s">
        <v>44</v>
      </c>
      <c r="S76" t="s">
        <v>45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98</v>
      </c>
      <c r="AA76" t="s">
        <v>46</v>
      </c>
      <c r="AB76" t="s">
        <v>47</v>
      </c>
      <c r="AC76" t="s">
        <v>102</v>
      </c>
      <c r="AD76" t="s">
        <v>48</v>
      </c>
      <c r="AE76">
        <f t="shared" si="7"/>
        <v>2</v>
      </c>
      <c r="AF76" t="str">
        <f t="shared" si="8"/>
        <v>February</v>
      </c>
    </row>
    <row r="77" spans="1:32" x14ac:dyDescent="0.3">
      <c r="A77" s="1">
        <v>45355</v>
      </c>
      <c r="B77" t="s">
        <v>41</v>
      </c>
      <c r="C77" t="s">
        <v>50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53</v>
      </c>
      <c r="O77" t="s">
        <v>81</v>
      </c>
      <c r="P77">
        <v>222207</v>
      </c>
      <c r="Q77" t="s">
        <v>43</v>
      </c>
      <c r="R77" t="s">
        <v>44</v>
      </c>
      <c r="S77" t="s">
        <v>45</v>
      </c>
      <c r="T77">
        <v>90</v>
      </c>
      <c r="U77">
        <v>2</v>
      </c>
      <c r="V77" s="2">
        <v>8.3333333333333329E-2</v>
      </c>
      <c r="W77">
        <v>180</v>
      </c>
      <c r="X77">
        <v>240</v>
      </c>
      <c r="Y77">
        <v>60</v>
      </c>
      <c r="Z77" t="s">
        <v>149</v>
      </c>
      <c r="AA77" t="s">
        <v>46</v>
      </c>
      <c r="AB77" t="s">
        <v>47</v>
      </c>
      <c r="AC77" t="s">
        <v>84</v>
      </c>
      <c r="AD77" t="s">
        <v>48</v>
      </c>
      <c r="AE77">
        <f t="shared" si="7"/>
        <v>3</v>
      </c>
      <c r="AF77" t="str">
        <f t="shared" si="8"/>
        <v>March</v>
      </c>
    </row>
    <row r="78" spans="1:32" x14ac:dyDescent="0.3">
      <c r="A78" s="1">
        <v>45356</v>
      </c>
      <c r="B78" t="s">
        <v>41</v>
      </c>
      <c r="C78" t="s">
        <v>50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53</v>
      </c>
      <c r="O78" t="s">
        <v>81</v>
      </c>
      <c r="P78">
        <v>222221</v>
      </c>
      <c r="Q78" t="s">
        <v>43</v>
      </c>
      <c r="R78" t="s">
        <v>44</v>
      </c>
      <c r="S78" t="s">
        <v>45</v>
      </c>
      <c r="T78">
        <v>90</v>
      </c>
      <c r="U78">
        <v>1.25</v>
      </c>
      <c r="V78" s="2">
        <v>5.2083333333333336E-2</v>
      </c>
      <c r="W78">
        <v>112.5</v>
      </c>
      <c r="X78">
        <v>150</v>
      </c>
      <c r="Y78">
        <v>37.5</v>
      </c>
      <c r="Z78" t="s">
        <v>149</v>
      </c>
      <c r="AA78" t="s">
        <v>46</v>
      </c>
      <c r="AB78" t="s">
        <v>47</v>
      </c>
      <c r="AC78" t="s">
        <v>85</v>
      </c>
      <c r="AD78" t="s">
        <v>48</v>
      </c>
      <c r="AE78">
        <f t="shared" si="7"/>
        <v>3</v>
      </c>
      <c r="AF78" t="str">
        <f t="shared" si="8"/>
        <v>March</v>
      </c>
    </row>
    <row r="79" spans="1:32" x14ac:dyDescent="0.3">
      <c r="A79" s="1">
        <v>45357</v>
      </c>
      <c r="B79" t="s">
        <v>41</v>
      </c>
      <c r="C79" t="s">
        <v>50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53</v>
      </c>
      <c r="O79" t="s">
        <v>81</v>
      </c>
      <c r="P79">
        <v>222223</v>
      </c>
      <c r="Q79" t="s">
        <v>43</v>
      </c>
      <c r="R79" t="s">
        <v>44</v>
      </c>
      <c r="S79" t="s">
        <v>45</v>
      </c>
      <c r="T79">
        <v>90</v>
      </c>
      <c r="U79">
        <v>1</v>
      </c>
      <c r="V79" s="2">
        <v>4.1666666666666664E-2</v>
      </c>
      <c r="W79">
        <v>90</v>
      </c>
      <c r="X79">
        <v>120</v>
      </c>
      <c r="Y79">
        <v>30</v>
      </c>
      <c r="Z79" t="s">
        <v>149</v>
      </c>
      <c r="AA79" t="s">
        <v>46</v>
      </c>
      <c r="AB79" t="s">
        <v>47</v>
      </c>
      <c r="AC79" t="s">
        <v>86</v>
      </c>
      <c r="AD79" t="s">
        <v>48</v>
      </c>
      <c r="AE79">
        <f t="shared" si="7"/>
        <v>3</v>
      </c>
      <c r="AF79" t="str">
        <f t="shared" si="8"/>
        <v>March</v>
      </c>
    </row>
    <row r="80" spans="1:32" x14ac:dyDescent="0.3">
      <c r="A80" s="1">
        <v>45358</v>
      </c>
      <c r="B80" t="s">
        <v>41</v>
      </c>
      <c r="C80" t="s">
        <v>50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53</v>
      </c>
      <c r="O80" t="s">
        <v>81</v>
      </c>
      <c r="P80">
        <v>222224</v>
      </c>
      <c r="Q80" t="s">
        <v>43</v>
      </c>
      <c r="R80" t="s">
        <v>44</v>
      </c>
      <c r="S80" t="s">
        <v>45</v>
      </c>
      <c r="T80">
        <v>90</v>
      </c>
      <c r="U80">
        <v>0.25</v>
      </c>
      <c r="V80" s="2">
        <v>1.0416666666666666E-2</v>
      </c>
      <c r="W80">
        <v>22.5</v>
      </c>
      <c r="X80">
        <v>30</v>
      </c>
      <c r="Y80">
        <v>7.5</v>
      </c>
      <c r="Z80" t="s">
        <v>149</v>
      </c>
      <c r="AA80" t="s">
        <v>46</v>
      </c>
      <c r="AB80" t="s">
        <v>47</v>
      </c>
      <c r="AC80" t="s">
        <v>87</v>
      </c>
      <c r="AD80" t="s">
        <v>48</v>
      </c>
      <c r="AE80">
        <f t="shared" si="7"/>
        <v>3</v>
      </c>
      <c r="AF80" t="str">
        <f t="shared" si="8"/>
        <v>March</v>
      </c>
    </row>
    <row r="81" spans="1:32" x14ac:dyDescent="0.3">
      <c r="A81" s="1">
        <v>45359</v>
      </c>
      <c r="B81" t="s">
        <v>41</v>
      </c>
      <c r="C81" t="s">
        <v>50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53</v>
      </c>
      <c r="O81" t="s">
        <v>81</v>
      </c>
      <c r="P81">
        <v>222225</v>
      </c>
      <c r="Q81" t="s">
        <v>43</v>
      </c>
      <c r="R81" t="s">
        <v>44</v>
      </c>
      <c r="S81" t="s">
        <v>45</v>
      </c>
      <c r="T81">
        <v>90</v>
      </c>
      <c r="U81">
        <v>0.75</v>
      </c>
      <c r="V81" s="2">
        <v>3.125E-2</v>
      </c>
      <c r="W81">
        <v>67.5</v>
      </c>
      <c r="X81">
        <v>90</v>
      </c>
      <c r="Y81">
        <v>22.5</v>
      </c>
      <c r="Z81" t="s">
        <v>149</v>
      </c>
      <c r="AA81" t="s">
        <v>46</v>
      </c>
      <c r="AB81" t="s">
        <v>47</v>
      </c>
      <c r="AC81" t="s">
        <v>88</v>
      </c>
      <c r="AD81" t="s">
        <v>48</v>
      </c>
      <c r="AE81">
        <f t="shared" ref="AE81:AE82" si="9">MONTH(A81)</f>
        <v>3</v>
      </c>
      <c r="AF81" t="str">
        <f t="shared" ref="AF81:AF82" si="10">IF(AE81=1,"January",IF(AE81=2,"February",IF(AE81=3,"March",IF(AE81=4,"April",IF(AE81=5,"May")))))</f>
        <v>March</v>
      </c>
    </row>
    <row r="82" spans="1:32" x14ac:dyDescent="0.3">
      <c r="A82" s="1">
        <v>45362</v>
      </c>
      <c r="B82" t="s">
        <v>41</v>
      </c>
      <c r="C82" t="s">
        <v>50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53</v>
      </c>
      <c r="O82" t="s">
        <v>81</v>
      </c>
      <c r="P82">
        <v>223052</v>
      </c>
      <c r="Q82" t="s">
        <v>43</v>
      </c>
      <c r="R82" t="s">
        <v>44</v>
      </c>
      <c r="S82" t="s">
        <v>45</v>
      </c>
      <c r="T82">
        <v>90</v>
      </c>
      <c r="U82">
        <v>1.25</v>
      </c>
      <c r="V82" s="2">
        <v>5.2083333333333336E-2</v>
      </c>
      <c r="W82">
        <v>112.5</v>
      </c>
      <c r="X82">
        <v>150</v>
      </c>
      <c r="Y82">
        <v>37.5</v>
      </c>
      <c r="Z82" t="s">
        <v>149</v>
      </c>
      <c r="AA82" t="s">
        <v>46</v>
      </c>
      <c r="AB82" t="s">
        <v>47</v>
      </c>
      <c r="AC82" t="s">
        <v>85</v>
      </c>
      <c r="AD82" t="s">
        <v>48</v>
      </c>
      <c r="AE82">
        <f t="shared" si="9"/>
        <v>3</v>
      </c>
      <c r="AF82" t="str">
        <f t="shared" si="10"/>
        <v>March</v>
      </c>
    </row>
    <row r="83" spans="1:32" x14ac:dyDescent="0.3">
      <c r="A83" s="1">
        <v>45363</v>
      </c>
      <c r="B83" t="s">
        <v>41</v>
      </c>
      <c r="C83" t="s">
        <v>50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53</v>
      </c>
      <c r="O83" t="s">
        <v>81</v>
      </c>
      <c r="P83">
        <v>223062</v>
      </c>
      <c r="Q83" t="s">
        <v>43</v>
      </c>
      <c r="R83" t="s">
        <v>44</v>
      </c>
      <c r="S83" t="s">
        <v>45</v>
      </c>
      <c r="T83">
        <v>90</v>
      </c>
      <c r="U83">
        <v>0.75</v>
      </c>
      <c r="V83" s="2">
        <v>3.125E-2</v>
      </c>
      <c r="W83">
        <v>67.5</v>
      </c>
      <c r="X83">
        <v>90</v>
      </c>
      <c r="Y83">
        <v>22.5</v>
      </c>
      <c r="Z83" t="s">
        <v>149</v>
      </c>
      <c r="AA83" t="s">
        <v>46</v>
      </c>
      <c r="AB83" t="s">
        <v>47</v>
      </c>
      <c r="AC83" t="s">
        <v>97</v>
      </c>
      <c r="AD83" t="s">
        <v>48</v>
      </c>
      <c r="AE83">
        <f t="shared" ref="AE83:AE95" si="11">MONTH(A83)</f>
        <v>3</v>
      </c>
      <c r="AF83" t="str">
        <f t="shared" ref="AF83:AF95" si="12">IF(AE83=1,"January",IF(AE83=2,"February",IF(AE83=3,"March",IF(AE83=4,"April",IF(AE83=5,"May")))))</f>
        <v>March</v>
      </c>
    </row>
    <row r="84" spans="1:32" x14ac:dyDescent="0.3">
      <c r="A84" s="1">
        <v>45364</v>
      </c>
      <c r="B84" t="s">
        <v>41</v>
      </c>
      <c r="C84" t="s">
        <v>50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53</v>
      </c>
      <c r="O84" t="s">
        <v>81</v>
      </c>
      <c r="P84">
        <v>225179</v>
      </c>
      <c r="Q84" t="s">
        <v>43</v>
      </c>
      <c r="R84" t="s">
        <v>44</v>
      </c>
      <c r="S84" t="s">
        <v>45</v>
      </c>
      <c r="T84">
        <v>90</v>
      </c>
      <c r="U84">
        <v>0.25</v>
      </c>
      <c r="V84" s="2">
        <v>1.0416666666666666E-2</v>
      </c>
      <c r="W84">
        <v>22.5</v>
      </c>
      <c r="X84">
        <v>30</v>
      </c>
      <c r="Y84">
        <v>7.5</v>
      </c>
      <c r="Z84" t="s">
        <v>149</v>
      </c>
      <c r="AA84" t="s">
        <v>46</v>
      </c>
      <c r="AB84" t="s">
        <v>47</v>
      </c>
      <c r="AC84" t="s">
        <v>87</v>
      </c>
      <c r="AD84" t="s">
        <v>48</v>
      </c>
      <c r="AE84">
        <f t="shared" si="11"/>
        <v>3</v>
      </c>
      <c r="AF84" t="str">
        <f t="shared" si="12"/>
        <v>March</v>
      </c>
    </row>
    <row r="85" spans="1:32" x14ac:dyDescent="0.3">
      <c r="A85" s="1">
        <v>45365</v>
      </c>
      <c r="B85" t="s">
        <v>41</v>
      </c>
      <c r="C85" t="s">
        <v>50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53</v>
      </c>
      <c r="O85" t="s">
        <v>81</v>
      </c>
      <c r="P85">
        <v>225180</v>
      </c>
      <c r="Q85" t="s">
        <v>43</v>
      </c>
      <c r="R85" t="s">
        <v>44</v>
      </c>
      <c r="S85" t="s">
        <v>45</v>
      </c>
      <c r="T85">
        <v>90</v>
      </c>
      <c r="U85">
        <v>0.25</v>
      </c>
      <c r="V85" s="2">
        <v>1.0416666666666666E-2</v>
      </c>
      <c r="W85">
        <v>22.5</v>
      </c>
      <c r="X85">
        <v>30</v>
      </c>
      <c r="Y85">
        <v>7.5</v>
      </c>
      <c r="Z85" t="s">
        <v>149</v>
      </c>
      <c r="AA85" t="s">
        <v>46</v>
      </c>
      <c r="AB85" t="s">
        <v>47</v>
      </c>
      <c r="AC85" t="s">
        <v>87</v>
      </c>
      <c r="AD85" t="s">
        <v>48</v>
      </c>
      <c r="AE85">
        <f t="shared" si="11"/>
        <v>3</v>
      </c>
      <c r="AF85" t="str">
        <f t="shared" si="12"/>
        <v>March</v>
      </c>
    </row>
    <row r="86" spans="1:32" x14ac:dyDescent="0.3">
      <c r="A86" s="1">
        <v>45366</v>
      </c>
      <c r="B86" t="s">
        <v>41</v>
      </c>
      <c r="C86" t="s">
        <v>50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53</v>
      </c>
      <c r="O86" t="s">
        <v>81</v>
      </c>
      <c r="P86">
        <v>225181</v>
      </c>
      <c r="Q86" t="s">
        <v>43</v>
      </c>
      <c r="R86" t="s">
        <v>44</v>
      </c>
      <c r="S86" t="s">
        <v>45</v>
      </c>
      <c r="T86">
        <v>90</v>
      </c>
      <c r="U86">
        <v>0.25</v>
      </c>
      <c r="V86" s="2">
        <v>1.0416666666666666E-2</v>
      </c>
      <c r="W86">
        <v>22.5</v>
      </c>
      <c r="X86">
        <v>30</v>
      </c>
      <c r="Y86">
        <v>7.5</v>
      </c>
      <c r="Z86" t="s">
        <v>149</v>
      </c>
      <c r="AA86" t="s">
        <v>46</v>
      </c>
      <c r="AB86" t="s">
        <v>47</v>
      </c>
      <c r="AC86" t="s">
        <v>87</v>
      </c>
      <c r="AD86" t="s">
        <v>48</v>
      </c>
      <c r="AE86">
        <f t="shared" si="11"/>
        <v>3</v>
      </c>
      <c r="AF86" t="str">
        <f t="shared" si="12"/>
        <v>March</v>
      </c>
    </row>
    <row r="87" spans="1:32" x14ac:dyDescent="0.3">
      <c r="A87" s="1">
        <v>45369</v>
      </c>
      <c r="B87" t="s">
        <v>41</v>
      </c>
      <c r="C87" t="s">
        <v>50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53</v>
      </c>
      <c r="O87" t="s">
        <v>81</v>
      </c>
      <c r="P87">
        <v>225185</v>
      </c>
      <c r="Q87" t="s">
        <v>43</v>
      </c>
      <c r="R87" t="s">
        <v>44</v>
      </c>
      <c r="S87" t="s">
        <v>45</v>
      </c>
      <c r="T87">
        <v>90</v>
      </c>
      <c r="U87">
        <v>0.75</v>
      </c>
      <c r="V87" s="2">
        <v>3.125E-2</v>
      </c>
      <c r="W87">
        <v>67.5</v>
      </c>
      <c r="X87">
        <v>90</v>
      </c>
      <c r="Y87">
        <v>22.5</v>
      </c>
      <c r="Z87" t="s">
        <v>149</v>
      </c>
      <c r="AA87" t="s">
        <v>46</v>
      </c>
      <c r="AB87" t="s">
        <v>47</v>
      </c>
      <c r="AC87" t="s">
        <v>107</v>
      </c>
      <c r="AD87" t="s">
        <v>48</v>
      </c>
      <c r="AE87">
        <f t="shared" si="11"/>
        <v>3</v>
      </c>
      <c r="AF87" t="str">
        <f t="shared" si="12"/>
        <v>March</v>
      </c>
    </row>
    <row r="88" spans="1:32" x14ac:dyDescent="0.3">
      <c r="A88" s="1">
        <v>45370</v>
      </c>
      <c r="B88" t="s">
        <v>41</v>
      </c>
      <c r="C88" t="s">
        <v>50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53</v>
      </c>
      <c r="O88" t="s">
        <v>81</v>
      </c>
      <c r="P88">
        <v>226119</v>
      </c>
      <c r="Q88" t="s">
        <v>43</v>
      </c>
      <c r="R88" t="s">
        <v>44</v>
      </c>
      <c r="S88" t="s">
        <v>45</v>
      </c>
      <c r="T88">
        <v>90</v>
      </c>
      <c r="U88">
        <v>0.25</v>
      </c>
      <c r="V88" s="2">
        <v>1.0416666666666666E-2</v>
      </c>
      <c r="W88">
        <v>22.5</v>
      </c>
      <c r="X88">
        <v>30</v>
      </c>
      <c r="Y88">
        <v>7.5</v>
      </c>
      <c r="Z88" t="s">
        <v>149</v>
      </c>
      <c r="AA88" t="s">
        <v>46</v>
      </c>
      <c r="AB88" t="s">
        <v>47</v>
      </c>
      <c r="AC88" t="s">
        <v>87</v>
      </c>
      <c r="AD88" t="s">
        <v>48</v>
      </c>
      <c r="AE88">
        <f t="shared" si="11"/>
        <v>3</v>
      </c>
      <c r="AF88" t="str">
        <f t="shared" si="12"/>
        <v>March</v>
      </c>
    </row>
    <row r="89" spans="1:32" x14ac:dyDescent="0.3">
      <c r="A89" s="1">
        <v>45371</v>
      </c>
      <c r="B89" t="s">
        <v>41</v>
      </c>
      <c r="C89" t="s">
        <v>50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53</v>
      </c>
      <c r="O89" t="s">
        <v>81</v>
      </c>
      <c r="P89">
        <v>227443</v>
      </c>
      <c r="Q89" t="s">
        <v>43</v>
      </c>
      <c r="R89" t="s">
        <v>44</v>
      </c>
      <c r="S89" t="s">
        <v>45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149</v>
      </c>
      <c r="AA89" t="s">
        <v>46</v>
      </c>
      <c r="AB89" t="s">
        <v>47</v>
      </c>
      <c r="AC89" t="s">
        <v>87</v>
      </c>
      <c r="AD89" t="s">
        <v>48</v>
      </c>
      <c r="AE89">
        <f t="shared" si="11"/>
        <v>3</v>
      </c>
      <c r="AF89" t="str">
        <f t="shared" si="12"/>
        <v>March</v>
      </c>
    </row>
    <row r="90" spans="1:32" x14ac:dyDescent="0.3">
      <c r="A90" s="1">
        <v>45373</v>
      </c>
      <c r="B90" t="s">
        <v>41</v>
      </c>
      <c r="C90" t="s">
        <v>50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53</v>
      </c>
      <c r="O90" t="s">
        <v>81</v>
      </c>
      <c r="P90">
        <v>227449</v>
      </c>
      <c r="Q90" t="s">
        <v>43</v>
      </c>
      <c r="R90" t="s">
        <v>44</v>
      </c>
      <c r="S90" t="s">
        <v>45</v>
      </c>
      <c r="T90">
        <v>90</v>
      </c>
      <c r="U90">
        <v>1</v>
      </c>
      <c r="V90" s="2">
        <v>4.1666666666666664E-2</v>
      </c>
      <c r="W90">
        <v>90</v>
      </c>
      <c r="X90">
        <v>120</v>
      </c>
      <c r="Y90">
        <v>30</v>
      </c>
      <c r="Z90" t="s">
        <v>149</v>
      </c>
      <c r="AA90" t="s">
        <v>46</v>
      </c>
      <c r="AB90" t="s">
        <v>47</v>
      </c>
      <c r="AC90" t="s">
        <v>108</v>
      </c>
      <c r="AD90" t="s">
        <v>48</v>
      </c>
      <c r="AE90">
        <f t="shared" si="11"/>
        <v>3</v>
      </c>
      <c r="AF90" t="str">
        <f t="shared" si="12"/>
        <v>March</v>
      </c>
    </row>
    <row r="91" spans="1:32" x14ac:dyDescent="0.3">
      <c r="A91" s="1">
        <v>45335</v>
      </c>
      <c r="B91" t="s">
        <v>39</v>
      </c>
      <c r="C91" t="s">
        <v>50</v>
      </c>
      <c r="D91" t="s">
        <v>32</v>
      </c>
      <c r="E91" t="s">
        <v>51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53</v>
      </c>
      <c r="O91" t="s">
        <v>81</v>
      </c>
      <c r="P91">
        <v>211400</v>
      </c>
      <c r="Q91" t="s">
        <v>43</v>
      </c>
      <c r="R91" t="s">
        <v>44</v>
      </c>
      <c r="S91" t="s">
        <v>45</v>
      </c>
      <c r="T91">
        <v>90</v>
      </c>
      <c r="U91">
        <v>0.25</v>
      </c>
      <c r="V91" s="2">
        <v>1.0416666666666666E-2</v>
      </c>
      <c r="W91">
        <v>22.5</v>
      </c>
      <c r="X91">
        <v>30</v>
      </c>
      <c r="Y91">
        <v>7.5</v>
      </c>
      <c r="Z91" t="s">
        <v>98</v>
      </c>
      <c r="AA91" t="s">
        <v>46</v>
      </c>
      <c r="AB91" t="s">
        <v>47</v>
      </c>
      <c r="AC91" t="s">
        <v>53</v>
      </c>
      <c r="AD91" t="s">
        <v>48</v>
      </c>
      <c r="AE91">
        <f t="shared" si="11"/>
        <v>2</v>
      </c>
      <c r="AF91" t="str">
        <f t="shared" si="12"/>
        <v>February</v>
      </c>
    </row>
    <row r="92" spans="1:32" x14ac:dyDescent="0.3">
      <c r="A92" s="1">
        <v>45348</v>
      </c>
      <c r="B92" t="s">
        <v>39</v>
      </c>
      <c r="C92" t="s">
        <v>50</v>
      </c>
      <c r="D92" t="s">
        <v>32</v>
      </c>
      <c r="E92" t="s">
        <v>51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53</v>
      </c>
      <c r="O92" t="s">
        <v>81</v>
      </c>
      <c r="P92">
        <v>216824</v>
      </c>
      <c r="Q92" t="s">
        <v>43</v>
      </c>
      <c r="R92" t="s">
        <v>44</v>
      </c>
      <c r="S92" t="s">
        <v>45</v>
      </c>
      <c r="T92">
        <v>90</v>
      </c>
      <c r="U92">
        <v>0.25</v>
      </c>
      <c r="V92" s="2">
        <v>1.0416666666666666E-2</v>
      </c>
      <c r="W92">
        <v>22.5</v>
      </c>
      <c r="X92">
        <v>30</v>
      </c>
      <c r="Y92">
        <v>7.5</v>
      </c>
      <c r="Z92" t="s">
        <v>98</v>
      </c>
      <c r="AA92" t="s">
        <v>46</v>
      </c>
      <c r="AB92" t="s">
        <v>47</v>
      </c>
      <c r="AC92" t="s">
        <v>53</v>
      </c>
      <c r="AD92" t="s">
        <v>48</v>
      </c>
      <c r="AE92">
        <f t="shared" si="11"/>
        <v>2</v>
      </c>
      <c r="AF92" t="str">
        <f t="shared" si="12"/>
        <v>February</v>
      </c>
    </row>
    <row r="93" spans="1:32" x14ac:dyDescent="0.3">
      <c r="A93" s="1">
        <v>45349</v>
      </c>
      <c r="B93" t="s">
        <v>39</v>
      </c>
      <c r="C93" t="s">
        <v>50</v>
      </c>
      <c r="D93" t="s">
        <v>32</v>
      </c>
      <c r="E93" t="s">
        <v>51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53</v>
      </c>
      <c r="O93" t="s">
        <v>81</v>
      </c>
      <c r="P93">
        <v>217543</v>
      </c>
      <c r="Q93" t="s">
        <v>43</v>
      </c>
      <c r="R93" t="s">
        <v>44</v>
      </c>
      <c r="S93" t="s">
        <v>45</v>
      </c>
      <c r="T93">
        <v>90</v>
      </c>
      <c r="U93">
        <v>0.25</v>
      </c>
      <c r="V93" s="2">
        <v>1.0416666666666666E-2</v>
      </c>
      <c r="W93">
        <v>22.5</v>
      </c>
      <c r="X93">
        <v>30</v>
      </c>
      <c r="Y93">
        <v>7.5</v>
      </c>
      <c r="Z93" t="s">
        <v>98</v>
      </c>
      <c r="AA93" t="s">
        <v>46</v>
      </c>
      <c r="AB93" t="s">
        <v>47</v>
      </c>
      <c r="AC93" t="s">
        <v>53</v>
      </c>
      <c r="AD93" t="s">
        <v>48</v>
      </c>
      <c r="AE93">
        <f t="shared" si="11"/>
        <v>2</v>
      </c>
      <c r="AF93" t="str">
        <f t="shared" si="12"/>
        <v>February</v>
      </c>
    </row>
    <row r="94" spans="1:32" x14ac:dyDescent="0.3">
      <c r="A94" s="1">
        <v>45357</v>
      </c>
      <c r="B94" t="s">
        <v>39</v>
      </c>
      <c r="C94" t="s">
        <v>50</v>
      </c>
      <c r="D94" t="s">
        <v>32</v>
      </c>
      <c r="E94" t="s">
        <v>51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53</v>
      </c>
      <c r="O94" t="s">
        <v>81</v>
      </c>
      <c r="P94">
        <v>220641</v>
      </c>
      <c r="Q94" t="s">
        <v>43</v>
      </c>
      <c r="R94" t="s">
        <v>44</v>
      </c>
      <c r="S94" t="s">
        <v>45</v>
      </c>
      <c r="T94">
        <v>90</v>
      </c>
      <c r="U94">
        <v>0.5</v>
      </c>
      <c r="V94" s="2">
        <v>2.0833333333333332E-2</v>
      </c>
      <c r="W94">
        <v>45</v>
      </c>
      <c r="X94">
        <v>60</v>
      </c>
      <c r="Y94">
        <v>15</v>
      </c>
      <c r="Z94" t="s">
        <v>149</v>
      </c>
      <c r="AA94" t="s">
        <v>46</v>
      </c>
      <c r="AB94" t="s">
        <v>47</v>
      </c>
      <c r="AC94" t="s">
        <v>53</v>
      </c>
      <c r="AD94" t="s">
        <v>48</v>
      </c>
      <c r="AE94">
        <f t="shared" si="11"/>
        <v>3</v>
      </c>
      <c r="AF94" t="str">
        <f t="shared" si="12"/>
        <v>March</v>
      </c>
    </row>
    <row r="95" spans="1:32" x14ac:dyDescent="0.3">
      <c r="A95" s="1">
        <v>45358</v>
      </c>
      <c r="B95" t="s">
        <v>39</v>
      </c>
      <c r="C95" t="s">
        <v>50</v>
      </c>
      <c r="D95" t="s">
        <v>32</v>
      </c>
      <c r="E95" t="s">
        <v>51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53</v>
      </c>
      <c r="O95" t="s">
        <v>81</v>
      </c>
      <c r="P95">
        <v>221392</v>
      </c>
      <c r="Q95" t="s">
        <v>43</v>
      </c>
      <c r="R95" t="s">
        <v>44</v>
      </c>
      <c r="S95" t="s">
        <v>45</v>
      </c>
      <c r="T95">
        <v>90</v>
      </c>
      <c r="U95">
        <v>0.75</v>
      </c>
      <c r="V95" s="2">
        <v>3.125E-2</v>
      </c>
      <c r="W95">
        <v>67.5</v>
      </c>
      <c r="X95">
        <v>90</v>
      </c>
      <c r="Y95">
        <v>22.5</v>
      </c>
      <c r="Z95" t="s">
        <v>149</v>
      </c>
      <c r="AA95" t="s">
        <v>46</v>
      </c>
      <c r="AB95" t="s">
        <v>47</v>
      </c>
      <c r="AC95" t="s">
        <v>53</v>
      </c>
      <c r="AD95" t="s">
        <v>48</v>
      </c>
      <c r="AE95">
        <f t="shared" si="11"/>
        <v>3</v>
      </c>
      <c r="AF95" t="str">
        <f t="shared" si="12"/>
        <v>March</v>
      </c>
    </row>
    <row r="96" spans="1:32" x14ac:dyDescent="0.3">
      <c r="A96" s="1">
        <v>45359</v>
      </c>
      <c r="B96" t="s">
        <v>39</v>
      </c>
      <c r="C96" t="s">
        <v>50</v>
      </c>
      <c r="D96" t="s">
        <v>32</v>
      </c>
      <c r="E96" t="s">
        <v>51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32</v>
      </c>
      <c r="L96" t="s">
        <v>39</v>
      </c>
      <c r="M96" t="s">
        <v>40</v>
      </c>
      <c r="N96" t="s">
        <v>53</v>
      </c>
      <c r="O96" t="s">
        <v>81</v>
      </c>
      <c r="P96">
        <v>221855</v>
      </c>
      <c r="Q96" t="s">
        <v>43</v>
      </c>
      <c r="R96" t="s">
        <v>44</v>
      </c>
      <c r="S96" t="s">
        <v>45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149</v>
      </c>
      <c r="AA96" t="s">
        <v>46</v>
      </c>
      <c r="AB96" t="s">
        <v>47</v>
      </c>
      <c r="AC96" t="s">
        <v>53</v>
      </c>
      <c r="AD96" t="s">
        <v>48</v>
      </c>
      <c r="AE96">
        <f t="shared" ref="AE96:AE102" si="13">MONTH(A96)</f>
        <v>3</v>
      </c>
      <c r="AF96" t="str">
        <f t="shared" ref="AF96:AF102" si="14">IF(AE96=1,"January",IF(AE96=2,"February",IF(AE96=3,"March",IF(AE96=4,"April",IF(AE96=5,"May")))))</f>
        <v>March</v>
      </c>
    </row>
    <row r="97" spans="1:32" x14ac:dyDescent="0.3">
      <c r="A97" s="1">
        <v>45362</v>
      </c>
      <c r="B97" t="s">
        <v>39</v>
      </c>
      <c r="C97" t="s">
        <v>50</v>
      </c>
      <c r="D97" t="s">
        <v>32</v>
      </c>
      <c r="E97" t="s">
        <v>51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32</v>
      </c>
      <c r="L97" t="s">
        <v>39</v>
      </c>
      <c r="M97" t="s">
        <v>40</v>
      </c>
      <c r="N97" t="s">
        <v>53</v>
      </c>
      <c r="O97" t="s">
        <v>81</v>
      </c>
      <c r="P97">
        <v>222786</v>
      </c>
      <c r="Q97" t="s">
        <v>43</v>
      </c>
      <c r="R97" t="s">
        <v>44</v>
      </c>
      <c r="S97" t="s">
        <v>45</v>
      </c>
      <c r="T97">
        <v>90</v>
      </c>
      <c r="U97">
        <v>0.5</v>
      </c>
      <c r="V97" s="2">
        <v>2.0833333333333332E-2</v>
      </c>
      <c r="W97">
        <v>45</v>
      </c>
      <c r="X97">
        <v>60</v>
      </c>
      <c r="Y97">
        <v>15</v>
      </c>
      <c r="Z97" t="s">
        <v>149</v>
      </c>
      <c r="AA97" t="s">
        <v>46</v>
      </c>
      <c r="AB97" t="s">
        <v>47</v>
      </c>
      <c r="AC97" t="s">
        <v>53</v>
      </c>
      <c r="AD97" t="s">
        <v>48</v>
      </c>
      <c r="AE97">
        <f t="shared" si="13"/>
        <v>3</v>
      </c>
      <c r="AF97" t="str">
        <f t="shared" si="14"/>
        <v>March</v>
      </c>
    </row>
    <row r="98" spans="1:32" x14ac:dyDescent="0.3">
      <c r="A98" s="1">
        <v>45363</v>
      </c>
      <c r="B98" t="s">
        <v>39</v>
      </c>
      <c r="C98" t="s">
        <v>50</v>
      </c>
      <c r="D98" t="s">
        <v>32</v>
      </c>
      <c r="E98" t="s">
        <v>51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32</v>
      </c>
      <c r="L98" t="s">
        <v>39</v>
      </c>
      <c r="M98" t="s">
        <v>40</v>
      </c>
      <c r="N98" t="s">
        <v>53</v>
      </c>
      <c r="O98" t="s">
        <v>81</v>
      </c>
      <c r="P98">
        <v>223231</v>
      </c>
      <c r="Q98" t="s">
        <v>43</v>
      </c>
      <c r="R98" t="s">
        <v>44</v>
      </c>
      <c r="S98" t="s">
        <v>45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149</v>
      </c>
      <c r="AA98" t="s">
        <v>46</v>
      </c>
      <c r="AB98" t="s">
        <v>47</v>
      </c>
      <c r="AC98" t="s">
        <v>53</v>
      </c>
      <c r="AD98" t="s">
        <v>48</v>
      </c>
      <c r="AE98">
        <f t="shared" si="13"/>
        <v>3</v>
      </c>
      <c r="AF98" t="str">
        <f t="shared" si="14"/>
        <v>March</v>
      </c>
    </row>
    <row r="99" spans="1:32" x14ac:dyDescent="0.3">
      <c r="A99" s="1">
        <v>45364</v>
      </c>
      <c r="B99" t="s">
        <v>39</v>
      </c>
      <c r="C99" t="s">
        <v>50</v>
      </c>
      <c r="D99" t="s">
        <v>32</v>
      </c>
      <c r="E99" t="s">
        <v>51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32</v>
      </c>
      <c r="L99" t="s">
        <v>39</v>
      </c>
      <c r="M99" t="s">
        <v>40</v>
      </c>
      <c r="N99" t="s">
        <v>53</v>
      </c>
      <c r="O99" t="s">
        <v>81</v>
      </c>
      <c r="P99">
        <v>223427</v>
      </c>
      <c r="Q99" t="s">
        <v>43</v>
      </c>
      <c r="R99" t="s">
        <v>44</v>
      </c>
      <c r="S99" t="s">
        <v>45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149</v>
      </c>
      <c r="AA99" t="s">
        <v>46</v>
      </c>
      <c r="AB99" t="s">
        <v>47</v>
      </c>
      <c r="AC99" t="s">
        <v>53</v>
      </c>
      <c r="AD99" t="s">
        <v>48</v>
      </c>
      <c r="AE99">
        <f t="shared" si="13"/>
        <v>3</v>
      </c>
      <c r="AF99" t="str">
        <f t="shared" si="14"/>
        <v>March</v>
      </c>
    </row>
    <row r="100" spans="1:32" x14ac:dyDescent="0.3">
      <c r="A100" s="1">
        <v>45369</v>
      </c>
      <c r="B100" t="s">
        <v>39</v>
      </c>
      <c r="C100" t="s">
        <v>50</v>
      </c>
      <c r="D100" t="s">
        <v>32</v>
      </c>
      <c r="E100" t="s">
        <v>51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32</v>
      </c>
      <c r="L100" t="s">
        <v>39</v>
      </c>
      <c r="M100" t="s">
        <v>40</v>
      </c>
      <c r="N100" t="s">
        <v>53</v>
      </c>
      <c r="O100" t="s">
        <v>81</v>
      </c>
      <c r="P100">
        <v>225250</v>
      </c>
      <c r="Q100" t="s">
        <v>43</v>
      </c>
      <c r="R100" t="s">
        <v>44</v>
      </c>
      <c r="S100" t="s">
        <v>45</v>
      </c>
      <c r="T100">
        <v>90</v>
      </c>
      <c r="U100">
        <v>0.5</v>
      </c>
      <c r="V100" s="2">
        <v>2.0833333333333332E-2</v>
      </c>
      <c r="W100">
        <v>45</v>
      </c>
      <c r="X100">
        <v>60</v>
      </c>
      <c r="Y100">
        <v>15</v>
      </c>
      <c r="Z100" t="s">
        <v>149</v>
      </c>
      <c r="AA100" t="s">
        <v>46</v>
      </c>
      <c r="AB100" t="s">
        <v>47</v>
      </c>
      <c r="AC100" t="s">
        <v>53</v>
      </c>
      <c r="AD100" t="s">
        <v>48</v>
      </c>
      <c r="AE100">
        <f t="shared" si="13"/>
        <v>3</v>
      </c>
      <c r="AF100" t="str">
        <f t="shared" si="14"/>
        <v>March</v>
      </c>
    </row>
    <row r="101" spans="1:32" x14ac:dyDescent="0.3">
      <c r="A101" s="1">
        <v>45370</v>
      </c>
      <c r="B101" t="s">
        <v>39</v>
      </c>
      <c r="C101" t="s">
        <v>50</v>
      </c>
      <c r="D101" t="s">
        <v>32</v>
      </c>
      <c r="E101" t="s">
        <v>51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32</v>
      </c>
      <c r="L101" t="s">
        <v>39</v>
      </c>
      <c r="M101" t="s">
        <v>40</v>
      </c>
      <c r="N101" t="s">
        <v>53</v>
      </c>
      <c r="O101" t="s">
        <v>81</v>
      </c>
      <c r="P101">
        <v>226039</v>
      </c>
      <c r="Q101" t="s">
        <v>43</v>
      </c>
      <c r="R101" t="s">
        <v>44</v>
      </c>
      <c r="S101" t="s">
        <v>45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149</v>
      </c>
      <c r="AA101" t="s">
        <v>46</v>
      </c>
      <c r="AB101" t="s">
        <v>47</v>
      </c>
      <c r="AC101" t="s">
        <v>53</v>
      </c>
      <c r="AD101" t="s">
        <v>48</v>
      </c>
      <c r="AE101">
        <f t="shared" si="13"/>
        <v>3</v>
      </c>
      <c r="AF101" t="str">
        <f t="shared" si="14"/>
        <v>March</v>
      </c>
    </row>
    <row r="102" spans="1:32" x14ac:dyDescent="0.3">
      <c r="A102" s="1">
        <v>45371</v>
      </c>
      <c r="B102" t="s">
        <v>39</v>
      </c>
      <c r="C102" t="s">
        <v>50</v>
      </c>
      <c r="D102" t="s">
        <v>32</v>
      </c>
      <c r="E102" t="s">
        <v>51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32</v>
      </c>
      <c r="L102" t="s">
        <v>39</v>
      </c>
      <c r="M102" t="s">
        <v>40</v>
      </c>
      <c r="N102" t="s">
        <v>53</v>
      </c>
      <c r="O102" t="s">
        <v>81</v>
      </c>
      <c r="P102">
        <v>226371</v>
      </c>
      <c r="Q102" t="s">
        <v>43</v>
      </c>
      <c r="R102" t="s">
        <v>44</v>
      </c>
      <c r="S102" t="s">
        <v>45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149</v>
      </c>
      <c r="AA102" t="s">
        <v>46</v>
      </c>
      <c r="AB102" t="s">
        <v>47</v>
      </c>
      <c r="AC102" t="s">
        <v>53</v>
      </c>
      <c r="AD102" t="s">
        <v>48</v>
      </c>
      <c r="AE102">
        <f t="shared" si="13"/>
        <v>3</v>
      </c>
      <c r="AF102" t="str">
        <f t="shared" si="14"/>
        <v>March</v>
      </c>
    </row>
    <row r="103" spans="1:32" x14ac:dyDescent="0.3">
      <c r="A103" s="1">
        <v>45373</v>
      </c>
      <c r="B103" t="s">
        <v>39</v>
      </c>
      <c r="C103" t="s">
        <v>50</v>
      </c>
      <c r="D103" t="s">
        <v>32</v>
      </c>
      <c r="E103" t="s">
        <v>51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32</v>
      </c>
      <c r="L103" t="s">
        <v>39</v>
      </c>
      <c r="M103" t="s">
        <v>40</v>
      </c>
      <c r="N103" t="s">
        <v>53</v>
      </c>
      <c r="O103" t="s">
        <v>81</v>
      </c>
      <c r="P103">
        <v>227407</v>
      </c>
      <c r="Q103" t="s">
        <v>43</v>
      </c>
      <c r="R103" t="s">
        <v>44</v>
      </c>
      <c r="S103" t="s">
        <v>45</v>
      </c>
      <c r="T103">
        <v>90</v>
      </c>
      <c r="U103">
        <v>1</v>
      </c>
      <c r="V103" s="2">
        <v>4.1666666666666664E-2</v>
      </c>
      <c r="W103">
        <v>90</v>
      </c>
      <c r="X103">
        <v>120</v>
      </c>
      <c r="Y103">
        <v>30</v>
      </c>
      <c r="Z103" t="s">
        <v>149</v>
      </c>
      <c r="AA103" t="s">
        <v>46</v>
      </c>
      <c r="AB103" t="s">
        <v>47</v>
      </c>
      <c r="AC103" t="s">
        <v>53</v>
      </c>
      <c r="AD103" t="s">
        <v>48</v>
      </c>
      <c r="AE103">
        <f t="shared" ref="AE103:AE105" si="15">MONTH(A103)</f>
        <v>3</v>
      </c>
      <c r="AF103" t="str">
        <f t="shared" ref="AF103:AF105" si="16">IF(AE103=1,"January",IF(AE103=2,"February",IF(AE103=3,"March",IF(AE103=4,"April",IF(AE103=5,"May")))))</f>
        <v>March</v>
      </c>
    </row>
    <row r="104" spans="1:32" x14ac:dyDescent="0.3">
      <c r="A104" s="1">
        <v>45386</v>
      </c>
      <c r="B104" t="s">
        <v>39</v>
      </c>
      <c r="C104" t="s">
        <v>50</v>
      </c>
      <c r="D104" t="s">
        <v>32</v>
      </c>
      <c r="E104" t="s">
        <v>51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32</v>
      </c>
      <c r="L104" t="s">
        <v>39</v>
      </c>
      <c r="M104" t="s">
        <v>40</v>
      </c>
      <c r="N104" t="s">
        <v>53</v>
      </c>
      <c r="O104" t="s">
        <v>81</v>
      </c>
      <c r="P104">
        <v>231548</v>
      </c>
      <c r="Q104" t="s">
        <v>143</v>
      </c>
      <c r="R104" t="s">
        <v>44</v>
      </c>
      <c r="S104" t="s">
        <v>45</v>
      </c>
      <c r="T104">
        <v>90</v>
      </c>
      <c r="U104">
        <v>0.25</v>
      </c>
      <c r="V104" s="2">
        <v>1.0416666666666666E-2</v>
      </c>
      <c r="W104">
        <v>22.5</v>
      </c>
      <c r="AA104" t="s">
        <v>46</v>
      </c>
      <c r="AC104" t="s">
        <v>53</v>
      </c>
      <c r="AD104" t="s">
        <v>48</v>
      </c>
      <c r="AE104">
        <f t="shared" si="15"/>
        <v>4</v>
      </c>
      <c r="AF104" t="str">
        <f t="shared" si="16"/>
        <v>April</v>
      </c>
    </row>
    <row r="105" spans="1:32" x14ac:dyDescent="0.3">
      <c r="A105" s="1">
        <v>45387</v>
      </c>
      <c r="B105" t="s">
        <v>39</v>
      </c>
      <c r="C105" t="s">
        <v>50</v>
      </c>
      <c r="D105" t="s">
        <v>32</v>
      </c>
      <c r="E105" t="s">
        <v>51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32</v>
      </c>
      <c r="L105" t="s">
        <v>39</v>
      </c>
      <c r="M105" t="s">
        <v>40</v>
      </c>
      <c r="N105" t="s">
        <v>53</v>
      </c>
      <c r="O105" t="s">
        <v>81</v>
      </c>
      <c r="P105">
        <v>231549</v>
      </c>
      <c r="Q105" t="s">
        <v>143</v>
      </c>
      <c r="R105" t="s">
        <v>44</v>
      </c>
      <c r="S105" t="s">
        <v>45</v>
      </c>
      <c r="T105">
        <v>90</v>
      </c>
      <c r="U105">
        <v>0.25</v>
      </c>
      <c r="V105" s="2">
        <v>1.0416666666666666E-2</v>
      </c>
      <c r="W105">
        <v>22.5</v>
      </c>
      <c r="AA105" t="s">
        <v>46</v>
      </c>
      <c r="AC105" t="s">
        <v>53</v>
      </c>
      <c r="AD105" t="s">
        <v>48</v>
      </c>
      <c r="AE105">
        <f t="shared" si="15"/>
        <v>4</v>
      </c>
      <c r="AF105" t="str">
        <f t="shared" si="16"/>
        <v>April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6790010-09C3-4273-A236-D947ACB21DB7}"/>
</file>

<file path=customXml/itemProps2.xml><?xml version="1.0" encoding="utf-8"?>
<ds:datastoreItem xmlns:ds="http://schemas.openxmlformats.org/officeDocument/2006/customXml" ds:itemID="{9144C3EC-CB40-44D3-9B36-F91064F4A4A7}"/>
</file>

<file path=customXml/itemProps3.xml><?xml version="1.0" encoding="utf-8"?>
<ds:datastoreItem xmlns:ds="http://schemas.openxmlformats.org/officeDocument/2006/customXml" ds:itemID="{CE1EBE90-1122-4ABD-AE51-F6EBC2EBB3F7}"/>
</file>

<file path=customXml/itemProps4.xml><?xml version="1.0" encoding="utf-8"?>
<ds:datastoreItem xmlns:ds="http://schemas.openxmlformats.org/officeDocument/2006/customXml" ds:itemID="{3EC2808A-A7CC-49BB-AD24-89EA91EED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2024-04-08T10:39:34Z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