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45" documentId="8_{167E9527-0BDB-4F80-917D-937C202D374A}" xr6:coauthVersionLast="47" xr6:coauthVersionMax="47" xr10:uidLastSave="{7093F5EA-0848-4202-891D-3A16407205D3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0" i="3" l="1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/>
  <c r="AE57" i="3"/>
  <c r="AF57" i="3"/>
  <c r="AE58" i="3"/>
  <c r="AF58" i="3" s="1"/>
  <c r="AE59" i="3"/>
  <c r="AF59" i="3"/>
  <c r="AE60" i="3"/>
  <c r="AF60" i="3"/>
  <c r="AE61" i="3"/>
  <c r="AF61" i="3" s="1"/>
  <c r="AE62" i="3"/>
  <c r="AF62" i="3" s="1"/>
  <c r="AE63" i="3"/>
  <c r="AF63" i="3"/>
  <c r="AE64" i="3"/>
  <c r="AF64" i="3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/>
  <c r="AE46" i="3"/>
  <c r="AF46" i="3" s="1"/>
  <c r="AE47" i="3"/>
  <c r="AF47" i="3"/>
  <c r="AE48" i="3"/>
  <c r="AF48" i="3"/>
  <c r="AE49" i="3"/>
  <c r="AF49" i="3" s="1"/>
  <c r="AE50" i="3"/>
  <c r="AF50" i="3" s="1"/>
  <c r="AE51" i="3"/>
  <c r="AF51" i="3" s="1"/>
  <c r="AE52" i="3"/>
  <c r="AF52" i="3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 s="1"/>
</calcChain>
</file>

<file path=xl/sharedStrings.xml><?xml version="1.0" encoding="utf-8"?>
<sst xmlns="http://schemas.openxmlformats.org/spreadsheetml/2006/main" count="1657" uniqueCount="97">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</sst>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505082870368" createdVersion="8" refreshedVersion="8" minRefreshableVersion="3" recordCount="74" xr:uid="{00AF4A4F-9059-46F6-9C57-070A83C586EF}">
  <cacheSource type="worksheet">
    <worksheetSource ref="A1:AF75" sheet="Delivery Timesheets"/>
  </cacheSource>
  <cacheFields count="32">
    <cacheField name="Date" numFmtId="15">
      <sharedItems containsSemiMixedTypes="0" containsNonDate="0" containsDate="1" containsString="0" minDate="2024-11-18T00:00:00" maxDate="2024-12-20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38044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2"/>
    </cacheField>
    <cacheField name="Month" numFmtId="0">
      <sharedItems count="2"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m/>
    <m/>
    <m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3"/>
    <x v="1"/>
    <s v="Standard Timecode"/>
    <n v="90"/>
    <n v="1.75"/>
    <d v="1899-12-30T01:45:00"/>
    <n v="157.5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3"/>
    <x v="1"/>
    <s v="Standard Timecode"/>
    <n v="90"/>
    <n v="1.25"/>
    <d v="1899-12-30T01:15:00"/>
    <n v="112.5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3"/>
    <x v="1"/>
    <s v="Standard Timecode"/>
    <n v="90"/>
    <n v="3.5"/>
    <d v="1899-12-30T03:30:00"/>
    <n v="315"/>
    <m/>
    <m/>
    <m/>
    <s v="GBP"/>
    <s v="Reviewed"/>
    <s v=" "/>
    <s v="Not submitted"/>
    <n v="12"/>
    <x v="1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C8CD6-BABF-4A49-A88A-E97239B95B5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5">
    <i>
      <x/>
    </i>
    <i>
      <x v="1"/>
    </i>
    <i>
      <x v="2"/>
    </i>
    <i>
      <x v="4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7" width="11" bestFit="1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0</v>
      </c>
      <c r="C1"/>
    </row>
    <row r="2" spans="1:12" ht="15" thickBot="1" x14ac:dyDescent="0.35">
      <c r="C2"/>
    </row>
    <row r="3" spans="1:12" ht="15" thickBot="1" x14ac:dyDescent="0.35">
      <c r="A3" s="4" t="s">
        <v>1</v>
      </c>
      <c r="B3" t="s">
        <v>2</v>
      </c>
      <c r="C3"/>
      <c r="D3" s="6" t="s">
        <v>3</v>
      </c>
      <c r="H3" s="9" t="s">
        <v>4</v>
      </c>
      <c r="I3" s="10" t="s">
        <v>5</v>
      </c>
      <c r="J3" s="10" t="s">
        <v>6</v>
      </c>
      <c r="K3" s="10" t="s">
        <v>5</v>
      </c>
      <c r="L3" s="10" t="s">
        <v>6</v>
      </c>
    </row>
    <row r="4" spans="1:12" ht="15" thickBot="1" x14ac:dyDescent="0.35">
      <c r="A4" s="4" t="s">
        <v>7</v>
      </c>
      <c r="B4" t="s">
        <v>8</v>
      </c>
      <c r="C4"/>
      <c r="H4" s="11" t="s">
        <v>9</v>
      </c>
      <c r="I4" s="16">
        <v>8</v>
      </c>
      <c r="J4" s="16">
        <v>10</v>
      </c>
      <c r="K4" s="12" t="s">
        <v>10</v>
      </c>
      <c r="L4" s="12" t="s">
        <v>11</v>
      </c>
    </row>
    <row r="5" spans="1:12" ht="15" thickBot="1" x14ac:dyDescent="0.35">
      <c r="C5"/>
      <c r="H5" s="11" t="s">
        <v>12</v>
      </c>
      <c r="I5" s="16">
        <v>40</v>
      </c>
      <c r="J5" s="16">
        <v>48</v>
      </c>
      <c r="K5" s="12" t="s">
        <v>13</v>
      </c>
      <c r="L5" s="12" t="s">
        <v>14</v>
      </c>
    </row>
    <row r="6" spans="1:12" ht="15" thickBot="1" x14ac:dyDescent="0.35">
      <c r="A6" s="4" t="s">
        <v>15</v>
      </c>
      <c r="B6" s="4" t="s">
        <v>16</v>
      </c>
      <c r="C6"/>
      <c r="H6" s="11" t="s">
        <v>17</v>
      </c>
      <c r="I6" s="16">
        <v>4</v>
      </c>
      <c r="J6" s="16">
        <v>5</v>
      </c>
      <c r="K6" s="12" t="s">
        <v>18</v>
      </c>
      <c r="L6" s="12" t="s">
        <v>19</v>
      </c>
    </row>
    <row r="7" spans="1:12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23</v>
      </c>
      <c r="H7" s="11" t="s">
        <v>24</v>
      </c>
      <c r="I7" s="16">
        <v>8</v>
      </c>
      <c r="J7" s="16">
        <v>10</v>
      </c>
      <c r="K7" s="12" t="s">
        <v>10</v>
      </c>
      <c r="L7" s="12" t="s">
        <v>11</v>
      </c>
    </row>
    <row r="8" spans="1:12" ht="25.8" thickBot="1" x14ac:dyDescent="0.35">
      <c r="A8" s="5" t="s">
        <v>25</v>
      </c>
      <c r="B8" s="17"/>
      <c r="C8" s="17"/>
      <c r="D8" s="17">
        <v>2.25</v>
      </c>
      <c r="E8" s="17"/>
      <c r="F8" s="17">
        <v>2.25</v>
      </c>
      <c r="H8" s="11" t="s">
        <v>26</v>
      </c>
      <c r="I8" s="16">
        <v>8</v>
      </c>
      <c r="J8" s="16">
        <v>10</v>
      </c>
      <c r="K8" s="12" t="s">
        <v>10</v>
      </c>
      <c r="L8" s="12" t="s">
        <v>11</v>
      </c>
    </row>
    <row r="9" spans="1:12" ht="15" thickBot="1" x14ac:dyDescent="0.35">
      <c r="A9" s="5" t="s">
        <v>27</v>
      </c>
      <c r="B9" s="17">
        <v>5</v>
      </c>
      <c r="C9" s="17"/>
      <c r="D9" s="17"/>
      <c r="E9" s="17">
        <v>16.75</v>
      </c>
      <c r="F9" s="17">
        <v>21.75</v>
      </c>
      <c r="H9" s="13" t="s">
        <v>28</v>
      </c>
      <c r="I9" s="14">
        <v>68</v>
      </c>
      <c r="J9" s="14">
        <v>83</v>
      </c>
      <c r="K9" s="15" t="s">
        <v>29</v>
      </c>
      <c r="L9" s="15" t="s">
        <v>30</v>
      </c>
    </row>
    <row r="10" spans="1:12" ht="15" thickTop="1" x14ac:dyDescent="0.3">
      <c r="A10" s="5" t="s">
        <v>31</v>
      </c>
      <c r="B10" s="17"/>
      <c r="C10" s="17">
        <v>21.25</v>
      </c>
      <c r="D10" s="17"/>
      <c r="E10" s="17"/>
      <c r="F10" s="17">
        <v>21.25</v>
      </c>
    </row>
    <row r="11" spans="1:12" x14ac:dyDescent="0.3">
      <c r="A11" s="5" t="s">
        <v>32</v>
      </c>
      <c r="B11" s="17"/>
      <c r="C11" s="17"/>
      <c r="D11" s="17"/>
      <c r="E11" s="17">
        <v>3.5</v>
      </c>
      <c r="F11" s="17">
        <v>3.5</v>
      </c>
    </row>
    <row r="12" spans="1:12" x14ac:dyDescent="0.3">
      <c r="A12" s="5" t="s">
        <v>23</v>
      </c>
      <c r="B12" s="17">
        <v>5</v>
      </c>
      <c r="C12" s="17">
        <v>21.25</v>
      </c>
      <c r="D12" s="17">
        <v>2.25</v>
      </c>
      <c r="E12" s="17">
        <v>20.25</v>
      </c>
      <c r="F12" s="17">
        <v>48.75</v>
      </c>
    </row>
    <row r="13" spans="1:12" x14ac:dyDescent="0.3">
      <c r="C13"/>
    </row>
    <row r="14" spans="1:12" x14ac:dyDescent="0.3">
      <c r="C14"/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75"/>
  <sheetViews>
    <sheetView topLeftCell="D38" workbookViewId="0"/>
  </sheetViews>
  <sheetFormatPr defaultRowHeight="14.4" x14ac:dyDescent="0.3"/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45621</v>
      </c>
      <c r="B6" t="s">
        <v>81</v>
      </c>
      <c r="C6" t="s">
        <v>82</v>
      </c>
      <c r="D6" t="s">
        <v>65</v>
      </c>
      <c r="E6" t="s">
        <v>83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84</v>
      </c>
      <c r="O6" t="s">
        <v>0</v>
      </c>
      <c r="P6">
        <v>327722</v>
      </c>
      <c r="Q6" t="s">
        <v>72</v>
      </c>
      <c r="R6" t="s">
        <v>73</v>
      </c>
      <c r="S6" t="s">
        <v>74</v>
      </c>
      <c r="T6">
        <v>0</v>
      </c>
      <c r="U6">
        <v>0.25</v>
      </c>
      <c r="V6" s="2">
        <v>1.0416666666666666E-2</v>
      </c>
      <c r="W6">
        <v>0</v>
      </c>
      <c r="AA6" t="s">
        <v>75</v>
      </c>
      <c r="AB6" t="s">
        <v>76</v>
      </c>
      <c r="AC6" t="s">
        <v>85</v>
      </c>
      <c r="AD6" t="s">
        <v>78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45628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330796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86</v>
      </c>
      <c r="AD7" t="s">
        <v>78</v>
      </c>
      <c r="AE7">
        <f t="shared" si="1"/>
        <v>12</v>
      </c>
      <c r="AF7" t="str">
        <f t="shared" si="0"/>
        <v>December</v>
      </c>
    </row>
    <row r="8" spans="1:32" x14ac:dyDescent="0.3">
      <c r="A8" s="1">
        <v>45636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333714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85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45643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337211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86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45616</v>
      </c>
      <c r="B10" t="s">
        <v>27</v>
      </c>
      <c r="C10" t="s">
        <v>82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32</v>
      </c>
      <c r="O10" t="s">
        <v>0</v>
      </c>
      <c r="P10">
        <v>325460</v>
      </c>
      <c r="Q10" t="s">
        <v>9</v>
      </c>
      <c r="R10" t="s">
        <v>8</v>
      </c>
      <c r="S10" t="s">
        <v>74</v>
      </c>
      <c r="T10">
        <v>90</v>
      </c>
      <c r="U10">
        <v>1.5</v>
      </c>
      <c r="V10" s="2">
        <v>6.25E-2</v>
      </c>
      <c r="W10">
        <v>135</v>
      </c>
      <c r="X10">
        <v>180</v>
      </c>
      <c r="Y10">
        <v>45</v>
      </c>
      <c r="Z10" t="s">
        <v>87</v>
      </c>
      <c r="AA10" t="s">
        <v>75</v>
      </c>
      <c r="AB10" t="s">
        <v>76</v>
      </c>
      <c r="AC10" t="s">
        <v>84</v>
      </c>
      <c r="AD10" t="s">
        <v>78</v>
      </c>
      <c r="AE10">
        <f t="shared" si="1"/>
        <v>11</v>
      </c>
      <c r="AF10" t="str">
        <f t="shared" si="0"/>
        <v>November</v>
      </c>
    </row>
    <row r="11" spans="1:32" x14ac:dyDescent="0.3">
      <c r="A11" s="1">
        <v>45617</v>
      </c>
      <c r="B11" t="s">
        <v>27</v>
      </c>
      <c r="C11" t="s">
        <v>82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32</v>
      </c>
      <c r="O11" t="s">
        <v>0</v>
      </c>
      <c r="P11">
        <v>326072</v>
      </c>
      <c r="Q11" t="s">
        <v>9</v>
      </c>
      <c r="R11" t="s">
        <v>8</v>
      </c>
      <c r="S11" t="s">
        <v>74</v>
      </c>
      <c r="T11">
        <v>90</v>
      </c>
      <c r="U11">
        <v>2.25</v>
      </c>
      <c r="V11" s="2">
        <v>9.375E-2</v>
      </c>
      <c r="W11">
        <v>202.5</v>
      </c>
      <c r="X11">
        <v>270</v>
      </c>
      <c r="Y11">
        <v>67.5</v>
      </c>
      <c r="Z11" t="s">
        <v>87</v>
      </c>
      <c r="AA11" t="s">
        <v>75</v>
      </c>
      <c r="AB11" t="s">
        <v>76</v>
      </c>
      <c r="AC11" t="s">
        <v>84</v>
      </c>
      <c r="AD11" t="s">
        <v>78</v>
      </c>
      <c r="AE11">
        <f t="shared" si="1"/>
        <v>11</v>
      </c>
      <c r="AF11" t="str">
        <f t="shared" si="0"/>
        <v>November</v>
      </c>
    </row>
    <row r="12" spans="1:32" x14ac:dyDescent="0.3">
      <c r="A12" s="1">
        <v>45618</v>
      </c>
      <c r="B12" t="s">
        <v>27</v>
      </c>
      <c r="C12" t="s">
        <v>82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32</v>
      </c>
      <c r="O12" t="s">
        <v>0</v>
      </c>
      <c r="P12">
        <v>327414</v>
      </c>
      <c r="Q12" t="s">
        <v>9</v>
      </c>
      <c r="R12" t="s">
        <v>8</v>
      </c>
      <c r="S12" t="s">
        <v>74</v>
      </c>
      <c r="T12">
        <v>90</v>
      </c>
      <c r="U12">
        <v>0.5</v>
      </c>
      <c r="V12" s="2">
        <v>2.0833333333333332E-2</v>
      </c>
      <c r="W12">
        <v>45</v>
      </c>
      <c r="X12">
        <v>60</v>
      </c>
      <c r="Y12">
        <v>15</v>
      </c>
      <c r="Z12" t="s">
        <v>87</v>
      </c>
      <c r="AA12" t="s">
        <v>75</v>
      </c>
      <c r="AB12" t="s">
        <v>76</v>
      </c>
      <c r="AC12" t="s">
        <v>84</v>
      </c>
      <c r="AD12" t="s">
        <v>78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45621</v>
      </c>
      <c r="B13" t="s">
        <v>27</v>
      </c>
      <c r="C13" t="s">
        <v>82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32</v>
      </c>
      <c r="O13" t="s">
        <v>0</v>
      </c>
      <c r="P13">
        <v>327421</v>
      </c>
      <c r="Q13" t="s">
        <v>9</v>
      </c>
      <c r="R13" t="s">
        <v>8</v>
      </c>
      <c r="S13" t="s">
        <v>74</v>
      </c>
      <c r="T13">
        <v>90</v>
      </c>
      <c r="U13">
        <v>0.25</v>
      </c>
      <c r="V13" s="2">
        <v>1.0416666666666666E-2</v>
      </c>
      <c r="W13">
        <v>22.5</v>
      </c>
      <c r="X13">
        <v>30</v>
      </c>
      <c r="Y13">
        <v>7.5</v>
      </c>
      <c r="Z13" t="s">
        <v>87</v>
      </c>
      <c r="AA13" t="s">
        <v>75</v>
      </c>
      <c r="AB13" t="s">
        <v>76</v>
      </c>
      <c r="AC13" t="s">
        <v>84</v>
      </c>
      <c r="AD13" t="s">
        <v>78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45621</v>
      </c>
      <c r="B14" t="s">
        <v>27</v>
      </c>
      <c r="C14" t="s">
        <v>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32</v>
      </c>
      <c r="O14" t="s">
        <v>0</v>
      </c>
      <c r="P14">
        <v>327485</v>
      </c>
      <c r="Q14" t="s">
        <v>22</v>
      </c>
      <c r="R14" t="s">
        <v>8</v>
      </c>
      <c r="S14" t="s">
        <v>74</v>
      </c>
      <c r="T14">
        <v>90</v>
      </c>
      <c r="U14">
        <v>1.75</v>
      </c>
      <c r="V14" s="2">
        <v>7.2916666666666671E-2</v>
      </c>
      <c r="W14">
        <v>157.5</v>
      </c>
      <c r="X14">
        <v>210</v>
      </c>
      <c r="Y14">
        <v>52.5</v>
      </c>
      <c r="Z14" t="s">
        <v>87</v>
      </c>
      <c r="AA14" t="s">
        <v>75</v>
      </c>
      <c r="AB14" t="s">
        <v>76</v>
      </c>
      <c r="AC14" t="s">
        <v>84</v>
      </c>
      <c r="AD14" t="s">
        <v>78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45621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327416</v>
      </c>
      <c r="Q15" t="s">
        <v>72</v>
      </c>
      <c r="R15" t="s">
        <v>73</v>
      </c>
      <c r="S15" t="s">
        <v>74</v>
      </c>
      <c r="T15">
        <v>0</v>
      </c>
      <c r="U15">
        <v>1</v>
      </c>
      <c r="V15" s="2">
        <v>4.1666666666666664E-2</v>
      </c>
      <c r="W15">
        <v>0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45622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328006</v>
      </c>
      <c r="Q16" t="s">
        <v>22</v>
      </c>
      <c r="R16" t="s">
        <v>8</v>
      </c>
      <c r="S16" t="s">
        <v>74</v>
      </c>
      <c r="T16">
        <v>90</v>
      </c>
      <c r="U16">
        <v>3.5</v>
      </c>
      <c r="V16" s="2">
        <v>0.14583333333333334</v>
      </c>
      <c r="W16">
        <v>315</v>
      </c>
      <c r="X16">
        <v>420</v>
      </c>
      <c r="Y16">
        <v>105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45622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328003</v>
      </c>
      <c r="Q17" t="s">
        <v>72</v>
      </c>
      <c r="R17" t="s">
        <v>73</v>
      </c>
      <c r="S17" t="s">
        <v>74</v>
      </c>
      <c r="T17">
        <v>0</v>
      </c>
      <c r="U17">
        <v>1</v>
      </c>
      <c r="V17" s="2">
        <v>4.1666666666666664E-2</v>
      </c>
      <c r="W17">
        <v>0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45623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328702</v>
      </c>
      <c r="Q18" t="s">
        <v>22</v>
      </c>
      <c r="R18" t="s">
        <v>8</v>
      </c>
      <c r="S18" t="s">
        <v>74</v>
      </c>
      <c r="T18">
        <v>90</v>
      </c>
      <c r="U18">
        <v>3.75</v>
      </c>
      <c r="V18" s="2">
        <v>0.15625</v>
      </c>
      <c r="W18">
        <v>337.5</v>
      </c>
      <c r="X18">
        <v>450</v>
      </c>
      <c r="Y18">
        <v>112.5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45623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328708</v>
      </c>
      <c r="Q19" t="s">
        <v>72</v>
      </c>
      <c r="R19" t="s">
        <v>73</v>
      </c>
      <c r="S19" t="s">
        <v>74</v>
      </c>
      <c r="T19">
        <v>0</v>
      </c>
      <c r="U19">
        <v>0.75</v>
      </c>
      <c r="V19" s="2">
        <v>3.125E-2</v>
      </c>
      <c r="W19">
        <v>0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45624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329615</v>
      </c>
      <c r="Q20" t="s">
        <v>9</v>
      </c>
      <c r="R20" t="s">
        <v>8</v>
      </c>
      <c r="S20" t="s">
        <v>74</v>
      </c>
      <c r="T20">
        <v>90</v>
      </c>
      <c r="U20">
        <v>0.5</v>
      </c>
      <c r="V20" s="2">
        <v>2.0833333333333332E-2</v>
      </c>
      <c r="W20">
        <v>45</v>
      </c>
      <c r="X20">
        <v>60</v>
      </c>
      <c r="Y20">
        <v>15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45624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329613</v>
      </c>
      <c r="Q21" t="s">
        <v>22</v>
      </c>
      <c r="R21" t="s">
        <v>8</v>
      </c>
      <c r="S21" t="s">
        <v>74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45625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329816</v>
      </c>
      <c r="Q22" t="s">
        <v>22</v>
      </c>
      <c r="R22" t="s">
        <v>8</v>
      </c>
      <c r="S22" t="s">
        <v>74</v>
      </c>
      <c r="T22">
        <v>90</v>
      </c>
      <c r="U22">
        <v>1</v>
      </c>
      <c r="V22" s="2">
        <v>4.1666666666666664E-2</v>
      </c>
      <c r="W22">
        <v>90</v>
      </c>
      <c r="X22">
        <v>120</v>
      </c>
      <c r="Y22">
        <v>30</v>
      </c>
      <c r="Z22" t="s">
        <v>87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45625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329817</v>
      </c>
      <c r="Q23" t="s">
        <v>72</v>
      </c>
      <c r="R23" t="s">
        <v>73</v>
      </c>
      <c r="S23" t="s">
        <v>74</v>
      </c>
      <c r="T23">
        <v>0</v>
      </c>
      <c r="U23">
        <v>0.5</v>
      </c>
      <c r="V23" s="2">
        <v>2.0833333333333332E-2</v>
      </c>
      <c r="W23">
        <v>0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45628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331412</v>
      </c>
      <c r="Q24" t="s">
        <v>22</v>
      </c>
      <c r="R24" t="s">
        <v>8</v>
      </c>
      <c r="S24" t="s">
        <v>74</v>
      </c>
      <c r="T24">
        <v>90</v>
      </c>
      <c r="U24">
        <v>0.5</v>
      </c>
      <c r="V24" s="2">
        <v>2.0833333333333332E-2</v>
      </c>
      <c r="W24">
        <v>45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12</v>
      </c>
      <c r="AF24" t="str">
        <f t="shared" si="5"/>
        <v>December</v>
      </c>
    </row>
    <row r="25" spans="1:32" x14ac:dyDescent="0.3">
      <c r="A25" s="1">
        <v>45629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331421</v>
      </c>
      <c r="Q25" t="s">
        <v>22</v>
      </c>
      <c r="R25" t="s">
        <v>8</v>
      </c>
      <c r="S25" t="s">
        <v>74</v>
      </c>
      <c r="T25">
        <v>90</v>
      </c>
      <c r="U25">
        <v>0.5</v>
      </c>
      <c r="V25" s="2">
        <v>2.0833333333333332E-2</v>
      </c>
      <c r="W25">
        <v>45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12</v>
      </c>
      <c r="AF25" t="str">
        <f t="shared" si="5"/>
        <v>December</v>
      </c>
    </row>
    <row r="26" spans="1:32" x14ac:dyDescent="0.3">
      <c r="A26" s="1">
        <v>45630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331913</v>
      </c>
      <c r="Q26" t="s">
        <v>72</v>
      </c>
      <c r="R26" t="s">
        <v>73</v>
      </c>
      <c r="S26" t="s">
        <v>74</v>
      </c>
      <c r="T26">
        <v>0</v>
      </c>
      <c r="U26">
        <v>0.25</v>
      </c>
      <c r="V26" s="2">
        <v>1.0416666666666666E-2</v>
      </c>
      <c r="W26">
        <v>0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12</v>
      </c>
      <c r="AF26" t="str">
        <f t="shared" si="5"/>
        <v>December</v>
      </c>
    </row>
    <row r="27" spans="1:32" x14ac:dyDescent="0.3">
      <c r="A27" s="1">
        <v>45631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333449</v>
      </c>
      <c r="Q27" t="s">
        <v>22</v>
      </c>
      <c r="R27" t="s">
        <v>8</v>
      </c>
      <c r="S27" t="s">
        <v>74</v>
      </c>
      <c r="T27">
        <v>90</v>
      </c>
      <c r="U27">
        <v>1</v>
      </c>
      <c r="V27" s="2">
        <v>4.1666666666666664E-2</v>
      </c>
      <c r="W27">
        <v>90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12</v>
      </c>
      <c r="AF27" t="str">
        <f t="shared" si="5"/>
        <v>December</v>
      </c>
    </row>
    <row r="28" spans="1:32" x14ac:dyDescent="0.3">
      <c r="A28" s="1">
        <v>45636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334502</v>
      </c>
      <c r="Q28" t="s">
        <v>22</v>
      </c>
      <c r="R28" t="s">
        <v>8</v>
      </c>
      <c r="S28" t="s">
        <v>74</v>
      </c>
      <c r="T28">
        <v>90</v>
      </c>
      <c r="U28">
        <v>0.5</v>
      </c>
      <c r="V28" s="2">
        <v>2.0833333333333332E-2</v>
      </c>
      <c r="W28">
        <v>45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12</v>
      </c>
      <c r="AF28" t="str">
        <f t="shared" si="5"/>
        <v>December</v>
      </c>
    </row>
    <row r="29" spans="1:32" x14ac:dyDescent="0.3">
      <c r="A29" s="1">
        <v>45637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334505</v>
      </c>
      <c r="Q29" t="s">
        <v>22</v>
      </c>
      <c r="R29" t="s">
        <v>8</v>
      </c>
      <c r="S29" t="s">
        <v>74</v>
      </c>
      <c r="T29">
        <v>90</v>
      </c>
      <c r="U29">
        <v>0.5</v>
      </c>
      <c r="V29" s="2">
        <v>2.0833333333333332E-2</v>
      </c>
      <c r="W29">
        <v>45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 x14ac:dyDescent="0.3">
      <c r="A30" s="1">
        <v>45638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334759</v>
      </c>
      <c r="Q30" t="s">
        <v>72</v>
      </c>
      <c r="R30" t="s">
        <v>73</v>
      </c>
      <c r="S30" t="s">
        <v>74</v>
      </c>
      <c r="T30">
        <v>0</v>
      </c>
      <c r="U30">
        <v>0.5</v>
      </c>
      <c r="V30" s="2">
        <v>2.0833333333333332E-2</v>
      </c>
      <c r="W30">
        <v>0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45642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335523</v>
      </c>
      <c r="Q31" t="s">
        <v>22</v>
      </c>
      <c r="R31" t="s">
        <v>8</v>
      </c>
      <c r="S31" t="s">
        <v>74</v>
      </c>
      <c r="T31">
        <v>90</v>
      </c>
      <c r="U31">
        <v>0.5</v>
      </c>
      <c r="V31" s="2">
        <v>2.0833333333333332E-2</v>
      </c>
      <c r="W31">
        <v>45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45645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338044</v>
      </c>
      <c r="Q32" t="s">
        <v>22</v>
      </c>
      <c r="R32" t="s">
        <v>8</v>
      </c>
      <c r="S32" t="s">
        <v>74</v>
      </c>
      <c r="T32">
        <v>90</v>
      </c>
      <c r="U32">
        <v>0.25</v>
      </c>
      <c r="V32" s="2">
        <v>1.0416666666666666E-2</v>
      </c>
      <c r="W32">
        <v>22.5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45617</v>
      </c>
      <c r="B33" t="s">
        <v>32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84</v>
      </c>
      <c r="O33" t="s">
        <v>0</v>
      </c>
      <c r="P33">
        <v>328871</v>
      </c>
      <c r="Q33" t="s">
        <v>22</v>
      </c>
      <c r="R33" t="s">
        <v>8</v>
      </c>
      <c r="S33" t="s">
        <v>74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87</v>
      </c>
      <c r="AA33" t="s">
        <v>75</v>
      </c>
      <c r="AB33" t="s">
        <v>76</v>
      </c>
      <c r="AC33" t="s">
        <v>88</v>
      </c>
      <c r="AD33" t="s">
        <v>78</v>
      </c>
      <c r="AE33">
        <f t="shared" si="4"/>
        <v>11</v>
      </c>
      <c r="AF33" t="str">
        <f t="shared" si="5"/>
        <v>November</v>
      </c>
    </row>
    <row r="34" spans="1:32" x14ac:dyDescent="0.3">
      <c r="A34" s="1">
        <v>45621</v>
      </c>
      <c r="B34" t="s">
        <v>32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84</v>
      </c>
      <c r="O34" t="s">
        <v>0</v>
      </c>
      <c r="P34">
        <v>328882</v>
      </c>
      <c r="Q34" t="s">
        <v>22</v>
      </c>
      <c r="R34" t="s">
        <v>8</v>
      </c>
      <c r="S34" t="s">
        <v>74</v>
      </c>
      <c r="T34">
        <v>90</v>
      </c>
      <c r="U34">
        <v>1</v>
      </c>
      <c r="V34" s="2">
        <v>4.1666666666666664E-2</v>
      </c>
      <c r="W34">
        <v>90</v>
      </c>
      <c r="X34">
        <v>120</v>
      </c>
      <c r="Y34">
        <v>30</v>
      </c>
      <c r="Z34" t="s">
        <v>87</v>
      </c>
      <c r="AA34" t="s">
        <v>75</v>
      </c>
      <c r="AB34" t="s">
        <v>76</v>
      </c>
      <c r="AC34" t="s">
        <v>89</v>
      </c>
      <c r="AD34" t="s">
        <v>78</v>
      </c>
      <c r="AE34">
        <f t="shared" si="4"/>
        <v>11</v>
      </c>
      <c r="AF34" t="str">
        <f t="shared" si="5"/>
        <v>November</v>
      </c>
    </row>
    <row r="35" spans="1:32" x14ac:dyDescent="0.3">
      <c r="A35" s="1">
        <v>45622</v>
      </c>
      <c r="B35" t="s">
        <v>32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84</v>
      </c>
      <c r="O35" t="s">
        <v>0</v>
      </c>
      <c r="P35">
        <v>328895</v>
      </c>
      <c r="Q35" t="s">
        <v>22</v>
      </c>
      <c r="R35" t="s">
        <v>8</v>
      </c>
      <c r="S35" t="s">
        <v>74</v>
      </c>
      <c r="T35">
        <v>90</v>
      </c>
      <c r="U35">
        <v>1</v>
      </c>
      <c r="V35" s="2">
        <v>4.1666666666666664E-2</v>
      </c>
      <c r="W35">
        <v>90</v>
      </c>
      <c r="X35">
        <v>120</v>
      </c>
      <c r="Y35">
        <v>30</v>
      </c>
      <c r="Z35" t="s">
        <v>87</v>
      </c>
      <c r="AA35" t="s">
        <v>75</v>
      </c>
      <c r="AB35" t="s">
        <v>76</v>
      </c>
      <c r="AC35" t="s">
        <v>90</v>
      </c>
      <c r="AD35" t="s">
        <v>78</v>
      </c>
      <c r="AE35">
        <f t="shared" si="4"/>
        <v>11</v>
      </c>
      <c r="AF35" t="str">
        <f t="shared" si="5"/>
        <v>November</v>
      </c>
    </row>
    <row r="36" spans="1:32" x14ac:dyDescent="0.3">
      <c r="A36" s="1">
        <v>45623</v>
      </c>
      <c r="B36" t="s">
        <v>32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84</v>
      </c>
      <c r="O36" t="s">
        <v>0</v>
      </c>
      <c r="P36">
        <v>328899</v>
      </c>
      <c r="Q36" t="s">
        <v>22</v>
      </c>
      <c r="R36" t="s">
        <v>8</v>
      </c>
      <c r="S36" t="s">
        <v>74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87</v>
      </c>
      <c r="AA36" t="s">
        <v>75</v>
      </c>
      <c r="AB36" t="s">
        <v>76</v>
      </c>
      <c r="AC36" t="s">
        <v>91</v>
      </c>
      <c r="AD36" t="s">
        <v>78</v>
      </c>
      <c r="AE36">
        <f t="shared" si="4"/>
        <v>11</v>
      </c>
      <c r="AF36" t="str">
        <f t="shared" si="5"/>
        <v>November</v>
      </c>
    </row>
    <row r="37" spans="1:32" x14ac:dyDescent="0.3">
      <c r="A37" s="1">
        <v>45624</v>
      </c>
      <c r="B37" t="s">
        <v>32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84</v>
      </c>
      <c r="O37" t="s">
        <v>0</v>
      </c>
      <c r="P37">
        <v>330390</v>
      </c>
      <c r="Q37" t="s">
        <v>22</v>
      </c>
      <c r="R37" t="s">
        <v>8</v>
      </c>
      <c r="S37" t="s">
        <v>74</v>
      </c>
      <c r="T37">
        <v>90</v>
      </c>
      <c r="U37">
        <v>0.5</v>
      </c>
      <c r="V37" s="2">
        <v>2.0833333333333332E-2</v>
      </c>
      <c r="W37">
        <v>45</v>
      </c>
      <c r="X37">
        <v>60</v>
      </c>
      <c r="Y37">
        <v>15</v>
      </c>
      <c r="Z37" t="s">
        <v>87</v>
      </c>
      <c r="AA37" t="s">
        <v>75</v>
      </c>
      <c r="AC37" t="s">
        <v>92</v>
      </c>
      <c r="AD37" t="s">
        <v>78</v>
      </c>
      <c r="AE37">
        <f t="shared" si="4"/>
        <v>11</v>
      </c>
      <c r="AF37" t="str">
        <f t="shared" si="5"/>
        <v>November</v>
      </c>
    </row>
    <row r="38" spans="1:32" x14ac:dyDescent="0.3">
      <c r="A38" s="1">
        <v>45614</v>
      </c>
      <c r="B38" t="s">
        <v>31</v>
      </c>
      <c r="C38" t="s">
        <v>82</v>
      </c>
      <c r="D38" t="s">
        <v>65</v>
      </c>
      <c r="E38" t="s">
        <v>83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84</v>
      </c>
      <c r="O38" t="s">
        <v>0</v>
      </c>
      <c r="P38">
        <v>325476</v>
      </c>
      <c r="Q38" t="s">
        <v>21</v>
      </c>
      <c r="R38" t="s">
        <v>8</v>
      </c>
      <c r="S38" t="s">
        <v>74</v>
      </c>
      <c r="T38">
        <v>90</v>
      </c>
      <c r="U38">
        <v>0.25</v>
      </c>
      <c r="V38" s="2">
        <v>1.0416666666666666E-2</v>
      </c>
      <c r="W38">
        <v>22.5</v>
      </c>
      <c r="X38">
        <v>30</v>
      </c>
      <c r="Y38">
        <v>7.5</v>
      </c>
      <c r="Z38" t="s">
        <v>87</v>
      </c>
      <c r="AA38" t="s">
        <v>75</v>
      </c>
      <c r="AB38" t="s">
        <v>76</v>
      </c>
      <c r="AC38" t="s">
        <v>93</v>
      </c>
      <c r="AD38" t="s">
        <v>78</v>
      </c>
      <c r="AE38">
        <f t="shared" si="4"/>
        <v>11</v>
      </c>
      <c r="AF38" t="str">
        <f t="shared" si="5"/>
        <v>November</v>
      </c>
    </row>
    <row r="39" spans="1:32" x14ac:dyDescent="0.3">
      <c r="A39" s="1">
        <v>45615</v>
      </c>
      <c r="B39" t="s">
        <v>31</v>
      </c>
      <c r="C39" t="s">
        <v>82</v>
      </c>
      <c r="D39" t="s">
        <v>65</v>
      </c>
      <c r="E39" t="s">
        <v>83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84</v>
      </c>
      <c r="O39" t="s">
        <v>0</v>
      </c>
      <c r="P39">
        <v>325746</v>
      </c>
      <c r="Q39" t="s">
        <v>21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87</v>
      </c>
      <c r="AA39" t="s">
        <v>75</v>
      </c>
      <c r="AB39" t="s">
        <v>76</v>
      </c>
      <c r="AC39" t="s">
        <v>94</v>
      </c>
      <c r="AD39" t="s">
        <v>78</v>
      </c>
      <c r="AE39">
        <f t="shared" si="4"/>
        <v>11</v>
      </c>
      <c r="AF39" t="str">
        <f t="shared" si="5"/>
        <v>November</v>
      </c>
    </row>
    <row r="40" spans="1:32" x14ac:dyDescent="0.3">
      <c r="A40" s="1">
        <v>45616</v>
      </c>
      <c r="B40" t="s">
        <v>31</v>
      </c>
      <c r="C40" t="s">
        <v>82</v>
      </c>
      <c r="D40" t="s">
        <v>65</v>
      </c>
      <c r="E40" t="s">
        <v>83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84</v>
      </c>
      <c r="O40" t="s">
        <v>0</v>
      </c>
      <c r="P40">
        <v>325465</v>
      </c>
      <c r="Q40" t="s">
        <v>21</v>
      </c>
      <c r="R40" t="s">
        <v>8</v>
      </c>
      <c r="S40" t="s">
        <v>74</v>
      </c>
      <c r="T40">
        <v>90</v>
      </c>
      <c r="U40">
        <v>0.25</v>
      </c>
      <c r="V40" s="2">
        <v>1.0416666666666666E-2</v>
      </c>
      <c r="W40">
        <v>22.5</v>
      </c>
      <c r="X40">
        <v>30</v>
      </c>
      <c r="Y40">
        <v>7.5</v>
      </c>
      <c r="Z40" t="s">
        <v>87</v>
      </c>
      <c r="AA40" t="s">
        <v>75</v>
      </c>
      <c r="AB40" t="s">
        <v>76</v>
      </c>
      <c r="AC40" t="s">
        <v>94</v>
      </c>
      <c r="AD40" t="s">
        <v>78</v>
      </c>
      <c r="AE40">
        <f t="shared" si="4"/>
        <v>11</v>
      </c>
      <c r="AF40" t="str">
        <f t="shared" si="5"/>
        <v>November</v>
      </c>
    </row>
    <row r="41" spans="1:32" x14ac:dyDescent="0.3">
      <c r="A41" s="1">
        <v>45617</v>
      </c>
      <c r="B41" t="s">
        <v>31</v>
      </c>
      <c r="C41" t="s">
        <v>82</v>
      </c>
      <c r="D41" t="s">
        <v>65</v>
      </c>
      <c r="E41" t="s">
        <v>83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84</v>
      </c>
      <c r="O41" t="s">
        <v>0</v>
      </c>
      <c r="P41">
        <v>325938</v>
      </c>
      <c r="Q41" t="s">
        <v>21</v>
      </c>
      <c r="R41" t="s">
        <v>8</v>
      </c>
      <c r="S41" t="s">
        <v>74</v>
      </c>
      <c r="T41">
        <v>90</v>
      </c>
      <c r="U41">
        <v>0.5</v>
      </c>
      <c r="V41" s="2">
        <v>2.0833333333333332E-2</v>
      </c>
      <c r="W41">
        <v>45</v>
      </c>
      <c r="X41">
        <v>60</v>
      </c>
      <c r="Y41">
        <v>15</v>
      </c>
      <c r="Z41" t="s">
        <v>87</v>
      </c>
      <c r="AA41" t="s">
        <v>75</v>
      </c>
      <c r="AB41" t="s">
        <v>76</v>
      </c>
      <c r="AC41" t="s">
        <v>95</v>
      </c>
      <c r="AD41" t="s">
        <v>78</v>
      </c>
      <c r="AE41">
        <f t="shared" si="4"/>
        <v>11</v>
      </c>
      <c r="AF41" t="str">
        <f t="shared" si="5"/>
        <v>November</v>
      </c>
    </row>
    <row r="42" spans="1:32" x14ac:dyDescent="0.3">
      <c r="A42" s="1">
        <v>45618</v>
      </c>
      <c r="B42" t="s">
        <v>31</v>
      </c>
      <c r="C42" t="s">
        <v>82</v>
      </c>
      <c r="D42" t="s">
        <v>65</v>
      </c>
      <c r="E42" t="s">
        <v>83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84</v>
      </c>
      <c r="O42" t="s">
        <v>0</v>
      </c>
      <c r="P42">
        <v>326763</v>
      </c>
      <c r="Q42" t="s">
        <v>21</v>
      </c>
      <c r="R42" t="s">
        <v>8</v>
      </c>
      <c r="S42" t="s">
        <v>74</v>
      </c>
      <c r="T42">
        <v>90</v>
      </c>
      <c r="U42">
        <v>0.25</v>
      </c>
      <c r="V42" s="2">
        <v>1.0416666666666666E-2</v>
      </c>
      <c r="W42">
        <v>22.5</v>
      </c>
      <c r="X42">
        <v>30</v>
      </c>
      <c r="Y42">
        <v>7.5</v>
      </c>
      <c r="Z42" t="s">
        <v>87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11</v>
      </c>
      <c r="AF42" t="str">
        <f t="shared" si="5"/>
        <v>November</v>
      </c>
    </row>
    <row r="43" spans="1:32" x14ac:dyDescent="0.3">
      <c r="A43" s="1">
        <v>45621</v>
      </c>
      <c r="B43" t="s">
        <v>31</v>
      </c>
      <c r="C43" t="s">
        <v>82</v>
      </c>
      <c r="D43" t="s">
        <v>65</v>
      </c>
      <c r="E43" t="s">
        <v>83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84</v>
      </c>
      <c r="O43" t="s">
        <v>0</v>
      </c>
      <c r="P43">
        <v>327547</v>
      </c>
      <c r="Q43" t="s">
        <v>21</v>
      </c>
      <c r="R43" t="s">
        <v>8</v>
      </c>
      <c r="S43" t="s">
        <v>74</v>
      </c>
      <c r="T43">
        <v>90</v>
      </c>
      <c r="U43">
        <v>1.25</v>
      </c>
      <c r="V43" s="2">
        <v>5.2083333333333336E-2</v>
      </c>
      <c r="W43">
        <v>112.5</v>
      </c>
      <c r="X43">
        <v>150</v>
      </c>
      <c r="Y43">
        <v>37.5</v>
      </c>
      <c r="Z43" t="s">
        <v>87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 x14ac:dyDescent="0.3">
      <c r="A44" s="1">
        <v>45622</v>
      </c>
      <c r="B44" t="s">
        <v>31</v>
      </c>
      <c r="C44" t="s">
        <v>82</v>
      </c>
      <c r="D44" t="s">
        <v>65</v>
      </c>
      <c r="E44" t="s">
        <v>83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84</v>
      </c>
      <c r="O44" t="s">
        <v>0</v>
      </c>
      <c r="P44">
        <v>328016</v>
      </c>
      <c r="Q44" t="s">
        <v>21</v>
      </c>
      <c r="R44" t="s">
        <v>8</v>
      </c>
      <c r="S44" t="s">
        <v>74</v>
      </c>
      <c r="T44">
        <v>90</v>
      </c>
      <c r="U44">
        <v>2.75</v>
      </c>
      <c r="V44" s="2">
        <v>0.11458333333333333</v>
      </c>
      <c r="W44">
        <v>247.5</v>
      </c>
      <c r="X44">
        <v>330</v>
      </c>
      <c r="Y44">
        <v>82.5</v>
      </c>
      <c r="Z44" t="s">
        <v>87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11</v>
      </c>
      <c r="AF44" t="str">
        <f t="shared" si="7"/>
        <v>November</v>
      </c>
    </row>
    <row r="45" spans="1:32" x14ac:dyDescent="0.3">
      <c r="A45" s="1">
        <v>45623</v>
      </c>
      <c r="B45" t="s">
        <v>31</v>
      </c>
      <c r="C45" t="s">
        <v>82</v>
      </c>
      <c r="D45" t="s">
        <v>65</v>
      </c>
      <c r="E45" t="s">
        <v>83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84</v>
      </c>
      <c r="O45" t="s">
        <v>0</v>
      </c>
      <c r="P45">
        <v>328660</v>
      </c>
      <c r="Q45" t="s">
        <v>21</v>
      </c>
      <c r="R45" t="s">
        <v>8</v>
      </c>
      <c r="S45" t="s">
        <v>74</v>
      </c>
      <c r="T45">
        <v>90</v>
      </c>
      <c r="U45">
        <v>1</v>
      </c>
      <c r="V45" s="2">
        <v>4.1666666666666664E-2</v>
      </c>
      <c r="W45">
        <v>90</v>
      </c>
      <c r="X45">
        <v>120</v>
      </c>
      <c r="Y45">
        <v>30</v>
      </c>
      <c r="Z45" t="s">
        <v>87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11</v>
      </c>
      <c r="AF45" t="str">
        <f t="shared" si="7"/>
        <v>November</v>
      </c>
    </row>
    <row r="46" spans="1:32" x14ac:dyDescent="0.3">
      <c r="A46" s="1">
        <v>45624</v>
      </c>
      <c r="B46" t="s">
        <v>31</v>
      </c>
      <c r="C46" t="s">
        <v>82</v>
      </c>
      <c r="D46" t="s">
        <v>65</v>
      </c>
      <c r="E46" t="s">
        <v>83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84</v>
      </c>
      <c r="O46" t="s">
        <v>0</v>
      </c>
      <c r="P46">
        <v>329490</v>
      </c>
      <c r="Q46" t="s">
        <v>21</v>
      </c>
      <c r="R46" t="s">
        <v>8</v>
      </c>
      <c r="S46" t="s">
        <v>74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87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11</v>
      </c>
      <c r="AF46" t="str">
        <f t="shared" si="7"/>
        <v>November</v>
      </c>
    </row>
    <row r="47" spans="1:32" x14ac:dyDescent="0.3">
      <c r="A47" s="1">
        <v>45625</v>
      </c>
      <c r="B47" t="s">
        <v>31</v>
      </c>
      <c r="C47" t="s">
        <v>82</v>
      </c>
      <c r="D47" t="s">
        <v>65</v>
      </c>
      <c r="E47" t="s">
        <v>83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329493</v>
      </c>
      <c r="Q47" t="s">
        <v>21</v>
      </c>
      <c r="R47" t="s">
        <v>8</v>
      </c>
      <c r="S47" t="s">
        <v>74</v>
      </c>
      <c r="T47">
        <v>90</v>
      </c>
      <c r="U47">
        <v>1.25</v>
      </c>
      <c r="V47" s="2">
        <v>5.2083333333333336E-2</v>
      </c>
      <c r="W47">
        <v>112.5</v>
      </c>
      <c r="X47">
        <v>150</v>
      </c>
      <c r="Y47">
        <v>37.5</v>
      </c>
      <c r="Z47" t="s">
        <v>87</v>
      </c>
      <c r="AA47" t="s">
        <v>75</v>
      </c>
      <c r="AB47" t="s">
        <v>76</v>
      </c>
      <c r="AC47" t="s">
        <v>84</v>
      </c>
      <c r="AD47" t="s">
        <v>78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45628</v>
      </c>
      <c r="B48" t="s">
        <v>31</v>
      </c>
      <c r="C48" t="s">
        <v>82</v>
      </c>
      <c r="D48" t="s">
        <v>65</v>
      </c>
      <c r="E48" t="s">
        <v>83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330916</v>
      </c>
      <c r="Q48" t="s">
        <v>21</v>
      </c>
      <c r="R48" t="s">
        <v>8</v>
      </c>
      <c r="S48" t="s">
        <v>74</v>
      </c>
      <c r="T48">
        <v>90</v>
      </c>
      <c r="U48">
        <v>1</v>
      </c>
      <c r="V48" s="2">
        <v>4.1666666666666664E-2</v>
      </c>
      <c r="W48">
        <v>90</v>
      </c>
      <c r="AA48" t="s">
        <v>75</v>
      </c>
      <c r="AB48" t="s">
        <v>76</v>
      </c>
      <c r="AC48" t="s">
        <v>84</v>
      </c>
      <c r="AD48" t="s">
        <v>78</v>
      </c>
      <c r="AE48">
        <f t="shared" si="6"/>
        <v>12</v>
      </c>
      <c r="AF48" t="str">
        <f t="shared" si="7"/>
        <v>December</v>
      </c>
    </row>
    <row r="49" spans="1:32" x14ac:dyDescent="0.3">
      <c r="A49" s="1">
        <v>45629</v>
      </c>
      <c r="B49" t="s">
        <v>31</v>
      </c>
      <c r="C49" t="s">
        <v>82</v>
      </c>
      <c r="D49" t="s">
        <v>65</v>
      </c>
      <c r="E49" t="s">
        <v>83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331015</v>
      </c>
      <c r="Q49" t="s">
        <v>21</v>
      </c>
      <c r="R49" t="s">
        <v>8</v>
      </c>
      <c r="S49" t="s">
        <v>74</v>
      </c>
      <c r="T49">
        <v>90</v>
      </c>
      <c r="U49">
        <v>1.75</v>
      </c>
      <c r="V49" s="2">
        <v>7.2916666666666671E-2</v>
      </c>
      <c r="W49">
        <v>157.5</v>
      </c>
      <c r="AA49" t="s">
        <v>75</v>
      </c>
      <c r="AB49" t="s">
        <v>76</v>
      </c>
      <c r="AC49" t="s">
        <v>84</v>
      </c>
      <c r="AD49" t="s">
        <v>78</v>
      </c>
      <c r="AE49">
        <f t="shared" si="6"/>
        <v>12</v>
      </c>
      <c r="AF49" t="str">
        <f t="shared" si="7"/>
        <v>December</v>
      </c>
    </row>
    <row r="50" spans="1:32" x14ac:dyDescent="0.3">
      <c r="A50" s="1">
        <v>45630</v>
      </c>
      <c r="B50" t="s">
        <v>31</v>
      </c>
      <c r="C50" t="s">
        <v>82</v>
      </c>
      <c r="D50" t="s">
        <v>65</v>
      </c>
      <c r="E50" t="s">
        <v>83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331563</v>
      </c>
      <c r="Q50" t="s">
        <v>21</v>
      </c>
      <c r="R50" t="s">
        <v>8</v>
      </c>
      <c r="S50" t="s">
        <v>74</v>
      </c>
      <c r="T50">
        <v>90</v>
      </c>
      <c r="U50">
        <v>1.25</v>
      </c>
      <c r="V50" s="2">
        <v>5.2083333333333336E-2</v>
      </c>
      <c r="W50">
        <v>112.5</v>
      </c>
      <c r="AA50" t="s">
        <v>75</v>
      </c>
      <c r="AB50" t="s">
        <v>76</v>
      </c>
      <c r="AC50" t="s">
        <v>84</v>
      </c>
      <c r="AD50" t="s">
        <v>78</v>
      </c>
      <c r="AE50">
        <f t="shared" si="6"/>
        <v>12</v>
      </c>
      <c r="AF50" t="str">
        <f t="shared" si="7"/>
        <v>December</v>
      </c>
    </row>
    <row r="51" spans="1:32" x14ac:dyDescent="0.3">
      <c r="A51" s="1">
        <v>45631</v>
      </c>
      <c r="B51" t="s">
        <v>31</v>
      </c>
      <c r="C51" t="s">
        <v>82</v>
      </c>
      <c r="D51" t="s">
        <v>65</v>
      </c>
      <c r="E51" t="s">
        <v>83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333982</v>
      </c>
      <c r="Q51" t="s">
        <v>21</v>
      </c>
      <c r="R51" t="s">
        <v>8</v>
      </c>
      <c r="S51" t="s">
        <v>74</v>
      </c>
      <c r="T51">
        <v>90</v>
      </c>
      <c r="U51">
        <v>0.25</v>
      </c>
      <c r="V51" s="2">
        <v>1.0416666666666666E-2</v>
      </c>
      <c r="W51">
        <v>22.5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12</v>
      </c>
      <c r="AF51" t="str">
        <f t="shared" si="7"/>
        <v>December</v>
      </c>
    </row>
    <row r="52" spans="1:32" x14ac:dyDescent="0.3">
      <c r="A52" s="1">
        <v>45632</v>
      </c>
      <c r="B52" t="s">
        <v>31</v>
      </c>
      <c r="C52" t="s">
        <v>82</v>
      </c>
      <c r="D52" t="s">
        <v>65</v>
      </c>
      <c r="E52" t="s">
        <v>83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333988</v>
      </c>
      <c r="Q52" t="s">
        <v>21</v>
      </c>
      <c r="R52" t="s">
        <v>8</v>
      </c>
      <c r="S52" t="s">
        <v>74</v>
      </c>
      <c r="T52">
        <v>90</v>
      </c>
      <c r="U52">
        <v>0.25</v>
      </c>
      <c r="V52" s="2">
        <v>1.0416666666666666E-2</v>
      </c>
      <c r="W52">
        <v>22.5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12</v>
      </c>
      <c r="AF52" t="str">
        <f t="shared" si="7"/>
        <v>December</v>
      </c>
    </row>
    <row r="53" spans="1:32" x14ac:dyDescent="0.3">
      <c r="A53" s="1">
        <v>45635</v>
      </c>
      <c r="B53" t="s">
        <v>31</v>
      </c>
      <c r="C53" t="s">
        <v>82</v>
      </c>
      <c r="D53" t="s">
        <v>65</v>
      </c>
      <c r="E53" t="s">
        <v>83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333996</v>
      </c>
      <c r="Q53" t="s">
        <v>21</v>
      </c>
      <c r="R53" t="s">
        <v>8</v>
      </c>
      <c r="S53" t="s">
        <v>74</v>
      </c>
      <c r="T53">
        <v>90</v>
      </c>
      <c r="U53">
        <v>0.25</v>
      </c>
      <c r="V53" s="2">
        <v>1.0416666666666666E-2</v>
      </c>
      <c r="W53">
        <v>22.5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12</v>
      </c>
      <c r="AF53" t="str">
        <f t="shared" si="7"/>
        <v>December</v>
      </c>
    </row>
    <row r="54" spans="1:32" x14ac:dyDescent="0.3">
      <c r="A54" s="1">
        <v>45636</v>
      </c>
      <c r="B54" t="s">
        <v>31</v>
      </c>
      <c r="C54" t="s">
        <v>82</v>
      </c>
      <c r="D54" t="s">
        <v>65</v>
      </c>
      <c r="E54" t="s">
        <v>83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333997</v>
      </c>
      <c r="Q54" t="s">
        <v>21</v>
      </c>
      <c r="R54" t="s">
        <v>8</v>
      </c>
      <c r="S54" t="s">
        <v>74</v>
      </c>
      <c r="T54">
        <v>90</v>
      </c>
      <c r="U54">
        <v>0.25</v>
      </c>
      <c r="V54" s="2">
        <v>1.0416666666666666E-2</v>
      </c>
      <c r="W54">
        <v>22.5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12</v>
      </c>
      <c r="AF54" t="str">
        <f t="shared" si="7"/>
        <v>December</v>
      </c>
    </row>
    <row r="55" spans="1:32" x14ac:dyDescent="0.3">
      <c r="A55" s="1">
        <v>45637</v>
      </c>
      <c r="B55" t="s">
        <v>31</v>
      </c>
      <c r="C55" t="s">
        <v>82</v>
      </c>
      <c r="D55" t="s">
        <v>65</v>
      </c>
      <c r="E55" t="s">
        <v>83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333998</v>
      </c>
      <c r="Q55" t="s">
        <v>21</v>
      </c>
      <c r="R55" t="s">
        <v>8</v>
      </c>
      <c r="S55" t="s">
        <v>74</v>
      </c>
      <c r="T55">
        <v>90</v>
      </c>
      <c r="U55">
        <v>1</v>
      </c>
      <c r="V55" s="2">
        <v>4.1666666666666664E-2</v>
      </c>
      <c r="W55">
        <v>90</v>
      </c>
      <c r="AA55" t="s">
        <v>75</v>
      </c>
      <c r="AB55" t="s">
        <v>76</v>
      </c>
      <c r="AC55" t="s">
        <v>84</v>
      </c>
      <c r="AD55" t="s">
        <v>78</v>
      </c>
      <c r="AE55">
        <f t="shared" ref="AE55:AE69" si="8">MONTH(A55)</f>
        <v>12</v>
      </c>
      <c r="AF55" t="str">
        <f t="shared" ref="AF55:AF69" si="9">IF(AE55=11,"November",IF(AE55=12,"December",IF(AE55=1,"January",IF(AE55=2,"February",IF(AE55=3,"March")))))</f>
        <v>December</v>
      </c>
    </row>
    <row r="56" spans="1:32" x14ac:dyDescent="0.3">
      <c r="A56" s="1">
        <v>45638</v>
      </c>
      <c r="B56" t="s">
        <v>31</v>
      </c>
      <c r="C56" t="s">
        <v>82</v>
      </c>
      <c r="D56" t="s">
        <v>65</v>
      </c>
      <c r="E56" t="s">
        <v>83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334771</v>
      </c>
      <c r="Q56" t="s">
        <v>21</v>
      </c>
      <c r="R56" t="s">
        <v>8</v>
      </c>
      <c r="S56" t="s">
        <v>74</v>
      </c>
      <c r="T56">
        <v>90</v>
      </c>
      <c r="U56">
        <v>3.5</v>
      </c>
      <c r="V56" s="2">
        <v>0.14583333333333334</v>
      </c>
      <c r="W56">
        <v>315</v>
      </c>
      <c r="AA56" t="s">
        <v>75</v>
      </c>
      <c r="AB56" t="s">
        <v>76</v>
      </c>
      <c r="AC56" t="s">
        <v>84</v>
      </c>
      <c r="AD56" t="s">
        <v>78</v>
      </c>
      <c r="AE56">
        <f t="shared" si="8"/>
        <v>12</v>
      </c>
      <c r="AF56" t="str">
        <f t="shared" si="9"/>
        <v>December</v>
      </c>
    </row>
    <row r="57" spans="1:32" x14ac:dyDescent="0.3">
      <c r="A57" s="1">
        <v>45614</v>
      </c>
      <c r="B57" t="s">
        <v>25</v>
      </c>
      <c r="C57" t="s">
        <v>82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325456</v>
      </c>
      <c r="Q57" t="s">
        <v>17</v>
      </c>
      <c r="R57" t="s">
        <v>8</v>
      </c>
      <c r="S57" t="s">
        <v>74</v>
      </c>
      <c r="T57">
        <v>90</v>
      </c>
      <c r="U57">
        <v>1</v>
      </c>
      <c r="V57" s="2">
        <v>4.1666666666666664E-2</v>
      </c>
      <c r="W57">
        <v>90</v>
      </c>
      <c r="X57">
        <v>120</v>
      </c>
      <c r="Y57">
        <v>30</v>
      </c>
      <c r="Z57" t="s">
        <v>87</v>
      </c>
      <c r="AA57" t="s">
        <v>75</v>
      </c>
      <c r="AB57" t="s">
        <v>76</v>
      </c>
      <c r="AC57" t="s">
        <v>84</v>
      </c>
      <c r="AD57" t="s">
        <v>78</v>
      </c>
      <c r="AE57">
        <f t="shared" si="8"/>
        <v>11</v>
      </c>
      <c r="AF57" t="str">
        <f t="shared" si="9"/>
        <v>November</v>
      </c>
    </row>
    <row r="58" spans="1:32" x14ac:dyDescent="0.3">
      <c r="A58" s="1">
        <v>45614</v>
      </c>
      <c r="B58" t="s">
        <v>25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325455</v>
      </c>
      <c r="Q58" t="s">
        <v>72</v>
      </c>
      <c r="R58" t="s">
        <v>73</v>
      </c>
      <c r="S58" t="s">
        <v>74</v>
      </c>
      <c r="T58">
        <v>0</v>
      </c>
      <c r="U58">
        <v>0.5</v>
      </c>
      <c r="V58" s="2">
        <v>2.0833333333333332E-2</v>
      </c>
      <c r="W58">
        <v>0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 x14ac:dyDescent="0.3">
      <c r="A59" s="1">
        <v>45615</v>
      </c>
      <c r="B59" t="s">
        <v>25</v>
      </c>
      <c r="C59" t="s">
        <v>82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325457</v>
      </c>
      <c r="Q59" t="s">
        <v>72</v>
      </c>
      <c r="R59" t="s">
        <v>73</v>
      </c>
      <c r="S59" t="s">
        <v>74</v>
      </c>
      <c r="T59">
        <v>0</v>
      </c>
      <c r="U59">
        <v>1.5</v>
      </c>
      <c r="V59" s="2">
        <v>6.25E-2</v>
      </c>
      <c r="W59">
        <v>0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 x14ac:dyDescent="0.3">
      <c r="A60" s="1">
        <v>45616</v>
      </c>
      <c r="B60" t="s">
        <v>25</v>
      </c>
      <c r="C60" t="s">
        <v>82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325454</v>
      </c>
      <c r="Q60" t="s">
        <v>17</v>
      </c>
      <c r="R60" t="s">
        <v>8</v>
      </c>
      <c r="S60" t="s">
        <v>74</v>
      </c>
      <c r="T60">
        <v>90</v>
      </c>
      <c r="U60">
        <v>0.25</v>
      </c>
      <c r="V60" s="2">
        <v>1.0416666666666666E-2</v>
      </c>
      <c r="W60">
        <v>22.5</v>
      </c>
      <c r="X60">
        <v>30</v>
      </c>
      <c r="Y60">
        <v>7.5</v>
      </c>
      <c r="Z60" t="s">
        <v>87</v>
      </c>
      <c r="AA60" t="s">
        <v>75</v>
      </c>
      <c r="AB60" t="s">
        <v>76</v>
      </c>
      <c r="AC60" t="s">
        <v>84</v>
      </c>
      <c r="AD60" t="s">
        <v>78</v>
      </c>
      <c r="AE60">
        <f t="shared" si="8"/>
        <v>11</v>
      </c>
      <c r="AF60" t="str">
        <f t="shared" si="9"/>
        <v>November</v>
      </c>
    </row>
    <row r="61" spans="1:32" x14ac:dyDescent="0.3">
      <c r="A61" s="1">
        <v>45616</v>
      </c>
      <c r="B61" t="s">
        <v>25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325453</v>
      </c>
      <c r="Q61" t="s">
        <v>72</v>
      </c>
      <c r="R61" t="s">
        <v>73</v>
      </c>
      <c r="S61" t="s">
        <v>74</v>
      </c>
      <c r="T61">
        <v>0</v>
      </c>
      <c r="U61">
        <v>0.75</v>
      </c>
      <c r="V61" s="2">
        <v>3.125E-2</v>
      </c>
      <c r="W61">
        <v>0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 x14ac:dyDescent="0.3">
      <c r="A62" s="1">
        <v>45617</v>
      </c>
      <c r="B62" t="s">
        <v>25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326249</v>
      </c>
      <c r="Q62" t="s">
        <v>17</v>
      </c>
      <c r="R62" t="s">
        <v>8</v>
      </c>
      <c r="S62" t="s">
        <v>74</v>
      </c>
      <c r="T62">
        <v>90</v>
      </c>
      <c r="U62">
        <v>0.25</v>
      </c>
      <c r="V62" s="2">
        <v>1.0416666666666666E-2</v>
      </c>
      <c r="W62">
        <v>22.5</v>
      </c>
      <c r="X62">
        <v>30</v>
      </c>
      <c r="Y62">
        <v>7.5</v>
      </c>
      <c r="Z62" t="s">
        <v>87</v>
      </c>
      <c r="AA62" t="s">
        <v>75</v>
      </c>
      <c r="AB62" t="s">
        <v>76</v>
      </c>
      <c r="AC62" t="s">
        <v>84</v>
      </c>
      <c r="AD62" t="s">
        <v>78</v>
      </c>
      <c r="AE62">
        <f t="shared" si="8"/>
        <v>11</v>
      </c>
      <c r="AF62" t="str">
        <f t="shared" si="9"/>
        <v>November</v>
      </c>
    </row>
    <row r="63" spans="1:32" x14ac:dyDescent="0.3">
      <c r="A63" s="1">
        <v>45618</v>
      </c>
      <c r="B63" t="s">
        <v>25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327242</v>
      </c>
      <c r="Q63" t="s">
        <v>17</v>
      </c>
      <c r="R63" t="s">
        <v>8</v>
      </c>
      <c r="S63" t="s">
        <v>74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87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11</v>
      </c>
      <c r="AF63" t="str">
        <f t="shared" si="9"/>
        <v>November</v>
      </c>
    </row>
    <row r="64" spans="1:32" x14ac:dyDescent="0.3">
      <c r="A64" s="1">
        <v>45621</v>
      </c>
      <c r="B64" t="s">
        <v>25</v>
      </c>
      <c r="C64" t="s">
        <v>82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327236</v>
      </c>
      <c r="Q64" t="s">
        <v>17</v>
      </c>
      <c r="R64" t="s">
        <v>8</v>
      </c>
      <c r="S64" t="s">
        <v>74</v>
      </c>
      <c r="T64">
        <v>90</v>
      </c>
      <c r="U64">
        <v>0.5</v>
      </c>
      <c r="V64" s="2">
        <v>2.0833333333333332E-2</v>
      </c>
      <c r="W64">
        <v>45</v>
      </c>
      <c r="X64">
        <v>60</v>
      </c>
      <c r="Y64">
        <v>15</v>
      </c>
      <c r="Z64" t="s">
        <v>87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11</v>
      </c>
      <c r="AF64" t="str">
        <f t="shared" si="9"/>
        <v>November</v>
      </c>
    </row>
    <row r="65" spans="1:32" x14ac:dyDescent="0.3">
      <c r="A65" s="1">
        <v>45628</v>
      </c>
      <c r="B65" t="s">
        <v>25</v>
      </c>
      <c r="C65" t="s">
        <v>82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331079</v>
      </c>
      <c r="Q65" t="s">
        <v>72</v>
      </c>
      <c r="R65" t="s">
        <v>73</v>
      </c>
      <c r="S65" t="s">
        <v>74</v>
      </c>
      <c r="T65">
        <v>0</v>
      </c>
      <c r="U65">
        <v>0.25</v>
      </c>
      <c r="V65" s="2">
        <v>1.0416666666666666E-2</v>
      </c>
      <c r="W65">
        <v>0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12</v>
      </c>
      <c r="AF65" t="str">
        <f t="shared" si="9"/>
        <v>December</v>
      </c>
    </row>
    <row r="66" spans="1:32" x14ac:dyDescent="0.3">
      <c r="A66" s="1">
        <v>45629</v>
      </c>
      <c r="B66" t="s">
        <v>25</v>
      </c>
      <c r="C66" t="s">
        <v>82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331089</v>
      </c>
      <c r="Q66" t="s">
        <v>72</v>
      </c>
      <c r="R66" t="s">
        <v>73</v>
      </c>
      <c r="S66" t="s">
        <v>74</v>
      </c>
      <c r="T66">
        <v>0</v>
      </c>
      <c r="U66">
        <v>0.25</v>
      </c>
      <c r="V66" s="2">
        <v>1.0416666666666666E-2</v>
      </c>
      <c r="W66">
        <v>0</v>
      </c>
      <c r="AA66" t="s">
        <v>75</v>
      </c>
      <c r="AB66" t="s">
        <v>76</v>
      </c>
      <c r="AC66" t="s">
        <v>84</v>
      </c>
      <c r="AD66" t="s">
        <v>78</v>
      </c>
      <c r="AE66">
        <f t="shared" si="8"/>
        <v>12</v>
      </c>
      <c r="AF66" t="str">
        <f t="shared" si="9"/>
        <v>December</v>
      </c>
    </row>
    <row r="67" spans="1:32" x14ac:dyDescent="0.3">
      <c r="A67" s="1">
        <v>45630</v>
      </c>
      <c r="B67" t="s">
        <v>25</v>
      </c>
      <c r="C67" t="s">
        <v>82</v>
      </c>
      <c r="D67" t="s">
        <v>65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331744</v>
      </c>
      <c r="Q67" t="s">
        <v>72</v>
      </c>
      <c r="R67" t="s">
        <v>73</v>
      </c>
      <c r="S67" t="s">
        <v>74</v>
      </c>
      <c r="T67">
        <v>0</v>
      </c>
      <c r="U67">
        <v>0.5</v>
      </c>
      <c r="V67" s="2">
        <v>2.0833333333333332E-2</v>
      </c>
      <c r="W67">
        <v>0</v>
      </c>
      <c r="AA67" t="s">
        <v>75</v>
      </c>
      <c r="AB67" t="s">
        <v>76</v>
      </c>
      <c r="AC67" t="s">
        <v>84</v>
      </c>
      <c r="AD67" t="s">
        <v>78</v>
      </c>
      <c r="AE67">
        <f t="shared" si="8"/>
        <v>12</v>
      </c>
      <c r="AF67" t="str">
        <f t="shared" si="9"/>
        <v>December</v>
      </c>
    </row>
    <row r="68" spans="1:32" x14ac:dyDescent="0.3">
      <c r="A68" s="1">
        <v>45631</v>
      </c>
      <c r="B68" t="s">
        <v>25</v>
      </c>
      <c r="C68" t="s">
        <v>82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332082</v>
      </c>
      <c r="Q68" t="s">
        <v>72</v>
      </c>
      <c r="R68" t="s">
        <v>73</v>
      </c>
      <c r="S68" t="s">
        <v>74</v>
      </c>
      <c r="T68">
        <v>0</v>
      </c>
      <c r="U68">
        <v>0.5</v>
      </c>
      <c r="V68" s="2">
        <v>2.0833333333333332E-2</v>
      </c>
      <c r="W68">
        <v>0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12</v>
      </c>
      <c r="AF68" t="str">
        <f t="shared" si="9"/>
        <v>December</v>
      </c>
    </row>
    <row r="69" spans="1:32" x14ac:dyDescent="0.3">
      <c r="A69" s="1">
        <v>45635</v>
      </c>
      <c r="B69" t="s">
        <v>25</v>
      </c>
      <c r="C69" t="s">
        <v>82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334072</v>
      </c>
      <c r="Q69" t="s">
        <v>72</v>
      </c>
      <c r="R69" t="s">
        <v>73</v>
      </c>
      <c r="S69" t="s">
        <v>74</v>
      </c>
      <c r="T69">
        <v>0</v>
      </c>
      <c r="U69">
        <v>0.25</v>
      </c>
      <c r="V69" s="2">
        <v>1.0416666666666666E-2</v>
      </c>
      <c r="W69">
        <v>0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  <row r="70" spans="1:32" x14ac:dyDescent="0.3">
      <c r="A70" s="1">
        <v>45637</v>
      </c>
      <c r="B70" t="s">
        <v>25</v>
      </c>
      <c r="C70" t="s">
        <v>82</v>
      </c>
      <c r="D70" t="s">
        <v>65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334592</v>
      </c>
      <c r="Q70" t="s">
        <v>72</v>
      </c>
      <c r="R70" t="s">
        <v>73</v>
      </c>
      <c r="S70" t="s">
        <v>74</v>
      </c>
      <c r="T70">
        <v>0</v>
      </c>
      <c r="U70">
        <v>0.25</v>
      </c>
      <c r="V70" s="2">
        <v>1.0416666666666666E-2</v>
      </c>
      <c r="W70">
        <v>0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12</v>
      </c>
      <c r="AF70" t="str">
        <f t="shared" ref="AF70:AF75" si="11">IF(AE70=11,"November",IF(AE70=12,"December",IF(AE70=1,"January",IF(AE70=2,"February",IF(AE70=3,"March")))))</f>
        <v>December</v>
      </c>
    </row>
    <row r="71" spans="1:32" x14ac:dyDescent="0.3">
      <c r="A71" s="1">
        <v>45638</v>
      </c>
      <c r="B71" t="s">
        <v>25</v>
      </c>
      <c r="C71" t="s">
        <v>82</v>
      </c>
      <c r="D71" t="s">
        <v>65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335029</v>
      </c>
      <c r="Q71" t="s">
        <v>72</v>
      </c>
      <c r="R71" t="s">
        <v>73</v>
      </c>
      <c r="S71" t="s">
        <v>74</v>
      </c>
      <c r="T71">
        <v>0</v>
      </c>
      <c r="U71">
        <v>1</v>
      </c>
      <c r="V71" s="2">
        <v>4.1666666666666664E-2</v>
      </c>
      <c r="W71">
        <v>0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12</v>
      </c>
      <c r="AF71" t="str">
        <f t="shared" si="11"/>
        <v>December</v>
      </c>
    </row>
    <row r="72" spans="1:32" x14ac:dyDescent="0.3">
      <c r="A72" s="1">
        <v>45639</v>
      </c>
      <c r="B72" t="s">
        <v>25</v>
      </c>
      <c r="C72" t="s">
        <v>82</v>
      </c>
      <c r="D72" t="s">
        <v>65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335383</v>
      </c>
      <c r="Q72" t="s">
        <v>72</v>
      </c>
      <c r="R72" t="s">
        <v>73</v>
      </c>
      <c r="S72" t="s">
        <v>74</v>
      </c>
      <c r="T72">
        <v>0</v>
      </c>
      <c r="U72">
        <v>0.25</v>
      </c>
      <c r="V72" s="2">
        <v>1.0416666666666666E-2</v>
      </c>
      <c r="W72">
        <v>0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12</v>
      </c>
      <c r="AF72" t="str">
        <f t="shared" si="11"/>
        <v>December</v>
      </c>
    </row>
    <row r="73" spans="1:32" x14ac:dyDescent="0.3">
      <c r="A73" s="1">
        <v>45643</v>
      </c>
      <c r="B73" t="s">
        <v>25</v>
      </c>
      <c r="C73" t="s">
        <v>82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336420</v>
      </c>
      <c r="Q73" t="s">
        <v>72</v>
      </c>
      <c r="R73" t="s">
        <v>73</v>
      </c>
      <c r="S73" t="s">
        <v>74</v>
      </c>
      <c r="T73">
        <v>0</v>
      </c>
      <c r="U73">
        <v>1</v>
      </c>
      <c r="V73" s="2">
        <v>4.1666666666666664E-2</v>
      </c>
      <c r="W73">
        <v>0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12</v>
      </c>
      <c r="AF73" t="str">
        <f t="shared" si="11"/>
        <v>December</v>
      </c>
    </row>
    <row r="74" spans="1:32" x14ac:dyDescent="0.3">
      <c r="A74" s="1">
        <v>45644</v>
      </c>
      <c r="B74" t="s">
        <v>25</v>
      </c>
      <c r="C74" t="s">
        <v>82</v>
      </c>
      <c r="D74" t="s">
        <v>65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337012</v>
      </c>
      <c r="Q74" t="s">
        <v>72</v>
      </c>
      <c r="R74" t="s">
        <v>73</v>
      </c>
      <c r="S74" t="s">
        <v>74</v>
      </c>
      <c r="T74">
        <v>0</v>
      </c>
      <c r="U74">
        <v>0.75</v>
      </c>
      <c r="V74" s="2">
        <v>3.125E-2</v>
      </c>
      <c r="W74">
        <v>0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12</v>
      </c>
      <c r="AF74" t="str">
        <f t="shared" si="11"/>
        <v>December</v>
      </c>
    </row>
    <row r="75" spans="1:32" x14ac:dyDescent="0.3">
      <c r="A75" s="1">
        <v>45645</v>
      </c>
      <c r="B75" t="s">
        <v>25</v>
      </c>
      <c r="C75" t="s">
        <v>82</v>
      </c>
      <c r="D75" t="s">
        <v>65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337672</v>
      </c>
      <c r="Q75" t="s">
        <v>72</v>
      </c>
      <c r="R75" t="s">
        <v>73</v>
      </c>
      <c r="S75" t="s">
        <v>74</v>
      </c>
      <c r="T75">
        <v>0</v>
      </c>
      <c r="U75">
        <v>0.5</v>
      </c>
      <c r="V75" s="2">
        <v>2.0833333333333332E-2</v>
      </c>
      <c r="W75">
        <v>0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purl.org/dc/elements/1.1/"/>
    <ds:schemaRef ds:uri="1ffbd5dc-7a64-4097-8396-87f6c90b212f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2024-12-30T10:07:35Z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