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65" documentId="8_{167E9527-0BDB-4F80-917D-937C202D374A}" xr6:coauthVersionLast="47" xr6:coauthVersionMax="47" xr10:uidLastSave="{B8AC87E2-7C5A-4F64-88C4-EF8EC3EB27EE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5" i="3" l="1"/>
  <c r="AF95" i="3" s="1"/>
  <c r="AE96" i="3"/>
  <c r="AF96" i="3"/>
  <c r="AE97" i="3"/>
  <c r="AF97" i="3"/>
  <c r="AE98" i="3"/>
  <c r="AF98" i="3"/>
  <c r="AE99" i="3"/>
  <c r="AF99" i="3"/>
  <c r="AE100" i="3"/>
  <c r="AF100" i="3"/>
  <c r="AE101" i="3"/>
  <c r="AF101" i="3"/>
  <c r="AE102" i="3"/>
  <c r="AF102" i="3"/>
  <c r="AE103" i="3"/>
  <c r="AF103" i="3"/>
  <c r="AE104" i="3"/>
  <c r="AF104" i="3"/>
  <c r="AE105" i="3"/>
  <c r="AF105" i="3"/>
  <c r="AE106" i="3"/>
  <c r="AF106" i="3" s="1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91" i="3"/>
  <c r="AF91" i="3" s="1"/>
  <c r="AE92" i="3"/>
  <c r="AF92" i="3"/>
  <c r="AE93" i="3"/>
  <c r="AF93" i="3" s="1"/>
  <c r="AE94" i="3"/>
  <c r="AF94" i="3" s="1"/>
  <c r="AE77" i="3"/>
  <c r="AF77" i="3" s="1"/>
  <c r="AE78" i="3"/>
  <c r="AF78" i="3" s="1"/>
  <c r="AE79" i="3"/>
  <c r="AF79" i="3" s="1"/>
  <c r="AE80" i="3"/>
  <c r="AF80" i="3" s="1"/>
  <c r="AE81" i="3"/>
  <c r="AF81" i="3" s="1"/>
  <c r="AE82" i="3"/>
  <c r="AF82" i="3" s="1"/>
  <c r="AE83" i="3"/>
  <c r="AF83" i="3"/>
  <c r="AE84" i="3"/>
  <c r="AF84" i="3" s="1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/>
  <c r="AE57" i="3"/>
  <c r="AF57" i="3" s="1"/>
  <c r="AE58" i="3"/>
  <c r="AF58" i="3" s="1"/>
  <c r="AE59" i="3"/>
  <c r="AF59" i="3" s="1"/>
  <c r="AE60" i="3"/>
  <c r="AF60" i="3"/>
  <c r="AE61" i="3"/>
  <c r="AF61" i="3" s="1"/>
  <c r="AE62" i="3"/>
  <c r="AF62" i="3" s="1"/>
  <c r="AE63" i="3"/>
  <c r="AF63" i="3" s="1"/>
  <c r="AE64" i="3"/>
  <c r="AF64" i="3" s="1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</calcChain>
</file>

<file path=xl/sharedStrings.xml><?xml version="1.0" encoding="utf-8"?>
<sst xmlns="http://schemas.openxmlformats.org/spreadsheetml/2006/main" count="2340" uniqueCount="104">
  <si>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</si>
  <si>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</si>
  <si>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</si>
  <si>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</si>
  <si>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</si>
  <si>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</si>
  <si>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</si>
  <si>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</si>
  <si>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</si>
  <si>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</si>
  <si>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</si>
  <si>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</si>
  <si>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</si>
  <si>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</si>
  <si>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</si>
  <si>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</si>
  <si>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</si>
  <si>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</si>
  <si>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</si>
  <si>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</si>
  <si>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</si>
  <si>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</si>
  <si>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</si>
  <si>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</si>
  <si>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</si>
  <si>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</si>
  <si>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</si>
  <si>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</si>
  <si>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</si>
  <si>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</si>
  <si>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</si>
  <si>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</si>
  <si>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</si>
  <si>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</si>
  <si>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</si>
  <si>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</si>
  <si>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</si>
  <si>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</si>
  <si>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</si>
  <si>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</si>
  <si>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</si>
  <si>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</si>
  <si>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</si>
  <si>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</si>
  <si>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</si>
  <si>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</si>
  <si>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</si>
  <si>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</si>
  <si>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</si>
  <si>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</si>
  <si>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</si>
  <si>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</si>
  <si>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</si>
  <si>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</si>
  <si>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</si>
  <si>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</si>
  <si>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</si>
  <si>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</si>
  <si>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</si>
  <si>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</si>
  <si>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</si>
  <si>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</si>
  <si>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</si>
  <si>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</si>
  <si>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</si>
  <si>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</si>
  <si>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</si>
  <si>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</si>
  <si>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</si>
  <si>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</si>
  <si>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</si>
  <si>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</si>
  <si>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</si>
  <si>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</si>
  <si>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</si>
  <si>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</si>
  <si>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</si>
  <si>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</si>
  <si>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</si>
  <si>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</si>
  <si>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</si>
  <si>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</si>
  <si>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</si>
  <si>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</si>
  <si>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</si>
  <si>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</si>
  <si>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</si>
  <si>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</si>
  <si>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</si>
  <si>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</si>
  <si>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</si>
  <si>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</si>
  <si>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</si>
  <si>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</si>
  <si>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</si>
  <si>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</si>
  <si>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</si>
  <si>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</si>
  <si>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</si>
  <si>
    <t>UAT kickoff</t>
  </si>
  <si>
    <t>Discussion with Jacob about failing deployment. Worked on fixing test class - RightMoveLeadEmailProcessorTest. Deployment to UAT.</t>
  </si>
  <si>
    <t>IN09053</t>
  </si>
  <si>
    <t>Prod Deployment and Post Go-Live Support</t>
  </si>
  <si>
    <t>UAT checkin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</si>
</sst>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92.513329629626" createdVersion="8" refreshedVersion="8" minRefreshableVersion="3" recordCount="105" xr:uid="{83BF53E9-0060-4ADD-BDBE-EC6F6E5D15E0}">
  <cacheSource type="worksheet">
    <worksheetSource ref="A1:AF106" sheet="Delivery Timesheets"/>
  </cacheSource>
  <cacheFields count="32">
    <cacheField name="Date" numFmtId="15">
      <sharedItems containsSemiMixedTypes="0" containsNonDate="0" containsDate="1" containsString="0" minDate="2024-11-18T00:00:00" maxDate="2025-02-04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52011"/>
    </cacheField>
    <cacheField name="Timecode Name" numFmtId="0">
      <sharedItems count="7">
        <s v="Overheads (Non-Billable)"/>
        <s v="Analysis"/>
        <s v="Development"/>
        <s v="UAT"/>
        <s v="Prod Deployment and Post Go-Live Suppor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ntainsBlank="1" count="5">
        <s v="November"/>
        <s v="December"/>
        <s v="February"/>
        <s v="January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5-02-03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2011"/>
    <x v="0"/>
    <x v="0"/>
    <s v="Standard Timecode"/>
    <n v="0"/>
    <n v="2.5"/>
    <d v="1899-12-30T02:30:00"/>
    <n v="0"/>
    <m/>
    <m/>
    <m/>
    <s v="GBP"/>
    <m/>
    <s v="Discussion with Jacob about failing deployment. Worked on fixing test class - RightMoveLeadEmailProcessorTest. Deployment to UAT."/>
    <s v="Not submitted"/>
    <n v="2"/>
    <x v="2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539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978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5649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0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6"/>
    <x v="2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5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7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8443"/>
    <x v="3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129"/>
    <x v="4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9"/>
    <x v="2"/>
    <x v="1"/>
    <s v="Standard Timecode"/>
    <n v="90"/>
    <n v="1"/>
    <d v="1899-12-30T01:00:00"/>
    <n v="90"/>
    <m/>
    <m/>
    <m/>
    <s v="GBP"/>
    <m/>
    <s v=" "/>
    <s v="Not submitted"/>
    <n v="2"/>
    <x v="2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8"/>
    <x v="4"/>
    <x v="1"/>
    <s v="Standard Timecode"/>
    <n v="90"/>
    <n v="1.5"/>
    <d v="1899-12-30T01:30:00"/>
    <n v="135"/>
    <m/>
    <m/>
    <m/>
    <s v="GBP"/>
    <m/>
    <s v=" "/>
    <s v="Not submitted"/>
    <n v="2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5-01-1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323"/>
    <x v="2"/>
    <x v="1"/>
    <s v="Standard Timecode"/>
    <n v="90"/>
    <n v="1"/>
    <d v="1899-12-30T01:00:00"/>
    <n v="90"/>
    <n v="120"/>
    <n v="30"/>
    <s v="IN09053"/>
    <s v="GBP"/>
    <s v="Reviewed"/>
    <s v="UAT kickoff"/>
    <s v="Not submitted"/>
    <n v="1"/>
    <x v="3"/>
  </r>
  <r>
    <d v="2025-0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876"/>
    <x v="2"/>
    <x v="1"/>
    <s v="Standard Timecode"/>
    <n v="90"/>
    <n v="0.5"/>
    <d v="1899-12-30T00:30:00"/>
    <n v="45"/>
    <n v="60"/>
    <n v="15"/>
    <s v="IN09053"/>
    <s v="GBP"/>
    <s v="Reviewed"/>
    <s v="UAT checkin"/>
    <s v="Not submitted"/>
    <n v="1"/>
    <x v="3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5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5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5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5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5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5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5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5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5"/>
    <x v="1"/>
    <s v="Standard Timecode"/>
    <n v="90"/>
    <n v="1"/>
    <d v="1899-12-30T01:00:00"/>
    <n v="90"/>
    <n v="120"/>
    <n v="30"/>
    <s v="IN09053"/>
    <s v="GBP"/>
    <s v="Reviewed"/>
    <s v="UAT kick off call"/>
    <s v="Not submitted"/>
    <n v="1"/>
    <x v="3"/>
  </r>
  <r>
    <d v="2025-0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956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6610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6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6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s v="Reviewed"/>
    <s v=" "/>
    <s v="Not submitted"/>
    <n v="1"/>
    <x v="3"/>
  </r>
  <r>
    <d v="2025-0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080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92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4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9999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02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887"/>
    <x v="6"/>
    <x v="1"/>
    <s v="Standard Timecode"/>
    <n v="90"/>
    <n v="0.5"/>
    <d v="1899-12-30T00:30:00"/>
    <n v="45"/>
    <m/>
    <m/>
    <m/>
    <s v="GBP"/>
    <m/>
    <s v=" "/>
    <s v="Not submitt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6AA69-3409-4E39-8D8E-B3C9739F1958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H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1"/>
        <item x="5"/>
        <item x="6"/>
        <item x="0"/>
        <item x="2"/>
        <item x="3"/>
        <item x="4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3"/>
        <item x="2"/>
        <item m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6" width="4.33203125" bestFit="1" customWidth="1"/>
    <col min="7" max="7" width="39.6640625" bestFit="1" customWidth="1"/>
    <col min="8" max="9" width="11" customWidth="1"/>
    <col min="10" max="10" width="27.5546875" customWidth="1"/>
    <col min="11" max="11" width="15.109375" bestFit="1" customWidth="1"/>
    <col min="12" max="12" width="14.88671875" bestFit="1" customWidth="1"/>
    <col min="13" max="13" width="15.109375" bestFit="1" customWidth="1"/>
    <col min="14" max="14" width="14.88671875" bestFit="1" customWidth="1"/>
  </cols>
  <sheetData>
    <row r="1" spans="1:14" x14ac:dyDescent="0.3">
      <c r="A1" s="8" t="s">
        <v>0</v>
      </c>
      <c r="C1"/>
    </row>
    <row r="2" spans="1:14" ht="15" thickBot="1" x14ac:dyDescent="0.35">
      <c r="C2"/>
    </row>
    <row r="3" spans="1:14" ht="25.8" thickBot="1" x14ac:dyDescent="0.35">
      <c r="A3" s="4" t="s">
        <v>1</v>
      </c>
      <c r="B3" t="s">
        <v>2</v>
      </c>
      <c r="C3"/>
      <c r="D3" s="6" t="s">
        <v>3</v>
      </c>
      <c r="J3" s="9" t="s">
        <v>4</v>
      </c>
      <c r="K3" s="10" t="s">
        <v>5</v>
      </c>
      <c r="L3" s="10" t="s">
        <v>6</v>
      </c>
      <c r="M3" s="10" t="s">
        <v>5</v>
      </c>
      <c r="N3" s="10" t="s">
        <v>6</v>
      </c>
    </row>
    <row r="4" spans="1:14" ht="15" thickBot="1" x14ac:dyDescent="0.35">
      <c r="A4" s="4" t="s">
        <v>7</v>
      </c>
      <c r="B4" t="s">
        <v>8</v>
      </c>
      <c r="C4"/>
      <c r="J4" s="11" t="s">
        <v>9</v>
      </c>
      <c r="K4" s="16">
        <v>8</v>
      </c>
      <c r="L4" s="16">
        <v>10</v>
      </c>
      <c r="M4" s="12" t="s">
        <v>10</v>
      </c>
      <c r="N4" s="12" t="s">
        <v>11</v>
      </c>
    </row>
    <row r="5" spans="1:14" ht="15" thickBot="1" x14ac:dyDescent="0.35">
      <c r="C5"/>
      <c r="J5" s="11" t="s">
        <v>12</v>
      </c>
      <c r="K5" s="16">
        <v>40</v>
      </c>
      <c r="L5" s="16">
        <v>48</v>
      </c>
      <c r="M5" s="12" t="s">
        <v>13</v>
      </c>
      <c r="N5" s="12" t="s">
        <v>14</v>
      </c>
    </row>
    <row r="6" spans="1:14" ht="15" thickBot="1" x14ac:dyDescent="0.35">
      <c r="A6" s="4" t="s">
        <v>15</v>
      </c>
      <c r="B6" s="4" t="s">
        <v>16</v>
      </c>
      <c r="C6"/>
      <c r="J6" s="11" t="s">
        <v>17</v>
      </c>
      <c r="K6" s="16">
        <v>4</v>
      </c>
      <c r="L6" s="16">
        <v>5</v>
      </c>
      <c r="M6" s="12" t="s">
        <v>18</v>
      </c>
      <c r="N6" s="12" t="s">
        <v>19</v>
      </c>
    </row>
    <row r="7" spans="1:14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24</v>
      </c>
      <c r="G7" t="s">
        <v>102</v>
      </c>
      <c r="H7" t="s">
        <v>23</v>
      </c>
      <c r="J7" s="11" t="s">
        <v>24</v>
      </c>
      <c r="K7" s="16">
        <v>8</v>
      </c>
      <c r="L7" s="16">
        <v>10</v>
      </c>
      <c r="M7" s="12" t="s">
        <v>10</v>
      </c>
      <c r="N7" s="12" t="s">
        <v>11</v>
      </c>
    </row>
    <row r="8" spans="1:14" ht="25.8" thickBot="1" x14ac:dyDescent="0.35">
      <c r="A8" s="5" t="s">
        <v>25</v>
      </c>
      <c r="B8" s="17"/>
      <c r="C8" s="17"/>
      <c r="D8" s="17">
        <v>6.25</v>
      </c>
      <c r="E8" s="17"/>
      <c r="F8" s="17"/>
      <c r="G8" s="17"/>
      <c r="H8" s="17">
        <v>6.25</v>
      </c>
      <c r="I8" s="17"/>
      <c r="J8" s="11" t="s">
        <v>26</v>
      </c>
      <c r="K8" s="16">
        <v>8</v>
      </c>
      <c r="L8" s="16">
        <v>10</v>
      </c>
      <c r="M8" s="12" t="s">
        <v>10</v>
      </c>
      <c r="N8" s="12" t="s">
        <v>11</v>
      </c>
    </row>
    <row r="9" spans="1:14" ht="15" thickBot="1" x14ac:dyDescent="0.35">
      <c r="A9" s="5" t="s">
        <v>27</v>
      </c>
      <c r="B9" s="17">
        <v>5</v>
      </c>
      <c r="C9" s="17"/>
      <c r="D9" s="17"/>
      <c r="E9" s="17">
        <v>19.75</v>
      </c>
      <c r="F9" s="17">
        <v>1</v>
      </c>
      <c r="G9" s="17">
        <v>2</v>
      </c>
      <c r="H9" s="17">
        <v>27.75</v>
      </c>
      <c r="I9" s="17"/>
      <c r="J9" s="13" t="s">
        <v>28</v>
      </c>
      <c r="K9" s="14">
        <v>68</v>
      </c>
      <c r="L9" s="14">
        <v>83</v>
      </c>
      <c r="M9" s="15" t="s">
        <v>29</v>
      </c>
      <c r="N9" s="15" t="s">
        <v>30</v>
      </c>
    </row>
    <row r="10" spans="1:14" ht="15" thickTop="1" x14ac:dyDescent="0.3">
      <c r="A10" s="5" t="s">
        <v>31</v>
      </c>
      <c r="B10" s="17"/>
      <c r="C10" s="17">
        <v>23.25</v>
      </c>
      <c r="D10" s="17"/>
      <c r="E10" s="17"/>
      <c r="F10" s="17"/>
      <c r="G10" s="17"/>
      <c r="H10" s="17">
        <v>23.25</v>
      </c>
      <c r="I10" s="17"/>
    </row>
    <row r="11" spans="1:14" x14ac:dyDescent="0.3">
      <c r="A11" s="5" t="s">
        <v>32</v>
      </c>
      <c r="B11" s="17"/>
      <c r="C11" s="17"/>
      <c r="D11" s="17"/>
      <c r="E11" s="17">
        <v>5</v>
      </c>
      <c r="F11" s="17"/>
      <c r="G11" s="17"/>
      <c r="H11" s="17">
        <v>5</v>
      </c>
      <c r="I11" s="17"/>
    </row>
    <row r="12" spans="1:14" x14ac:dyDescent="0.3">
      <c r="A12" s="5" t="s">
        <v>23</v>
      </c>
      <c r="B12" s="17">
        <v>5</v>
      </c>
      <c r="C12" s="17">
        <v>23.25</v>
      </c>
      <c r="D12" s="17">
        <v>6.25</v>
      </c>
      <c r="E12" s="17">
        <v>24.75</v>
      </c>
      <c r="F12" s="17">
        <v>1</v>
      </c>
      <c r="G12" s="17">
        <v>2</v>
      </c>
      <c r="H12" s="17">
        <v>62.25</v>
      </c>
      <c r="I12" s="17"/>
    </row>
    <row r="13" spans="1:14" x14ac:dyDescent="0.3">
      <c r="C13"/>
    </row>
    <row r="14" spans="1:14" x14ac:dyDescent="0.3">
      <c r="C14"/>
    </row>
    <row r="15" spans="1:14" x14ac:dyDescent="0.3">
      <c r="C15"/>
    </row>
    <row r="16" spans="1:1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06"/>
  <sheetViews>
    <sheetView zoomScale="85" zoomScaleNormal="85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45691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32</v>
      </c>
      <c r="O6" t="s">
        <v>0</v>
      </c>
      <c r="P6">
        <v>352011</v>
      </c>
      <c r="Q6" t="s">
        <v>72</v>
      </c>
      <c r="R6" t="s">
        <v>73</v>
      </c>
      <c r="S6" t="s">
        <v>74</v>
      </c>
      <c r="T6">
        <v>0</v>
      </c>
      <c r="U6">
        <v>2.5</v>
      </c>
      <c r="V6" s="2">
        <v>0.10416666666666667</v>
      </c>
      <c r="W6">
        <v>0</v>
      </c>
      <c r="AA6" t="s">
        <v>75</v>
      </c>
      <c r="AC6" t="s">
        <v>100</v>
      </c>
      <c r="AD6" t="s">
        <v>78</v>
      </c>
      <c r="AE6">
        <f t="shared" si="1"/>
        <v>2</v>
      </c>
      <c r="AF6" t="str">
        <f t="shared" si="0"/>
        <v>February</v>
      </c>
    </row>
    <row r="7" spans="1:32" x14ac:dyDescent="0.3">
      <c r="A7" s="1">
        <v>45621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327722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85</v>
      </c>
      <c r="AD7" t="s">
        <v>78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45628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330796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86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45636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333714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85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45643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337211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B10" t="s">
        <v>76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45656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338682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86</v>
      </c>
      <c r="AD11" t="s">
        <v>78</v>
      </c>
      <c r="AE11">
        <f t="shared" si="1"/>
        <v>12</v>
      </c>
      <c r="AF11" t="str">
        <f t="shared" si="0"/>
        <v>December</v>
      </c>
    </row>
    <row r="12" spans="1:32" x14ac:dyDescent="0.3">
      <c r="A12" s="1">
        <v>45670</v>
      </c>
      <c r="B12" t="s">
        <v>81</v>
      </c>
      <c r="C12" t="s">
        <v>82</v>
      </c>
      <c r="D12" t="s">
        <v>65</v>
      </c>
      <c r="E12" t="s">
        <v>83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84</v>
      </c>
      <c r="O12" t="s">
        <v>0</v>
      </c>
      <c r="P12">
        <v>341580</v>
      </c>
      <c r="Q12" t="s">
        <v>72</v>
      </c>
      <c r="R12" t="s">
        <v>73</v>
      </c>
      <c r="S12" t="s">
        <v>74</v>
      </c>
      <c r="T12">
        <v>0</v>
      </c>
      <c r="U12">
        <v>0.25</v>
      </c>
      <c r="V12" s="2">
        <v>1.0416666666666666E-2</v>
      </c>
      <c r="W12">
        <v>0</v>
      </c>
      <c r="AA12" t="s">
        <v>75</v>
      </c>
      <c r="AB12" t="s">
        <v>76</v>
      </c>
      <c r="AC12" t="s">
        <v>85</v>
      </c>
      <c r="AD12" t="s">
        <v>78</v>
      </c>
      <c r="AE12">
        <f t="shared" si="1"/>
        <v>1</v>
      </c>
      <c r="AF12" t="str">
        <f t="shared" si="0"/>
        <v>January</v>
      </c>
    </row>
    <row r="13" spans="1:32" x14ac:dyDescent="0.3">
      <c r="A13" s="1">
        <v>45677</v>
      </c>
      <c r="B13" t="s">
        <v>81</v>
      </c>
      <c r="C13" t="s">
        <v>82</v>
      </c>
      <c r="D13" t="s">
        <v>65</v>
      </c>
      <c r="E13" t="s">
        <v>83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84</v>
      </c>
      <c r="O13" t="s">
        <v>0</v>
      </c>
      <c r="P13">
        <v>344539</v>
      </c>
      <c r="Q13" t="s">
        <v>72</v>
      </c>
      <c r="R13" t="s">
        <v>73</v>
      </c>
      <c r="S13" t="s">
        <v>74</v>
      </c>
      <c r="T13">
        <v>0</v>
      </c>
      <c r="U13">
        <v>0.25</v>
      </c>
      <c r="V13" s="2">
        <v>1.0416666666666666E-2</v>
      </c>
      <c r="W13">
        <v>0</v>
      </c>
      <c r="AA13" t="s">
        <v>75</v>
      </c>
      <c r="AB13" t="s">
        <v>76</v>
      </c>
      <c r="AC13" t="s">
        <v>86</v>
      </c>
      <c r="AD13" t="s">
        <v>78</v>
      </c>
      <c r="AE13">
        <f t="shared" si="1"/>
        <v>1</v>
      </c>
      <c r="AF13" t="str">
        <f t="shared" si="0"/>
        <v>January</v>
      </c>
    </row>
    <row r="14" spans="1:32" x14ac:dyDescent="0.3">
      <c r="A14" s="1">
        <v>45684</v>
      </c>
      <c r="B14" t="s">
        <v>81</v>
      </c>
      <c r="C14" t="s">
        <v>82</v>
      </c>
      <c r="D14" t="s">
        <v>65</v>
      </c>
      <c r="E14" t="s">
        <v>83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84</v>
      </c>
      <c r="O14" t="s">
        <v>0</v>
      </c>
      <c r="P14">
        <v>347978</v>
      </c>
      <c r="Q14" t="s">
        <v>72</v>
      </c>
      <c r="R14" t="s">
        <v>73</v>
      </c>
      <c r="S14" t="s">
        <v>74</v>
      </c>
      <c r="T14">
        <v>0</v>
      </c>
      <c r="U14">
        <v>0.25</v>
      </c>
      <c r="V14" s="2">
        <v>1.0416666666666666E-2</v>
      </c>
      <c r="W14">
        <v>0</v>
      </c>
      <c r="AA14" t="s">
        <v>75</v>
      </c>
      <c r="AB14" t="s">
        <v>76</v>
      </c>
      <c r="AC14" t="s">
        <v>86</v>
      </c>
      <c r="AD14" t="s">
        <v>78</v>
      </c>
      <c r="AE14">
        <f t="shared" si="1"/>
        <v>1</v>
      </c>
      <c r="AF14" t="str">
        <f t="shared" si="0"/>
        <v>January</v>
      </c>
    </row>
    <row r="15" spans="1:32" x14ac:dyDescent="0.3">
      <c r="A15" s="1">
        <v>45616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325460</v>
      </c>
      <c r="Q15" t="s">
        <v>9</v>
      </c>
      <c r="R15" t="s">
        <v>8</v>
      </c>
      <c r="S15" t="s">
        <v>74</v>
      </c>
      <c r="T15">
        <v>90</v>
      </c>
      <c r="U15">
        <v>1.5</v>
      </c>
      <c r="V15" s="2">
        <v>6.25E-2</v>
      </c>
      <c r="W15">
        <v>135</v>
      </c>
      <c r="X15">
        <v>180</v>
      </c>
      <c r="Y15">
        <v>45</v>
      </c>
      <c r="Z15" t="s">
        <v>87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45617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326072</v>
      </c>
      <c r="Q16" t="s">
        <v>9</v>
      </c>
      <c r="R16" t="s">
        <v>8</v>
      </c>
      <c r="S16" t="s">
        <v>74</v>
      </c>
      <c r="T16">
        <v>90</v>
      </c>
      <c r="U16">
        <v>2.25</v>
      </c>
      <c r="V16" s="2">
        <v>9.375E-2</v>
      </c>
      <c r="W16">
        <v>202.5</v>
      </c>
      <c r="X16">
        <v>270</v>
      </c>
      <c r="Y16">
        <v>67.5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45618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327414</v>
      </c>
      <c r="Q17" t="s">
        <v>9</v>
      </c>
      <c r="R17" t="s">
        <v>8</v>
      </c>
      <c r="S17" t="s">
        <v>74</v>
      </c>
      <c r="T17">
        <v>90</v>
      </c>
      <c r="U17">
        <v>0.5</v>
      </c>
      <c r="V17" s="2">
        <v>2.0833333333333332E-2</v>
      </c>
      <c r="W17">
        <v>45</v>
      </c>
      <c r="X17">
        <v>60</v>
      </c>
      <c r="Y17">
        <v>15</v>
      </c>
      <c r="Z17" t="s">
        <v>87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45621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327421</v>
      </c>
      <c r="Q18" t="s">
        <v>9</v>
      </c>
      <c r="R18" t="s">
        <v>8</v>
      </c>
      <c r="S18" t="s">
        <v>74</v>
      </c>
      <c r="T18">
        <v>90</v>
      </c>
      <c r="U18">
        <v>0.25</v>
      </c>
      <c r="V18" s="2">
        <v>1.0416666666666666E-2</v>
      </c>
      <c r="W18">
        <v>22.5</v>
      </c>
      <c r="X18">
        <v>30</v>
      </c>
      <c r="Y18">
        <v>7.5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45621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327485</v>
      </c>
      <c r="Q19" t="s">
        <v>22</v>
      </c>
      <c r="R19" t="s">
        <v>8</v>
      </c>
      <c r="S19" t="s">
        <v>74</v>
      </c>
      <c r="T19">
        <v>90</v>
      </c>
      <c r="U19">
        <v>1.75</v>
      </c>
      <c r="V19" s="2">
        <v>7.2916666666666671E-2</v>
      </c>
      <c r="W19">
        <v>157.5</v>
      </c>
      <c r="X19">
        <v>210</v>
      </c>
      <c r="Y19">
        <v>52.5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45621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327416</v>
      </c>
      <c r="Q20" t="s">
        <v>72</v>
      </c>
      <c r="R20" t="s">
        <v>73</v>
      </c>
      <c r="S20" t="s">
        <v>74</v>
      </c>
      <c r="T20">
        <v>0</v>
      </c>
      <c r="U20">
        <v>1</v>
      </c>
      <c r="V20" s="2">
        <v>4.1666666666666664E-2</v>
      </c>
      <c r="W20">
        <v>0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45622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328006</v>
      </c>
      <c r="Q21" t="s">
        <v>22</v>
      </c>
      <c r="R21" t="s">
        <v>8</v>
      </c>
      <c r="S21" t="s">
        <v>74</v>
      </c>
      <c r="T21">
        <v>90</v>
      </c>
      <c r="U21">
        <v>3.5</v>
      </c>
      <c r="V21" s="2">
        <v>0.14583333333333334</v>
      </c>
      <c r="W21">
        <v>315</v>
      </c>
      <c r="X21">
        <v>420</v>
      </c>
      <c r="Y21">
        <v>105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45622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328003</v>
      </c>
      <c r="Q22" t="s">
        <v>72</v>
      </c>
      <c r="R22" t="s">
        <v>73</v>
      </c>
      <c r="S22" t="s">
        <v>74</v>
      </c>
      <c r="T22">
        <v>0</v>
      </c>
      <c r="U22">
        <v>1</v>
      </c>
      <c r="V22" s="2">
        <v>4.1666666666666664E-2</v>
      </c>
      <c r="W22">
        <v>0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45623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328702</v>
      </c>
      <c r="Q23" t="s">
        <v>22</v>
      </c>
      <c r="R23" t="s">
        <v>8</v>
      </c>
      <c r="S23" t="s">
        <v>74</v>
      </c>
      <c r="T23">
        <v>90</v>
      </c>
      <c r="U23">
        <v>3.75</v>
      </c>
      <c r="V23" s="2">
        <v>0.15625</v>
      </c>
      <c r="W23">
        <v>337.5</v>
      </c>
      <c r="X23">
        <v>450</v>
      </c>
      <c r="Y23">
        <v>112.5</v>
      </c>
      <c r="Z23" t="s">
        <v>87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45623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328708</v>
      </c>
      <c r="Q24" t="s">
        <v>72</v>
      </c>
      <c r="R24" t="s">
        <v>73</v>
      </c>
      <c r="S24" t="s">
        <v>74</v>
      </c>
      <c r="T24">
        <v>0</v>
      </c>
      <c r="U24">
        <v>0.75</v>
      </c>
      <c r="V24" s="2">
        <v>3.125E-2</v>
      </c>
      <c r="W24">
        <v>0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45624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329615</v>
      </c>
      <c r="Q25" t="s">
        <v>9</v>
      </c>
      <c r="R25" t="s">
        <v>8</v>
      </c>
      <c r="S25" t="s">
        <v>74</v>
      </c>
      <c r="T25">
        <v>90</v>
      </c>
      <c r="U25">
        <v>0.5</v>
      </c>
      <c r="V25" s="2">
        <v>2.0833333333333332E-2</v>
      </c>
      <c r="W25">
        <v>45</v>
      </c>
      <c r="X25">
        <v>60</v>
      </c>
      <c r="Y25">
        <v>15</v>
      </c>
      <c r="Z25" t="s">
        <v>87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45624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329613</v>
      </c>
      <c r="Q26" t="s">
        <v>22</v>
      </c>
      <c r="R26" t="s">
        <v>8</v>
      </c>
      <c r="S26" t="s">
        <v>74</v>
      </c>
      <c r="T26">
        <v>90</v>
      </c>
      <c r="U26">
        <v>3</v>
      </c>
      <c r="V26" s="2">
        <v>0.125</v>
      </c>
      <c r="W26">
        <v>270</v>
      </c>
      <c r="X26">
        <v>360</v>
      </c>
      <c r="Y26">
        <v>90</v>
      </c>
      <c r="Z26" t="s">
        <v>87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45625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329816</v>
      </c>
      <c r="Q27" t="s">
        <v>22</v>
      </c>
      <c r="R27" t="s">
        <v>8</v>
      </c>
      <c r="S27" t="s">
        <v>74</v>
      </c>
      <c r="T27">
        <v>90</v>
      </c>
      <c r="U27">
        <v>1</v>
      </c>
      <c r="V27" s="2">
        <v>4.1666666666666664E-2</v>
      </c>
      <c r="W27">
        <v>90</v>
      </c>
      <c r="X27">
        <v>120</v>
      </c>
      <c r="Y27">
        <v>30</v>
      </c>
      <c r="Z27" t="s">
        <v>87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45625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329817</v>
      </c>
      <c r="Q28" t="s">
        <v>72</v>
      </c>
      <c r="R28" t="s">
        <v>73</v>
      </c>
      <c r="S28" t="s">
        <v>74</v>
      </c>
      <c r="T28">
        <v>0</v>
      </c>
      <c r="U28">
        <v>0.5</v>
      </c>
      <c r="V28" s="2">
        <v>2.0833333333333332E-2</v>
      </c>
      <c r="W28">
        <v>0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45628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331412</v>
      </c>
      <c r="Q29" t="s">
        <v>22</v>
      </c>
      <c r="R29" t="s">
        <v>8</v>
      </c>
      <c r="S29" t="s">
        <v>74</v>
      </c>
      <c r="T29">
        <v>90</v>
      </c>
      <c r="U29">
        <v>0.5</v>
      </c>
      <c r="V29" s="2">
        <v>2.0833333333333332E-2</v>
      </c>
      <c r="W29">
        <v>45</v>
      </c>
      <c r="X29">
        <v>60</v>
      </c>
      <c r="Y29">
        <v>15</v>
      </c>
      <c r="Z29" t="s">
        <v>97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 x14ac:dyDescent="0.3">
      <c r="A30" s="1">
        <v>45629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331421</v>
      </c>
      <c r="Q30" t="s">
        <v>22</v>
      </c>
      <c r="R30" t="s">
        <v>8</v>
      </c>
      <c r="S30" t="s">
        <v>74</v>
      </c>
      <c r="T30">
        <v>90</v>
      </c>
      <c r="U30">
        <v>0.5</v>
      </c>
      <c r="V30" s="2">
        <v>2.0833333333333332E-2</v>
      </c>
      <c r="W30">
        <v>45</v>
      </c>
      <c r="X30">
        <v>60</v>
      </c>
      <c r="Y30">
        <v>15</v>
      </c>
      <c r="Z30" t="s">
        <v>97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45630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331913</v>
      </c>
      <c r="Q31" t="s">
        <v>72</v>
      </c>
      <c r="R31" t="s">
        <v>73</v>
      </c>
      <c r="S31" t="s">
        <v>74</v>
      </c>
      <c r="T31">
        <v>0</v>
      </c>
      <c r="U31">
        <v>0.25</v>
      </c>
      <c r="V31" s="2">
        <v>1.0416666666666666E-2</v>
      </c>
      <c r="W31">
        <v>0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45631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333449</v>
      </c>
      <c r="Q32" t="s">
        <v>22</v>
      </c>
      <c r="R32" t="s">
        <v>8</v>
      </c>
      <c r="S32" t="s">
        <v>74</v>
      </c>
      <c r="T32">
        <v>90</v>
      </c>
      <c r="U32">
        <v>1</v>
      </c>
      <c r="V32" s="2">
        <v>4.1666666666666664E-2</v>
      </c>
      <c r="W32">
        <v>90</v>
      </c>
      <c r="X32">
        <v>120</v>
      </c>
      <c r="Y32">
        <v>30</v>
      </c>
      <c r="Z32" t="s">
        <v>97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45636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334502</v>
      </c>
      <c r="Q33" t="s">
        <v>22</v>
      </c>
      <c r="R33" t="s">
        <v>8</v>
      </c>
      <c r="S33" t="s">
        <v>74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97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45637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334505</v>
      </c>
      <c r="Q34" t="s">
        <v>22</v>
      </c>
      <c r="R34" t="s">
        <v>8</v>
      </c>
      <c r="S34" t="s">
        <v>74</v>
      </c>
      <c r="T34">
        <v>90</v>
      </c>
      <c r="U34">
        <v>0.5</v>
      </c>
      <c r="V34" s="2">
        <v>2.0833333333333332E-2</v>
      </c>
      <c r="W34">
        <v>45</v>
      </c>
      <c r="X34">
        <v>60</v>
      </c>
      <c r="Y34">
        <v>15</v>
      </c>
      <c r="Z34" t="s">
        <v>97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45638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334759</v>
      </c>
      <c r="Q35" t="s">
        <v>72</v>
      </c>
      <c r="R35" t="s">
        <v>73</v>
      </c>
      <c r="S35" t="s">
        <v>74</v>
      </c>
      <c r="T35">
        <v>0</v>
      </c>
      <c r="U35">
        <v>0.5</v>
      </c>
      <c r="V35" s="2">
        <v>2.0833333333333332E-2</v>
      </c>
      <c r="W35">
        <v>0</v>
      </c>
      <c r="AA35" t="s">
        <v>75</v>
      </c>
      <c r="AB35" t="s">
        <v>76</v>
      </c>
      <c r="AC35" t="s">
        <v>84</v>
      </c>
      <c r="AD35" t="s">
        <v>78</v>
      </c>
      <c r="AE35">
        <f t="shared" si="4"/>
        <v>12</v>
      </c>
      <c r="AF35" t="str">
        <f t="shared" si="5"/>
        <v>December</v>
      </c>
    </row>
    <row r="36" spans="1:32" x14ac:dyDescent="0.3">
      <c r="A36" s="1">
        <v>45642</v>
      </c>
      <c r="B36" t="s">
        <v>27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32</v>
      </c>
      <c r="O36" t="s">
        <v>0</v>
      </c>
      <c r="P36">
        <v>335523</v>
      </c>
      <c r="Q36" t="s">
        <v>22</v>
      </c>
      <c r="R36" t="s">
        <v>8</v>
      </c>
      <c r="S36" t="s">
        <v>74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97</v>
      </c>
      <c r="AA36" t="s">
        <v>75</v>
      </c>
      <c r="AB36" t="s">
        <v>76</v>
      </c>
      <c r="AC36" t="s">
        <v>84</v>
      </c>
      <c r="AD36" t="s">
        <v>78</v>
      </c>
      <c r="AE36">
        <f t="shared" si="4"/>
        <v>12</v>
      </c>
      <c r="AF36" t="str">
        <f t="shared" si="5"/>
        <v>December</v>
      </c>
    </row>
    <row r="37" spans="1:32" x14ac:dyDescent="0.3">
      <c r="A37" s="1">
        <v>45645</v>
      </c>
      <c r="B37" t="s">
        <v>27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32</v>
      </c>
      <c r="O37" t="s">
        <v>0</v>
      </c>
      <c r="P37">
        <v>338044</v>
      </c>
      <c r="Q37" t="s">
        <v>22</v>
      </c>
      <c r="R37" t="s">
        <v>8</v>
      </c>
      <c r="S37" t="s">
        <v>74</v>
      </c>
      <c r="T37">
        <v>90</v>
      </c>
      <c r="U37">
        <v>0.25</v>
      </c>
      <c r="V37" s="2">
        <v>1.0416666666666666E-2</v>
      </c>
      <c r="W37">
        <v>22.5</v>
      </c>
      <c r="X37">
        <v>30</v>
      </c>
      <c r="Y37">
        <v>7.5</v>
      </c>
      <c r="Z37" t="s">
        <v>97</v>
      </c>
      <c r="AA37" t="s">
        <v>75</v>
      </c>
      <c r="AB37" t="s">
        <v>76</v>
      </c>
      <c r="AC37" t="s">
        <v>84</v>
      </c>
      <c r="AD37" t="s">
        <v>78</v>
      </c>
      <c r="AE37">
        <f t="shared" si="4"/>
        <v>12</v>
      </c>
      <c r="AF37" t="str">
        <f t="shared" si="5"/>
        <v>December</v>
      </c>
    </row>
    <row r="38" spans="1:32" x14ac:dyDescent="0.3">
      <c r="A38" s="1">
        <v>45672</v>
      </c>
      <c r="B38" t="s">
        <v>27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32</v>
      </c>
      <c r="O38" t="s">
        <v>0</v>
      </c>
      <c r="P38">
        <v>345649</v>
      </c>
      <c r="Q38" t="s">
        <v>22</v>
      </c>
      <c r="R38" t="s">
        <v>8</v>
      </c>
      <c r="S38" t="s">
        <v>74</v>
      </c>
      <c r="T38">
        <v>90</v>
      </c>
      <c r="U38">
        <v>0.75</v>
      </c>
      <c r="V38" s="2">
        <v>3.125E-2</v>
      </c>
      <c r="W38">
        <v>67.5</v>
      </c>
      <c r="X38">
        <v>90</v>
      </c>
      <c r="Y38">
        <v>22.5</v>
      </c>
      <c r="Z38" t="s">
        <v>101</v>
      </c>
      <c r="AA38" t="s">
        <v>75</v>
      </c>
      <c r="AB38" t="s">
        <v>76</v>
      </c>
      <c r="AC38" t="s">
        <v>84</v>
      </c>
      <c r="AD38" t="s">
        <v>78</v>
      </c>
      <c r="AE38">
        <f t="shared" si="4"/>
        <v>1</v>
      </c>
      <c r="AF38" t="str">
        <f t="shared" si="5"/>
        <v>January</v>
      </c>
    </row>
    <row r="39" spans="1:32" x14ac:dyDescent="0.3">
      <c r="A39" s="1">
        <v>45678</v>
      </c>
      <c r="B39" t="s">
        <v>27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32</v>
      </c>
      <c r="O39" t="s">
        <v>0</v>
      </c>
      <c r="P39">
        <v>346120</v>
      </c>
      <c r="Q39" t="s">
        <v>24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101</v>
      </c>
      <c r="AA39" t="s">
        <v>75</v>
      </c>
      <c r="AB39" t="s">
        <v>76</v>
      </c>
      <c r="AC39" t="s">
        <v>84</v>
      </c>
      <c r="AD39" t="s">
        <v>78</v>
      </c>
      <c r="AE39">
        <f t="shared" si="4"/>
        <v>1</v>
      </c>
      <c r="AF39" t="str">
        <f t="shared" si="5"/>
        <v>January</v>
      </c>
    </row>
    <row r="40" spans="1:32" x14ac:dyDescent="0.3">
      <c r="A40" s="1">
        <v>45679</v>
      </c>
      <c r="B40" t="s">
        <v>27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32</v>
      </c>
      <c r="O40" t="s">
        <v>0</v>
      </c>
      <c r="P40">
        <v>346126</v>
      </c>
      <c r="Q40" t="s">
        <v>22</v>
      </c>
      <c r="R40" t="s">
        <v>8</v>
      </c>
      <c r="S40" t="s">
        <v>74</v>
      </c>
      <c r="T40">
        <v>90</v>
      </c>
      <c r="U40">
        <v>0.5</v>
      </c>
      <c r="V40" s="2">
        <v>2.0833333333333332E-2</v>
      </c>
      <c r="W40">
        <v>45</v>
      </c>
      <c r="X40">
        <v>60</v>
      </c>
      <c r="Y40">
        <v>15</v>
      </c>
      <c r="Z40" t="s">
        <v>101</v>
      </c>
      <c r="AA40" t="s">
        <v>75</v>
      </c>
      <c r="AB40" t="s">
        <v>76</v>
      </c>
      <c r="AC40" t="s">
        <v>84</v>
      </c>
      <c r="AD40" t="s">
        <v>78</v>
      </c>
      <c r="AE40">
        <f t="shared" si="4"/>
        <v>1</v>
      </c>
      <c r="AF40" t="str">
        <f t="shared" si="5"/>
        <v>January</v>
      </c>
    </row>
    <row r="41" spans="1:32" x14ac:dyDescent="0.3">
      <c r="A41" s="1">
        <v>45679</v>
      </c>
      <c r="B41" t="s">
        <v>27</v>
      </c>
      <c r="C41" t="s">
        <v>82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32</v>
      </c>
      <c r="O41" t="s">
        <v>0</v>
      </c>
      <c r="P41">
        <v>346125</v>
      </c>
      <c r="Q41" t="s">
        <v>24</v>
      </c>
      <c r="R41" t="s">
        <v>8</v>
      </c>
      <c r="S41" t="s">
        <v>74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101</v>
      </c>
      <c r="AA41" t="s">
        <v>75</v>
      </c>
      <c r="AB41" t="s">
        <v>76</v>
      </c>
      <c r="AC41" t="s">
        <v>84</v>
      </c>
      <c r="AD41" t="s">
        <v>78</v>
      </c>
      <c r="AE41">
        <f t="shared" si="4"/>
        <v>1</v>
      </c>
      <c r="AF41" t="str">
        <f t="shared" si="5"/>
        <v>January</v>
      </c>
    </row>
    <row r="42" spans="1:32" x14ac:dyDescent="0.3">
      <c r="A42" s="1">
        <v>45680</v>
      </c>
      <c r="B42" t="s">
        <v>27</v>
      </c>
      <c r="C42" t="s">
        <v>82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32</v>
      </c>
      <c r="O42" t="s">
        <v>0</v>
      </c>
      <c r="P42">
        <v>346127</v>
      </c>
      <c r="Q42" t="s">
        <v>22</v>
      </c>
      <c r="R42" t="s">
        <v>8</v>
      </c>
      <c r="S42" t="s">
        <v>74</v>
      </c>
      <c r="T42">
        <v>90</v>
      </c>
      <c r="U42">
        <v>0.75</v>
      </c>
      <c r="V42" s="2">
        <v>3.125E-2</v>
      </c>
      <c r="W42">
        <v>67.5</v>
      </c>
      <c r="X42">
        <v>90</v>
      </c>
      <c r="Y42">
        <v>22.5</v>
      </c>
      <c r="Z42" t="s">
        <v>101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</v>
      </c>
      <c r="AF42" t="str">
        <f t="shared" si="5"/>
        <v>January</v>
      </c>
    </row>
    <row r="43" spans="1:32" x14ac:dyDescent="0.3">
      <c r="A43" s="1">
        <v>45685</v>
      </c>
      <c r="B43" t="s">
        <v>27</v>
      </c>
      <c r="C43" t="s">
        <v>82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32</v>
      </c>
      <c r="O43" t="s">
        <v>0</v>
      </c>
      <c r="P43">
        <v>348443</v>
      </c>
      <c r="Q43" t="s">
        <v>24</v>
      </c>
      <c r="R43" t="s">
        <v>8</v>
      </c>
      <c r="S43" t="s">
        <v>74</v>
      </c>
      <c r="T43">
        <v>90</v>
      </c>
      <c r="U43">
        <v>0.5</v>
      </c>
      <c r="V43" s="2">
        <v>2.0833333333333332E-2</v>
      </c>
      <c r="W43">
        <v>45</v>
      </c>
      <c r="X43">
        <v>60</v>
      </c>
      <c r="Y43">
        <v>15</v>
      </c>
      <c r="Z43" t="s">
        <v>101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</v>
      </c>
      <c r="AF43" t="str">
        <f t="shared" ref="AF43:AF54" si="7">IF(AE43=11,"November",IF(AE43=12,"December",IF(AE43=1,"January",IF(AE43=2,"February",IF(AE43=3,"March")))))</f>
        <v>January</v>
      </c>
    </row>
    <row r="44" spans="1:32" x14ac:dyDescent="0.3">
      <c r="A44" s="1">
        <v>45688</v>
      </c>
      <c r="B44" t="s">
        <v>27</v>
      </c>
      <c r="C44" t="s">
        <v>82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32</v>
      </c>
      <c r="O44" t="s">
        <v>0</v>
      </c>
      <c r="P44">
        <v>351129</v>
      </c>
      <c r="Q44" t="s">
        <v>102</v>
      </c>
      <c r="R44" t="s">
        <v>8</v>
      </c>
      <c r="S44" t="s">
        <v>74</v>
      </c>
      <c r="T44">
        <v>90</v>
      </c>
      <c r="U44">
        <v>0.5</v>
      </c>
      <c r="V44" s="2">
        <v>2.0833333333333332E-2</v>
      </c>
      <c r="W44">
        <v>45</v>
      </c>
      <c r="X44">
        <v>60</v>
      </c>
      <c r="Y44">
        <v>15</v>
      </c>
      <c r="Z44" t="s">
        <v>101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</v>
      </c>
      <c r="AF44" t="str">
        <f t="shared" si="7"/>
        <v>January</v>
      </c>
    </row>
    <row r="45" spans="1:32" x14ac:dyDescent="0.3">
      <c r="A45" s="1">
        <v>45691</v>
      </c>
      <c r="B45" t="s">
        <v>27</v>
      </c>
      <c r="C45" t="s">
        <v>82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32</v>
      </c>
      <c r="O45" t="s">
        <v>0</v>
      </c>
      <c r="P45">
        <v>351839</v>
      </c>
      <c r="Q45" t="s">
        <v>22</v>
      </c>
      <c r="R45" t="s">
        <v>8</v>
      </c>
      <c r="S45" t="s">
        <v>74</v>
      </c>
      <c r="T45">
        <v>90</v>
      </c>
      <c r="U45">
        <v>1</v>
      </c>
      <c r="V45" s="2">
        <v>4.1666666666666664E-2</v>
      </c>
      <c r="W45">
        <v>90</v>
      </c>
      <c r="AA45" t="s">
        <v>75</v>
      </c>
      <c r="AC45" t="s">
        <v>84</v>
      </c>
      <c r="AD45" t="s">
        <v>78</v>
      </c>
      <c r="AE45">
        <f t="shared" si="6"/>
        <v>2</v>
      </c>
      <c r="AF45" t="str">
        <f t="shared" si="7"/>
        <v>February</v>
      </c>
    </row>
    <row r="46" spans="1:32" x14ac:dyDescent="0.3">
      <c r="A46" s="1">
        <v>45691</v>
      </c>
      <c r="B46" t="s">
        <v>27</v>
      </c>
      <c r="C46" t="s">
        <v>82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32</v>
      </c>
      <c r="O46" t="s">
        <v>0</v>
      </c>
      <c r="P46">
        <v>351838</v>
      </c>
      <c r="Q46" t="s">
        <v>102</v>
      </c>
      <c r="R46" t="s">
        <v>8</v>
      </c>
      <c r="S46" t="s">
        <v>74</v>
      </c>
      <c r="T46">
        <v>90</v>
      </c>
      <c r="U46">
        <v>1.5</v>
      </c>
      <c r="V46" s="2">
        <v>6.25E-2</v>
      </c>
      <c r="W46">
        <v>135</v>
      </c>
      <c r="AA46" t="s">
        <v>75</v>
      </c>
      <c r="AC46" t="s">
        <v>84</v>
      </c>
      <c r="AD46" t="s">
        <v>78</v>
      </c>
      <c r="AE46">
        <f t="shared" si="6"/>
        <v>2</v>
      </c>
      <c r="AF46" t="str">
        <f t="shared" si="7"/>
        <v>February</v>
      </c>
    </row>
    <row r="47" spans="1:32" x14ac:dyDescent="0.3">
      <c r="A47" s="1">
        <v>45617</v>
      </c>
      <c r="B47" t="s">
        <v>32</v>
      </c>
      <c r="C47" t="s">
        <v>82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328871</v>
      </c>
      <c r="Q47" t="s">
        <v>22</v>
      </c>
      <c r="R47" t="s">
        <v>8</v>
      </c>
      <c r="S47" t="s">
        <v>74</v>
      </c>
      <c r="T47">
        <v>90</v>
      </c>
      <c r="U47">
        <v>0.5</v>
      </c>
      <c r="V47" s="2">
        <v>2.0833333333333332E-2</v>
      </c>
      <c r="W47">
        <v>45</v>
      </c>
      <c r="X47">
        <v>60</v>
      </c>
      <c r="Y47">
        <v>15</v>
      </c>
      <c r="Z47" t="s">
        <v>87</v>
      </c>
      <c r="AA47" t="s">
        <v>75</v>
      </c>
      <c r="AB47" t="s">
        <v>76</v>
      </c>
      <c r="AC47" t="s">
        <v>88</v>
      </c>
      <c r="AD47" t="s">
        <v>78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45621</v>
      </c>
      <c r="B48" t="s">
        <v>32</v>
      </c>
      <c r="C48" t="s">
        <v>82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328882</v>
      </c>
      <c r="Q48" t="s">
        <v>22</v>
      </c>
      <c r="R48" t="s">
        <v>8</v>
      </c>
      <c r="S48" t="s">
        <v>74</v>
      </c>
      <c r="T48">
        <v>90</v>
      </c>
      <c r="U48">
        <v>1</v>
      </c>
      <c r="V48" s="2">
        <v>4.1666666666666664E-2</v>
      </c>
      <c r="W48">
        <v>90</v>
      </c>
      <c r="X48">
        <v>120</v>
      </c>
      <c r="Y48">
        <v>30</v>
      </c>
      <c r="Z48" t="s">
        <v>87</v>
      </c>
      <c r="AA48" t="s">
        <v>75</v>
      </c>
      <c r="AB48" t="s">
        <v>76</v>
      </c>
      <c r="AC48" t="s">
        <v>89</v>
      </c>
      <c r="AD48" t="s">
        <v>78</v>
      </c>
      <c r="AE48">
        <f t="shared" si="6"/>
        <v>11</v>
      </c>
      <c r="AF48" t="str">
        <f t="shared" si="7"/>
        <v>November</v>
      </c>
    </row>
    <row r="49" spans="1:32" x14ac:dyDescent="0.3">
      <c r="A49" s="1">
        <v>45622</v>
      </c>
      <c r="B49" t="s">
        <v>32</v>
      </c>
      <c r="C49" t="s">
        <v>82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328895</v>
      </c>
      <c r="Q49" t="s">
        <v>22</v>
      </c>
      <c r="R49" t="s">
        <v>8</v>
      </c>
      <c r="S49" t="s">
        <v>74</v>
      </c>
      <c r="T49">
        <v>90</v>
      </c>
      <c r="U49">
        <v>1</v>
      </c>
      <c r="V49" s="2">
        <v>4.1666666666666664E-2</v>
      </c>
      <c r="W49">
        <v>90</v>
      </c>
      <c r="X49">
        <v>120</v>
      </c>
      <c r="Y49">
        <v>30</v>
      </c>
      <c r="Z49" t="s">
        <v>87</v>
      </c>
      <c r="AA49" t="s">
        <v>75</v>
      </c>
      <c r="AB49" t="s">
        <v>76</v>
      </c>
      <c r="AC49" t="s">
        <v>90</v>
      </c>
      <c r="AD49" t="s">
        <v>78</v>
      </c>
      <c r="AE49">
        <f t="shared" si="6"/>
        <v>11</v>
      </c>
      <c r="AF49" t="str">
        <f t="shared" si="7"/>
        <v>November</v>
      </c>
    </row>
    <row r="50" spans="1:32" x14ac:dyDescent="0.3">
      <c r="A50" s="1">
        <v>45623</v>
      </c>
      <c r="B50" t="s">
        <v>32</v>
      </c>
      <c r="C50" t="s">
        <v>82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328899</v>
      </c>
      <c r="Q50" t="s">
        <v>22</v>
      </c>
      <c r="R50" t="s">
        <v>8</v>
      </c>
      <c r="S50" t="s">
        <v>74</v>
      </c>
      <c r="T50">
        <v>90</v>
      </c>
      <c r="U50">
        <v>0.5</v>
      </c>
      <c r="V50" s="2">
        <v>2.0833333333333332E-2</v>
      </c>
      <c r="W50">
        <v>45</v>
      </c>
      <c r="X50">
        <v>60</v>
      </c>
      <c r="Y50">
        <v>15</v>
      </c>
      <c r="Z50" t="s">
        <v>87</v>
      </c>
      <c r="AA50" t="s">
        <v>75</v>
      </c>
      <c r="AB50" t="s">
        <v>76</v>
      </c>
      <c r="AC50" t="s">
        <v>91</v>
      </c>
      <c r="AD50" t="s">
        <v>78</v>
      </c>
      <c r="AE50">
        <f t="shared" si="6"/>
        <v>11</v>
      </c>
      <c r="AF50" t="str">
        <f t="shared" si="7"/>
        <v>November</v>
      </c>
    </row>
    <row r="51" spans="1:32" x14ac:dyDescent="0.3">
      <c r="A51" s="1">
        <v>45624</v>
      </c>
      <c r="B51" t="s">
        <v>32</v>
      </c>
      <c r="C51" t="s">
        <v>82</v>
      </c>
      <c r="D51" t="s">
        <v>65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330390</v>
      </c>
      <c r="Q51" t="s">
        <v>22</v>
      </c>
      <c r="R51" t="s">
        <v>8</v>
      </c>
      <c r="S51" t="s">
        <v>74</v>
      </c>
      <c r="T51">
        <v>90</v>
      </c>
      <c r="U51">
        <v>0.5</v>
      </c>
      <c r="V51" s="2">
        <v>2.0833333333333332E-2</v>
      </c>
      <c r="W51">
        <v>45</v>
      </c>
      <c r="X51">
        <v>60</v>
      </c>
      <c r="Y51">
        <v>15</v>
      </c>
      <c r="Z51" t="s">
        <v>87</v>
      </c>
      <c r="AA51" t="s">
        <v>75</v>
      </c>
      <c r="AC51" t="s">
        <v>92</v>
      </c>
      <c r="AD51" t="s">
        <v>78</v>
      </c>
      <c r="AE51">
        <f t="shared" si="6"/>
        <v>11</v>
      </c>
      <c r="AF51" t="str">
        <f t="shared" si="7"/>
        <v>November</v>
      </c>
    </row>
    <row r="52" spans="1:32" x14ac:dyDescent="0.3">
      <c r="A52" s="1">
        <v>45672</v>
      </c>
      <c r="B52" t="s">
        <v>32</v>
      </c>
      <c r="C52" t="s">
        <v>82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344323</v>
      </c>
      <c r="Q52" t="s">
        <v>22</v>
      </c>
      <c r="R52" t="s">
        <v>8</v>
      </c>
      <c r="S52" t="s">
        <v>74</v>
      </c>
      <c r="T52">
        <v>90</v>
      </c>
      <c r="U52">
        <v>1</v>
      </c>
      <c r="V52" s="2">
        <v>4.1666666666666664E-2</v>
      </c>
      <c r="W52">
        <v>90</v>
      </c>
      <c r="X52">
        <v>120</v>
      </c>
      <c r="Y52">
        <v>30</v>
      </c>
      <c r="Z52" t="s">
        <v>101</v>
      </c>
      <c r="AA52" t="s">
        <v>75</v>
      </c>
      <c r="AB52" t="s">
        <v>76</v>
      </c>
      <c r="AC52" t="s">
        <v>99</v>
      </c>
      <c r="AD52" t="s">
        <v>78</v>
      </c>
      <c r="AE52">
        <f t="shared" si="6"/>
        <v>1</v>
      </c>
      <c r="AF52" t="str">
        <f t="shared" si="7"/>
        <v>January</v>
      </c>
    </row>
    <row r="53" spans="1:32" x14ac:dyDescent="0.3">
      <c r="A53" s="1">
        <v>45678</v>
      </c>
      <c r="B53" t="s">
        <v>32</v>
      </c>
      <c r="C53" t="s">
        <v>82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347876</v>
      </c>
      <c r="Q53" t="s">
        <v>22</v>
      </c>
      <c r="R53" t="s">
        <v>8</v>
      </c>
      <c r="S53" t="s">
        <v>74</v>
      </c>
      <c r="T53">
        <v>90</v>
      </c>
      <c r="U53">
        <v>0.5</v>
      </c>
      <c r="V53" s="2">
        <v>2.0833333333333332E-2</v>
      </c>
      <c r="W53">
        <v>45</v>
      </c>
      <c r="X53">
        <v>60</v>
      </c>
      <c r="Y53">
        <v>15</v>
      </c>
      <c r="Z53" t="s">
        <v>101</v>
      </c>
      <c r="AA53" t="s">
        <v>75</v>
      </c>
      <c r="AB53" t="s">
        <v>76</v>
      </c>
      <c r="AC53" t="s">
        <v>103</v>
      </c>
      <c r="AD53" t="s">
        <v>78</v>
      </c>
      <c r="AE53">
        <f t="shared" si="6"/>
        <v>1</v>
      </c>
      <c r="AF53" t="str">
        <f t="shared" si="7"/>
        <v>January</v>
      </c>
    </row>
    <row r="54" spans="1:32" x14ac:dyDescent="0.3">
      <c r="A54" s="1">
        <v>45614</v>
      </c>
      <c r="B54" t="s">
        <v>31</v>
      </c>
      <c r="C54" t="s">
        <v>82</v>
      </c>
      <c r="D54" t="s">
        <v>65</v>
      </c>
      <c r="E54" t="s">
        <v>83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325476</v>
      </c>
      <c r="Q54" t="s">
        <v>21</v>
      </c>
      <c r="R54" t="s">
        <v>8</v>
      </c>
      <c r="S54" t="s">
        <v>74</v>
      </c>
      <c r="T54">
        <v>90</v>
      </c>
      <c r="U54">
        <v>0.25</v>
      </c>
      <c r="V54" s="2">
        <v>1.0416666666666666E-2</v>
      </c>
      <c r="W54">
        <v>22.5</v>
      </c>
      <c r="X54">
        <v>30</v>
      </c>
      <c r="Y54">
        <v>7.5</v>
      </c>
      <c r="Z54" t="s">
        <v>87</v>
      </c>
      <c r="AA54" t="s">
        <v>75</v>
      </c>
      <c r="AB54" t="s">
        <v>76</v>
      </c>
      <c r="AC54" t="s">
        <v>93</v>
      </c>
      <c r="AD54" t="s">
        <v>78</v>
      </c>
      <c r="AE54">
        <f t="shared" si="6"/>
        <v>11</v>
      </c>
      <c r="AF54" t="str">
        <f t="shared" si="7"/>
        <v>November</v>
      </c>
    </row>
    <row r="55" spans="1:32" x14ac:dyDescent="0.3">
      <c r="A55" s="1">
        <v>45615</v>
      </c>
      <c r="B55" t="s">
        <v>31</v>
      </c>
      <c r="C55" t="s">
        <v>82</v>
      </c>
      <c r="D55" t="s">
        <v>65</v>
      </c>
      <c r="E55" t="s">
        <v>83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325746</v>
      </c>
      <c r="Q55" t="s">
        <v>21</v>
      </c>
      <c r="R55" t="s">
        <v>8</v>
      </c>
      <c r="S55" t="s">
        <v>74</v>
      </c>
      <c r="T55">
        <v>90</v>
      </c>
      <c r="U55">
        <v>0.25</v>
      </c>
      <c r="V55" s="2">
        <v>1.0416666666666666E-2</v>
      </c>
      <c r="W55">
        <v>22.5</v>
      </c>
      <c r="X55">
        <v>30</v>
      </c>
      <c r="Y55">
        <v>7.5</v>
      </c>
      <c r="Z55" t="s">
        <v>87</v>
      </c>
      <c r="AA55" t="s">
        <v>75</v>
      </c>
      <c r="AB55" t="s">
        <v>76</v>
      </c>
      <c r="AC55" t="s">
        <v>94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 x14ac:dyDescent="0.3">
      <c r="A56" s="1">
        <v>45616</v>
      </c>
      <c r="B56" t="s">
        <v>31</v>
      </c>
      <c r="C56" t="s">
        <v>82</v>
      </c>
      <c r="D56" t="s">
        <v>65</v>
      </c>
      <c r="E56" t="s">
        <v>83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325465</v>
      </c>
      <c r="Q56" t="s">
        <v>21</v>
      </c>
      <c r="R56" t="s">
        <v>8</v>
      </c>
      <c r="S56" t="s">
        <v>74</v>
      </c>
      <c r="T56">
        <v>90</v>
      </c>
      <c r="U56">
        <v>0.25</v>
      </c>
      <c r="V56" s="2">
        <v>1.0416666666666666E-2</v>
      </c>
      <c r="W56">
        <v>22.5</v>
      </c>
      <c r="X56">
        <v>30</v>
      </c>
      <c r="Y56">
        <v>7.5</v>
      </c>
      <c r="Z56" t="s">
        <v>87</v>
      </c>
      <c r="AA56" t="s">
        <v>75</v>
      </c>
      <c r="AB56" t="s">
        <v>76</v>
      </c>
      <c r="AC56" t="s">
        <v>94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 x14ac:dyDescent="0.3">
      <c r="A57" s="1">
        <v>45617</v>
      </c>
      <c r="B57" t="s">
        <v>31</v>
      </c>
      <c r="C57" t="s">
        <v>82</v>
      </c>
      <c r="D57" t="s">
        <v>65</v>
      </c>
      <c r="E57" t="s">
        <v>83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325938</v>
      </c>
      <c r="Q57" t="s">
        <v>21</v>
      </c>
      <c r="R57" t="s">
        <v>8</v>
      </c>
      <c r="S57" t="s">
        <v>74</v>
      </c>
      <c r="T57">
        <v>90</v>
      </c>
      <c r="U57">
        <v>0.5</v>
      </c>
      <c r="V57" s="2">
        <v>2.0833333333333332E-2</v>
      </c>
      <c r="W57">
        <v>45</v>
      </c>
      <c r="X57">
        <v>60</v>
      </c>
      <c r="Y57">
        <v>15</v>
      </c>
      <c r="Z57" t="s">
        <v>87</v>
      </c>
      <c r="AA57" t="s">
        <v>75</v>
      </c>
      <c r="AB57" t="s">
        <v>76</v>
      </c>
      <c r="AC57" t="s">
        <v>95</v>
      </c>
      <c r="AD57" t="s">
        <v>78</v>
      </c>
      <c r="AE57">
        <f t="shared" si="8"/>
        <v>11</v>
      </c>
      <c r="AF57" t="str">
        <f t="shared" si="9"/>
        <v>November</v>
      </c>
    </row>
    <row r="58" spans="1:32" x14ac:dyDescent="0.3">
      <c r="A58" s="1">
        <v>45618</v>
      </c>
      <c r="B58" t="s">
        <v>31</v>
      </c>
      <c r="C58" t="s">
        <v>82</v>
      </c>
      <c r="D58" t="s">
        <v>65</v>
      </c>
      <c r="E58" t="s">
        <v>83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326763</v>
      </c>
      <c r="Q58" t="s">
        <v>21</v>
      </c>
      <c r="R58" t="s">
        <v>8</v>
      </c>
      <c r="S58" t="s">
        <v>74</v>
      </c>
      <c r="T58">
        <v>90</v>
      </c>
      <c r="U58">
        <v>0.25</v>
      </c>
      <c r="V58" s="2">
        <v>1.0416666666666666E-2</v>
      </c>
      <c r="W58">
        <v>22.5</v>
      </c>
      <c r="X58">
        <v>30</v>
      </c>
      <c r="Y58">
        <v>7.5</v>
      </c>
      <c r="Z58" t="s">
        <v>87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 x14ac:dyDescent="0.3">
      <c r="A59" s="1">
        <v>45621</v>
      </c>
      <c r="B59" t="s">
        <v>31</v>
      </c>
      <c r="C59" t="s">
        <v>82</v>
      </c>
      <c r="D59" t="s">
        <v>65</v>
      </c>
      <c r="E59" t="s">
        <v>83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327547</v>
      </c>
      <c r="Q59" t="s">
        <v>21</v>
      </c>
      <c r="R59" t="s">
        <v>8</v>
      </c>
      <c r="S59" t="s">
        <v>74</v>
      </c>
      <c r="T59">
        <v>90</v>
      </c>
      <c r="U59">
        <v>1.25</v>
      </c>
      <c r="V59" s="2">
        <v>5.2083333333333336E-2</v>
      </c>
      <c r="W59">
        <v>112.5</v>
      </c>
      <c r="X59">
        <v>150</v>
      </c>
      <c r="Y59">
        <v>37.5</v>
      </c>
      <c r="Z59" t="s">
        <v>87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 x14ac:dyDescent="0.3">
      <c r="A60" s="1">
        <v>45622</v>
      </c>
      <c r="B60" t="s">
        <v>31</v>
      </c>
      <c r="C60" t="s">
        <v>82</v>
      </c>
      <c r="D60" t="s">
        <v>65</v>
      </c>
      <c r="E60" t="s">
        <v>83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328016</v>
      </c>
      <c r="Q60" t="s">
        <v>21</v>
      </c>
      <c r="R60" t="s">
        <v>8</v>
      </c>
      <c r="S60" t="s">
        <v>74</v>
      </c>
      <c r="T60">
        <v>90</v>
      </c>
      <c r="U60">
        <v>2.75</v>
      </c>
      <c r="V60" s="2">
        <v>0.11458333333333333</v>
      </c>
      <c r="W60">
        <v>247.5</v>
      </c>
      <c r="X60">
        <v>330</v>
      </c>
      <c r="Y60">
        <v>82.5</v>
      </c>
      <c r="Z60" t="s">
        <v>87</v>
      </c>
      <c r="AA60" t="s">
        <v>75</v>
      </c>
      <c r="AB60" t="s">
        <v>76</v>
      </c>
      <c r="AC60" t="s">
        <v>84</v>
      </c>
      <c r="AD60" t="s">
        <v>78</v>
      </c>
      <c r="AE60">
        <f t="shared" si="8"/>
        <v>11</v>
      </c>
      <c r="AF60" t="str">
        <f t="shared" si="9"/>
        <v>November</v>
      </c>
    </row>
    <row r="61" spans="1:32" x14ac:dyDescent="0.3">
      <c r="A61" s="1">
        <v>45623</v>
      </c>
      <c r="B61" t="s">
        <v>31</v>
      </c>
      <c r="C61" t="s">
        <v>82</v>
      </c>
      <c r="D61" t="s">
        <v>65</v>
      </c>
      <c r="E61" t="s">
        <v>83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328660</v>
      </c>
      <c r="Q61" t="s">
        <v>21</v>
      </c>
      <c r="R61" t="s">
        <v>8</v>
      </c>
      <c r="S61" t="s">
        <v>74</v>
      </c>
      <c r="T61">
        <v>90</v>
      </c>
      <c r="U61">
        <v>1</v>
      </c>
      <c r="V61" s="2">
        <v>4.1666666666666664E-2</v>
      </c>
      <c r="W61">
        <v>90</v>
      </c>
      <c r="X61">
        <v>120</v>
      </c>
      <c r="Y61">
        <v>30</v>
      </c>
      <c r="Z61" t="s">
        <v>87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 x14ac:dyDescent="0.3">
      <c r="A62" s="1">
        <v>45624</v>
      </c>
      <c r="B62" t="s">
        <v>31</v>
      </c>
      <c r="C62" t="s">
        <v>82</v>
      </c>
      <c r="D62" t="s">
        <v>65</v>
      </c>
      <c r="E62" t="s">
        <v>83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329490</v>
      </c>
      <c r="Q62" t="s">
        <v>21</v>
      </c>
      <c r="R62" t="s">
        <v>8</v>
      </c>
      <c r="S62" t="s">
        <v>74</v>
      </c>
      <c r="T62">
        <v>90</v>
      </c>
      <c r="U62">
        <v>4</v>
      </c>
      <c r="V62" s="2">
        <v>0.16666666666666666</v>
      </c>
      <c r="W62">
        <v>360</v>
      </c>
      <c r="X62">
        <v>480</v>
      </c>
      <c r="Y62">
        <v>120</v>
      </c>
      <c r="Z62" t="s">
        <v>87</v>
      </c>
      <c r="AA62" t="s">
        <v>75</v>
      </c>
      <c r="AB62" t="s">
        <v>76</v>
      </c>
      <c r="AC62" t="s">
        <v>84</v>
      </c>
      <c r="AD62" t="s">
        <v>78</v>
      </c>
      <c r="AE62">
        <f t="shared" si="8"/>
        <v>11</v>
      </c>
      <c r="AF62" t="str">
        <f t="shared" si="9"/>
        <v>November</v>
      </c>
    </row>
    <row r="63" spans="1:32" x14ac:dyDescent="0.3">
      <c r="A63" s="1">
        <v>45625</v>
      </c>
      <c r="B63" t="s">
        <v>31</v>
      </c>
      <c r="C63" t="s">
        <v>82</v>
      </c>
      <c r="D63" t="s">
        <v>65</v>
      </c>
      <c r="E63" t="s">
        <v>83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329493</v>
      </c>
      <c r="Q63" t="s">
        <v>21</v>
      </c>
      <c r="R63" t="s">
        <v>8</v>
      </c>
      <c r="S63" t="s">
        <v>74</v>
      </c>
      <c r="T63">
        <v>90</v>
      </c>
      <c r="U63">
        <v>1.25</v>
      </c>
      <c r="V63" s="2">
        <v>5.2083333333333336E-2</v>
      </c>
      <c r="W63">
        <v>112.5</v>
      </c>
      <c r="X63">
        <v>150</v>
      </c>
      <c r="Y63">
        <v>37.5</v>
      </c>
      <c r="Z63" t="s">
        <v>87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11</v>
      </c>
      <c r="AF63" t="str">
        <f t="shared" si="9"/>
        <v>November</v>
      </c>
    </row>
    <row r="64" spans="1:32" x14ac:dyDescent="0.3">
      <c r="A64" s="1">
        <v>45628</v>
      </c>
      <c r="B64" t="s">
        <v>31</v>
      </c>
      <c r="C64" t="s">
        <v>82</v>
      </c>
      <c r="D64" t="s">
        <v>65</v>
      </c>
      <c r="E64" t="s">
        <v>83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330916</v>
      </c>
      <c r="Q64" t="s">
        <v>21</v>
      </c>
      <c r="R64" t="s">
        <v>8</v>
      </c>
      <c r="S64" t="s">
        <v>74</v>
      </c>
      <c r="T64">
        <v>90</v>
      </c>
      <c r="U64">
        <v>1</v>
      </c>
      <c r="V64" s="2">
        <v>4.1666666666666664E-2</v>
      </c>
      <c r="W64">
        <v>90</v>
      </c>
      <c r="X64">
        <v>120</v>
      </c>
      <c r="Y64">
        <v>30</v>
      </c>
      <c r="Z64" t="s">
        <v>97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12</v>
      </c>
      <c r="AF64" t="str">
        <f t="shared" si="9"/>
        <v>December</v>
      </c>
    </row>
    <row r="65" spans="1:32" x14ac:dyDescent="0.3">
      <c r="A65" s="1">
        <v>45629</v>
      </c>
      <c r="B65" t="s">
        <v>31</v>
      </c>
      <c r="C65" t="s">
        <v>82</v>
      </c>
      <c r="D65" t="s">
        <v>65</v>
      </c>
      <c r="E65" t="s">
        <v>83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331015</v>
      </c>
      <c r="Q65" t="s">
        <v>21</v>
      </c>
      <c r="R65" t="s">
        <v>8</v>
      </c>
      <c r="S65" t="s">
        <v>74</v>
      </c>
      <c r="T65">
        <v>90</v>
      </c>
      <c r="U65">
        <v>1.75</v>
      </c>
      <c r="V65" s="2">
        <v>7.2916666666666671E-2</v>
      </c>
      <c r="W65">
        <v>157.5</v>
      </c>
      <c r="X65">
        <v>210</v>
      </c>
      <c r="Y65">
        <v>52.5</v>
      </c>
      <c r="Z65" t="s">
        <v>97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12</v>
      </c>
      <c r="AF65" t="str">
        <f t="shared" si="9"/>
        <v>December</v>
      </c>
    </row>
    <row r="66" spans="1:32" x14ac:dyDescent="0.3">
      <c r="A66" s="1">
        <v>45630</v>
      </c>
      <c r="B66" t="s">
        <v>31</v>
      </c>
      <c r="C66" t="s">
        <v>82</v>
      </c>
      <c r="D66" t="s">
        <v>65</v>
      </c>
      <c r="E66" t="s">
        <v>83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331563</v>
      </c>
      <c r="Q66" t="s">
        <v>21</v>
      </c>
      <c r="R66" t="s">
        <v>8</v>
      </c>
      <c r="S66" t="s">
        <v>74</v>
      </c>
      <c r="T66">
        <v>90</v>
      </c>
      <c r="U66">
        <v>1.25</v>
      </c>
      <c r="V66" s="2">
        <v>5.2083333333333336E-2</v>
      </c>
      <c r="W66">
        <v>112.5</v>
      </c>
      <c r="X66">
        <v>150</v>
      </c>
      <c r="Y66">
        <v>37.5</v>
      </c>
      <c r="Z66" t="s">
        <v>97</v>
      </c>
      <c r="AA66" t="s">
        <v>75</v>
      </c>
      <c r="AB66" t="s">
        <v>76</v>
      </c>
      <c r="AC66" t="s">
        <v>84</v>
      </c>
      <c r="AD66" t="s">
        <v>78</v>
      </c>
      <c r="AE66">
        <f t="shared" si="8"/>
        <v>12</v>
      </c>
      <c r="AF66" t="str">
        <f t="shared" si="9"/>
        <v>December</v>
      </c>
    </row>
    <row r="67" spans="1:32" x14ac:dyDescent="0.3">
      <c r="A67" s="1">
        <v>45631</v>
      </c>
      <c r="B67" t="s">
        <v>31</v>
      </c>
      <c r="C67" t="s">
        <v>82</v>
      </c>
      <c r="D67" t="s">
        <v>65</v>
      </c>
      <c r="E67" t="s">
        <v>83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333982</v>
      </c>
      <c r="Q67" t="s">
        <v>21</v>
      </c>
      <c r="R67" t="s">
        <v>8</v>
      </c>
      <c r="S67" t="s">
        <v>74</v>
      </c>
      <c r="T67">
        <v>90</v>
      </c>
      <c r="U67">
        <v>0.25</v>
      </c>
      <c r="V67" s="2">
        <v>1.0416666666666666E-2</v>
      </c>
      <c r="W67">
        <v>22.5</v>
      </c>
      <c r="X67">
        <v>30</v>
      </c>
      <c r="Y67">
        <v>7.5</v>
      </c>
      <c r="Z67" t="s">
        <v>97</v>
      </c>
      <c r="AA67" t="s">
        <v>75</v>
      </c>
      <c r="AB67" t="s">
        <v>76</v>
      </c>
      <c r="AC67" t="s">
        <v>84</v>
      </c>
      <c r="AD67" t="s">
        <v>78</v>
      </c>
      <c r="AE67">
        <f t="shared" si="8"/>
        <v>12</v>
      </c>
      <c r="AF67" t="str">
        <f t="shared" si="9"/>
        <v>December</v>
      </c>
    </row>
    <row r="68" spans="1:32" x14ac:dyDescent="0.3">
      <c r="A68" s="1">
        <v>45632</v>
      </c>
      <c r="B68" t="s">
        <v>31</v>
      </c>
      <c r="C68" t="s">
        <v>82</v>
      </c>
      <c r="D68" t="s">
        <v>65</v>
      </c>
      <c r="E68" t="s">
        <v>83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333988</v>
      </c>
      <c r="Q68" t="s">
        <v>21</v>
      </c>
      <c r="R68" t="s">
        <v>8</v>
      </c>
      <c r="S68" t="s">
        <v>74</v>
      </c>
      <c r="T68">
        <v>90</v>
      </c>
      <c r="U68">
        <v>0.25</v>
      </c>
      <c r="V68" s="2">
        <v>1.0416666666666666E-2</v>
      </c>
      <c r="W68">
        <v>22.5</v>
      </c>
      <c r="X68">
        <v>30</v>
      </c>
      <c r="Y68">
        <v>7.5</v>
      </c>
      <c r="Z68" t="s">
        <v>97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12</v>
      </c>
      <c r="AF68" t="str">
        <f t="shared" si="9"/>
        <v>December</v>
      </c>
    </row>
    <row r="69" spans="1:32" x14ac:dyDescent="0.3">
      <c r="A69" s="1">
        <v>45635</v>
      </c>
      <c r="B69" t="s">
        <v>31</v>
      </c>
      <c r="C69" t="s">
        <v>82</v>
      </c>
      <c r="D69" t="s">
        <v>65</v>
      </c>
      <c r="E69" t="s">
        <v>83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333996</v>
      </c>
      <c r="Q69" t="s">
        <v>21</v>
      </c>
      <c r="R69" t="s">
        <v>8</v>
      </c>
      <c r="S69" t="s">
        <v>74</v>
      </c>
      <c r="T69">
        <v>90</v>
      </c>
      <c r="U69">
        <v>0.25</v>
      </c>
      <c r="V69" s="2">
        <v>1.0416666666666666E-2</v>
      </c>
      <c r="W69">
        <v>22.5</v>
      </c>
      <c r="X69">
        <v>30</v>
      </c>
      <c r="Y69">
        <v>7.5</v>
      </c>
      <c r="Z69" t="s">
        <v>97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  <row r="70" spans="1:32" x14ac:dyDescent="0.3">
      <c r="A70" s="1">
        <v>45636</v>
      </c>
      <c r="B70" t="s">
        <v>31</v>
      </c>
      <c r="C70" t="s">
        <v>82</v>
      </c>
      <c r="D70" t="s">
        <v>65</v>
      </c>
      <c r="E70" t="s">
        <v>83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333997</v>
      </c>
      <c r="Q70" t="s">
        <v>21</v>
      </c>
      <c r="R70" t="s">
        <v>8</v>
      </c>
      <c r="S70" t="s">
        <v>74</v>
      </c>
      <c r="T70">
        <v>90</v>
      </c>
      <c r="U70">
        <v>0.25</v>
      </c>
      <c r="V70" s="2">
        <v>1.0416666666666666E-2</v>
      </c>
      <c r="W70">
        <v>22.5</v>
      </c>
      <c r="X70">
        <v>30</v>
      </c>
      <c r="Y70">
        <v>7.5</v>
      </c>
      <c r="Z70" t="s">
        <v>97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12</v>
      </c>
      <c r="AF70" t="str">
        <f t="shared" ref="AF70:AF75" si="11">IF(AE70=11,"November",IF(AE70=12,"December",IF(AE70=1,"January",IF(AE70=2,"February",IF(AE70=3,"March")))))</f>
        <v>December</v>
      </c>
    </row>
    <row r="71" spans="1:32" x14ac:dyDescent="0.3">
      <c r="A71" s="1">
        <v>45637</v>
      </c>
      <c r="B71" t="s">
        <v>31</v>
      </c>
      <c r="C71" t="s">
        <v>82</v>
      </c>
      <c r="D71" t="s">
        <v>65</v>
      </c>
      <c r="E71" t="s">
        <v>83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333998</v>
      </c>
      <c r="Q71" t="s">
        <v>21</v>
      </c>
      <c r="R71" t="s">
        <v>8</v>
      </c>
      <c r="S71" t="s">
        <v>74</v>
      </c>
      <c r="T71">
        <v>90</v>
      </c>
      <c r="U71">
        <v>1</v>
      </c>
      <c r="V71" s="2">
        <v>4.1666666666666664E-2</v>
      </c>
      <c r="W71">
        <v>90</v>
      </c>
      <c r="X71">
        <v>120</v>
      </c>
      <c r="Y71">
        <v>30</v>
      </c>
      <c r="Z71" t="s">
        <v>97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12</v>
      </c>
      <c r="AF71" t="str">
        <f t="shared" si="11"/>
        <v>December</v>
      </c>
    </row>
    <row r="72" spans="1:32" x14ac:dyDescent="0.3">
      <c r="A72" s="1">
        <v>45638</v>
      </c>
      <c r="B72" t="s">
        <v>31</v>
      </c>
      <c r="C72" t="s">
        <v>82</v>
      </c>
      <c r="D72" t="s">
        <v>65</v>
      </c>
      <c r="E72" t="s">
        <v>83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334771</v>
      </c>
      <c r="Q72" t="s">
        <v>21</v>
      </c>
      <c r="R72" t="s">
        <v>8</v>
      </c>
      <c r="S72" t="s">
        <v>74</v>
      </c>
      <c r="T72">
        <v>90</v>
      </c>
      <c r="U72">
        <v>3.5</v>
      </c>
      <c r="V72" s="2">
        <v>0.14583333333333334</v>
      </c>
      <c r="W72">
        <v>315</v>
      </c>
      <c r="X72">
        <v>420</v>
      </c>
      <c r="Y72">
        <v>105</v>
      </c>
      <c r="Z72" t="s">
        <v>97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12</v>
      </c>
      <c r="AF72" t="str">
        <f t="shared" si="11"/>
        <v>December</v>
      </c>
    </row>
    <row r="73" spans="1:32" x14ac:dyDescent="0.3">
      <c r="A73" s="1">
        <v>45672</v>
      </c>
      <c r="B73" t="s">
        <v>31</v>
      </c>
      <c r="C73" t="s">
        <v>82</v>
      </c>
      <c r="D73" t="s">
        <v>65</v>
      </c>
      <c r="E73" t="s">
        <v>83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343139</v>
      </c>
      <c r="Q73" t="s">
        <v>21</v>
      </c>
      <c r="R73" t="s">
        <v>8</v>
      </c>
      <c r="S73" t="s">
        <v>74</v>
      </c>
      <c r="T73">
        <v>90</v>
      </c>
      <c r="U73">
        <v>1</v>
      </c>
      <c r="V73" s="2">
        <v>4.1666666666666664E-2</v>
      </c>
      <c r="W73">
        <v>90</v>
      </c>
      <c r="X73">
        <v>120</v>
      </c>
      <c r="Y73">
        <v>30</v>
      </c>
      <c r="Z73" t="s">
        <v>101</v>
      </c>
      <c r="AA73" t="s">
        <v>75</v>
      </c>
      <c r="AB73" t="s">
        <v>76</v>
      </c>
      <c r="AC73" t="s">
        <v>98</v>
      </c>
      <c r="AD73" t="s">
        <v>78</v>
      </c>
      <c r="AE73">
        <f t="shared" si="10"/>
        <v>1</v>
      </c>
      <c r="AF73" t="str">
        <f t="shared" si="11"/>
        <v>January</v>
      </c>
    </row>
    <row r="74" spans="1:32" x14ac:dyDescent="0.3">
      <c r="A74" s="1">
        <v>45678</v>
      </c>
      <c r="B74" t="s">
        <v>31</v>
      </c>
      <c r="C74" t="s">
        <v>82</v>
      </c>
      <c r="D74" t="s">
        <v>65</v>
      </c>
      <c r="E74" t="s">
        <v>83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344956</v>
      </c>
      <c r="Q74" t="s">
        <v>21</v>
      </c>
      <c r="R74" t="s">
        <v>8</v>
      </c>
      <c r="S74" t="s">
        <v>74</v>
      </c>
      <c r="T74">
        <v>90</v>
      </c>
      <c r="U74">
        <v>0.5</v>
      </c>
      <c r="V74" s="2">
        <v>2.0833333333333332E-2</v>
      </c>
      <c r="W74">
        <v>45</v>
      </c>
      <c r="X74">
        <v>60</v>
      </c>
      <c r="Y74">
        <v>15</v>
      </c>
      <c r="Z74" t="s">
        <v>101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</v>
      </c>
      <c r="AF74" t="str">
        <f t="shared" si="11"/>
        <v>January</v>
      </c>
    </row>
    <row r="75" spans="1:32" x14ac:dyDescent="0.3">
      <c r="A75" s="1">
        <v>45680</v>
      </c>
      <c r="B75" t="s">
        <v>31</v>
      </c>
      <c r="C75" t="s">
        <v>82</v>
      </c>
      <c r="D75" t="s">
        <v>65</v>
      </c>
      <c r="E75" t="s">
        <v>83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346610</v>
      </c>
      <c r="Q75" t="s">
        <v>21</v>
      </c>
      <c r="R75" t="s">
        <v>8</v>
      </c>
      <c r="S75" t="s">
        <v>74</v>
      </c>
      <c r="T75">
        <v>90</v>
      </c>
      <c r="U75">
        <v>0.5</v>
      </c>
      <c r="V75" s="2">
        <v>2.0833333333333332E-2</v>
      </c>
      <c r="W75">
        <v>45</v>
      </c>
      <c r="X75">
        <v>60</v>
      </c>
      <c r="Y75">
        <v>15</v>
      </c>
      <c r="Z75" t="s">
        <v>101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</v>
      </c>
      <c r="AF75" t="str">
        <f t="shared" si="11"/>
        <v>January</v>
      </c>
    </row>
    <row r="76" spans="1:32" x14ac:dyDescent="0.3">
      <c r="A76" s="1">
        <v>45614</v>
      </c>
      <c r="B76" t="s">
        <v>25</v>
      </c>
      <c r="C76" t="s">
        <v>82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325456</v>
      </c>
      <c r="Q76" t="s">
        <v>17</v>
      </c>
      <c r="R76" t="s">
        <v>8</v>
      </c>
      <c r="S76" t="s">
        <v>74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87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11</v>
      </c>
      <c r="AF76" t="str">
        <f t="shared" ref="AF76" si="13">IF(AE76=11,"November",IF(AE76=12,"December",IF(AE76=1,"January",IF(AE76=2,"February",IF(AE76=3,"March")))))</f>
        <v>November</v>
      </c>
    </row>
    <row r="77" spans="1:32" x14ac:dyDescent="0.3">
      <c r="A77" s="1">
        <v>45614</v>
      </c>
      <c r="B77" t="s">
        <v>25</v>
      </c>
      <c r="C77" t="s">
        <v>82</v>
      </c>
      <c r="D77" t="s">
        <v>65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325455</v>
      </c>
      <c r="Q77" t="s">
        <v>72</v>
      </c>
      <c r="R77" t="s">
        <v>73</v>
      </c>
      <c r="S77" t="s">
        <v>74</v>
      </c>
      <c r="T77">
        <v>0</v>
      </c>
      <c r="U77">
        <v>0.5</v>
      </c>
      <c r="V77" s="2">
        <v>2.0833333333333332E-2</v>
      </c>
      <c r="W77">
        <v>0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11</v>
      </c>
      <c r="AF77" t="str">
        <f t="shared" ref="AF77:AF84" si="15">IF(AE77=11,"November",IF(AE77=12,"December",IF(AE77=1,"January",IF(AE77=2,"February",IF(AE77=3,"March")))))</f>
        <v>November</v>
      </c>
    </row>
    <row r="78" spans="1:32" x14ac:dyDescent="0.3">
      <c r="A78" s="1">
        <v>45615</v>
      </c>
      <c r="B78" t="s">
        <v>25</v>
      </c>
      <c r="C78" t="s">
        <v>82</v>
      </c>
      <c r="D78" t="s">
        <v>65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325457</v>
      </c>
      <c r="Q78" t="s">
        <v>72</v>
      </c>
      <c r="R78" t="s">
        <v>73</v>
      </c>
      <c r="S78" t="s">
        <v>74</v>
      </c>
      <c r="T78">
        <v>0</v>
      </c>
      <c r="U78">
        <v>1.5</v>
      </c>
      <c r="V78" s="2">
        <v>6.25E-2</v>
      </c>
      <c r="W78">
        <v>0</v>
      </c>
      <c r="AA78" t="s">
        <v>75</v>
      </c>
      <c r="AB78" t="s">
        <v>76</v>
      </c>
      <c r="AC78" t="s">
        <v>84</v>
      </c>
      <c r="AD78" t="s">
        <v>78</v>
      </c>
      <c r="AE78">
        <f t="shared" si="14"/>
        <v>11</v>
      </c>
      <c r="AF78" t="str">
        <f t="shared" si="15"/>
        <v>November</v>
      </c>
    </row>
    <row r="79" spans="1:32" x14ac:dyDescent="0.3">
      <c r="A79" s="1">
        <v>45616</v>
      </c>
      <c r="B79" t="s">
        <v>25</v>
      </c>
      <c r="C79" t="s">
        <v>82</v>
      </c>
      <c r="D79" t="s">
        <v>65</v>
      </c>
      <c r="E79" t="s">
        <v>66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325454</v>
      </c>
      <c r="Q79" t="s">
        <v>17</v>
      </c>
      <c r="R79" t="s">
        <v>8</v>
      </c>
      <c r="S79" t="s">
        <v>74</v>
      </c>
      <c r="T79">
        <v>90</v>
      </c>
      <c r="U79">
        <v>0.25</v>
      </c>
      <c r="V79" s="2">
        <v>1.0416666666666666E-2</v>
      </c>
      <c r="W79">
        <v>22.5</v>
      </c>
      <c r="X79">
        <v>30</v>
      </c>
      <c r="Y79">
        <v>7.5</v>
      </c>
      <c r="Z79" t="s">
        <v>87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11</v>
      </c>
      <c r="AF79" t="str">
        <f t="shared" si="15"/>
        <v>November</v>
      </c>
    </row>
    <row r="80" spans="1:32" x14ac:dyDescent="0.3">
      <c r="A80" s="1">
        <v>45616</v>
      </c>
      <c r="B80" t="s">
        <v>25</v>
      </c>
      <c r="C80" t="s">
        <v>82</v>
      </c>
      <c r="D80" t="s">
        <v>65</v>
      </c>
      <c r="E80" t="s">
        <v>66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325453</v>
      </c>
      <c r="Q80" t="s">
        <v>72</v>
      </c>
      <c r="R80" t="s">
        <v>73</v>
      </c>
      <c r="S80" t="s">
        <v>74</v>
      </c>
      <c r="T80">
        <v>0</v>
      </c>
      <c r="U80">
        <v>0.75</v>
      </c>
      <c r="V80" s="2">
        <v>3.125E-2</v>
      </c>
      <c r="W80">
        <v>0</v>
      </c>
      <c r="AA80" t="s">
        <v>75</v>
      </c>
      <c r="AB80" t="s">
        <v>76</v>
      </c>
      <c r="AC80" t="s">
        <v>84</v>
      </c>
      <c r="AD80" t="s">
        <v>78</v>
      </c>
      <c r="AE80">
        <f t="shared" si="14"/>
        <v>11</v>
      </c>
      <c r="AF80" t="str">
        <f t="shared" si="15"/>
        <v>November</v>
      </c>
    </row>
    <row r="81" spans="1:32" x14ac:dyDescent="0.3">
      <c r="A81" s="1">
        <v>45617</v>
      </c>
      <c r="B81" t="s">
        <v>25</v>
      </c>
      <c r="C81" t="s">
        <v>82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326249</v>
      </c>
      <c r="Q81" t="s">
        <v>17</v>
      </c>
      <c r="R81" t="s">
        <v>8</v>
      </c>
      <c r="S81" t="s">
        <v>74</v>
      </c>
      <c r="T81">
        <v>90</v>
      </c>
      <c r="U81">
        <v>0.25</v>
      </c>
      <c r="V81" s="2">
        <v>1.0416666666666666E-2</v>
      </c>
      <c r="W81">
        <v>22.5</v>
      </c>
      <c r="X81">
        <v>30</v>
      </c>
      <c r="Y81">
        <v>7.5</v>
      </c>
      <c r="Z81" t="s">
        <v>87</v>
      </c>
      <c r="AA81" t="s">
        <v>75</v>
      </c>
      <c r="AB81" t="s">
        <v>76</v>
      </c>
      <c r="AC81" t="s">
        <v>84</v>
      </c>
      <c r="AD81" t="s">
        <v>78</v>
      </c>
      <c r="AE81">
        <f t="shared" si="14"/>
        <v>11</v>
      </c>
      <c r="AF81" t="str">
        <f t="shared" si="15"/>
        <v>November</v>
      </c>
    </row>
    <row r="82" spans="1:32" x14ac:dyDescent="0.3">
      <c r="A82" s="1">
        <v>45618</v>
      </c>
      <c r="B82" t="s">
        <v>25</v>
      </c>
      <c r="C82" t="s">
        <v>82</v>
      </c>
      <c r="D82" t="s">
        <v>65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327242</v>
      </c>
      <c r="Q82" t="s">
        <v>17</v>
      </c>
      <c r="R82" t="s">
        <v>8</v>
      </c>
      <c r="S82" t="s">
        <v>74</v>
      </c>
      <c r="T82">
        <v>90</v>
      </c>
      <c r="U82">
        <v>0.25</v>
      </c>
      <c r="V82" s="2">
        <v>1.0416666666666666E-2</v>
      </c>
      <c r="W82">
        <v>22.5</v>
      </c>
      <c r="X82">
        <v>30</v>
      </c>
      <c r="Y82">
        <v>7.5</v>
      </c>
      <c r="Z82" t="s">
        <v>87</v>
      </c>
      <c r="AA82" t="s">
        <v>75</v>
      </c>
      <c r="AB82" t="s">
        <v>76</v>
      </c>
      <c r="AC82" t="s">
        <v>84</v>
      </c>
      <c r="AD82" t="s">
        <v>78</v>
      </c>
      <c r="AE82">
        <f t="shared" si="14"/>
        <v>11</v>
      </c>
      <c r="AF82" t="str">
        <f t="shared" si="15"/>
        <v>November</v>
      </c>
    </row>
    <row r="83" spans="1:32" x14ac:dyDescent="0.3">
      <c r="A83" s="1">
        <v>45621</v>
      </c>
      <c r="B83" t="s">
        <v>25</v>
      </c>
      <c r="C83" t="s">
        <v>82</v>
      </c>
      <c r="D83" t="s">
        <v>65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327236</v>
      </c>
      <c r="Q83" t="s">
        <v>17</v>
      </c>
      <c r="R83" t="s">
        <v>8</v>
      </c>
      <c r="S83" t="s">
        <v>74</v>
      </c>
      <c r="T83">
        <v>90</v>
      </c>
      <c r="U83">
        <v>0.5</v>
      </c>
      <c r="V83" s="2">
        <v>2.0833333333333332E-2</v>
      </c>
      <c r="W83">
        <v>45</v>
      </c>
      <c r="X83">
        <v>60</v>
      </c>
      <c r="Y83">
        <v>15</v>
      </c>
      <c r="Z83" t="s">
        <v>87</v>
      </c>
      <c r="AA83" t="s">
        <v>75</v>
      </c>
      <c r="AB83" t="s">
        <v>76</v>
      </c>
      <c r="AC83" t="s">
        <v>84</v>
      </c>
      <c r="AD83" t="s">
        <v>78</v>
      </c>
      <c r="AE83">
        <f t="shared" si="14"/>
        <v>11</v>
      </c>
      <c r="AF83" t="str">
        <f t="shared" si="15"/>
        <v>November</v>
      </c>
    </row>
    <row r="84" spans="1:32" x14ac:dyDescent="0.3">
      <c r="A84" s="1">
        <v>45628</v>
      </c>
      <c r="B84" t="s">
        <v>25</v>
      </c>
      <c r="C84" t="s">
        <v>82</v>
      </c>
      <c r="D84" t="s">
        <v>65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331079</v>
      </c>
      <c r="Q84" t="s">
        <v>72</v>
      </c>
      <c r="R84" t="s">
        <v>73</v>
      </c>
      <c r="S84" t="s">
        <v>74</v>
      </c>
      <c r="T84">
        <v>0</v>
      </c>
      <c r="U84">
        <v>0.25</v>
      </c>
      <c r="V84" s="2">
        <v>1.0416666666666666E-2</v>
      </c>
      <c r="W84">
        <v>0</v>
      </c>
      <c r="AA84" t="s">
        <v>75</v>
      </c>
      <c r="AB84" t="s">
        <v>76</v>
      </c>
      <c r="AC84" t="s">
        <v>84</v>
      </c>
      <c r="AD84" t="s">
        <v>78</v>
      </c>
      <c r="AE84">
        <f t="shared" si="14"/>
        <v>12</v>
      </c>
      <c r="AF84" t="str">
        <f t="shared" si="15"/>
        <v>December</v>
      </c>
    </row>
    <row r="85" spans="1:32" x14ac:dyDescent="0.3">
      <c r="A85" s="1">
        <v>45629</v>
      </c>
      <c r="B85" t="s">
        <v>25</v>
      </c>
      <c r="C85" t="s">
        <v>82</v>
      </c>
      <c r="D85" t="s">
        <v>65</v>
      </c>
      <c r="E85" t="s">
        <v>66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65</v>
      </c>
      <c r="L85" t="s">
        <v>25</v>
      </c>
      <c r="M85" t="s">
        <v>32</v>
      </c>
      <c r="N85" t="s">
        <v>84</v>
      </c>
      <c r="O85" t="s">
        <v>0</v>
      </c>
      <c r="P85">
        <v>331089</v>
      </c>
      <c r="Q85" t="s">
        <v>72</v>
      </c>
      <c r="R85" t="s">
        <v>73</v>
      </c>
      <c r="S85" t="s">
        <v>74</v>
      </c>
      <c r="T85">
        <v>0</v>
      </c>
      <c r="U85">
        <v>0.25</v>
      </c>
      <c r="V85" s="2">
        <v>1.0416666666666666E-2</v>
      </c>
      <c r="W85">
        <v>0</v>
      </c>
      <c r="AA85" t="s">
        <v>75</v>
      </c>
      <c r="AB85" t="s">
        <v>76</v>
      </c>
      <c r="AC85" t="s">
        <v>84</v>
      </c>
      <c r="AD85" t="s">
        <v>78</v>
      </c>
      <c r="AE85">
        <f t="shared" ref="AE85:AE94" si="16">MONTH(A85)</f>
        <v>12</v>
      </c>
      <c r="AF85" t="str">
        <f t="shared" ref="AF85:AF94" si="17">IF(AE85=11,"November",IF(AE85=12,"December",IF(AE85=1,"January",IF(AE85=2,"February",IF(AE85=3,"March")))))</f>
        <v>December</v>
      </c>
    </row>
    <row r="86" spans="1:32" x14ac:dyDescent="0.3">
      <c r="A86" s="1">
        <v>45630</v>
      </c>
      <c r="B86" t="s">
        <v>25</v>
      </c>
      <c r="C86" t="s">
        <v>82</v>
      </c>
      <c r="D86" t="s">
        <v>65</v>
      </c>
      <c r="E86" t="s">
        <v>66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65</v>
      </c>
      <c r="L86" t="s">
        <v>25</v>
      </c>
      <c r="M86" t="s">
        <v>32</v>
      </c>
      <c r="N86" t="s">
        <v>84</v>
      </c>
      <c r="O86" t="s">
        <v>0</v>
      </c>
      <c r="P86">
        <v>331744</v>
      </c>
      <c r="Q86" t="s">
        <v>72</v>
      </c>
      <c r="R86" t="s">
        <v>73</v>
      </c>
      <c r="S86" t="s">
        <v>74</v>
      </c>
      <c r="T86">
        <v>0</v>
      </c>
      <c r="U86">
        <v>0.5</v>
      </c>
      <c r="V86" s="2">
        <v>2.0833333333333332E-2</v>
      </c>
      <c r="W86">
        <v>0</v>
      </c>
      <c r="AA86" t="s">
        <v>75</v>
      </c>
      <c r="AB86" t="s">
        <v>76</v>
      </c>
      <c r="AC86" t="s">
        <v>84</v>
      </c>
      <c r="AD86" t="s">
        <v>78</v>
      </c>
      <c r="AE86">
        <f t="shared" si="16"/>
        <v>12</v>
      </c>
      <c r="AF86" t="str">
        <f t="shared" si="17"/>
        <v>December</v>
      </c>
    </row>
    <row r="87" spans="1:32" x14ac:dyDescent="0.3">
      <c r="A87" s="1">
        <v>45631</v>
      </c>
      <c r="B87" t="s">
        <v>25</v>
      </c>
      <c r="C87" t="s">
        <v>82</v>
      </c>
      <c r="D87" t="s">
        <v>65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65</v>
      </c>
      <c r="L87" t="s">
        <v>25</v>
      </c>
      <c r="M87" t="s">
        <v>32</v>
      </c>
      <c r="N87" t="s">
        <v>84</v>
      </c>
      <c r="O87" t="s">
        <v>0</v>
      </c>
      <c r="P87">
        <v>332082</v>
      </c>
      <c r="Q87" t="s">
        <v>72</v>
      </c>
      <c r="R87" t="s">
        <v>73</v>
      </c>
      <c r="S87" t="s">
        <v>74</v>
      </c>
      <c r="T87">
        <v>0</v>
      </c>
      <c r="U87">
        <v>0.5</v>
      </c>
      <c r="V87" s="2">
        <v>2.0833333333333332E-2</v>
      </c>
      <c r="W87">
        <v>0</v>
      </c>
      <c r="AA87" t="s">
        <v>75</v>
      </c>
      <c r="AB87" t="s">
        <v>76</v>
      </c>
      <c r="AC87" t="s">
        <v>84</v>
      </c>
      <c r="AD87" t="s">
        <v>78</v>
      </c>
      <c r="AE87">
        <f t="shared" si="16"/>
        <v>12</v>
      </c>
      <c r="AF87" t="str">
        <f t="shared" si="17"/>
        <v>December</v>
      </c>
    </row>
    <row r="88" spans="1:32" x14ac:dyDescent="0.3">
      <c r="A88" s="1">
        <v>45635</v>
      </c>
      <c r="B88" t="s">
        <v>25</v>
      </c>
      <c r="C88" t="s">
        <v>82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65</v>
      </c>
      <c r="L88" t="s">
        <v>25</v>
      </c>
      <c r="M88" t="s">
        <v>32</v>
      </c>
      <c r="N88" t="s">
        <v>84</v>
      </c>
      <c r="O88" t="s">
        <v>0</v>
      </c>
      <c r="P88">
        <v>334072</v>
      </c>
      <c r="Q88" t="s">
        <v>72</v>
      </c>
      <c r="R88" t="s">
        <v>73</v>
      </c>
      <c r="S88" t="s">
        <v>74</v>
      </c>
      <c r="T88">
        <v>0</v>
      </c>
      <c r="U88">
        <v>0.25</v>
      </c>
      <c r="V88" s="2">
        <v>1.0416666666666666E-2</v>
      </c>
      <c r="W88">
        <v>0</v>
      </c>
      <c r="AA88" t="s">
        <v>75</v>
      </c>
      <c r="AB88" t="s">
        <v>76</v>
      </c>
      <c r="AC88" t="s">
        <v>84</v>
      </c>
      <c r="AD88" t="s">
        <v>78</v>
      </c>
      <c r="AE88">
        <f t="shared" si="16"/>
        <v>12</v>
      </c>
      <c r="AF88" t="str">
        <f t="shared" si="17"/>
        <v>December</v>
      </c>
    </row>
    <row r="89" spans="1:32" x14ac:dyDescent="0.3">
      <c r="A89" s="1">
        <v>45637</v>
      </c>
      <c r="B89" t="s">
        <v>25</v>
      </c>
      <c r="C89" t="s">
        <v>82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65</v>
      </c>
      <c r="L89" t="s">
        <v>25</v>
      </c>
      <c r="M89" t="s">
        <v>32</v>
      </c>
      <c r="N89" t="s">
        <v>84</v>
      </c>
      <c r="O89" t="s">
        <v>0</v>
      </c>
      <c r="P89">
        <v>334592</v>
      </c>
      <c r="Q89" t="s">
        <v>72</v>
      </c>
      <c r="R89" t="s">
        <v>73</v>
      </c>
      <c r="S89" t="s">
        <v>74</v>
      </c>
      <c r="T89">
        <v>0</v>
      </c>
      <c r="U89">
        <v>0.25</v>
      </c>
      <c r="V89" s="2">
        <v>1.0416666666666666E-2</v>
      </c>
      <c r="W89">
        <v>0</v>
      </c>
      <c r="AA89" t="s">
        <v>75</v>
      </c>
      <c r="AB89" t="s">
        <v>76</v>
      </c>
      <c r="AC89" t="s">
        <v>84</v>
      </c>
      <c r="AD89" t="s">
        <v>78</v>
      </c>
      <c r="AE89">
        <f t="shared" si="16"/>
        <v>12</v>
      </c>
      <c r="AF89" t="str">
        <f t="shared" si="17"/>
        <v>December</v>
      </c>
    </row>
    <row r="90" spans="1:32" x14ac:dyDescent="0.3">
      <c r="A90" s="1">
        <v>45638</v>
      </c>
      <c r="B90" t="s">
        <v>25</v>
      </c>
      <c r="C90" t="s">
        <v>82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65</v>
      </c>
      <c r="L90" t="s">
        <v>25</v>
      </c>
      <c r="M90" t="s">
        <v>32</v>
      </c>
      <c r="N90" t="s">
        <v>84</v>
      </c>
      <c r="O90" t="s">
        <v>0</v>
      </c>
      <c r="P90">
        <v>335029</v>
      </c>
      <c r="Q90" t="s">
        <v>72</v>
      </c>
      <c r="R90" t="s">
        <v>73</v>
      </c>
      <c r="S90" t="s">
        <v>74</v>
      </c>
      <c r="T90">
        <v>0</v>
      </c>
      <c r="U90">
        <v>1</v>
      </c>
      <c r="V90" s="2">
        <v>4.1666666666666664E-2</v>
      </c>
      <c r="W90">
        <v>0</v>
      </c>
      <c r="AA90" t="s">
        <v>75</v>
      </c>
      <c r="AB90" t="s">
        <v>76</v>
      </c>
      <c r="AC90" t="s">
        <v>84</v>
      </c>
      <c r="AD90" t="s">
        <v>78</v>
      </c>
      <c r="AE90">
        <f t="shared" si="16"/>
        <v>12</v>
      </c>
      <c r="AF90" t="str">
        <f t="shared" si="17"/>
        <v>December</v>
      </c>
    </row>
    <row r="91" spans="1:32" x14ac:dyDescent="0.3">
      <c r="A91" s="1">
        <v>45639</v>
      </c>
      <c r="B91" t="s">
        <v>25</v>
      </c>
      <c r="C91" t="s">
        <v>82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65</v>
      </c>
      <c r="L91" t="s">
        <v>25</v>
      </c>
      <c r="M91" t="s">
        <v>32</v>
      </c>
      <c r="N91" t="s">
        <v>84</v>
      </c>
      <c r="O91" t="s">
        <v>0</v>
      </c>
      <c r="P91">
        <v>335383</v>
      </c>
      <c r="Q91" t="s">
        <v>72</v>
      </c>
      <c r="R91" t="s">
        <v>73</v>
      </c>
      <c r="S91" t="s">
        <v>74</v>
      </c>
      <c r="T91">
        <v>0</v>
      </c>
      <c r="U91">
        <v>0.25</v>
      </c>
      <c r="V91" s="2">
        <v>1.0416666666666666E-2</v>
      </c>
      <c r="W91">
        <v>0</v>
      </c>
      <c r="AA91" t="s">
        <v>75</v>
      </c>
      <c r="AB91" t="s">
        <v>76</v>
      </c>
      <c r="AC91" t="s">
        <v>84</v>
      </c>
      <c r="AD91" t="s">
        <v>78</v>
      </c>
      <c r="AE91">
        <f t="shared" si="16"/>
        <v>12</v>
      </c>
      <c r="AF91" t="str">
        <f t="shared" si="17"/>
        <v>December</v>
      </c>
    </row>
    <row r="92" spans="1:32" x14ac:dyDescent="0.3">
      <c r="A92" s="1">
        <v>45643</v>
      </c>
      <c r="B92" t="s">
        <v>25</v>
      </c>
      <c r="C92" t="s">
        <v>82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65</v>
      </c>
      <c r="L92" t="s">
        <v>25</v>
      </c>
      <c r="M92" t="s">
        <v>32</v>
      </c>
      <c r="N92" t="s">
        <v>84</v>
      </c>
      <c r="O92" t="s">
        <v>0</v>
      </c>
      <c r="P92">
        <v>336420</v>
      </c>
      <c r="Q92" t="s">
        <v>72</v>
      </c>
      <c r="R92" t="s">
        <v>73</v>
      </c>
      <c r="S92" t="s">
        <v>74</v>
      </c>
      <c r="T92">
        <v>0</v>
      </c>
      <c r="U92">
        <v>1</v>
      </c>
      <c r="V92" s="2">
        <v>4.1666666666666664E-2</v>
      </c>
      <c r="W92">
        <v>0</v>
      </c>
      <c r="AA92" t="s">
        <v>75</v>
      </c>
      <c r="AB92" t="s">
        <v>76</v>
      </c>
      <c r="AC92" t="s">
        <v>84</v>
      </c>
      <c r="AD92" t="s">
        <v>78</v>
      </c>
      <c r="AE92">
        <f t="shared" si="16"/>
        <v>12</v>
      </c>
      <c r="AF92" t="str">
        <f t="shared" si="17"/>
        <v>December</v>
      </c>
    </row>
    <row r="93" spans="1:32" x14ac:dyDescent="0.3">
      <c r="A93" s="1">
        <v>45644</v>
      </c>
      <c r="B93" t="s">
        <v>25</v>
      </c>
      <c r="C93" t="s">
        <v>82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65</v>
      </c>
      <c r="L93" t="s">
        <v>25</v>
      </c>
      <c r="M93" t="s">
        <v>32</v>
      </c>
      <c r="N93" t="s">
        <v>84</v>
      </c>
      <c r="O93" t="s">
        <v>0</v>
      </c>
      <c r="P93">
        <v>337012</v>
      </c>
      <c r="Q93" t="s">
        <v>72</v>
      </c>
      <c r="R93" t="s">
        <v>73</v>
      </c>
      <c r="S93" t="s">
        <v>74</v>
      </c>
      <c r="T93">
        <v>0</v>
      </c>
      <c r="U93">
        <v>0.75</v>
      </c>
      <c r="V93" s="2">
        <v>3.125E-2</v>
      </c>
      <c r="W93">
        <v>0</v>
      </c>
      <c r="AA93" t="s">
        <v>75</v>
      </c>
      <c r="AB93" t="s">
        <v>76</v>
      </c>
      <c r="AC93" t="s">
        <v>84</v>
      </c>
      <c r="AD93" t="s">
        <v>78</v>
      </c>
      <c r="AE93">
        <f t="shared" si="16"/>
        <v>12</v>
      </c>
      <c r="AF93" t="str">
        <f t="shared" si="17"/>
        <v>December</v>
      </c>
    </row>
    <row r="94" spans="1:32" x14ac:dyDescent="0.3">
      <c r="A94" s="1">
        <v>45645</v>
      </c>
      <c r="B94" t="s">
        <v>25</v>
      </c>
      <c r="C94" t="s">
        <v>82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65</v>
      </c>
      <c r="L94" t="s">
        <v>25</v>
      </c>
      <c r="M94" t="s">
        <v>32</v>
      </c>
      <c r="N94" t="s">
        <v>84</v>
      </c>
      <c r="O94" t="s">
        <v>0</v>
      </c>
      <c r="P94">
        <v>337672</v>
      </c>
      <c r="Q94" t="s">
        <v>72</v>
      </c>
      <c r="R94" t="s">
        <v>73</v>
      </c>
      <c r="S94" t="s">
        <v>74</v>
      </c>
      <c r="T94">
        <v>0</v>
      </c>
      <c r="U94">
        <v>0.5</v>
      </c>
      <c r="V94" s="2">
        <v>2.0833333333333332E-2</v>
      </c>
      <c r="W94">
        <v>0</v>
      </c>
      <c r="AA94" t="s">
        <v>75</v>
      </c>
      <c r="AB94" t="s">
        <v>76</v>
      </c>
      <c r="AC94" t="s">
        <v>84</v>
      </c>
      <c r="AD94" t="s">
        <v>78</v>
      </c>
      <c r="AE94">
        <f t="shared" si="16"/>
        <v>12</v>
      </c>
      <c r="AF94" t="str">
        <f t="shared" si="17"/>
        <v>December</v>
      </c>
    </row>
    <row r="95" spans="1:32" x14ac:dyDescent="0.3">
      <c r="A95" s="1">
        <v>45670</v>
      </c>
      <c r="B95" t="s">
        <v>25</v>
      </c>
      <c r="C95" t="s">
        <v>82</v>
      </c>
      <c r="D95" t="s">
        <v>65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s">
        <v>71</v>
      </c>
      <c r="K95" t="s">
        <v>65</v>
      </c>
      <c r="L95" t="s">
        <v>25</v>
      </c>
      <c r="M95" t="s">
        <v>32</v>
      </c>
      <c r="N95" t="s">
        <v>84</v>
      </c>
      <c r="O95" t="s">
        <v>0</v>
      </c>
      <c r="P95">
        <v>341512</v>
      </c>
      <c r="Q95" t="s">
        <v>72</v>
      </c>
      <c r="R95" t="s">
        <v>73</v>
      </c>
      <c r="S95" t="s">
        <v>74</v>
      </c>
      <c r="T95">
        <v>0</v>
      </c>
      <c r="U95">
        <v>1</v>
      </c>
      <c r="V95" s="2">
        <v>4.1666666666666664E-2</v>
      </c>
      <c r="W95">
        <v>0</v>
      </c>
      <c r="AA95" t="s">
        <v>75</v>
      </c>
      <c r="AB95" t="s">
        <v>76</v>
      </c>
      <c r="AC95" t="s">
        <v>84</v>
      </c>
      <c r="AD95" t="s">
        <v>78</v>
      </c>
      <c r="AE95">
        <f t="shared" ref="AE95:AE106" si="18">MONTH(A95)</f>
        <v>1</v>
      </c>
      <c r="AF95" t="str">
        <f t="shared" ref="AF95:AF106" si="19">IF(AE95=11,"November",IF(AE95=12,"December",IF(AE95=1,"January",IF(AE95=2,"February",IF(AE95=3,"March")))))</f>
        <v>January</v>
      </c>
    </row>
    <row r="96" spans="1:32" x14ac:dyDescent="0.3">
      <c r="A96" s="1">
        <v>45671</v>
      </c>
      <c r="B96" t="s">
        <v>25</v>
      </c>
      <c r="C96" t="s">
        <v>82</v>
      </c>
      <c r="D96" t="s">
        <v>65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s">
        <v>71</v>
      </c>
      <c r="K96" t="s">
        <v>65</v>
      </c>
      <c r="L96" t="s">
        <v>25</v>
      </c>
      <c r="M96" t="s">
        <v>32</v>
      </c>
      <c r="N96" t="s">
        <v>84</v>
      </c>
      <c r="O96" t="s">
        <v>0</v>
      </c>
      <c r="P96">
        <v>342067</v>
      </c>
      <c r="Q96" t="s">
        <v>72</v>
      </c>
      <c r="R96" t="s">
        <v>73</v>
      </c>
      <c r="S96" t="s">
        <v>74</v>
      </c>
      <c r="T96">
        <v>0</v>
      </c>
      <c r="U96">
        <v>0.5</v>
      </c>
      <c r="V96" s="2">
        <v>2.0833333333333332E-2</v>
      </c>
      <c r="W96">
        <v>0</v>
      </c>
      <c r="AA96" t="s">
        <v>75</v>
      </c>
      <c r="AB96" t="s">
        <v>76</v>
      </c>
      <c r="AC96" t="s">
        <v>84</v>
      </c>
      <c r="AD96" t="s">
        <v>78</v>
      </c>
      <c r="AE96">
        <f t="shared" si="18"/>
        <v>1</v>
      </c>
      <c r="AF96" t="str">
        <f t="shared" si="19"/>
        <v>January</v>
      </c>
    </row>
    <row r="97" spans="1:32" x14ac:dyDescent="0.3">
      <c r="A97" s="1">
        <v>45672</v>
      </c>
      <c r="B97" t="s">
        <v>25</v>
      </c>
      <c r="C97" t="s">
        <v>82</v>
      </c>
      <c r="D97" t="s">
        <v>65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s">
        <v>71</v>
      </c>
      <c r="K97" t="s">
        <v>65</v>
      </c>
      <c r="L97" t="s">
        <v>25</v>
      </c>
      <c r="M97" t="s">
        <v>32</v>
      </c>
      <c r="N97" t="s">
        <v>84</v>
      </c>
      <c r="O97" t="s">
        <v>0</v>
      </c>
      <c r="P97">
        <v>350986</v>
      </c>
      <c r="Q97" t="s">
        <v>17</v>
      </c>
      <c r="R97" t="s">
        <v>8</v>
      </c>
      <c r="S97" t="s">
        <v>74</v>
      </c>
      <c r="T97">
        <v>90</v>
      </c>
      <c r="U97">
        <v>0.5</v>
      </c>
      <c r="V97" s="2">
        <v>2.0833333333333332E-2</v>
      </c>
      <c r="W97">
        <v>45</v>
      </c>
      <c r="X97">
        <v>60</v>
      </c>
      <c r="Y97">
        <v>15</v>
      </c>
      <c r="Z97" t="s">
        <v>101</v>
      </c>
      <c r="AA97" t="s">
        <v>75</v>
      </c>
      <c r="AB97" t="s">
        <v>76</v>
      </c>
      <c r="AC97" t="s">
        <v>84</v>
      </c>
      <c r="AD97" t="s">
        <v>78</v>
      </c>
      <c r="AE97">
        <f t="shared" si="18"/>
        <v>1</v>
      </c>
      <c r="AF97" t="str">
        <f t="shared" si="19"/>
        <v>January</v>
      </c>
    </row>
    <row r="98" spans="1:32" x14ac:dyDescent="0.3">
      <c r="A98" s="1">
        <v>45672</v>
      </c>
      <c r="B98" t="s">
        <v>25</v>
      </c>
      <c r="C98" t="s">
        <v>82</v>
      </c>
      <c r="D98" t="s">
        <v>65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s">
        <v>71</v>
      </c>
      <c r="K98" t="s">
        <v>65</v>
      </c>
      <c r="L98" t="s">
        <v>25</v>
      </c>
      <c r="M98" t="s">
        <v>32</v>
      </c>
      <c r="N98" t="s">
        <v>84</v>
      </c>
      <c r="O98" t="s">
        <v>0</v>
      </c>
      <c r="P98">
        <v>342645</v>
      </c>
      <c r="Q98" t="s">
        <v>72</v>
      </c>
      <c r="R98" t="s">
        <v>73</v>
      </c>
      <c r="S98" t="s">
        <v>74</v>
      </c>
      <c r="T98">
        <v>0</v>
      </c>
      <c r="U98">
        <v>1</v>
      </c>
      <c r="V98" s="2">
        <v>4.1666666666666664E-2</v>
      </c>
      <c r="W98">
        <v>0</v>
      </c>
      <c r="AA98" t="s">
        <v>75</v>
      </c>
      <c r="AB98" t="s">
        <v>76</v>
      </c>
      <c r="AC98" t="s">
        <v>84</v>
      </c>
      <c r="AD98" t="s">
        <v>78</v>
      </c>
      <c r="AE98">
        <f t="shared" si="18"/>
        <v>1</v>
      </c>
      <c r="AF98" t="str">
        <f t="shared" si="19"/>
        <v>January</v>
      </c>
    </row>
    <row r="99" spans="1:32" x14ac:dyDescent="0.3">
      <c r="A99" s="1">
        <v>45673</v>
      </c>
      <c r="B99" t="s">
        <v>25</v>
      </c>
      <c r="C99" t="s">
        <v>82</v>
      </c>
      <c r="D99" t="s">
        <v>65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s">
        <v>71</v>
      </c>
      <c r="K99" t="s">
        <v>65</v>
      </c>
      <c r="L99" t="s">
        <v>25</v>
      </c>
      <c r="M99" t="s">
        <v>32</v>
      </c>
      <c r="N99" t="s">
        <v>84</v>
      </c>
      <c r="O99" t="s">
        <v>0</v>
      </c>
      <c r="P99">
        <v>350985</v>
      </c>
      <c r="Q99" t="s">
        <v>17</v>
      </c>
      <c r="R99" t="s">
        <v>8</v>
      </c>
      <c r="S99" t="s">
        <v>74</v>
      </c>
      <c r="T99">
        <v>90</v>
      </c>
      <c r="U99">
        <v>0.5</v>
      </c>
      <c r="V99" s="2">
        <v>2.0833333333333332E-2</v>
      </c>
      <c r="W99">
        <v>45</v>
      </c>
      <c r="X99">
        <v>60</v>
      </c>
      <c r="Y99">
        <v>15</v>
      </c>
      <c r="Z99" t="s">
        <v>101</v>
      </c>
      <c r="AA99" t="s">
        <v>75</v>
      </c>
      <c r="AB99" t="s">
        <v>76</v>
      </c>
      <c r="AC99" t="s">
        <v>84</v>
      </c>
      <c r="AD99" t="s">
        <v>78</v>
      </c>
      <c r="AE99">
        <f t="shared" si="18"/>
        <v>1</v>
      </c>
      <c r="AF99" t="str">
        <f t="shared" si="19"/>
        <v>January</v>
      </c>
    </row>
    <row r="100" spans="1:32" x14ac:dyDescent="0.3">
      <c r="A100" s="1">
        <v>45674</v>
      </c>
      <c r="B100" t="s">
        <v>25</v>
      </c>
      <c r="C100" t="s">
        <v>82</v>
      </c>
      <c r="D100" t="s">
        <v>65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65</v>
      </c>
      <c r="L100" t="s">
        <v>25</v>
      </c>
      <c r="M100" t="s">
        <v>32</v>
      </c>
      <c r="N100" t="s">
        <v>84</v>
      </c>
      <c r="O100" t="s">
        <v>0</v>
      </c>
      <c r="P100">
        <v>344170</v>
      </c>
      <c r="Q100" t="s">
        <v>72</v>
      </c>
      <c r="R100" t="s">
        <v>73</v>
      </c>
      <c r="S100" t="s">
        <v>74</v>
      </c>
      <c r="T100">
        <v>0</v>
      </c>
      <c r="U100">
        <v>0.25</v>
      </c>
      <c r="V100" s="2">
        <v>1.0416666666666666E-2</v>
      </c>
      <c r="W100">
        <v>0</v>
      </c>
      <c r="AA100" t="s">
        <v>75</v>
      </c>
      <c r="AB100" t="s">
        <v>76</v>
      </c>
      <c r="AC100" t="s">
        <v>84</v>
      </c>
      <c r="AD100" t="s">
        <v>78</v>
      </c>
      <c r="AE100">
        <f t="shared" si="18"/>
        <v>1</v>
      </c>
      <c r="AF100" t="str">
        <f t="shared" si="19"/>
        <v>January</v>
      </c>
    </row>
    <row r="101" spans="1:32" x14ac:dyDescent="0.3">
      <c r="A101" s="1">
        <v>45678</v>
      </c>
      <c r="B101" t="s">
        <v>25</v>
      </c>
      <c r="C101" t="s">
        <v>82</v>
      </c>
      <c r="D101" t="s">
        <v>65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65</v>
      </c>
      <c r="L101" t="s">
        <v>25</v>
      </c>
      <c r="M101" t="s">
        <v>32</v>
      </c>
      <c r="N101" t="s">
        <v>84</v>
      </c>
      <c r="O101" t="s">
        <v>0</v>
      </c>
      <c r="P101">
        <v>345080</v>
      </c>
      <c r="Q101" t="s">
        <v>17</v>
      </c>
      <c r="R101" t="s">
        <v>8</v>
      </c>
      <c r="S101" t="s">
        <v>74</v>
      </c>
      <c r="T101">
        <v>90</v>
      </c>
      <c r="U101">
        <v>0.5</v>
      </c>
      <c r="V101" s="2">
        <v>2.0833333333333332E-2</v>
      </c>
      <c r="W101">
        <v>45</v>
      </c>
      <c r="X101">
        <v>60</v>
      </c>
      <c r="Y101">
        <v>15</v>
      </c>
      <c r="Z101" t="s">
        <v>101</v>
      </c>
      <c r="AA101" t="s">
        <v>75</v>
      </c>
      <c r="AB101" t="s">
        <v>76</v>
      </c>
      <c r="AC101" t="s">
        <v>84</v>
      </c>
      <c r="AD101" t="s">
        <v>78</v>
      </c>
      <c r="AE101">
        <f t="shared" si="18"/>
        <v>1</v>
      </c>
      <c r="AF101" t="str">
        <f t="shared" si="19"/>
        <v>January</v>
      </c>
    </row>
    <row r="102" spans="1:32" x14ac:dyDescent="0.3">
      <c r="A102" s="1">
        <v>45679</v>
      </c>
      <c r="B102" t="s">
        <v>25</v>
      </c>
      <c r="C102" t="s">
        <v>82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65</v>
      </c>
      <c r="L102" t="s">
        <v>25</v>
      </c>
      <c r="M102" t="s">
        <v>32</v>
      </c>
      <c r="N102" t="s">
        <v>84</v>
      </c>
      <c r="O102" t="s">
        <v>0</v>
      </c>
      <c r="P102">
        <v>345926</v>
      </c>
      <c r="Q102" t="s">
        <v>17</v>
      </c>
      <c r="R102" t="s">
        <v>8</v>
      </c>
      <c r="S102" t="s">
        <v>74</v>
      </c>
      <c r="T102">
        <v>90</v>
      </c>
      <c r="U102">
        <v>0.5</v>
      </c>
      <c r="V102" s="2">
        <v>2.0833333333333332E-2</v>
      </c>
      <c r="W102">
        <v>45</v>
      </c>
      <c r="X102">
        <v>60</v>
      </c>
      <c r="Y102">
        <v>15</v>
      </c>
      <c r="Z102" t="s">
        <v>101</v>
      </c>
      <c r="AA102" t="s">
        <v>75</v>
      </c>
      <c r="AB102" t="s">
        <v>76</v>
      </c>
      <c r="AC102" t="s">
        <v>84</v>
      </c>
      <c r="AD102" t="s">
        <v>78</v>
      </c>
      <c r="AE102">
        <f t="shared" si="18"/>
        <v>1</v>
      </c>
      <c r="AF102" t="str">
        <f t="shared" si="19"/>
        <v>January</v>
      </c>
    </row>
    <row r="103" spans="1:32" x14ac:dyDescent="0.3">
      <c r="A103" s="1">
        <v>45686</v>
      </c>
      <c r="B103" t="s">
        <v>25</v>
      </c>
      <c r="C103" t="s">
        <v>82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65</v>
      </c>
      <c r="L103" t="s">
        <v>25</v>
      </c>
      <c r="M103" t="s">
        <v>32</v>
      </c>
      <c r="N103" t="s">
        <v>84</v>
      </c>
      <c r="O103" t="s">
        <v>0</v>
      </c>
      <c r="P103">
        <v>350984</v>
      </c>
      <c r="Q103" t="s">
        <v>17</v>
      </c>
      <c r="R103" t="s">
        <v>8</v>
      </c>
      <c r="S103" t="s">
        <v>74</v>
      </c>
      <c r="T103">
        <v>90</v>
      </c>
      <c r="U103">
        <v>0.5</v>
      </c>
      <c r="V103" s="2">
        <v>2.0833333333333332E-2</v>
      </c>
      <c r="W103">
        <v>45</v>
      </c>
      <c r="X103">
        <v>60</v>
      </c>
      <c r="Y103">
        <v>15</v>
      </c>
      <c r="Z103" t="s">
        <v>101</v>
      </c>
      <c r="AA103" t="s">
        <v>75</v>
      </c>
      <c r="AB103" t="s">
        <v>76</v>
      </c>
      <c r="AC103" t="s">
        <v>84</v>
      </c>
      <c r="AD103" t="s">
        <v>78</v>
      </c>
      <c r="AE103">
        <f t="shared" si="18"/>
        <v>1</v>
      </c>
      <c r="AF103" t="str">
        <f t="shared" si="19"/>
        <v>January</v>
      </c>
    </row>
    <row r="104" spans="1:32" x14ac:dyDescent="0.3">
      <c r="A104" s="1">
        <v>45687</v>
      </c>
      <c r="B104" t="s">
        <v>25</v>
      </c>
      <c r="C104" t="s">
        <v>82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65</v>
      </c>
      <c r="L104" t="s">
        <v>25</v>
      </c>
      <c r="M104" t="s">
        <v>32</v>
      </c>
      <c r="N104" t="s">
        <v>84</v>
      </c>
      <c r="O104" t="s">
        <v>0</v>
      </c>
      <c r="P104">
        <v>349999</v>
      </c>
      <c r="Q104" t="s">
        <v>17</v>
      </c>
      <c r="R104" t="s">
        <v>8</v>
      </c>
      <c r="S104" t="s">
        <v>74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101</v>
      </c>
      <c r="AA104" t="s">
        <v>75</v>
      </c>
      <c r="AB104" t="s">
        <v>76</v>
      </c>
      <c r="AC104" t="s">
        <v>84</v>
      </c>
      <c r="AD104" t="s">
        <v>78</v>
      </c>
      <c r="AE104">
        <f t="shared" si="18"/>
        <v>1</v>
      </c>
      <c r="AF104" t="str">
        <f t="shared" si="19"/>
        <v>January</v>
      </c>
    </row>
    <row r="105" spans="1:32" x14ac:dyDescent="0.3">
      <c r="A105" s="1">
        <v>45688</v>
      </c>
      <c r="B105" t="s">
        <v>25</v>
      </c>
      <c r="C105" t="s">
        <v>82</v>
      </c>
      <c r="D105" t="s">
        <v>65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65</v>
      </c>
      <c r="L105" t="s">
        <v>25</v>
      </c>
      <c r="M105" t="s">
        <v>32</v>
      </c>
      <c r="N105" t="s">
        <v>84</v>
      </c>
      <c r="O105" t="s">
        <v>0</v>
      </c>
      <c r="P105">
        <v>351025</v>
      </c>
      <c r="Q105" t="s">
        <v>17</v>
      </c>
      <c r="R105" t="s">
        <v>8</v>
      </c>
      <c r="S105" t="s">
        <v>74</v>
      </c>
      <c r="T105">
        <v>90</v>
      </c>
      <c r="U105">
        <v>0.5</v>
      </c>
      <c r="V105" s="2">
        <v>2.0833333333333332E-2</v>
      </c>
      <c r="W105">
        <v>45</v>
      </c>
      <c r="X105">
        <v>60</v>
      </c>
      <c r="Y105">
        <v>15</v>
      </c>
      <c r="Z105" t="s">
        <v>101</v>
      </c>
      <c r="AA105" t="s">
        <v>75</v>
      </c>
      <c r="AB105" t="s">
        <v>76</v>
      </c>
      <c r="AC105" t="s">
        <v>84</v>
      </c>
      <c r="AD105" t="s">
        <v>78</v>
      </c>
      <c r="AE105">
        <f t="shared" si="18"/>
        <v>1</v>
      </c>
      <c r="AF105" t="str">
        <f t="shared" si="19"/>
        <v>January</v>
      </c>
    </row>
    <row r="106" spans="1:32" x14ac:dyDescent="0.3">
      <c r="A106" s="1">
        <v>45691</v>
      </c>
      <c r="B106" t="s">
        <v>25</v>
      </c>
      <c r="C106" t="s">
        <v>82</v>
      </c>
      <c r="D106" t="s">
        <v>65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65</v>
      </c>
      <c r="L106" t="s">
        <v>25</v>
      </c>
      <c r="M106" t="s">
        <v>32</v>
      </c>
      <c r="N106" t="s">
        <v>84</v>
      </c>
      <c r="O106" t="s">
        <v>0</v>
      </c>
      <c r="P106">
        <v>351887</v>
      </c>
      <c r="Q106" t="s">
        <v>17</v>
      </c>
      <c r="R106" t="s">
        <v>8</v>
      </c>
      <c r="S106" t="s">
        <v>74</v>
      </c>
      <c r="T106">
        <v>90</v>
      </c>
      <c r="U106">
        <v>0.5</v>
      </c>
      <c r="V106" s="2">
        <v>2.0833333333333332E-2</v>
      </c>
      <c r="W106">
        <v>45</v>
      </c>
      <c r="AA106" t="s">
        <v>75</v>
      </c>
      <c r="AC106" t="s">
        <v>84</v>
      </c>
      <c r="AD106" t="s">
        <v>78</v>
      </c>
      <c r="AE106">
        <f t="shared" si="18"/>
        <v>2</v>
      </c>
      <c r="AF106" t="str">
        <f t="shared" si="19"/>
        <v>February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3026E-746A-4710-8E0C-2BD609C11DC4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ffbd5dc-7a64-4097-8396-87f6c90b212f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2025-02-04T10:19:30Z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