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22" documentId="8_{167E9527-0BDB-4F80-917D-937C202D374A}" xr6:coauthVersionLast="47" xr6:coauthVersionMax="47" xr10:uidLastSave="{92A9851A-3D98-4FF2-BB3C-0B2736D83832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3" l="1"/>
  <c r="AF16" i="3"/>
  <c r="AE17" i="3"/>
  <c r="AF17" i="3" s="1"/>
  <c r="AE18" i="3"/>
  <c r="AF18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3" i="3" l="1"/>
  <c r="AF3" i="3" s="1"/>
  <c r="AE2" i="3"/>
  <c r="AF2" i="3" s="1"/>
</calcChain>
</file>

<file path=xl/sharedStrings.xml><?xml version="1.0" encoding="utf-8"?>
<sst xmlns="http://schemas.openxmlformats.org/spreadsheetml/2006/main" count="416" uniqueCount="81">
  <si>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</si>
  <si>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</si>
  <si>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</si>
  <si>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</si>
  <si>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</si>
  <si>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</si>
  <si>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</si>
  <si>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</si>
  <si>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</si>
  <si>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</si>
  <si>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</si>
  <si>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Lower Bound</t>
  </si>
  <si>
    <t>Upper Bound</t>
  </si>
  <si>
    <t>Shaun Barrett</t>
  </si>
  <si>
    <t>Jacob Smycz</t>
  </si>
  <si>
    <t>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</si>
  <si>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</si>
  <si>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</si>
  <si>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</si>
  <si>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</si>
  <si>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</si>
  <si>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</si>
  <si>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</si>
  <si>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</si>
  <si>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</si>
  <si>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</si>
  <si>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</si>
  <si>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</si>
  <si>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</si>
  <si>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</si>
  <si>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</si>
  <si>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</si>
  <si>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</si>
  <si>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</si>
  <si>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</si>
  <si>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</si>
  <si>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</si>
  <si>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</si>
  <si>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</si>
  <si>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</si>
  <si>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</si>
  <si>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</si>
  <si>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</si>
  <si>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</si>
  <si>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</si>
  <si>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</si>
  <si>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</si>
  <si>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</si>
  <si>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</si>
  <si>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</si>
  <si>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</si>
  <si>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Billable</t>
  </si>
  <si>
    <t>Non-billable timecode</t>
  </si>
  <si>
    <t>Standard Timecode</t>
  </si>
  <si>
    <t>GBP</t>
  </si>
  <si>
    <t>Reviewed</t>
  </si>
  <si>
    <t xml:space="preserve"> </t>
  </si>
  <si>
    <t>Not submitted</t>
  </si>
  <si>
    <t>Custom Software</t>
  </si>
  <si>
    <t>OB-000766</t>
  </si>
  <si>
    <t>LeadPro Replacement (Form Assembly)</t>
  </si>
  <si>
    <t>Analysis</t>
  </si>
  <si>
    <t>Sarah Jessiman</t>
  </si>
  <si>
    <t>Testing</t>
  </si>
  <si>
    <t>Intro meeting with Jacob</t>
  </si>
  <si>
    <t>R2R/leadpro standup</t>
  </si>
  <si>
    <t>R2R/leadpro standup + read through cards on board</t>
  </si>
  <si>
    <t>Project Management</t>
  </si>
  <si>
    <t>Overheads (Non-Billable)</t>
  </si>
  <si>
    <t>Phase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</si>
  <si>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</si>
  <si>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</si>
  <si>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</si>
  <si>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</si>
  <si>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</si>
  <si>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 xml:space="preserve">£480 </t>
  </si>
  <si>
    <t xml:space="preserve"> £600 </t>
  </si>
  <si>
    <t>UAT</t>
  </si>
  <si>
    <t>Production deployment and post go-live support</t>
  </si>
  <si>
    <t xml:space="preserve">£8,160 </t>
  </si>
  <si>
    <t xml:space="preserve"> £9,960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</si>
</sst>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1.661046875" createdVersion="8" refreshedVersion="8" minRefreshableVersion="3" recordCount="17" xr:uid="{352A9388-D03D-4944-A1E8-EB1293835F71}">
  <cacheSource type="worksheet">
    <worksheetSource ref="A1:AF18" sheet="Delivery Timesheets"/>
  </cacheSource>
  <cacheFields count="32">
    <cacheField name="Date" numFmtId="15">
      <sharedItems containsSemiMixedTypes="0" containsNonDate="0" containsDate="1" containsString="0" minDate="2024-11-18T00:00:00" maxDate="2024-11-26T00:00:00"/>
    </cacheField>
    <cacheField name="Person" numFmtId="0">
      <sharedItems count="3">
        <s v="Jacob Smycz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27421"/>
    </cacheField>
    <cacheField name="Timecode Name" numFmtId="0">
      <sharedItems count="4">
        <s v="Analysis"/>
        <s v="Overheads (Non-Billable)"/>
        <s v="Testing"/>
        <s v="Project Management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2.25"/>
    </cacheField>
    <cacheField name="Time" numFmtId="20">
      <sharedItems containsSemiMixedTypes="0" containsNonDate="0" containsDate="1" containsString="0" minDate="1899-12-30T00:15:00" maxDate="1899-12-30T02:15:00"/>
    </cacheField>
    <cacheField name="Worked Amount" numFmtId="0">
      <sharedItems containsSemiMixedTypes="0" containsString="0" containsNumber="1" minValue="0" maxValue="202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1"/>
    </cacheField>
    <cacheField name="Month" numFmtId="0">
      <sharedItems count="1"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4-11-20T00:00:00"/>
    <x v="0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5460"/>
    <x v="0"/>
    <x v="0"/>
    <s v="Standard Timecode"/>
    <n v="90"/>
    <n v="1.5"/>
    <d v="1899-12-30T01:30:00"/>
    <n v="135"/>
    <m/>
    <m/>
    <m/>
    <s v="GBP"/>
    <s v="Reviewed"/>
    <s v=" "/>
    <s v="Not submitted"/>
    <n v="11"/>
    <x v="0"/>
  </r>
  <r>
    <d v="2024-11-21T00:00:00"/>
    <x v="0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6072"/>
    <x v="0"/>
    <x v="0"/>
    <s v="Standard Timecode"/>
    <n v="90"/>
    <n v="2.25"/>
    <d v="1899-12-30T02:15:00"/>
    <n v="202.5"/>
    <m/>
    <m/>
    <m/>
    <s v="GBP"/>
    <s v="Reviewed"/>
    <s v=" "/>
    <s v="Not submitted"/>
    <n v="11"/>
    <x v="0"/>
  </r>
  <r>
    <d v="2024-11-22T00:00:00"/>
    <x v="0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14"/>
    <x v="0"/>
    <x v="0"/>
    <s v="Standard Timecode"/>
    <n v="90"/>
    <n v="0.5"/>
    <d v="1899-12-30T00:30:00"/>
    <n v="45"/>
    <m/>
    <m/>
    <m/>
    <s v="GBP"/>
    <m/>
    <s v=" "/>
    <s v="Not submitted"/>
    <n v="11"/>
    <x v="0"/>
  </r>
  <r>
    <d v="2024-11-25T00:00:00"/>
    <x v="0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21"/>
    <x v="0"/>
    <x v="0"/>
    <s v="Standard Timecode"/>
    <n v="90"/>
    <n v="0.25"/>
    <d v="1899-12-30T00:15:00"/>
    <n v="22.5"/>
    <m/>
    <m/>
    <m/>
    <s v="GBP"/>
    <m/>
    <s v=" "/>
    <s v="Not submitted"/>
    <n v="11"/>
    <x v="0"/>
  </r>
  <r>
    <d v="2024-11-25T00:00:00"/>
    <x v="0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Sam Duncan"/>
    <s v="Delivery"/>
    <n v="327416"/>
    <x v="1"/>
    <x v="1"/>
    <s v="Standard Timecode"/>
    <n v="0"/>
    <n v="1"/>
    <d v="1899-12-30T01:00:00"/>
    <n v="0"/>
    <m/>
    <m/>
    <m/>
    <s v="GBP"/>
    <m/>
    <s v=" "/>
    <s v="Not submitted"/>
    <n v="11"/>
    <x v="0"/>
  </r>
  <r>
    <d v="2024-11-18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76"/>
    <x v="2"/>
    <x v="0"/>
    <s v="Standard Timecode"/>
    <n v="90"/>
    <n v="0.25"/>
    <d v="1899-12-30T00:15:00"/>
    <n v="22.5"/>
    <m/>
    <m/>
    <m/>
    <s v="GBP"/>
    <s v="Reviewed"/>
    <s v="Intro meeting with Jacob"/>
    <s v="Not submitted"/>
    <n v="11"/>
    <x v="0"/>
  </r>
  <r>
    <d v="2024-11-19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746"/>
    <x v="2"/>
    <x v="0"/>
    <s v="Standard Timecode"/>
    <n v="90"/>
    <n v="0.25"/>
    <d v="1899-12-30T00:15:00"/>
    <n v="22.5"/>
    <m/>
    <m/>
    <m/>
    <s v="GBP"/>
    <m/>
    <s v="R2R/leadpro standup"/>
    <s v="Not submitted"/>
    <n v="11"/>
    <x v="0"/>
  </r>
  <r>
    <d v="2024-11-20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65"/>
    <x v="2"/>
    <x v="0"/>
    <s v="Standard Timecode"/>
    <n v="90"/>
    <n v="0.25"/>
    <d v="1899-12-30T00:15:00"/>
    <n v="22.5"/>
    <m/>
    <m/>
    <m/>
    <s v="GBP"/>
    <m/>
    <s v="R2R/leadpro standup"/>
    <s v="Not submitted"/>
    <n v="11"/>
    <x v="0"/>
  </r>
  <r>
    <d v="2024-11-21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938"/>
    <x v="2"/>
    <x v="0"/>
    <s v="Standard Timecode"/>
    <n v="90"/>
    <n v="0.5"/>
    <d v="1899-12-30T00:30:00"/>
    <n v="45"/>
    <m/>
    <m/>
    <m/>
    <s v="GBP"/>
    <m/>
    <s v="R2R/leadpro standup + read through cards on board"/>
    <s v="Not submitted"/>
    <n v="11"/>
    <x v="0"/>
  </r>
  <r>
    <d v="2024-11-22T00:00:00"/>
    <x v="1"/>
    <s v="Salaried / Fixed"/>
    <s v="Open Box Software (Pty) Ltd (Open Box SA)"/>
    <s v="Custom Softwar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6763"/>
    <x v="2"/>
    <x v="0"/>
    <s v="Standard Timecode"/>
    <n v="90"/>
    <n v="0.25"/>
    <d v="1899-12-30T00:15:00"/>
    <n v="22.5"/>
    <m/>
    <m/>
    <m/>
    <s v="GBP"/>
    <m/>
    <s v=" "/>
    <s v="Not submitted"/>
    <n v="11"/>
    <x v="0"/>
  </r>
  <r>
    <d v="2024-11-18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6"/>
    <x v="3"/>
    <x v="0"/>
    <s v="Standard Timecode"/>
    <n v="90"/>
    <n v="1"/>
    <d v="1899-12-30T01:00:00"/>
    <n v="90"/>
    <m/>
    <m/>
    <m/>
    <s v="GBP"/>
    <m/>
    <s v=" "/>
    <s v="Not submitted"/>
    <n v="11"/>
    <x v="0"/>
  </r>
  <r>
    <d v="2024-11-18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5"/>
    <x v="1"/>
    <x v="1"/>
    <s v="Standard Timecode"/>
    <n v="0"/>
    <n v="0.5"/>
    <d v="1899-12-30T00:30:00"/>
    <n v="0"/>
    <m/>
    <m/>
    <m/>
    <s v="GBP"/>
    <m/>
    <s v=" "/>
    <s v="Not submitted"/>
    <n v="11"/>
    <x v="0"/>
  </r>
  <r>
    <d v="2024-11-19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7"/>
    <x v="1"/>
    <x v="1"/>
    <s v="Standard Timecode"/>
    <n v="0"/>
    <n v="1.5"/>
    <d v="1899-12-30T01:30:00"/>
    <n v="0"/>
    <m/>
    <m/>
    <m/>
    <s v="GBP"/>
    <m/>
    <s v=" "/>
    <s v="Not submitted"/>
    <n v="11"/>
    <x v="0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4"/>
    <x v="3"/>
    <x v="0"/>
    <s v="Standard Timecode"/>
    <n v="90"/>
    <n v="0.25"/>
    <d v="1899-12-30T00:15:00"/>
    <n v="22.5"/>
    <m/>
    <m/>
    <m/>
    <s v="GBP"/>
    <m/>
    <s v=" "/>
    <s v="Not submitted"/>
    <n v="11"/>
    <x v="0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5453"/>
    <x v="1"/>
    <x v="1"/>
    <s v="Standard Timecode"/>
    <n v="0"/>
    <n v="0.75"/>
    <d v="1899-12-30T00:45:00"/>
    <n v="0"/>
    <m/>
    <m/>
    <m/>
    <s v="GBP"/>
    <m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6249"/>
    <x v="3"/>
    <x v="0"/>
    <s v="Standard Timecode"/>
    <n v="90"/>
    <n v="0.25"/>
    <d v="1899-12-30T00:15:00"/>
    <n v="22.5"/>
    <m/>
    <m/>
    <m/>
    <s v="GBP"/>
    <m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"/>
    <s v="Billable"/>
    <s v="Open Box Software (Pty) Ltd (Open Box SA)"/>
    <s v="Shaun Barrett"/>
    <s v="Sam Duncan"/>
    <s v=" "/>
    <s v="Delivery"/>
    <n v="327242"/>
    <x v="3"/>
    <x v="0"/>
    <s v="Standard Timecode"/>
    <n v="90"/>
    <n v="0.25"/>
    <d v="1899-12-30T00:15:00"/>
    <n v="22.5"/>
    <m/>
    <m/>
    <m/>
    <s v="GBP"/>
    <m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831E1-FD2A-4523-A5AE-A88D066946E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1" firstHeaderRow="1" firstDataRow="2" firstDataCol="1" rowPageCount="2" colPageCount="1"/>
  <pivotFields count="32">
    <pivotField numFmtId="15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2" width="16.33203125" bestFit="1" customWidth="1"/>
    <col min="3" max="3" width="7.33203125" style="7" bestFit="1" customWidth="1"/>
    <col min="4" max="4" width="19.109375" bestFit="1" customWidth="1"/>
    <col min="5" max="5" width="23.44140625" bestFit="1" customWidth="1"/>
    <col min="6" max="6" width="11" bestFit="1" customWidth="1"/>
    <col min="7" max="7" width="12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8</v>
      </c>
      <c r="C1"/>
    </row>
    <row r="2" spans="1:12" ht="15" thickBot="1" x14ac:dyDescent="0.35">
      <c r="C2"/>
    </row>
    <row r="3" spans="1:12" ht="25.8" thickBot="1" x14ac:dyDescent="0.35">
      <c r="A3" s="4" t="s">
        <v>0</v>
      </c>
      <c r="B3" t="s">
        <v>1</v>
      </c>
      <c r="C3"/>
      <c r="D3" s="6" t="s">
        <v>2</v>
      </c>
      <c r="H3" s="9" t="s">
        <v>69</v>
      </c>
      <c r="I3" s="10" t="s">
        <v>11</v>
      </c>
      <c r="J3" s="10" t="s">
        <v>12</v>
      </c>
      <c r="K3" s="10" t="s">
        <v>11</v>
      </c>
      <c r="L3" s="10" t="s">
        <v>12</v>
      </c>
    </row>
    <row r="4" spans="1:12" ht="15" thickBot="1" x14ac:dyDescent="0.35">
      <c r="A4" s="4" t="s">
        <v>3</v>
      </c>
      <c r="B4" t="s">
        <v>1</v>
      </c>
      <c r="C4"/>
      <c r="H4" s="11" t="s">
        <v>61</v>
      </c>
      <c r="I4" s="16">
        <v>8</v>
      </c>
      <c r="J4" s="16">
        <v>10</v>
      </c>
      <c r="K4" s="12" t="s">
        <v>70</v>
      </c>
      <c r="L4" s="12" t="s">
        <v>71</v>
      </c>
    </row>
    <row r="5" spans="1:12" ht="15" thickBot="1" x14ac:dyDescent="0.35">
      <c r="C5"/>
      <c r="H5" s="11" t="s">
        <v>72</v>
      </c>
      <c r="I5" s="16">
        <v>40</v>
      </c>
      <c r="J5" s="16">
        <v>48</v>
      </c>
      <c r="K5" s="12" t="s">
        <v>73</v>
      </c>
      <c r="L5" s="12" t="s">
        <v>74</v>
      </c>
    </row>
    <row r="6" spans="1:12" ht="15" thickBot="1" x14ac:dyDescent="0.35">
      <c r="A6" s="4" t="s">
        <v>5</v>
      </c>
      <c r="B6" s="4" t="s">
        <v>6</v>
      </c>
      <c r="C6"/>
      <c r="H6" s="11" t="s">
        <v>67</v>
      </c>
      <c r="I6" s="16">
        <v>4</v>
      </c>
      <c r="J6" s="16">
        <v>5</v>
      </c>
      <c r="K6" s="12" t="s">
        <v>75</v>
      </c>
      <c r="L6" s="12" t="s">
        <v>76</v>
      </c>
    </row>
    <row r="7" spans="1:12" ht="15" thickBot="1" x14ac:dyDescent="0.35">
      <c r="A7" s="4" t="s">
        <v>7</v>
      </c>
      <c r="B7" t="s">
        <v>61</v>
      </c>
      <c r="C7" t="s">
        <v>63</v>
      </c>
      <c r="D7" t="s">
        <v>67</v>
      </c>
      <c r="E7" t="s">
        <v>68</v>
      </c>
      <c r="F7" t="s">
        <v>9</v>
      </c>
      <c r="H7" s="11" t="s">
        <v>77</v>
      </c>
      <c r="I7" s="16">
        <v>8</v>
      </c>
      <c r="J7" s="16">
        <v>10</v>
      </c>
      <c r="K7" s="12" t="s">
        <v>70</v>
      </c>
      <c r="L7" s="12" t="s">
        <v>71</v>
      </c>
    </row>
    <row r="8" spans="1:12" ht="25.8" thickBot="1" x14ac:dyDescent="0.35">
      <c r="A8" s="5" t="s">
        <v>13</v>
      </c>
      <c r="B8" s="17"/>
      <c r="C8" s="17"/>
      <c r="D8" s="17">
        <v>1.75</v>
      </c>
      <c r="E8" s="17">
        <v>2.75</v>
      </c>
      <c r="F8" s="17">
        <v>4.5</v>
      </c>
      <c r="H8" s="11" t="s">
        <v>78</v>
      </c>
      <c r="I8" s="16">
        <v>8</v>
      </c>
      <c r="J8" s="16">
        <v>10</v>
      </c>
      <c r="K8" s="12" t="s">
        <v>70</v>
      </c>
      <c r="L8" s="12" t="s">
        <v>71</v>
      </c>
    </row>
    <row r="9" spans="1:12" ht="15" thickBot="1" x14ac:dyDescent="0.35">
      <c r="A9" s="5" t="s">
        <v>14</v>
      </c>
      <c r="B9" s="17">
        <v>4.5</v>
      </c>
      <c r="C9" s="17"/>
      <c r="D9" s="17"/>
      <c r="E9" s="17">
        <v>1</v>
      </c>
      <c r="F9" s="17">
        <v>5.5</v>
      </c>
      <c r="H9" s="13" t="s">
        <v>15</v>
      </c>
      <c r="I9" s="14">
        <v>68</v>
      </c>
      <c r="J9" s="14">
        <v>83</v>
      </c>
      <c r="K9" s="15" t="s">
        <v>79</v>
      </c>
      <c r="L9" s="15" t="s">
        <v>80</v>
      </c>
    </row>
    <row r="10" spans="1:12" ht="15" thickTop="1" x14ac:dyDescent="0.3">
      <c r="A10" s="5" t="s">
        <v>62</v>
      </c>
      <c r="B10" s="17"/>
      <c r="C10" s="17">
        <v>1.5</v>
      </c>
      <c r="D10" s="17"/>
      <c r="E10" s="17"/>
      <c r="F10" s="17">
        <v>1.5</v>
      </c>
    </row>
    <row r="11" spans="1:12" x14ac:dyDescent="0.3">
      <c r="A11" s="5" t="s">
        <v>9</v>
      </c>
      <c r="B11" s="17">
        <v>4.5</v>
      </c>
      <c r="C11" s="17">
        <v>1.5</v>
      </c>
      <c r="D11" s="17">
        <v>1.75</v>
      </c>
      <c r="E11" s="17">
        <v>3.75</v>
      </c>
      <c r="F11" s="17">
        <v>11.5</v>
      </c>
    </row>
    <row r="12" spans="1:12" x14ac:dyDescent="0.3">
      <c r="C12"/>
    </row>
    <row r="13" spans="1:12" x14ac:dyDescent="0.3">
      <c r="C13"/>
    </row>
    <row r="14" spans="1:12" x14ac:dyDescent="0.3">
      <c r="C14"/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8"/>
  <sheetViews>
    <sheetView topLeftCell="D1" workbookViewId="0"/>
  </sheetViews>
  <sheetFormatPr defaultRowHeight="14.4" x14ac:dyDescent="0.3"/>
  <sheetData>
    <row r="1" spans="1:3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 x14ac:dyDescent="0.3">
      <c r="A2" s="1">
        <v>45616</v>
      </c>
      <c r="B2" t="s">
        <v>14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59</v>
      </c>
      <c r="I2" t="s">
        <v>60</v>
      </c>
      <c r="J2" t="s">
        <v>51</v>
      </c>
      <c r="K2" t="s">
        <v>47</v>
      </c>
      <c r="L2" t="s">
        <v>13</v>
      </c>
      <c r="M2" t="s">
        <v>10</v>
      </c>
      <c r="N2" t="s">
        <v>10</v>
      </c>
      <c r="O2" t="s">
        <v>8</v>
      </c>
      <c r="P2">
        <v>325460</v>
      </c>
      <c r="Q2" t="s">
        <v>61</v>
      </c>
      <c r="R2" t="s">
        <v>4</v>
      </c>
      <c r="S2" t="s">
        <v>53</v>
      </c>
      <c r="T2">
        <v>90</v>
      </c>
      <c r="U2">
        <v>1.5</v>
      </c>
      <c r="V2" s="2">
        <v>6.25E-2</v>
      </c>
      <c r="W2">
        <v>135</v>
      </c>
      <c r="AA2" t="s">
        <v>54</v>
      </c>
      <c r="AB2" t="s">
        <v>55</v>
      </c>
      <c r="AC2" t="s">
        <v>56</v>
      </c>
      <c r="AD2" t="s">
        <v>57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45617</v>
      </c>
      <c r="B3" t="s">
        <v>14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59</v>
      </c>
      <c r="I3" t="s">
        <v>60</v>
      </c>
      <c r="J3" t="s">
        <v>51</v>
      </c>
      <c r="K3" t="s">
        <v>47</v>
      </c>
      <c r="L3" t="s">
        <v>13</v>
      </c>
      <c r="M3" t="s">
        <v>10</v>
      </c>
      <c r="N3" t="s">
        <v>10</v>
      </c>
      <c r="O3" t="s">
        <v>8</v>
      </c>
      <c r="P3">
        <v>326072</v>
      </c>
      <c r="Q3" t="s">
        <v>61</v>
      </c>
      <c r="R3" t="s">
        <v>4</v>
      </c>
      <c r="S3" t="s">
        <v>53</v>
      </c>
      <c r="T3">
        <v>90</v>
      </c>
      <c r="U3">
        <v>2.25</v>
      </c>
      <c r="V3" s="2">
        <v>9.375E-2</v>
      </c>
      <c r="W3">
        <v>202.5</v>
      </c>
      <c r="AA3" t="s">
        <v>54</v>
      </c>
      <c r="AB3" t="s">
        <v>55</v>
      </c>
      <c r="AC3" t="s">
        <v>56</v>
      </c>
      <c r="AD3" t="s">
        <v>57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45618</v>
      </c>
      <c r="B4" t="s">
        <v>14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59</v>
      </c>
      <c r="I4" t="s">
        <v>60</v>
      </c>
      <c r="J4" t="s">
        <v>51</v>
      </c>
      <c r="K4" t="s">
        <v>47</v>
      </c>
      <c r="L4" t="s">
        <v>13</v>
      </c>
      <c r="M4" t="s">
        <v>10</v>
      </c>
      <c r="N4" t="s">
        <v>10</v>
      </c>
      <c r="O4" t="s">
        <v>8</v>
      </c>
      <c r="P4">
        <v>327414</v>
      </c>
      <c r="Q4" t="s">
        <v>61</v>
      </c>
      <c r="R4" t="s">
        <v>4</v>
      </c>
      <c r="S4" t="s">
        <v>53</v>
      </c>
      <c r="T4">
        <v>90</v>
      </c>
      <c r="U4">
        <v>0.5</v>
      </c>
      <c r="V4" s="2">
        <v>2.0833333333333332E-2</v>
      </c>
      <c r="W4">
        <v>45</v>
      </c>
      <c r="AA4" t="s">
        <v>54</v>
      </c>
      <c r="AC4" t="s">
        <v>56</v>
      </c>
      <c r="AD4" t="s">
        <v>57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45621</v>
      </c>
      <c r="B5" t="s">
        <v>14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59</v>
      </c>
      <c r="I5" t="s">
        <v>60</v>
      </c>
      <c r="J5" t="s">
        <v>51</v>
      </c>
      <c r="K5" t="s">
        <v>47</v>
      </c>
      <c r="L5" t="s">
        <v>13</v>
      </c>
      <c r="M5" t="s">
        <v>10</v>
      </c>
      <c r="N5" t="s">
        <v>10</v>
      </c>
      <c r="O5" t="s">
        <v>8</v>
      </c>
      <c r="P5">
        <v>327421</v>
      </c>
      <c r="Q5" t="s">
        <v>61</v>
      </c>
      <c r="R5" t="s">
        <v>4</v>
      </c>
      <c r="S5" t="s">
        <v>53</v>
      </c>
      <c r="T5">
        <v>90</v>
      </c>
      <c r="U5">
        <v>0.25</v>
      </c>
      <c r="V5" s="2">
        <v>1.0416666666666666E-2</v>
      </c>
      <c r="W5">
        <v>22.5</v>
      </c>
      <c r="AA5" t="s">
        <v>54</v>
      </c>
      <c r="AC5" t="s">
        <v>56</v>
      </c>
      <c r="AD5" t="s">
        <v>57</v>
      </c>
      <c r="AE5">
        <f t="shared" si="1"/>
        <v>11</v>
      </c>
      <c r="AF5" t="str">
        <f t="shared" si="0"/>
        <v>November</v>
      </c>
    </row>
    <row r="6" spans="1:32" x14ac:dyDescent="0.3">
      <c r="A6" s="1">
        <v>45621</v>
      </c>
      <c r="B6" t="s">
        <v>14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59</v>
      </c>
      <c r="I6" t="s">
        <v>60</v>
      </c>
      <c r="J6" t="s">
        <v>51</v>
      </c>
      <c r="K6" t="s">
        <v>47</v>
      </c>
      <c r="L6" t="s">
        <v>13</v>
      </c>
      <c r="M6" t="s">
        <v>10</v>
      </c>
      <c r="N6" t="s">
        <v>10</v>
      </c>
      <c r="O6" t="s">
        <v>8</v>
      </c>
      <c r="P6">
        <v>327416</v>
      </c>
      <c r="Q6" t="s">
        <v>68</v>
      </c>
      <c r="R6" t="s">
        <v>52</v>
      </c>
      <c r="S6" t="s">
        <v>53</v>
      </c>
      <c r="T6">
        <v>0</v>
      </c>
      <c r="U6">
        <v>1</v>
      </c>
      <c r="V6" s="2">
        <v>4.1666666666666664E-2</v>
      </c>
      <c r="W6">
        <v>0</v>
      </c>
      <c r="AA6" t="s">
        <v>54</v>
      </c>
      <c r="AC6" t="s">
        <v>56</v>
      </c>
      <c r="AD6" t="s">
        <v>57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45614</v>
      </c>
      <c r="B7" t="s">
        <v>62</v>
      </c>
      <c r="C7" t="s">
        <v>46</v>
      </c>
      <c r="D7" t="s">
        <v>47</v>
      </c>
      <c r="E7" t="s">
        <v>58</v>
      </c>
      <c r="F7" t="s">
        <v>49</v>
      </c>
      <c r="G7" t="s">
        <v>50</v>
      </c>
      <c r="H7" t="s">
        <v>59</v>
      </c>
      <c r="I7" t="s">
        <v>60</v>
      </c>
      <c r="J7" t="s">
        <v>51</v>
      </c>
      <c r="K7" t="s">
        <v>47</v>
      </c>
      <c r="L7" t="s">
        <v>13</v>
      </c>
      <c r="M7" t="s">
        <v>10</v>
      </c>
      <c r="N7" t="s">
        <v>56</v>
      </c>
      <c r="O7" t="s">
        <v>8</v>
      </c>
      <c r="P7">
        <v>325476</v>
      </c>
      <c r="Q7" t="s">
        <v>63</v>
      </c>
      <c r="R7" t="s">
        <v>4</v>
      </c>
      <c r="S7" t="s">
        <v>53</v>
      </c>
      <c r="T7">
        <v>90</v>
      </c>
      <c r="U7">
        <v>0.25</v>
      </c>
      <c r="V7" s="2">
        <v>1.0416666666666666E-2</v>
      </c>
      <c r="W7">
        <v>22.5</v>
      </c>
      <c r="AA7" t="s">
        <v>54</v>
      </c>
      <c r="AB7" t="s">
        <v>55</v>
      </c>
      <c r="AC7" t="s">
        <v>64</v>
      </c>
      <c r="AD7" t="s">
        <v>57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45615</v>
      </c>
      <c r="B8" t="s">
        <v>62</v>
      </c>
      <c r="C8" t="s">
        <v>46</v>
      </c>
      <c r="D8" t="s">
        <v>47</v>
      </c>
      <c r="E8" t="s">
        <v>58</v>
      </c>
      <c r="F8" t="s">
        <v>49</v>
      </c>
      <c r="G8" t="s">
        <v>50</v>
      </c>
      <c r="H8" t="s">
        <v>59</v>
      </c>
      <c r="I8" t="s">
        <v>60</v>
      </c>
      <c r="J8" t="s">
        <v>51</v>
      </c>
      <c r="K8" t="s">
        <v>47</v>
      </c>
      <c r="L8" t="s">
        <v>13</v>
      </c>
      <c r="M8" t="s">
        <v>10</v>
      </c>
      <c r="N8" t="s">
        <v>56</v>
      </c>
      <c r="O8" t="s">
        <v>8</v>
      </c>
      <c r="P8">
        <v>325746</v>
      </c>
      <c r="Q8" t="s">
        <v>63</v>
      </c>
      <c r="R8" t="s">
        <v>4</v>
      </c>
      <c r="S8" t="s">
        <v>53</v>
      </c>
      <c r="T8">
        <v>90</v>
      </c>
      <c r="U8">
        <v>0.25</v>
      </c>
      <c r="V8" s="2">
        <v>1.0416666666666666E-2</v>
      </c>
      <c r="W8">
        <v>22.5</v>
      </c>
      <c r="AA8" t="s">
        <v>54</v>
      </c>
      <c r="AC8" t="s">
        <v>65</v>
      </c>
      <c r="AD8" t="s">
        <v>57</v>
      </c>
      <c r="AE8">
        <f t="shared" si="1"/>
        <v>11</v>
      </c>
      <c r="AF8" t="str">
        <f t="shared" si="0"/>
        <v>November</v>
      </c>
    </row>
    <row r="9" spans="1:32" x14ac:dyDescent="0.3">
      <c r="A9" s="1">
        <v>45616</v>
      </c>
      <c r="B9" t="s">
        <v>62</v>
      </c>
      <c r="C9" t="s">
        <v>46</v>
      </c>
      <c r="D9" t="s">
        <v>47</v>
      </c>
      <c r="E9" t="s">
        <v>58</v>
      </c>
      <c r="F9" t="s">
        <v>49</v>
      </c>
      <c r="G9" t="s">
        <v>50</v>
      </c>
      <c r="H9" t="s">
        <v>59</v>
      </c>
      <c r="I9" t="s">
        <v>60</v>
      </c>
      <c r="J9" t="s">
        <v>51</v>
      </c>
      <c r="K9" t="s">
        <v>47</v>
      </c>
      <c r="L9" t="s">
        <v>13</v>
      </c>
      <c r="M9" t="s">
        <v>10</v>
      </c>
      <c r="N9" t="s">
        <v>56</v>
      </c>
      <c r="O9" t="s">
        <v>8</v>
      </c>
      <c r="P9">
        <v>325465</v>
      </c>
      <c r="Q9" t="s">
        <v>63</v>
      </c>
      <c r="R9" t="s">
        <v>4</v>
      </c>
      <c r="S9" t="s">
        <v>53</v>
      </c>
      <c r="T9">
        <v>90</v>
      </c>
      <c r="U9">
        <v>0.25</v>
      </c>
      <c r="V9" s="2">
        <v>1.0416666666666666E-2</v>
      </c>
      <c r="W9">
        <v>22.5</v>
      </c>
      <c r="AA9" t="s">
        <v>54</v>
      </c>
      <c r="AC9" t="s">
        <v>65</v>
      </c>
      <c r="AD9" t="s">
        <v>57</v>
      </c>
      <c r="AE9">
        <f t="shared" si="1"/>
        <v>11</v>
      </c>
      <c r="AF9" t="str">
        <f t="shared" si="0"/>
        <v>November</v>
      </c>
    </row>
    <row r="10" spans="1:32" x14ac:dyDescent="0.3">
      <c r="A10" s="1">
        <v>45617</v>
      </c>
      <c r="B10" t="s">
        <v>62</v>
      </c>
      <c r="C10" t="s">
        <v>46</v>
      </c>
      <c r="D10" t="s">
        <v>47</v>
      </c>
      <c r="E10" t="s">
        <v>58</v>
      </c>
      <c r="F10" t="s">
        <v>49</v>
      </c>
      <c r="G10" t="s">
        <v>50</v>
      </c>
      <c r="H10" t="s">
        <v>59</v>
      </c>
      <c r="I10" t="s">
        <v>60</v>
      </c>
      <c r="J10" t="s">
        <v>51</v>
      </c>
      <c r="K10" t="s">
        <v>47</v>
      </c>
      <c r="L10" t="s">
        <v>13</v>
      </c>
      <c r="M10" t="s">
        <v>10</v>
      </c>
      <c r="N10" t="s">
        <v>56</v>
      </c>
      <c r="O10" t="s">
        <v>8</v>
      </c>
      <c r="P10">
        <v>325938</v>
      </c>
      <c r="Q10" t="s">
        <v>63</v>
      </c>
      <c r="R10" t="s">
        <v>4</v>
      </c>
      <c r="S10" t="s">
        <v>53</v>
      </c>
      <c r="T10">
        <v>90</v>
      </c>
      <c r="U10">
        <v>0.5</v>
      </c>
      <c r="V10" s="2">
        <v>2.0833333333333332E-2</v>
      </c>
      <c r="W10">
        <v>45</v>
      </c>
      <c r="AA10" t="s">
        <v>54</v>
      </c>
      <c r="AC10" t="s">
        <v>66</v>
      </c>
      <c r="AD10" t="s">
        <v>57</v>
      </c>
      <c r="AE10">
        <f t="shared" si="1"/>
        <v>11</v>
      </c>
      <c r="AF10" t="str">
        <f t="shared" si="0"/>
        <v>November</v>
      </c>
    </row>
    <row r="11" spans="1:32" x14ac:dyDescent="0.3">
      <c r="A11" s="1">
        <v>45618</v>
      </c>
      <c r="B11" t="s">
        <v>62</v>
      </c>
      <c r="C11" t="s">
        <v>46</v>
      </c>
      <c r="D11" t="s">
        <v>47</v>
      </c>
      <c r="E11" t="s">
        <v>58</v>
      </c>
      <c r="F11" t="s">
        <v>49</v>
      </c>
      <c r="G11" t="s">
        <v>50</v>
      </c>
      <c r="H11" t="s">
        <v>59</v>
      </c>
      <c r="I11" t="s">
        <v>60</v>
      </c>
      <c r="J11" t="s">
        <v>51</v>
      </c>
      <c r="K11" t="s">
        <v>47</v>
      </c>
      <c r="L11" t="s">
        <v>13</v>
      </c>
      <c r="M11" t="s">
        <v>10</v>
      </c>
      <c r="N11" t="s">
        <v>56</v>
      </c>
      <c r="O11" t="s">
        <v>8</v>
      </c>
      <c r="P11">
        <v>326763</v>
      </c>
      <c r="Q11" t="s">
        <v>63</v>
      </c>
      <c r="R11" t="s">
        <v>4</v>
      </c>
      <c r="S11" t="s">
        <v>53</v>
      </c>
      <c r="T11">
        <v>90</v>
      </c>
      <c r="U11">
        <v>0.25</v>
      </c>
      <c r="V11" s="2">
        <v>1.0416666666666666E-2</v>
      </c>
      <c r="W11">
        <v>22.5</v>
      </c>
      <c r="AA11" t="s">
        <v>54</v>
      </c>
      <c r="AC11" t="s">
        <v>56</v>
      </c>
      <c r="AD11" t="s">
        <v>57</v>
      </c>
      <c r="AE11">
        <f t="shared" si="1"/>
        <v>11</v>
      </c>
      <c r="AF11" t="str">
        <f t="shared" si="0"/>
        <v>November</v>
      </c>
    </row>
    <row r="12" spans="1:32" x14ac:dyDescent="0.3">
      <c r="A12" s="1">
        <v>45614</v>
      </c>
      <c r="B12" t="s">
        <v>13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59</v>
      </c>
      <c r="I12" t="s">
        <v>60</v>
      </c>
      <c r="J12" t="s">
        <v>51</v>
      </c>
      <c r="K12" t="s">
        <v>47</v>
      </c>
      <c r="L12" t="s">
        <v>13</v>
      </c>
      <c r="M12" t="s">
        <v>10</v>
      </c>
      <c r="N12" t="s">
        <v>56</v>
      </c>
      <c r="O12" t="s">
        <v>8</v>
      </c>
      <c r="P12">
        <v>325456</v>
      </c>
      <c r="Q12" t="s">
        <v>67</v>
      </c>
      <c r="R12" t="s">
        <v>4</v>
      </c>
      <c r="S12" t="s">
        <v>53</v>
      </c>
      <c r="T12">
        <v>90</v>
      </c>
      <c r="U12">
        <v>1</v>
      </c>
      <c r="V12" s="2">
        <v>4.1666666666666664E-2</v>
      </c>
      <c r="W12">
        <v>90</v>
      </c>
      <c r="AA12" t="s">
        <v>54</v>
      </c>
      <c r="AC12" t="s">
        <v>56</v>
      </c>
      <c r="AD12" t="s">
        <v>57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45614</v>
      </c>
      <c r="B13" t="s">
        <v>13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59</v>
      </c>
      <c r="I13" t="s">
        <v>60</v>
      </c>
      <c r="J13" t="s">
        <v>51</v>
      </c>
      <c r="K13" t="s">
        <v>47</v>
      </c>
      <c r="L13" t="s">
        <v>13</v>
      </c>
      <c r="M13" t="s">
        <v>10</v>
      </c>
      <c r="N13" t="s">
        <v>56</v>
      </c>
      <c r="O13" t="s">
        <v>8</v>
      </c>
      <c r="P13">
        <v>325455</v>
      </c>
      <c r="Q13" t="s">
        <v>68</v>
      </c>
      <c r="R13" t="s">
        <v>52</v>
      </c>
      <c r="S13" t="s">
        <v>53</v>
      </c>
      <c r="T13">
        <v>0</v>
      </c>
      <c r="U13">
        <v>0.5</v>
      </c>
      <c r="V13" s="2">
        <v>2.0833333333333332E-2</v>
      </c>
      <c r="W13">
        <v>0</v>
      </c>
      <c r="AA13" t="s">
        <v>54</v>
      </c>
      <c r="AC13" t="s">
        <v>56</v>
      </c>
      <c r="AD13" t="s">
        <v>57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45615</v>
      </c>
      <c r="B14" t="s">
        <v>13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59</v>
      </c>
      <c r="I14" t="s">
        <v>60</v>
      </c>
      <c r="J14" t="s">
        <v>51</v>
      </c>
      <c r="K14" t="s">
        <v>47</v>
      </c>
      <c r="L14" t="s">
        <v>13</v>
      </c>
      <c r="M14" t="s">
        <v>10</v>
      </c>
      <c r="N14" t="s">
        <v>56</v>
      </c>
      <c r="O14" t="s">
        <v>8</v>
      </c>
      <c r="P14">
        <v>325457</v>
      </c>
      <c r="Q14" t="s">
        <v>68</v>
      </c>
      <c r="R14" t="s">
        <v>52</v>
      </c>
      <c r="S14" t="s">
        <v>53</v>
      </c>
      <c r="T14">
        <v>0</v>
      </c>
      <c r="U14">
        <v>1.5</v>
      </c>
      <c r="V14" s="2">
        <v>6.25E-2</v>
      </c>
      <c r="W14">
        <v>0</v>
      </c>
      <c r="AA14" t="s">
        <v>54</v>
      </c>
      <c r="AC14" t="s">
        <v>56</v>
      </c>
      <c r="AD14" t="s">
        <v>57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45616</v>
      </c>
      <c r="B15" t="s">
        <v>13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59</v>
      </c>
      <c r="I15" t="s">
        <v>60</v>
      </c>
      <c r="J15" t="s">
        <v>51</v>
      </c>
      <c r="K15" t="s">
        <v>47</v>
      </c>
      <c r="L15" t="s">
        <v>13</v>
      </c>
      <c r="M15" t="s">
        <v>10</v>
      </c>
      <c r="N15" t="s">
        <v>56</v>
      </c>
      <c r="O15" t="s">
        <v>8</v>
      </c>
      <c r="P15">
        <v>325454</v>
      </c>
      <c r="Q15" t="s">
        <v>67</v>
      </c>
      <c r="R15" t="s">
        <v>4</v>
      </c>
      <c r="S15" t="s">
        <v>53</v>
      </c>
      <c r="T15">
        <v>90</v>
      </c>
      <c r="U15">
        <v>0.25</v>
      </c>
      <c r="V15" s="2">
        <v>1.0416666666666666E-2</v>
      </c>
      <c r="W15">
        <v>22.5</v>
      </c>
      <c r="AA15" t="s">
        <v>54</v>
      </c>
      <c r="AC15" t="s">
        <v>56</v>
      </c>
      <c r="AD15" t="s">
        <v>57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45616</v>
      </c>
      <c r="B16" t="s">
        <v>13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59</v>
      </c>
      <c r="I16" t="s">
        <v>60</v>
      </c>
      <c r="J16" t="s">
        <v>51</v>
      </c>
      <c r="K16" t="s">
        <v>47</v>
      </c>
      <c r="L16" t="s">
        <v>13</v>
      </c>
      <c r="M16" t="s">
        <v>10</v>
      </c>
      <c r="N16" t="s">
        <v>56</v>
      </c>
      <c r="O16" t="s">
        <v>8</v>
      </c>
      <c r="P16">
        <v>325453</v>
      </c>
      <c r="Q16" t="s">
        <v>68</v>
      </c>
      <c r="R16" t="s">
        <v>52</v>
      </c>
      <c r="S16" t="s">
        <v>53</v>
      </c>
      <c r="T16">
        <v>0</v>
      </c>
      <c r="U16">
        <v>0.75</v>
      </c>
      <c r="V16" s="2">
        <v>3.125E-2</v>
      </c>
      <c r="W16">
        <v>0</v>
      </c>
      <c r="AA16" t="s">
        <v>54</v>
      </c>
      <c r="AC16" t="s">
        <v>56</v>
      </c>
      <c r="AD16" t="s">
        <v>57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45617</v>
      </c>
      <c r="B17" t="s">
        <v>13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59</v>
      </c>
      <c r="I17" t="s">
        <v>60</v>
      </c>
      <c r="J17" t="s">
        <v>51</v>
      </c>
      <c r="K17" t="s">
        <v>47</v>
      </c>
      <c r="L17" t="s">
        <v>13</v>
      </c>
      <c r="M17" t="s">
        <v>10</v>
      </c>
      <c r="N17" t="s">
        <v>56</v>
      </c>
      <c r="O17" t="s">
        <v>8</v>
      </c>
      <c r="P17">
        <v>326249</v>
      </c>
      <c r="Q17" t="s">
        <v>67</v>
      </c>
      <c r="R17" t="s">
        <v>4</v>
      </c>
      <c r="S17" t="s">
        <v>53</v>
      </c>
      <c r="T17">
        <v>90</v>
      </c>
      <c r="U17">
        <v>0.25</v>
      </c>
      <c r="V17" s="2">
        <v>1.0416666666666666E-2</v>
      </c>
      <c r="W17">
        <v>22.5</v>
      </c>
      <c r="AA17" t="s">
        <v>54</v>
      </c>
      <c r="AC17" t="s">
        <v>56</v>
      </c>
      <c r="AD17" t="s">
        <v>57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45618</v>
      </c>
      <c r="B18" t="s">
        <v>13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59</v>
      </c>
      <c r="I18" t="s">
        <v>60</v>
      </c>
      <c r="J18" t="s">
        <v>51</v>
      </c>
      <c r="K18" t="s">
        <v>47</v>
      </c>
      <c r="L18" t="s">
        <v>13</v>
      </c>
      <c r="M18" t="s">
        <v>10</v>
      </c>
      <c r="N18" t="s">
        <v>56</v>
      </c>
      <c r="O18" t="s">
        <v>8</v>
      </c>
      <c r="P18">
        <v>327242</v>
      </c>
      <c r="Q18" t="s">
        <v>67</v>
      </c>
      <c r="R18" t="s">
        <v>4</v>
      </c>
      <c r="S18" t="s">
        <v>53</v>
      </c>
      <c r="T18">
        <v>90</v>
      </c>
      <c r="U18">
        <v>0.25</v>
      </c>
      <c r="V18" s="2">
        <v>1.0416666666666666E-2</v>
      </c>
      <c r="W18">
        <v>22.5</v>
      </c>
      <c r="AA18" t="s">
        <v>54</v>
      </c>
      <c r="AC18" t="s">
        <v>56</v>
      </c>
      <c r="AD18" t="s">
        <v>57</v>
      </c>
      <c r="AE18">
        <f t="shared" si="2"/>
        <v>11</v>
      </c>
      <c r="AF18" t="str">
        <f t="shared" si="3"/>
        <v>November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3026E-746A-4710-8E0C-2BD609C11DC4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1ffbd5dc-7a64-4097-8396-87f6c90b212f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2024-11-25T13:51:58Z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