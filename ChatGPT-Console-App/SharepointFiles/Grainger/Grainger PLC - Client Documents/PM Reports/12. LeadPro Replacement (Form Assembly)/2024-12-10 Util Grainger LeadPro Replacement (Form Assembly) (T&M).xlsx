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12. LeadPro Replacement (Form Assembly)/"/>
    </mc:Choice>
  </mc:AlternateContent>
  <xr:revisionPtr revIDLastSave="136" documentId="8_{167E9527-0BDB-4F80-917D-937C202D374A}" xr6:coauthVersionLast="47" xr6:coauthVersionMax="47" xr10:uidLastSave="{56B56661-095E-46FB-B397-88E30AA39B5C}"/>
  <bookViews>
    <workbookView xWindow="28680" yWindow="-2040" windowWidth="29040" windowHeight="15720" xr2:uid="{00000000-000D-0000-FFFF-FFFF00000000}"/>
  </bookViews>
  <sheets>
    <sheet name="Pivot" sheetId="2" r:id="rId1"/>
    <sheet name="Delivery Timesheets" sheetId="3" r:id="rId2"/>
  </sheets>
  <calcPr calcId="191028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3" i="3" l="1"/>
  <c r="AF43" i="3"/>
  <c r="AE44" i="3"/>
  <c r="AF44" i="3" s="1"/>
  <c r="AE45" i="3"/>
  <c r="AF45" i="3"/>
  <c r="AE46" i="3"/>
  <c r="AF46" i="3"/>
  <c r="AE47" i="3"/>
  <c r="AF47" i="3"/>
  <c r="AE48" i="3"/>
  <c r="AF48" i="3"/>
  <c r="AE49" i="3"/>
  <c r="AF49" i="3"/>
  <c r="AE50" i="3"/>
  <c r="AF50" i="3" s="1"/>
  <c r="AE51" i="3"/>
  <c r="AF51" i="3" s="1"/>
  <c r="AE52" i="3"/>
  <c r="AF52" i="3"/>
  <c r="AE53" i="3"/>
  <c r="AF53" i="3"/>
  <c r="AE54" i="3"/>
  <c r="AF54" i="3"/>
  <c r="AE19" i="3"/>
  <c r="AF19" i="3" s="1"/>
  <c r="AE20" i="3"/>
  <c r="AF20" i="3" s="1"/>
  <c r="AE21" i="3"/>
  <c r="AF21" i="3" s="1"/>
  <c r="AE22" i="3"/>
  <c r="AF22" i="3" s="1"/>
  <c r="AE23" i="3"/>
  <c r="AF23" i="3" s="1"/>
  <c r="AE24" i="3"/>
  <c r="AF24" i="3"/>
  <c r="AE25" i="3"/>
  <c r="AF25" i="3"/>
  <c r="AE26" i="3"/>
  <c r="AF26" i="3" s="1"/>
  <c r="AE27" i="3"/>
  <c r="AF27" i="3" s="1"/>
  <c r="AE28" i="3"/>
  <c r="AF28" i="3"/>
  <c r="AE29" i="3"/>
  <c r="AF29" i="3" s="1"/>
  <c r="AE30" i="3"/>
  <c r="AF30" i="3" s="1"/>
  <c r="AE31" i="3"/>
  <c r="AF31" i="3"/>
  <c r="AE32" i="3"/>
  <c r="AF32" i="3"/>
  <c r="AE33" i="3"/>
  <c r="AF33" i="3" s="1"/>
  <c r="AE34" i="3"/>
  <c r="AF34" i="3" s="1"/>
  <c r="AE35" i="3"/>
  <c r="AF35" i="3" s="1"/>
  <c r="AE36" i="3"/>
  <c r="AF36" i="3" s="1"/>
  <c r="AE37" i="3"/>
  <c r="AF37" i="3" s="1"/>
  <c r="AE38" i="3"/>
  <c r="AF38" i="3" s="1"/>
  <c r="AE39" i="3"/>
  <c r="AF39" i="3" s="1"/>
  <c r="AE40" i="3"/>
  <c r="AF40" i="3"/>
  <c r="AE41" i="3"/>
  <c r="AF41" i="3"/>
  <c r="AE42" i="3"/>
  <c r="AF42" i="3"/>
  <c r="AE2" i="3"/>
  <c r="AF2" i="3"/>
  <c r="AE3" i="3"/>
  <c r="AF3" i="3"/>
  <c r="AE4" i="3"/>
  <c r="AF4" i="3" s="1"/>
  <c r="AE5" i="3"/>
  <c r="AF5" i="3" s="1"/>
  <c r="AE6" i="3"/>
  <c r="AF6" i="3" s="1"/>
  <c r="AE7" i="3"/>
  <c r="AF7" i="3" s="1"/>
  <c r="AE8" i="3"/>
  <c r="AF8" i="3"/>
  <c r="AE9" i="3"/>
  <c r="AF9" i="3"/>
  <c r="AE10" i="3"/>
  <c r="AF10" i="3"/>
  <c r="AE11" i="3"/>
  <c r="AF11" i="3" s="1"/>
  <c r="AE12" i="3"/>
  <c r="AF12" i="3" s="1"/>
  <c r="AE13" i="3"/>
  <c r="AF13" i="3" s="1"/>
  <c r="AE14" i="3"/>
  <c r="AF14" i="3" s="1"/>
  <c r="AE15" i="3"/>
  <c r="AF15" i="3" s="1"/>
  <c r="AE16" i="3"/>
  <c r="AF16" i="3"/>
  <c r="AE17" i="3"/>
  <c r="AF17" i="3" s="1"/>
  <c r="AE18" i="3"/>
  <c r="AF18" i="3"/>
</calcChain>
</file>

<file path=xl/sharedStrings.xml><?xml version="1.0" encoding="utf-8"?>
<sst xmlns="http://schemas.openxmlformats.org/spreadsheetml/2006/main" count="1207" uniqueCount="96">
  <si>
    <t>Month</t>
  </si>
  <si>
    <t>(All)</t>
  </si>
  <si>
    <t>&lt;- Filter By Month</t>
  </si>
  <si>
    <t>Billable Timecode</t>
  </si>
  <si>
    <t>Billable timecode</t>
  </si>
  <si>
    <t>Sum of Hours</t>
  </si>
  <si>
    <t>Column Labels</t>
  </si>
  <si>
    <t>Row Labels</t>
  </si>
  <si>
    <t>Delivery</t>
  </si>
  <si>
    <t>Grand Total</t>
  </si>
  <si>
    <t>Sam Duncan</t>
  </si>
  <si>
    <t>Lower Bound</t>
  </si>
  <si>
    <t>Upper Bound</t>
  </si>
  <si>
    <t>Shaun Barrett</t>
  </si>
  <si>
    <t>Jacob Smycz</t>
  </si>
  <si>
    <t>Total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</si>
  <si>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</si>
  <si>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</si>
  <si>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</si>
  <si>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</si>
  <si>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</si>
  <si>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</si>
  <si>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</si>
  <si>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</si>
  <si>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</si>
  <si>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</si>
  <si>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</si>
  <si>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</si>
  <si>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</si>
  <si>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</si>
  <si>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</si>
  <si>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</si>
  <si>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</si>
  <si>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</si>
  <si>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</si>
  <si>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</si>
  <si>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</si>
  <si>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</si>
  <si>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</si>
  <si>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</si>
  <si>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</si>
  <si>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</si>
  <si>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</si>
  <si>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</si>
  <si>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</si>
  <si>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</si>
  <si>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Salaried / Fixed</t>
  </si>
  <si>
    <t>Open Box Software (Pty) Ltd (Open Box SA)</t>
  </si>
  <si>
    <t>Salesforce</t>
  </si>
  <si>
    <t>SA</t>
  </si>
  <si>
    <t>Grainger PLC</t>
  </si>
  <si>
    <t>Billable</t>
  </si>
  <si>
    <t>Non-billable timecode</t>
  </si>
  <si>
    <t>Standard Timecode</t>
  </si>
  <si>
    <t>GBP</t>
  </si>
  <si>
    <t>Reviewed</t>
  </si>
  <si>
    <t xml:space="preserve"> </t>
  </si>
  <si>
    <t>Not submitted</t>
  </si>
  <si>
    <t>Custom Software</t>
  </si>
  <si>
    <t>OB-000766</t>
  </si>
  <si>
    <t>Analysis</t>
  </si>
  <si>
    <t>Sarah Jessiman</t>
  </si>
  <si>
    <t>Testing</t>
  </si>
  <si>
    <t>Intro meeting with Jacob</t>
  </si>
  <si>
    <t>R2R/leadpro standup</t>
  </si>
  <si>
    <t>R2R/leadpro standup + read through cards on board</t>
  </si>
  <si>
    <t>Project Management</t>
  </si>
  <si>
    <t>Overheads (Non-Billable)</t>
  </si>
  <si>
    <t>Phase</t>
  </si>
  <si>
    <t xml:space="preserve">£960 </t>
  </si>
  <si>
    <t xml:space="preserve"> £1,200 </t>
  </si>
  <si>
    <t>Build</t>
  </si>
  <si>
    <t xml:space="preserve">£4,800 </t>
  </si>
  <si>
    <t xml:space="preserve"> £5,760 </t>
  </si>
  <si>
    <t xml:space="preserve">£480 </t>
  </si>
  <si>
    <t xml:space="preserve"> £600 </t>
  </si>
  <si>
    <t>UAT</t>
  </si>
  <si>
    <t>Production deployment and post go-live support</t>
  </si>
  <si>
    <t xml:space="preserve">£8,160 </t>
  </si>
  <si>
    <t xml:space="preserve"> £9,960 </t>
  </si>
  <si>
    <t>Anjali Salecha</t>
  </si>
  <si>
    <t>Hourly</t>
  </si>
  <si>
    <t>Form Assembly discussion with Sam and Jacob. Form Assembly documentation. Worked on Util class to get secure url.</t>
  </si>
  <si>
    <t>Discussion with Jacob for Form Assembly secure url. Discussion with Sam. Worked on Form Assembly secure url. - LRWFA-8</t>
  </si>
  <si>
    <t>Daily standup. Form Assembly discussion with Sachin and Sam. Discussion with Jacob. Worked on updated LRWFA-8</t>
  </si>
  <si>
    <t>Carami Viljoen</t>
  </si>
  <si>
    <t>Time Report</t>
  </si>
  <si>
    <t>IN08888</t>
  </si>
  <si>
    <t>Development</t>
  </si>
  <si>
    <t>Session with Jacob (30 mins)</t>
  </si>
  <si>
    <t>Planning session (1 hour)</t>
  </si>
  <si>
    <t>Refinement session (1 hour)</t>
  </si>
  <si>
    <t>Review with Jacob (30 mins)</t>
  </si>
  <si>
    <t>Refinement with Jacob (30 mins)</t>
  </si>
  <si>
    <t>LeadPro Replacement (Form Assembly) (T&amp;M)</t>
  </si>
  <si>
    <t>time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</si>
</sst>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9" fillId="0" borderId="0" xfId="0" applyFont="1"/>
    <xf numFmtId="0" fontId="16" fillId="34" borderId="0" xfId="0" applyFont="1" applyFill="1"/>
    <xf numFmtId="0" fontId="20" fillId="35" borderId="10" xfId="0" applyFont="1" applyFill="1" applyBorder="1" applyAlignment="1">
      <alignment horizontal="justify" vertical="center"/>
    </xf>
    <xf numFmtId="0" fontId="20" fillId="35" borderId="11" xfId="0" applyFont="1" applyFill="1" applyBorder="1" applyAlignment="1">
      <alignment horizontal="justify" vertical="center"/>
    </xf>
    <xf numFmtId="0" fontId="21" fillId="0" borderId="12" xfId="0" applyFont="1" applyBorder="1" applyAlignment="1">
      <alignment horizontal="justify" vertical="center"/>
    </xf>
    <xf numFmtId="0" fontId="21" fillId="0" borderId="13" xfId="0" applyFont="1" applyBorder="1" applyAlignment="1">
      <alignment horizontal="right" vertical="center"/>
    </xf>
    <xf numFmtId="0" fontId="20" fillId="36" borderId="14" xfId="0" applyFont="1" applyFill="1" applyBorder="1" applyAlignment="1">
      <alignment horizontal="justify" vertical="center"/>
    </xf>
    <xf numFmtId="0" fontId="20" fillId="36" borderId="15" xfId="0" applyFont="1" applyFill="1" applyBorder="1" applyAlignment="1">
      <alignment horizontal="center" vertical="center"/>
    </xf>
    <xf numFmtId="0" fontId="20" fillId="36" borderId="15" xfId="0" applyFont="1" applyFill="1" applyBorder="1" applyAlignment="1">
      <alignment horizontal="right" vertical="center"/>
    </xf>
    <xf numFmtId="1" fontId="21" fillId="0" borderId="13" xfId="0" applyNumberFormat="1" applyFont="1" applyBorder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36.64586689815" createdVersion="8" refreshedVersion="8" minRefreshableVersion="3" recordCount="53" xr:uid="{43166A2C-9900-4E49-8E33-510536EA76CE}">
  <cacheSource type="worksheet">
    <worksheetSource ref="A1:AF54" sheet="Delivery Timesheets"/>
  </cacheSource>
  <cacheFields count="32">
    <cacheField name="Date" numFmtId="15">
      <sharedItems containsSemiMixedTypes="0" containsNonDate="0" containsDate="1" containsString="0" minDate="2024-11-18T00:00:00" maxDate="2024-12-06T00:00:00"/>
    </cacheField>
    <cacheField name="Person" numFmtId="0">
      <sharedItems count="6">
        <s v="Anjali Salecha"/>
        <s v="Carami Viljoen"/>
        <s v="Jacob Smycz"/>
        <s v="Sam Duncan"/>
        <s v="Sarah Jessim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25453" maxValue="333449"/>
    </cacheField>
    <cacheField name="Timecode Name" numFmtId="0">
      <sharedItems count="5">
        <s v="Overheads (Non-Billable)"/>
        <s v="Analysis"/>
        <s v="Development"/>
        <s v="Testing"/>
        <s v="Project Management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360"/>
    </cacheField>
    <cacheField name="Invoiced Amount" numFmtId="0">
      <sharedItems containsString="0" containsBlank="1" containsNumber="1" containsInteger="1" minValue="30" maxValue="480"/>
    </cacheField>
    <cacheField name="Invoiced Delta" numFmtId="0">
      <sharedItems containsString="0" containsBlank="1" containsNumber="1" minValue="7.5" maxValue="12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11" maxValue="12"/>
    </cacheField>
    <cacheField name="Month" numFmtId="0">
      <sharedItems count="2">
        <s v="November"/>
        <s v="Dec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d v="2024-11-26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6"/>
    <x v="0"/>
    <x v="0"/>
    <s v="Standard Timecode"/>
    <n v="0"/>
    <n v="6"/>
    <d v="1899-12-30T06:00:00"/>
    <n v="0"/>
    <m/>
    <m/>
    <m/>
    <s v="GBP"/>
    <s v="Reviewed"/>
    <s v="Form Assembly discussion with Sam and Jacob. Form Assembly documentation. Worked on Util class to get secure url."/>
    <s v="Not submitted"/>
    <n v="11"/>
    <x v="0"/>
  </r>
  <r>
    <d v="2024-11-27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7"/>
    <x v="0"/>
    <x v="0"/>
    <s v="Standard Timecode"/>
    <n v="0"/>
    <n v="4.5"/>
    <d v="1899-12-30T04:30:00"/>
    <n v="0"/>
    <m/>
    <m/>
    <m/>
    <s v="GBP"/>
    <s v="Reviewed"/>
    <s v="Discussion with Jacob for Form Assembly secure url. Discussion with Sam. Worked on Form Assembly secure url. - LRWFA-8"/>
    <s v="Not submitted"/>
    <n v="11"/>
    <x v="0"/>
  </r>
  <r>
    <d v="2024-11-28T00:00:00"/>
    <x v="0"/>
    <s v="Hourly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0338"/>
    <x v="0"/>
    <x v="0"/>
    <s v="Standard Timecode"/>
    <n v="0"/>
    <n v="8"/>
    <d v="1899-12-30T08:00:00"/>
    <n v="0"/>
    <m/>
    <m/>
    <m/>
    <s v="GBP"/>
    <s v="Reviewed"/>
    <s v="Daily standup. Form Assembly discussion with Sachin and Sam. Discussion with Jacob. Worked on updated LRWFA-8"/>
    <s v="Not submitted"/>
    <n v="11"/>
    <x v="0"/>
  </r>
  <r>
    <d v="2024-11-25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722"/>
    <x v="0"/>
    <x v="0"/>
    <s v="Standard Timecode"/>
    <n v="0"/>
    <n v="0.25"/>
    <d v="1899-12-30T00:15:00"/>
    <n v="0"/>
    <m/>
    <m/>
    <m/>
    <s v="GBP"/>
    <s v="Reviewed"/>
    <s v="Time Report"/>
    <s v="Not submitted"/>
    <n v="11"/>
    <x v="0"/>
  </r>
  <r>
    <d v="2024-12-02T00:00:00"/>
    <x v="1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796"/>
    <x v="0"/>
    <x v="0"/>
    <s v="Standard Timecode"/>
    <n v="0"/>
    <n v="0.25"/>
    <d v="1899-12-30T00:15:00"/>
    <n v="0"/>
    <m/>
    <m/>
    <m/>
    <s v="GBP"/>
    <m/>
    <s v="Time Report"/>
    <s v="Not submitted"/>
    <n v="12"/>
    <x v="1"/>
  </r>
  <r>
    <d v="2024-11-20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5460"/>
    <x v="1"/>
    <x v="1"/>
    <s v="Standard Timecode"/>
    <n v="90"/>
    <n v="1.5"/>
    <d v="1899-12-30T01:30:00"/>
    <n v="135"/>
    <n v="180"/>
    <n v="45"/>
    <s v="IN08888"/>
    <s v="GBP"/>
    <s v="Reviewed"/>
    <s v=" "/>
    <s v="Not submitted"/>
    <n v="11"/>
    <x v="0"/>
  </r>
  <r>
    <d v="2024-11-21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6072"/>
    <x v="1"/>
    <x v="1"/>
    <s v="Standard Timecode"/>
    <n v="90"/>
    <n v="2.25"/>
    <d v="1899-12-30T02:15:00"/>
    <n v="202.5"/>
    <n v="270"/>
    <n v="67.5"/>
    <s v="IN08888"/>
    <s v="GBP"/>
    <s v="Reviewed"/>
    <s v=" "/>
    <s v="Not submitted"/>
    <n v="11"/>
    <x v="0"/>
  </r>
  <r>
    <d v="2024-11-2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4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21"/>
    <x v="1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85"/>
    <x v="2"/>
    <x v="1"/>
    <s v="Standard Timecode"/>
    <n v="90"/>
    <n v="1.75"/>
    <d v="1899-12-30T01:45:00"/>
    <n v="157.5"/>
    <n v="210"/>
    <n v="52.5"/>
    <s v="IN08888"/>
    <s v="GBP"/>
    <s v="Reviewed"/>
    <s v=" "/>
    <s v="Not submitted"/>
    <n v="11"/>
    <x v="0"/>
  </r>
  <r>
    <d v="2024-11-2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7416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6"/>
    <x v="2"/>
    <x v="1"/>
    <s v="Standard Timecode"/>
    <n v="90"/>
    <n v="3.5"/>
    <d v="1899-12-30T03:30:00"/>
    <n v="315"/>
    <n v="420"/>
    <n v="105"/>
    <s v="IN08888"/>
    <s v="GBP"/>
    <s v="Reviewed"/>
    <s v=" "/>
    <s v="Not submitted"/>
    <n v="11"/>
    <x v="0"/>
  </r>
  <r>
    <d v="2024-11-26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003"/>
    <x v="0"/>
    <x v="0"/>
    <s v="Standard Timecode"/>
    <n v="0"/>
    <n v="1"/>
    <d v="1899-12-30T01:00:00"/>
    <n v="0"/>
    <m/>
    <m/>
    <m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2"/>
    <x v="2"/>
    <x v="1"/>
    <s v="Standard Timecode"/>
    <n v="90"/>
    <n v="3.75"/>
    <d v="1899-12-30T03:45:00"/>
    <n v="337.5"/>
    <n v="450"/>
    <n v="112.5"/>
    <s v="IN08888"/>
    <s v="GBP"/>
    <s v="Reviewed"/>
    <s v=" "/>
    <s v="Not submitted"/>
    <n v="11"/>
    <x v="0"/>
  </r>
  <r>
    <d v="2024-11-27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8708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5"/>
    <x v="1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1-28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613"/>
    <x v="2"/>
    <x v="1"/>
    <s v="Standard Timecode"/>
    <n v="90"/>
    <n v="3"/>
    <d v="1899-12-30T03:00:00"/>
    <n v="270"/>
    <n v="360"/>
    <n v="9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6"/>
    <x v="2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9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29817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2-02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12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03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421"/>
    <x v="2"/>
    <x v="1"/>
    <s v="Standard Timecode"/>
    <n v="90"/>
    <n v="0.5"/>
    <d v="1899-12-30T00:30:00"/>
    <n v="45"/>
    <m/>
    <m/>
    <m/>
    <s v="GBP"/>
    <m/>
    <s v=" "/>
    <s v="Not submitted"/>
    <n v="12"/>
    <x v="1"/>
  </r>
  <r>
    <d v="2024-12-04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1913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5T00:00:00"/>
    <x v="2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Sam Duncan"/>
    <s v="Delivery"/>
    <n v="333449"/>
    <x v="2"/>
    <x v="1"/>
    <s v="Standard Timecode"/>
    <n v="90"/>
    <n v="1"/>
    <d v="1899-12-30T01:00:00"/>
    <n v="90"/>
    <m/>
    <m/>
    <m/>
    <s v="GBP"/>
    <m/>
    <s v=" "/>
    <s v="Not submitted"/>
    <n v="12"/>
    <x v="1"/>
  </r>
  <r>
    <d v="2024-11-21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71"/>
    <x v="2"/>
    <x v="1"/>
    <s v="Standard Timecode"/>
    <n v="90"/>
    <n v="0.5"/>
    <d v="1899-12-30T00:30:00"/>
    <n v="45"/>
    <n v="60"/>
    <n v="15"/>
    <s v="IN08888"/>
    <s v="GBP"/>
    <s v="Reviewed"/>
    <s v="Session with Jacob (30 mins)"/>
    <s v="Not submitted"/>
    <n v="11"/>
    <x v="0"/>
  </r>
  <r>
    <d v="2024-11-25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82"/>
    <x v="2"/>
    <x v="1"/>
    <s v="Standard Timecode"/>
    <n v="90"/>
    <n v="1"/>
    <d v="1899-12-30T01:00:00"/>
    <n v="90"/>
    <n v="120"/>
    <n v="30"/>
    <s v="IN08888"/>
    <s v="GBP"/>
    <s v="Reviewed"/>
    <s v="Planning session (1 hour)"/>
    <s v="Not submitted"/>
    <n v="11"/>
    <x v="0"/>
  </r>
  <r>
    <d v="2024-11-26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5"/>
    <x v="2"/>
    <x v="1"/>
    <s v="Standard Timecode"/>
    <n v="90"/>
    <n v="1"/>
    <d v="1899-12-30T01:00:00"/>
    <n v="90"/>
    <n v="120"/>
    <n v="30"/>
    <s v="IN08888"/>
    <s v="GBP"/>
    <s v="Reviewed"/>
    <s v="Refinement session (1 hour)"/>
    <s v="Not submitted"/>
    <n v="11"/>
    <x v="0"/>
  </r>
  <r>
    <d v="2024-11-27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899"/>
    <x v="2"/>
    <x v="1"/>
    <s v="Standard Timecode"/>
    <n v="90"/>
    <n v="0.5"/>
    <d v="1899-12-30T00:30:00"/>
    <n v="45"/>
    <n v="60"/>
    <n v="15"/>
    <s v="IN08888"/>
    <s v="GBP"/>
    <s v="Reviewed"/>
    <s v="Review with Jacob (30 mins)"/>
    <s v="Not submitted"/>
    <n v="11"/>
    <x v="0"/>
  </r>
  <r>
    <d v="2024-11-28T00:00:00"/>
    <x v="3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390"/>
    <x v="2"/>
    <x v="1"/>
    <s v="Standard Timecode"/>
    <n v="90"/>
    <n v="0.5"/>
    <d v="1899-12-30T00:30:00"/>
    <n v="45"/>
    <n v="60"/>
    <n v="15"/>
    <s v="IN08888"/>
    <s v="GBP"/>
    <m/>
    <s v="Refinement with Jacob (30 mins)"/>
    <s v="Not submitted"/>
    <n v="11"/>
    <x v="0"/>
  </r>
  <r>
    <d v="2024-11-1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76"/>
    <x v="3"/>
    <x v="1"/>
    <s v="Standard Timecode"/>
    <n v="90"/>
    <n v="0.25"/>
    <d v="1899-12-30T00:15:00"/>
    <n v="22.5"/>
    <n v="30"/>
    <n v="7.5"/>
    <s v="IN08888"/>
    <s v="GBP"/>
    <s v="Reviewed"/>
    <s v="Intro meeting with Jacob"/>
    <s v="Not submitted"/>
    <n v="11"/>
    <x v="0"/>
  </r>
  <r>
    <d v="2024-11-1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746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0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65"/>
    <x v="3"/>
    <x v="1"/>
    <s v="Standard Timecode"/>
    <n v="90"/>
    <n v="0.25"/>
    <d v="1899-12-30T00:15:00"/>
    <n v="22.5"/>
    <n v="30"/>
    <n v="7.5"/>
    <s v="IN08888"/>
    <s v="GBP"/>
    <s v="Reviewed"/>
    <s v="R2R/leadpro standup"/>
    <s v="Not submitted"/>
    <n v="11"/>
    <x v="0"/>
  </r>
  <r>
    <d v="2024-11-21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938"/>
    <x v="3"/>
    <x v="1"/>
    <s v="Standard Timecode"/>
    <n v="90"/>
    <n v="0.5"/>
    <d v="1899-12-30T00:30:00"/>
    <n v="45"/>
    <n v="60"/>
    <n v="15"/>
    <s v="IN08888"/>
    <s v="GBP"/>
    <s v="Reviewed"/>
    <s v="R2R/leadpro standup + read through cards on board"/>
    <s v="Not submitted"/>
    <n v="11"/>
    <x v="0"/>
  </r>
  <r>
    <d v="2024-11-2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763"/>
    <x v="3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547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1-26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016"/>
    <x v="3"/>
    <x v="1"/>
    <s v="Standard Timecode"/>
    <n v="90"/>
    <n v="2.75"/>
    <d v="1899-12-30T02:45:00"/>
    <n v="247.5"/>
    <n v="330"/>
    <n v="82.5"/>
    <s v="IN08888"/>
    <s v="GBP"/>
    <s v="Reviewed"/>
    <s v=" "/>
    <s v="Not submitted"/>
    <n v="11"/>
    <x v="0"/>
  </r>
  <r>
    <d v="2024-11-27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8660"/>
    <x v="3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28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0"/>
    <x v="3"/>
    <x v="1"/>
    <s v="Standard Timecode"/>
    <n v="90"/>
    <n v="4"/>
    <d v="1899-12-30T04:00:00"/>
    <n v="360"/>
    <n v="480"/>
    <n v="120"/>
    <s v="IN08888"/>
    <s v="GBP"/>
    <s v="Reviewed"/>
    <s v=" "/>
    <s v="Not submitted"/>
    <n v="11"/>
    <x v="0"/>
  </r>
  <r>
    <d v="2024-11-29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9493"/>
    <x v="3"/>
    <x v="1"/>
    <s v="Standard Timecode"/>
    <n v="90"/>
    <n v="1.25"/>
    <d v="1899-12-30T01:15:00"/>
    <n v="112.5"/>
    <n v="150"/>
    <n v="37.5"/>
    <s v="IN08888"/>
    <s v="GBP"/>
    <s v="Reviewed"/>
    <s v=" "/>
    <s v="Not submitted"/>
    <n v="11"/>
    <x v="0"/>
  </r>
  <r>
    <d v="2024-12-02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0916"/>
    <x v="3"/>
    <x v="1"/>
    <s v="Standard Timecode"/>
    <n v="90"/>
    <n v="1"/>
    <d v="1899-12-30T01:00:00"/>
    <n v="90"/>
    <m/>
    <m/>
    <m/>
    <s v="GBP"/>
    <m/>
    <s v=" "/>
    <s v="Not submitted"/>
    <n v="12"/>
    <x v="1"/>
  </r>
  <r>
    <d v="2024-12-03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15"/>
    <x v="3"/>
    <x v="1"/>
    <s v="Standard Timecode"/>
    <n v="90"/>
    <n v="1.75"/>
    <d v="1899-12-30T01:45:00"/>
    <n v="157.5"/>
    <m/>
    <m/>
    <m/>
    <s v="GBP"/>
    <m/>
    <s v=" "/>
    <s v="Not submitted"/>
    <n v="12"/>
    <x v="1"/>
  </r>
  <r>
    <d v="2024-12-04T00:00:00"/>
    <x v="4"/>
    <s v="Salaried / Fixed"/>
    <s v="Open Box Software (Pty) Ltd (Open Box SA)"/>
    <s v="Custom Softwar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563"/>
    <x v="3"/>
    <x v="1"/>
    <s v="Standard Timecode"/>
    <n v="90"/>
    <n v="1"/>
    <d v="1899-12-30T01:00:00"/>
    <n v="90"/>
    <m/>
    <m/>
    <m/>
    <s v="GBP"/>
    <m/>
    <s v=" "/>
    <s v="Not submitted"/>
    <n v="12"/>
    <x v="1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6"/>
    <x v="4"/>
    <x v="1"/>
    <s v="Standard Timecode"/>
    <n v="90"/>
    <n v="1"/>
    <d v="1899-12-30T01:00:00"/>
    <n v="90"/>
    <n v="120"/>
    <n v="30"/>
    <s v="IN08888"/>
    <s v="GBP"/>
    <s v="Reviewed"/>
    <s v=" "/>
    <s v="Not submitted"/>
    <n v="11"/>
    <x v="0"/>
  </r>
  <r>
    <d v="2024-11-18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5"/>
    <x v="0"/>
    <x v="0"/>
    <s v="Standard Timecode"/>
    <n v="0"/>
    <n v="0.5"/>
    <d v="1899-12-30T00:30:00"/>
    <n v="0"/>
    <m/>
    <m/>
    <m/>
    <s v="GBP"/>
    <s v="Reviewed"/>
    <s v=" "/>
    <s v="Not submitted"/>
    <n v="11"/>
    <x v="0"/>
  </r>
  <r>
    <d v="2024-11-19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7"/>
    <x v="0"/>
    <x v="0"/>
    <s v="Standard Timecode"/>
    <n v="0"/>
    <n v="1.5"/>
    <d v="1899-12-30T01:30:00"/>
    <n v="0"/>
    <m/>
    <m/>
    <m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4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0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5453"/>
    <x v="0"/>
    <x v="0"/>
    <s v="Standard Timecode"/>
    <n v="0"/>
    <n v="0.75"/>
    <d v="1899-12-30T00:45:00"/>
    <n v="0"/>
    <m/>
    <m/>
    <m/>
    <s v="GBP"/>
    <s v="Reviewed"/>
    <s v=" "/>
    <s v="Not submitted"/>
    <n v="11"/>
    <x v="0"/>
  </r>
  <r>
    <d v="2024-11-21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6249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42"/>
    <x v="4"/>
    <x v="1"/>
    <s v="Standard Timecode"/>
    <n v="90"/>
    <n v="0.25"/>
    <d v="1899-12-30T00:15:00"/>
    <n v="22.5"/>
    <n v="30"/>
    <n v="7.5"/>
    <s v="IN08888"/>
    <s v="GBP"/>
    <s v="Reviewed"/>
    <s v=" "/>
    <s v="Not submitted"/>
    <n v="11"/>
    <x v="0"/>
  </r>
  <r>
    <d v="2024-11-2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27236"/>
    <x v="4"/>
    <x v="1"/>
    <s v="Standard Timecode"/>
    <n v="90"/>
    <n v="0.5"/>
    <d v="1899-12-30T00:30:00"/>
    <n v="45"/>
    <n v="60"/>
    <n v="15"/>
    <s v="IN08888"/>
    <s v="GBP"/>
    <s v="Reviewed"/>
    <s v=" "/>
    <s v="Not submitted"/>
    <n v="11"/>
    <x v="0"/>
  </r>
  <r>
    <d v="2024-12-02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79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3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089"/>
    <x v="0"/>
    <x v="0"/>
    <s v="Standard Timecode"/>
    <n v="0"/>
    <n v="0.25"/>
    <d v="1899-12-30T00:15:00"/>
    <n v="0"/>
    <m/>
    <m/>
    <m/>
    <s v="GBP"/>
    <m/>
    <s v=" "/>
    <s v="Not submitted"/>
    <n v="12"/>
    <x v="1"/>
  </r>
  <r>
    <d v="2024-12-04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1744"/>
    <x v="0"/>
    <x v="0"/>
    <s v="Standard Timecode"/>
    <n v="0"/>
    <n v="0.5"/>
    <d v="1899-12-30T00:30:00"/>
    <n v="0"/>
    <m/>
    <m/>
    <m/>
    <s v="GBP"/>
    <m/>
    <s v=" "/>
    <s v="Not submitted"/>
    <n v="12"/>
    <x v="1"/>
  </r>
  <r>
    <d v="2024-12-05T00:00:00"/>
    <x v="5"/>
    <s v="Salaried / Fixed"/>
    <s v="Open Box Software (Pty) Ltd (Open Box SA)"/>
    <s v="Salesforce"/>
    <s v="SA"/>
    <s v="Grainger PLC"/>
    <s v="OB-000766"/>
    <s v="LeadPro Replacement (Form Assembly) (T&amp;M)"/>
    <s v="Billable"/>
    <s v="Open Box Software (Pty) Ltd (Open Box SA)"/>
    <s v="Shaun Barrett"/>
    <s v="Sam Duncan"/>
    <s v=" "/>
    <s v="Delivery"/>
    <n v="332082"/>
    <x v="0"/>
    <x v="0"/>
    <s v="Standard Timecode"/>
    <n v="0"/>
    <n v="0.5"/>
    <d v="1899-12-30T00:30:00"/>
    <n v="0"/>
    <m/>
    <m/>
    <m/>
    <s v="GBP"/>
    <m/>
    <s v=" "/>
    <s v="Not submitted"/>
    <n v="1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A500DA-0181-481D-AB7E-95CDE2D8C008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G14" firstHeaderRow="1" firstDataRow="2" firstDataCol="1" rowPageCount="2" colPageCount="1"/>
  <pivotFields count="32">
    <pivotField numFmtId="15" showAll="0"/>
    <pivotField axis="axisRow" showAll="0">
      <items count="7">
        <item x="5"/>
        <item x="2"/>
        <item x="4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3"/>
        <item x="4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31" hier="-1"/>
    <pageField fld="17" hier="-1"/>
  </pageFields>
  <dataFields count="1">
    <dataField name="Sum of Hour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/>
  </sheetViews>
  <sheetFormatPr defaultRowHeight="14.4" x14ac:dyDescent="0.3"/>
  <cols>
    <col min="1" max="2" width="16.33203125" bestFit="1" customWidth="1"/>
    <col min="3" max="3" width="7.33203125" style="7" bestFit="1" customWidth="1"/>
    <col min="4" max="4" width="19.109375" bestFit="1" customWidth="1"/>
    <col min="5" max="5" width="23.44140625" bestFit="1" customWidth="1"/>
    <col min="6" max="6" width="13" bestFit="1" customWidth="1"/>
    <col min="7" max="7" width="11" bestFit="1" customWidth="1"/>
    <col min="8" max="8" width="27.5546875" customWidth="1"/>
    <col min="9" max="9" width="15.109375" bestFit="1" customWidth="1"/>
    <col min="10" max="10" width="14.88671875" bestFit="1" customWidth="1"/>
    <col min="11" max="11" width="15.109375" bestFit="1" customWidth="1"/>
    <col min="12" max="12" width="14.88671875" bestFit="1" customWidth="1"/>
  </cols>
  <sheetData>
    <row r="1" spans="1:12" x14ac:dyDescent="0.3">
      <c r="A1" s="8" t="s">
        <v>8</v>
      </c>
      <c r="C1"/>
    </row>
    <row r="2" spans="1:12" ht="15" thickBot="1" x14ac:dyDescent="0.35">
      <c r="C2"/>
    </row>
    <row r="3" spans="1:12" ht="25.8" thickBot="1" x14ac:dyDescent="0.35">
      <c r="A3" s="4" t="s">
        <v>0</v>
      </c>
      <c r="B3" t="s">
        <v>1</v>
      </c>
      <c r="C3"/>
      <c r="D3" s="6" t="s">
        <v>2</v>
      </c>
      <c r="H3" s="9" t="s">
        <v>68</v>
      </c>
      <c r="I3" s="10" t="s">
        <v>11</v>
      </c>
      <c r="J3" s="10" t="s">
        <v>12</v>
      </c>
      <c r="K3" s="10" t="s">
        <v>11</v>
      </c>
      <c r="L3" s="10" t="s">
        <v>12</v>
      </c>
    </row>
    <row r="4" spans="1:12" ht="15" thickBot="1" x14ac:dyDescent="0.35">
      <c r="A4" s="4" t="s">
        <v>3</v>
      </c>
      <c r="B4" t="s">
        <v>1</v>
      </c>
      <c r="C4"/>
      <c r="H4" s="11" t="s">
        <v>60</v>
      </c>
      <c r="I4" s="16">
        <v>8</v>
      </c>
      <c r="J4" s="16">
        <v>10</v>
      </c>
      <c r="K4" s="12" t="s">
        <v>69</v>
      </c>
      <c r="L4" s="12" t="s">
        <v>70</v>
      </c>
    </row>
    <row r="5" spans="1:12" ht="15" thickBot="1" x14ac:dyDescent="0.35">
      <c r="C5"/>
      <c r="H5" s="11" t="s">
        <v>71</v>
      </c>
      <c r="I5" s="16">
        <v>40</v>
      </c>
      <c r="J5" s="16">
        <v>48</v>
      </c>
      <c r="K5" s="12" t="s">
        <v>72</v>
      </c>
      <c r="L5" s="12" t="s">
        <v>73</v>
      </c>
    </row>
    <row r="6" spans="1:12" ht="15" thickBot="1" x14ac:dyDescent="0.35">
      <c r="A6" s="4" t="s">
        <v>5</v>
      </c>
      <c r="B6" s="4" t="s">
        <v>6</v>
      </c>
      <c r="C6"/>
      <c r="H6" s="11" t="s">
        <v>66</v>
      </c>
      <c r="I6" s="16">
        <v>4</v>
      </c>
      <c r="J6" s="16">
        <v>5</v>
      </c>
      <c r="K6" s="12" t="s">
        <v>74</v>
      </c>
      <c r="L6" s="12" t="s">
        <v>75</v>
      </c>
    </row>
    <row r="7" spans="1:12" ht="15" thickBot="1" x14ac:dyDescent="0.35">
      <c r="A7" s="4" t="s">
        <v>7</v>
      </c>
      <c r="B7" t="s">
        <v>60</v>
      </c>
      <c r="C7" t="s">
        <v>62</v>
      </c>
      <c r="D7" t="s">
        <v>66</v>
      </c>
      <c r="E7" t="s">
        <v>67</v>
      </c>
      <c r="F7" t="s">
        <v>88</v>
      </c>
      <c r="G7" t="s">
        <v>9</v>
      </c>
      <c r="H7" s="11" t="s">
        <v>76</v>
      </c>
      <c r="I7" s="16">
        <v>8</v>
      </c>
      <c r="J7" s="16">
        <v>10</v>
      </c>
      <c r="K7" s="12" t="s">
        <v>69</v>
      </c>
      <c r="L7" s="12" t="s">
        <v>70</v>
      </c>
    </row>
    <row r="8" spans="1:12" ht="25.8" thickBot="1" x14ac:dyDescent="0.35">
      <c r="A8" s="5" t="s">
        <v>13</v>
      </c>
      <c r="B8" s="17"/>
      <c r="C8" s="17"/>
      <c r="D8" s="17">
        <v>2.25</v>
      </c>
      <c r="E8" s="17">
        <v>4.25</v>
      </c>
      <c r="F8" s="17"/>
      <c r="G8" s="17">
        <v>6.5</v>
      </c>
      <c r="H8" s="11" t="s">
        <v>77</v>
      </c>
      <c r="I8" s="16">
        <v>8</v>
      </c>
      <c r="J8" s="16">
        <v>10</v>
      </c>
      <c r="K8" s="12" t="s">
        <v>69</v>
      </c>
      <c r="L8" s="12" t="s">
        <v>70</v>
      </c>
    </row>
    <row r="9" spans="1:12" ht="15" thickBot="1" x14ac:dyDescent="0.35">
      <c r="A9" s="5" t="s">
        <v>14</v>
      </c>
      <c r="B9" s="17">
        <v>5</v>
      </c>
      <c r="C9" s="17"/>
      <c r="D9" s="17"/>
      <c r="E9" s="17">
        <v>3.5</v>
      </c>
      <c r="F9" s="17">
        <v>15</v>
      </c>
      <c r="G9" s="17">
        <v>23.5</v>
      </c>
      <c r="H9" s="13" t="s">
        <v>15</v>
      </c>
      <c r="I9" s="14">
        <v>68</v>
      </c>
      <c r="J9" s="14">
        <v>83</v>
      </c>
      <c r="K9" s="15" t="s">
        <v>78</v>
      </c>
      <c r="L9" s="15" t="s">
        <v>79</v>
      </c>
    </row>
    <row r="10" spans="1:12" ht="15" thickTop="1" x14ac:dyDescent="0.3">
      <c r="A10" s="5" t="s">
        <v>61</v>
      </c>
      <c r="B10" s="17"/>
      <c r="C10" s="17">
        <v>15.5</v>
      </c>
      <c r="D10" s="17"/>
      <c r="E10" s="17"/>
      <c r="F10" s="17"/>
      <c r="G10" s="17">
        <v>15.5</v>
      </c>
    </row>
    <row r="11" spans="1:12" x14ac:dyDescent="0.3">
      <c r="A11" s="5" t="s">
        <v>80</v>
      </c>
      <c r="B11" s="17"/>
      <c r="C11" s="17"/>
      <c r="D11" s="17"/>
      <c r="E11" s="17">
        <v>18.5</v>
      </c>
      <c r="F11" s="17"/>
      <c r="G11" s="17">
        <v>18.5</v>
      </c>
    </row>
    <row r="12" spans="1:12" x14ac:dyDescent="0.3">
      <c r="A12" s="5" t="s">
        <v>85</v>
      </c>
      <c r="B12" s="17"/>
      <c r="C12" s="17"/>
      <c r="D12" s="17"/>
      <c r="E12" s="17">
        <v>0.5</v>
      </c>
      <c r="F12" s="17"/>
      <c r="G12" s="17">
        <v>0.5</v>
      </c>
    </row>
    <row r="13" spans="1:12" x14ac:dyDescent="0.3">
      <c r="A13" s="5" t="s">
        <v>10</v>
      </c>
      <c r="B13" s="17"/>
      <c r="C13" s="17"/>
      <c r="D13" s="17"/>
      <c r="E13" s="17"/>
      <c r="F13" s="17">
        <v>3.5</v>
      </c>
      <c r="G13" s="17">
        <v>3.5</v>
      </c>
    </row>
    <row r="14" spans="1:12" x14ac:dyDescent="0.3">
      <c r="A14" s="5" t="s">
        <v>9</v>
      </c>
      <c r="B14" s="17">
        <v>5</v>
      </c>
      <c r="C14" s="17">
        <v>15.5</v>
      </c>
      <c r="D14" s="17">
        <v>2.25</v>
      </c>
      <c r="E14" s="17">
        <v>26.75</v>
      </c>
      <c r="F14" s="17">
        <v>18.5</v>
      </c>
      <c r="G14" s="17">
        <v>68</v>
      </c>
    </row>
    <row r="15" spans="1:12" x14ac:dyDescent="0.3">
      <c r="C15"/>
    </row>
    <row r="16" spans="1:12" x14ac:dyDescent="0.3">
      <c r="C16"/>
    </row>
    <row r="17" spans="3:3" x14ac:dyDescent="0.3">
      <c r="C17"/>
    </row>
    <row r="18" spans="3:3" x14ac:dyDescent="0.3">
      <c r="C18"/>
    </row>
    <row r="19" spans="3:3" x14ac:dyDescent="0.3">
      <c r="C19"/>
    </row>
    <row r="20" spans="3:3" x14ac:dyDescent="0.3">
      <c r="C20"/>
    </row>
    <row r="21" spans="3:3" x14ac:dyDescent="0.3">
      <c r="C21"/>
    </row>
    <row r="22" spans="3:3" x14ac:dyDescent="0.3">
      <c r="C22"/>
    </row>
    <row r="23" spans="3:3" x14ac:dyDescent="0.3">
      <c r="C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75409-4AF1-4B5F-AAFD-819CEAC11ABE}">
  <dimension ref="A1:AF54"/>
  <sheetViews>
    <sheetView topLeftCell="D17" workbookViewId="0"/>
  </sheetViews>
  <sheetFormatPr defaultRowHeight="14.4" x14ac:dyDescent="0.3"/>
  <sheetData>
    <row r="1" spans="1:32" x14ac:dyDescent="0.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s="3" t="s">
        <v>45</v>
      </c>
      <c r="AF1" s="3" t="s">
        <v>0</v>
      </c>
    </row>
    <row r="2" spans="1:32" x14ac:dyDescent="0.3">
      <c r="A2" s="1">
        <v>45622</v>
      </c>
      <c r="B2" t="s">
        <v>80</v>
      </c>
      <c r="C2" t="s">
        <v>81</v>
      </c>
      <c r="D2" t="s">
        <v>47</v>
      </c>
      <c r="E2" t="s">
        <v>48</v>
      </c>
      <c r="F2" t="s">
        <v>49</v>
      </c>
      <c r="G2" t="s">
        <v>50</v>
      </c>
      <c r="H2" t="s">
        <v>59</v>
      </c>
      <c r="I2" t="s">
        <v>94</v>
      </c>
      <c r="J2" t="s">
        <v>51</v>
      </c>
      <c r="K2" t="s">
        <v>47</v>
      </c>
      <c r="L2" t="s">
        <v>13</v>
      </c>
      <c r="M2" t="s">
        <v>10</v>
      </c>
      <c r="N2" t="s">
        <v>10</v>
      </c>
      <c r="O2" t="s">
        <v>8</v>
      </c>
      <c r="P2">
        <v>330336</v>
      </c>
      <c r="Q2" t="s">
        <v>67</v>
      </c>
      <c r="R2" t="s">
        <v>52</v>
      </c>
      <c r="S2" t="s">
        <v>53</v>
      </c>
      <c r="T2">
        <v>0</v>
      </c>
      <c r="U2">
        <v>6</v>
      </c>
      <c r="V2" s="2">
        <v>0.25</v>
      </c>
      <c r="W2">
        <v>0</v>
      </c>
      <c r="AA2" t="s">
        <v>54</v>
      </c>
      <c r="AB2" t="s">
        <v>55</v>
      </c>
      <c r="AC2" t="s">
        <v>82</v>
      </c>
      <c r="AD2" t="s">
        <v>57</v>
      </c>
      <c r="AE2">
        <f>MONTH(A2)</f>
        <v>11</v>
      </c>
      <c r="AF2" t="str">
        <f>IF(AE2=11,"November",IF(AE2=12,"December",IF(AE2=1,"January",IF(AE2=2,"February",IF(AE2=3,"March")))))</f>
        <v>November</v>
      </c>
    </row>
    <row r="3" spans="1:32" x14ac:dyDescent="0.3">
      <c r="A3" s="1">
        <v>45623</v>
      </c>
      <c r="B3" t="s">
        <v>80</v>
      </c>
      <c r="C3" t="s">
        <v>81</v>
      </c>
      <c r="D3" t="s">
        <v>47</v>
      </c>
      <c r="E3" t="s">
        <v>48</v>
      </c>
      <c r="F3" t="s">
        <v>49</v>
      </c>
      <c r="G3" t="s">
        <v>50</v>
      </c>
      <c r="H3" t="s">
        <v>59</v>
      </c>
      <c r="I3" t="s">
        <v>94</v>
      </c>
      <c r="J3" t="s">
        <v>51</v>
      </c>
      <c r="K3" t="s">
        <v>47</v>
      </c>
      <c r="L3" t="s">
        <v>13</v>
      </c>
      <c r="M3" t="s">
        <v>10</v>
      </c>
      <c r="N3" t="s">
        <v>10</v>
      </c>
      <c r="O3" t="s">
        <v>8</v>
      </c>
      <c r="P3">
        <v>330337</v>
      </c>
      <c r="Q3" t="s">
        <v>67</v>
      </c>
      <c r="R3" t="s">
        <v>52</v>
      </c>
      <c r="S3" t="s">
        <v>53</v>
      </c>
      <c r="T3">
        <v>0</v>
      </c>
      <c r="U3">
        <v>4.5</v>
      </c>
      <c r="V3" s="2">
        <v>0.1875</v>
      </c>
      <c r="W3">
        <v>0</v>
      </c>
      <c r="AA3" t="s">
        <v>54</v>
      </c>
      <c r="AB3" t="s">
        <v>55</v>
      </c>
      <c r="AC3" t="s">
        <v>83</v>
      </c>
      <c r="AD3" t="s">
        <v>57</v>
      </c>
      <c r="AE3">
        <f>MONTH(A3)</f>
        <v>11</v>
      </c>
      <c r="AF3" t="str">
        <f t="shared" ref="AF3:AF15" si="0">IF(AE3=11,"November",IF(AE3=12,"December",IF(AE3=1,"January",IF(AE3=2,"February",IF(AE3=3,"March")))))</f>
        <v>November</v>
      </c>
    </row>
    <row r="4" spans="1:32" x14ac:dyDescent="0.3">
      <c r="A4" s="1">
        <v>45624</v>
      </c>
      <c r="B4" t="s">
        <v>80</v>
      </c>
      <c r="C4" t="s">
        <v>81</v>
      </c>
      <c r="D4" t="s">
        <v>47</v>
      </c>
      <c r="E4" t="s">
        <v>48</v>
      </c>
      <c r="F4" t="s">
        <v>49</v>
      </c>
      <c r="G4" t="s">
        <v>50</v>
      </c>
      <c r="H4" t="s">
        <v>59</v>
      </c>
      <c r="I4" t="s">
        <v>94</v>
      </c>
      <c r="J4" t="s">
        <v>51</v>
      </c>
      <c r="K4" t="s">
        <v>47</v>
      </c>
      <c r="L4" t="s">
        <v>13</v>
      </c>
      <c r="M4" t="s">
        <v>10</v>
      </c>
      <c r="N4" t="s">
        <v>10</v>
      </c>
      <c r="O4" t="s">
        <v>8</v>
      </c>
      <c r="P4">
        <v>330338</v>
      </c>
      <c r="Q4" t="s">
        <v>67</v>
      </c>
      <c r="R4" t="s">
        <v>52</v>
      </c>
      <c r="S4" t="s">
        <v>53</v>
      </c>
      <c r="T4">
        <v>0</v>
      </c>
      <c r="U4">
        <v>8</v>
      </c>
      <c r="V4" s="2">
        <v>0.33333333333333331</v>
      </c>
      <c r="W4">
        <v>0</v>
      </c>
      <c r="AA4" t="s">
        <v>54</v>
      </c>
      <c r="AB4" t="s">
        <v>55</v>
      </c>
      <c r="AC4" t="s">
        <v>84</v>
      </c>
      <c r="AD4" t="s">
        <v>57</v>
      </c>
      <c r="AE4">
        <f t="shared" ref="AE4:AE15" si="1">MONTH(A4)</f>
        <v>11</v>
      </c>
      <c r="AF4" t="str">
        <f t="shared" si="0"/>
        <v>November</v>
      </c>
    </row>
    <row r="5" spans="1:32" x14ac:dyDescent="0.3">
      <c r="A5" s="1">
        <v>45621</v>
      </c>
      <c r="B5" t="s">
        <v>85</v>
      </c>
      <c r="C5" t="s">
        <v>46</v>
      </c>
      <c r="D5" t="s">
        <v>47</v>
      </c>
      <c r="E5" t="s">
        <v>58</v>
      </c>
      <c r="F5" t="s">
        <v>49</v>
      </c>
      <c r="G5" t="s">
        <v>50</v>
      </c>
      <c r="H5" t="s">
        <v>59</v>
      </c>
      <c r="I5" t="s">
        <v>94</v>
      </c>
      <c r="J5" t="s">
        <v>51</v>
      </c>
      <c r="K5" t="s">
        <v>47</v>
      </c>
      <c r="L5" t="s">
        <v>13</v>
      </c>
      <c r="M5" t="s">
        <v>10</v>
      </c>
      <c r="N5" t="s">
        <v>56</v>
      </c>
      <c r="O5" t="s">
        <v>8</v>
      </c>
      <c r="P5">
        <v>327722</v>
      </c>
      <c r="Q5" t="s">
        <v>67</v>
      </c>
      <c r="R5" t="s">
        <v>52</v>
      </c>
      <c r="S5" t="s">
        <v>53</v>
      </c>
      <c r="T5">
        <v>0</v>
      </c>
      <c r="U5">
        <v>0.25</v>
      </c>
      <c r="V5" s="2">
        <v>1.0416666666666666E-2</v>
      </c>
      <c r="W5">
        <v>0</v>
      </c>
      <c r="AA5" t="s">
        <v>54</v>
      </c>
      <c r="AB5" t="s">
        <v>55</v>
      </c>
      <c r="AC5" t="s">
        <v>86</v>
      </c>
      <c r="AD5" t="s">
        <v>57</v>
      </c>
      <c r="AE5">
        <f t="shared" si="1"/>
        <v>11</v>
      </c>
      <c r="AF5" t="str">
        <f t="shared" si="0"/>
        <v>November</v>
      </c>
    </row>
    <row r="6" spans="1:32" x14ac:dyDescent="0.3">
      <c r="A6" s="1">
        <v>45628</v>
      </c>
      <c r="B6" t="s">
        <v>85</v>
      </c>
      <c r="C6" t="s">
        <v>46</v>
      </c>
      <c r="D6" t="s">
        <v>47</v>
      </c>
      <c r="E6" t="s">
        <v>58</v>
      </c>
      <c r="F6" t="s">
        <v>49</v>
      </c>
      <c r="G6" t="s">
        <v>50</v>
      </c>
      <c r="H6" t="s">
        <v>59</v>
      </c>
      <c r="I6" t="s">
        <v>94</v>
      </c>
      <c r="J6" t="s">
        <v>51</v>
      </c>
      <c r="K6" t="s">
        <v>47</v>
      </c>
      <c r="L6" t="s">
        <v>13</v>
      </c>
      <c r="M6" t="s">
        <v>10</v>
      </c>
      <c r="N6" t="s">
        <v>56</v>
      </c>
      <c r="O6" t="s">
        <v>8</v>
      </c>
      <c r="P6">
        <v>330796</v>
      </c>
      <c r="Q6" t="s">
        <v>67</v>
      </c>
      <c r="R6" t="s">
        <v>52</v>
      </c>
      <c r="S6" t="s">
        <v>53</v>
      </c>
      <c r="T6">
        <v>0</v>
      </c>
      <c r="U6">
        <v>0.25</v>
      </c>
      <c r="V6" s="2">
        <v>1.0416666666666666E-2</v>
      </c>
      <c r="W6">
        <v>0</v>
      </c>
      <c r="AA6" t="s">
        <v>54</v>
      </c>
      <c r="AC6" t="s">
        <v>95</v>
      </c>
      <c r="AD6" t="s">
        <v>57</v>
      </c>
      <c r="AE6">
        <f t="shared" si="1"/>
        <v>12</v>
      </c>
      <c r="AF6" t="str">
        <f t="shared" si="0"/>
        <v>December</v>
      </c>
    </row>
    <row r="7" spans="1:32" x14ac:dyDescent="0.3">
      <c r="A7" s="1">
        <v>45616</v>
      </c>
      <c r="B7" t="s">
        <v>14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59</v>
      </c>
      <c r="I7" t="s">
        <v>94</v>
      </c>
      <c r="J7" t="s">
        <v>51</v>
      </c>
      <c r="K7" t="s">
        <v>47</v>
      </c>
      <c r="L7" t="s">
        <v>13</v>
      </c>
      <c r="M7" t="s">
        <v>10</v>
      </c>
      <c r="N7" t="s">
        <v>10</v>
      </c>
      <c r="O7" t="s">
        <v>8</v>
      </c>
      <c r="P7">
        <v>325460</v>
      </c>
      <c r="Q7" t="s">
        <v>60</v>
      </c>
      <c r="R7" t="s">
        <v>4</v>
      </c>
      <c r="S7" t="s">
        <v>53</v>
      </c>
      <c r="T7">
        <v>90</v>
      </c>
      <c r="U7">
        <v>1.5</v>
      </c>
      <c r="V7" s="2">
        <v>6.25E-2</v>
      </c>
      <c r="W7">
        <v>135</v>
      </c>
      <c r="X7">
        <v>180</v>
      </c>
      <c r="Y7">
        <v>45</v>
      </c>
      <c r="Z7" t="s">
        <v>87</v>
      </c>
      <c r="AA7" t="s">
        <v>54</v>
      </c>
      <c r="AB7" t="s">
        <v>55</v>
      </c>
      <c r="AC7" t="s">
        <v>56</v>
      </c>
      <c r="AD7" t="s">
        <v>57</v>
      </c>
      <c r="AE7">
        <f t="shared" si="1"/>
        <v>11</v>
      </c>
      <c r="AF7" t="str">
        <f t="shared" si="0"/>
        <v>November</v>
      </c>
    </row>
    <row r="8" spans="1:32" x14ac:dyDescent="0.3">
      <c r="A8" s="1">
        <v>45617</v>
      </c>
      <c r="B8" t="s">
        <v>14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59</v>
      </c>
      <c r="I8" t="s">
        <v>94</v>
      </c>
      <c r="J8" t="s">
        <v>51</v>
      </c>
      <c r="K8" t="s">
        <v>47</v>
      </c>
      <c r="L8" t="s">
        <v>13</v>
      </c>
      <c r="M8" t="s">
        <v>10</v>
      </c>
      <c r="N8" t="s">
        <v>10</v>
      </c>
      <c r="O8" t="s">
        <v>8</v>
      </c>
      <c r="P8">
        <v>326072</v>
      </c>
      <c r="Q8" t="s">
        <v>60</v>
      </c>
      <c r="R8" t="s">
        <v>4</v>
      </c>
      <c r="S8" t="s">
        <v>53</v>
      </c>
      <c r="T8">
        <v>90</v>
      </c>
      <c r="U8">
        <v>2.25</v>
      </c>
      <c r="V8" s="2">
        <v>9.375E-2</v>
      </c>
      <c r="W8">
        <v>202.5</v>
      </c>
      <c r="X8">
        <v>270</v>
      </c>
      <c r="Y8">
        <v>67.5</v>
      </c>
      <c r="Z8" t="s">
        <v>87</v>
      </c>
      <c r="AA8" t="s">
        <v>54</v>
      </c>
      <c r="AB8" t="s">
        <v>55</v>
      </c>
      <c r="AC8" t="s">
        <v>56</v>
      </c>
      <c r="AD8" t="s">
        <v>57</v>
      </c>
      <c r="AE8">
        <f t="shared" si="1"/>
        <v>11</v>
      </c>
      <c r="AF8" t="str">
        <f t="shared" si="0"/>
        <v>November</v>
      </c>
    </row>
    <row r="9" spans="1:32" x14ac:dyDescent="0.3">
      <c r="A9" s="1">
        <v>45618</v>
      </c>
      <c r="B9" t="s">
        <v>14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59</v>
      </c>
      <c r="I9" t="s">
        <v>94</v>
      </c>
      <c r="J9" t="s">
        <v>51</v>
      </c>
      <c r="K9" t="s">
        <v>47</v>
      </c>
      <c r="L9" t="s">
        <v>13</v>
      </c>
      <c r="M9" t="s">
        <v>10</v>
      </c>
      <c r="N9" t="s">
        <v>10</v>
      </c>
      <c r="O9" t="s">
        <v>8</v>
      </c>
      <c r="P9">
        <v>327414</v>
      </c>
      <c r="Q9" t="s">
        <v>60</v>
      </c>
      <c r="R9" t="s">
        <v>4</v>
      </c>
      <c r="S9" t="s">
        <v>53</v>
      </c>
      <c r="T9">
        <v>90</v>
      </c>
      <c r="U9">
        <v>0.5</v>
      </c>
      <c r="V9" s="2">
        <v>2.0833333333333332E-2</v>
      </c>
      <c r="W9">
        <v>45</v>
      </c>
      <c r="X9">
        <v>60</v>
      </c>
      <c r="Y9">
        <v>15</v>
      </c>
      <c r="Z9" t="s">
        <v>87</v>
      </c>
      <c r="AA9" t="s">
        <v>54</v>
      </c>
      <c r="AB9" t="s">
        <v>55</v>
      </c>
      <c r="AC9" t="s">
        <v>56</v>
      </c>
      <c r="AD9" t="s">
        <v>57</v>
      </c>
      <c r="AE9">
        <f t="shared" si="1"/>
        <v>11</v>
      </c>
      <c r="AF9" t="str">
        <f t="shared" si="0"/>
        <v>November</v>
      </c>
    </row>
    <row r="10" spans="1:32" x14ac:dyDescent="0.3">
      <c r="A10" s="1">
        <v>45621</v>
      </c>
      <c r="B10" t="s">
        <v>14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59</v>
      </c>
      <c r="I10" t="s">
        <v>94</v>
      </c>
      <c r="J10" t="s">
        <v>51</v>
      </c>
      <c r="K10" t="s">
        <v>47</v>
      </c>
      <c r="L10" t="s">
        <v>13</v>
      </c>
      <c r="M10" t="s">
        <v>10</v>
      </c>
      <c r="N10" t="s">
        <v>10</v>
      </c>
      <c r="O10" t="s">
        <v>8</v>
      </c>
      <c r="P10">
        <v>327421</v>
      </c>
      <c r="Q10" t="s">
        <v>60</v>
      </c>
      <c r="R10" t="s">
        <v>4</v>
      </c>
      <c r="S10" t="s">
        <v>53</v>
      </c>
      <c r="T10">
        <v>90</v>
      </c>
      <c r="U10">
        <v>0.25</v>
      </c>
      <c r="V10" s="2">
        <v>1.0416666666666666E-2</v>
      </c>
      <c r="W10">
        <v>22.5</v>
      </c>
      <c r="X10">
        <v>30</v>
      </c>
      <c r="Y10">
        <v>7.5</v>
      </c>
      <c r="Z10" t="s">
        <v>87</v>
      </c>
      <c r="AA10" t="s">
        <v>54</v>
      </c>
      <c r="AB10" t="s">
        <v>55</v>
      </c>
      <c r="AC10" t="s">
        <v>56</v>
      </c>
      <c r="AD10" t="s">
        <v>57</v>
      </c>
      <c r="AE10">
        <f t="shared" si="1"/>
        <v>11</v>
      </c>
      <c r="AF10" t="str">
        <f t="shared" si="0"/>
        <v>November</v>
      </c>
    </row>
    <row r="11" spans="1:32" x14ac:dyDescent="0.3">
      <c r="A11" s="1">
        <v>45621</v>
      </c>
      <c r="B11" t="s">
        <v>14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59</v>
      </c>
      <c r="I11" t="s">
        <v>94</v>
      </c>
      <c r="J11" t="s">
        <v>51</v>
      </c>
      <c r="K11" t="s">
        <v>47</v>
      </c>
      <c r="L11" t="s">
        <v>13</v>
      </c>
      <c r="M11" t="s">
        <v>10</v>
      </c>
      <c r="N11" t="s">
        <v>10</v>
      </c>
      <c r="O11" t="s">
        <v>8</v>
      </c>
      <c r="P11">
        <v>327485</v>
      </c>
      <c r="Q11" t="s">
        <v>88</v>
      </c>
      <c r="R11" t="s">
        <v>4</v>
      </c>
      <c r="S11" t="s">
        <v>53</v>
      </c>
      <c r="T11">
        <v>90</v>
      </c>
      <c r="U11">
        <v>1.75</v>
      </c>
      <c r="V11" s="2">
        <v>7.2916666666666671E-2</v>
      </c>
      <c r="W11">
        <v>157.5</v>
      </c>
      <c r="X11">
        <v>210</v>
      </c>
      <c r="Y11">
        <v>52.5</v>
      </c>
      <c r="Z11" t="s">
        <v>87</v>
      </c>
      <c r="AA11" t="s">
        <v>54</v>
      </c>
      <c r="AB11" t="s">
        <v>55</v>
      </c>
      <c r="AC11" t="s">
        <v>56</v>
      </c>
      <c r="AD11" t="s">
        <v>57</v>
      </c>
      <c r="AE11">
        <f t="shared" si="1"/>
        <v>11</v>
      </c>
      <c r="AF11" t="str">
        <f t="shared" si="0"/>
        <v>November</v>
      </c>
    </row>
    <row r="12" spans="1:32" x14ac:dyDescent="0.3">
      <c r="A12" s="1">
        <v>45621</v>
      </c>
      <c r="B12" t="s">
        <v>14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59</v>
      </c>
      <c r="I12" t="s">
        <v>94</v>
      </c>
      <c r="J12" t="s">
        <v>51</v>
      </c>
      <c r="K12" t="s">
        <v>47</v>
      </c>
      <c r="L12" t="s">
        <v>13</v>
      </c>
      <c r="M12" t="s">
        <v>10</v>
      </c>
      <c r="N12" t="s">
        <v>10</v>
      </c>
      <c r="O12" t="s">
        <v>8</v>
      </c>
      <c r="P12">
        <v>327416</v>
      </c>
      <c r="Q12" t="s">
        <v>67</v>
      </c>
      <c r="R12" t="s">
        <v>52</v>
      </c>
      <c r="S12" t="s">
        <v>53</v>
      </c>
      <c r="T12">
        <v>0</v>
      </c>
      <c r="U12">
        <v>1</v>
      </c>
      <c r="V12" s="2">
        <v>4.1666666666666664E-2</v>
      </c>
      <c r="W12">
        <v>0</v>
      </c>
      <c r="AA12" t="s">
        <v>54</v>
      </c>
      <c r="AB12" t="s">
        <v>55</v>
      </c>
      <c r="AC12" t="s">
        <v>56</v>
      </c>
      <c r="AD12" t="s">
        <v>57</v>
      </c>
      <c r="AE12">
        <f t="shared" si="1"/>
        <v>11</v>
      </c>
      <c r="AF12" t="str">
        <f t="shared" si="0"/>
        <v>November</v>
      </c>
    </row>
    <row r="13" spans="1:32" x14ac:dyDescent="0.3">
      <c r="A13" s="1">
        <v>45622</v>
      </c>
      <c r="B13" t="s">
        <v>14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59</v>
      </c>
      <c r="I13" t="s">
        <v>94</v>
      </c>
      <c r="J13" t="s">
        <v>51</v>
      </c>
      <c r="K13" t="s">
        <v>47</v>
      </c>
      <c r="L13" t="s">
        <v>13</v>
      </c>
      <c r="M13" t="s">
        <v>10</v>
      </c>
      <c r="N13" t="s">
        <v>10</v>
      </c>
      <c r="O13" t="s">
        <v>8</v>
      </c>
      <c r="P13">
        <v>328006</v>
      </c>
      <c r="Q13" t="s">
        <v>88</v>
      </c>
      <c r="R13" t="s">
        <v>4</v>
      </c>
      <c r="S13" t="s">
        <v>53</v>
      </c>
      <c r="T13">
        <v>90</v>
      </c>
      <c r="U13">
        <v>3.5</v>
      </c>
      <c r="V13" s="2">
        <v>0.14583333333333334</v>
      </c>
      <c r="W13">
        <v>315</v>
      </c>
      <c r="X13">
        <v>420</v>
      </c>
      <c r="Y13">
        <v>105</v>
      </c>
      <c r="Z13" t="s">
        <v>87</v>
      </c>
      <c r="AA13" t="s">
        <v>54</v>
      </c>
      <c r="AB13" t="s">
        <v>55</v>
      </c>
      <c r="AC13" t="s">
        <v>56</v>
      </c>
      <c r="AD13" t="s">
        <v>57</v>
      </c>
      <c r="AE13">
        <f t="shared" si="1"/>
        <v>11</v>
      </c>
      <c r="AF13" t="str">
        <f t="shared" si="0"/>
        <v>November</v>
      </c>
    </row>
    <row r="14" spans="1:32" x14ac:dyDescent="0.3">
      <c r="A14" s="1">
        <v>45622</v>
      </c>
      <c r="B14" t="s">
        <v>14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59</v>
      </c>
      <c r="I14" t="s">
        <v>94</v>
      </c>
      <c r="J14" t="s">
        <v>51</v>
      </c>
      <c r="K14" t="s">
        <v>47</v>
      </c>
      <c r="L14" t="s">
        <v>13</v>
      </c>
      <c r="M14" t="s">
        <v>10</v>
      </c>
      <c r="N14" t="s">
        <v>10</v>
      </c>
      <c r="O14" t="s">
        <v>8</v>
      </c>
      <c r="P14">
        <v>328003</v>
      </c>
      <c r="Q14" t="s">
        <v>67</v>
      </c>
      <c r="R14" t="s">
        <v>52</v>
      </c>
      <c r="S14" t="s">
        <v>53</v>
      </c>
      <c r="T14">
        <v>0</v>
      </c>
      <c r="U14">
        <v>1</v>
      </c>
      <c r="V14" s="2">
        <v>4.1666666666666664E-2</v>
      </c>
      <c r="W14">
        <v>0</v>
      </c>
      <c r="AA14" t="s">
        <v>54</v>
      </c>
      <c r="AB14" t="s">
        <v>55</v>
      </c>
      <c r="AC14" t="s">
        <v>56</v>
      </c>
      <c r="AD14" t="s">
        <v>57</v>
      </c>
      <c r="AE14">
        <f t="shared" si="1"/>
        <v>11</v>
      </c>
      <c r="AF14" t="str">
        <f t="shared" si="0"/>
        <v>November</v>
      </c>
    </row>
    <row r="15" spans="1:32" x14ac:dyDescent="0.3">
      <c r="A15" s="1">
        <v>45623</v>
      </c>
      <c r="B15" t="s">
        <v>14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59</v>
      </c>
      <c r="I15" t="s">
        <v>94</v>
      </c>
      <c r="J15" t="s">
        <v>51</v>
      </c>
      <c r="K15" t="s">
        <v>47</v>
      </c>
      <c r="L15" t="s">
        <v>13</v>
      </c>
      <c r="M15" t="s">
        <v>10</v>
      </c>
      <c r="N15" t="s">
        <v>10</v>
      </c>
      <c r="O15" t="s">
        <v>8</v>
      </c>
      <c r="P15">
        <v>328702</v>
      </c>
      <c r="Q15" t="s">
        <v>88</v>
      </c>
      <c r="R15" t="s">
        <v>4</v>
      </c>
      <c r="S15" t="s">
        <v>53</v>
      </c>
      <c r="T15">
        <v>90</v>
      </c>
      <c r="U15">
        <v>3.75</v>
      </c>
      <c r="V15" s="2">
        <v>0.15625</v>
      </c>
      <c r="W15">
        <v>337.5</v>
      </c>
      <c r="X15">
        <v>450</v>
      </c>
      <c r="Y15">
        <v>112.5</v>
      </c>
      <c r="Z15" t="s">
        <v>87</v>
      </c>
      <c r="AA15" t="s">
        <v>54</v>
      </c>
      <c r="AB15" t="s">
        <v>55</v>
      </c>
      <c r="AC15" t="s">
        <v>56</v>
      </c>
      <c r="AD15" t="s">
        <v>57</v>
      </c>
      <c r="AE15">
        <f t="shared" si="1"/>
        <v>11</v>
      </c>
      <c r="AF15" t="str">
        <f t="shared" si="0"/>
        <v>November</v>
      </c>
    </row>
    <row r="16" spans="1:32" x14ac:dyDescent="0.3">
      <c r="A16" s="1">
        <v>45623</v>
      </c>
      <c r="B16" t="s">
        <v>14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59</v>
      </c>
      <c r="I16" t="s">
        <v>94</v>
      </c>
      <c r="J16" t="s">
        <v>51</v>
      </c>
      <c r="K16" t="s">
        <v>47</v>
      </c>
      <c r="L16" t="s">
        <v>13</v>
      </c>
      <c r="M16" t="s">
        <v>10</v>
      </c>
      <c r="N16" t="s">
        <v>10</v>
      </c>
      <c r="O16" t="s">
        <v>8</v>
      </c>
      <c r="P16">
        <v>328708</v>
      </c>
      <c r="Q16" t="s">
        <v>67</v>
      </c>
      <c r="R16" t="s">
        <v>52</v>
      </c>
      <c r="S16" t="s">
        <v>53</v>
      </c>
      <c r="T16">
        <v>0</v>
      </c>
      <c r="U16">
        <v>0.75</v>
      </c>
      <c r="V16" s="2">
        <v>3.125E-2</v>
      </c>
      <c r="W16">
        <v>0</v>
      </c>
      <c r="AA16" t="s">
        <v>54</v>
      </c>
      <c r="AB16" t="s">
        <v>55</v>
      </c>
      <c r="AC16" t="s">
        <v>56</v>
      </c>
      <c r="AD16" t="s">
        <v>57</v>
      </c>
      <c r="AE16">
        <f t="shared" ref="AE16:AE18" si="2">MONTH(A16)</f>
        <v>11</v>
      </c>
      <c r="AF16" t="str">
        <f t="shared" ref="AF16:AF18" si="3">IF(AE16=11,"November",IF(AE16=12,"December",IF(AE16=1,"January",IF(AE16=2,"February",IF(AE16=3,"March")))))</f>
        <v>November</v>
      </c>
    </row>
    <row r="17" spans="1:32" x14ac:dyDescent="0.3">
      <c r="A17" s="1">
        <v>45624</v>
      </c>
      <c r="B17" t="s">
        <v>14</v>
      </c>
      <c r="C17" t="s">
        <v>46</v>
      </c>
      <c r="D17" t="s">
        <v>47</v>
      </c>
      <c r="E17" t="s">
        <v>48</v>
      </c>
      <c r="F17" t="s">
        <v>49</v>
      </c>
      <c r="G17" t="s">
        <v>50</v>
      </c>
      <c r="H17" t="s">
        <v>59</v>
      </c>
      <c r="I17" t="s">
        <v>94</v>
      </c>
      <c r="J17" t="s">
        <v>51</v>
      </c>
      <c r="K17" t="s">
        <v>47</v>
      </c>
      <c r="L17" t="s">
        <v>13</v>
      </c>
      <c r="M17" t="s">
        <v>10</v>
      </c>
      <c r="N17" t="s">
        <v>10</v>
      </c>
      <c r="O17" t="s">
        <v>8</v>
      </c>
      <c r="P17">
        <v>329615</v>
      </c>
      <c r="Q17" t="s">
        <v>60</v>
      </c>
      <c r="R17" t="s">
        <v>4</v>
      </c>
      <c r="S17" t="s">
        <v>53</v>
      </c>
      <c r="T17">
        <v>90</v>
      </c>
      <c r="U17">
        <v>0.5</v>
      </c>
      <c r="V17" s="2">
        <v>2.0833333333333332E-2</v>
      </c>
      <c r="W17">
        <v>45</v>
      </c>
      <c r="X17">
        <v>60</v>
      </c>
      <c r="Y17">
        <v>15</v>
      </c>
      <c r="Z17" t="s">
        <v>87</v>
      </c>
      <c r="AA17" t="s">
        <v>54</v>
      </c>
      <c r="AB17" t="s">
        <v>55</v>
      </c>
      <c r="AC17" t="s">
        <v>56</v>
      </c>
      <c r="AD17" t="s">
        <v>57</v>
      </c>
      <c r="AE17">
        <f t="shared" si="2"/>
        <v>11</v>
      </c>
      <c r="AF17" t="str">
        <f t="shared" si="3"/>
        <v>November</v>
      </c>
    </row>
    <row r="18" spans="1:32" x14ac:dyDescent="0.3">
      <c r="A18" s="1">
        <v>45624</v>
      </c>
      <c r="B18" t="s">
        <v>14</v>
      </c>
      <c r="C18" t="s">
        <v>46</v>
      </c>
      <c r="D18" t="s">
        <v>47</v>
      </c>
      <c r="E18" t="s">
        <v>48</v>
      </c>
      <c r="F18" t="s">
        <v>49</v>
      </c>
      <c r="G18" t="s">
        <v>50</v>
      </c>
      <c r="H18" t="s">
        <v>59</v>
      </c>
      <c r="I18" t="s">
        <v>94</v>
      </c>
      <c r="J18" t="s">
        <v>51</v>
      </c>
      <c r="K18" t="s">
        <v>47</v>
      </c>
      <c r="L18" t="s">
        <v>13</v>
      </c>
      <c r="M18" t="s">
        <v>10</v>
      </c>
      <c r="N18" t="s">
        <v>10</v>
      </c>
      <c r="O18" t="s">
        <v>8</v>
      </c>
      <c r="P18">
        <v>329613</v>
      </c>
      <c r="Q18" t="s">
        <v>88</v>
      </c>
      <c r="R18" t="s">
        <v>4</v>
      </c>
      <c r="S18" t="s">
        <v>53</v>
      </c>
      <c r="T18">
        <v>90</v>
      </c>
      <c r="U18">
        <v>3</v>
      </c>
      <c r="V18" s="2">
        <v>0.125</v>
      </c>
      <c r="W18">
        <v>270</v>
      </c>
      <c r="X18">
        <v>360</v>
      </c>
      <c r="Y18">
        <v>90</v>
      </c>
      <c r="Z18" t="s">
        <v>87</v>
      </c>
      <c r="AA18" t="s">
        <v>54</v>
      </c>
      <c r="AB18" t="s">
        <v>55</v>
      </c>
      <c r="AC18" t="s">
        <v>56</v>
      </c>
      <c r="AD18" t="s">
        <v>57</v>
      </c>
      <c r="AE18">
        <f t="shared" si="2"/>
        <v>11</v>
      </c>
      <c r="AF18" t="str">
        <f t="shared" si="3"/>
        <v>November</v>
      </c>
    </row>
    <row r="19" spans="1:32" x14ac:dyDescent="0.3">
      <c r="A19" s="1">
        <v>45625</v>
      </c>
      <c r="B19" t="s">
        <v>14</v>
      </c>
      <c r="C19" t="s">
        <v>46</v>
      </c>
      <c r="D19" t="s">
        <v>47</v>
      </c>
      <c r="E19" t="s">
        <v>48</v>
      </c>
      <c r="F19" t="s">
        <v>49</v>
      </c>
      <c r="G19" t="s">
        <v>50</v>
      </c>
      <c r="H19" t="s">
        <v>59</v>
      </c>
      <c r="I19" t="s">
        <v>94</v>
      </c>
      <c r="J19" t="s">
        <v>51</v>
      </c>
      <c r="K19" t="s">
        <v>47</v>
      </c>
      <c r="L19" t="s">
        <v>13</v>
      </c>
      <c r="M19" t="s">
        <v>10</v>
      </c>
      <c r="N19" t="s">
        <v>10</v>
      </c>
      <c r="O19" t="s">
        <v>8</v>
      </c>
      <c r="P19">
        <v>329816</v>
      </c>
      <c r="Q19" t="s">
        <v>88</v>
      </c>
      <c r="R19" t="s">
        <v>4</v>
      </c>
      <c r="S19" t="s">
        <v>53</v>
      </c>
      <c r="T19">
        <v>90</v>
      </c>
      <c r="U19">
        <v>1</v>
      </c>
      <c r="V19" s="2">
        <v>4.1666666666666664E-2</v>
      </c>
      <c r="W19">
        <v>90</v>
      </c>
      <c r="X19">
        <v>120</v>
      </c>
      <c r="Y19">
        <v>30</v>
      </c>
      <c r="Z19" t="s">
        <v>87</v>
      </c>
      <c r="AA19" t="s">
        <v>54</v>
      </c>
      <c r="AB19" t="s">
        <v>55</v>
      </c>
      <c r="AC19" t="s">
        <v>56</v>
      </c>
      <c r="AD19" t="s">
        <v>57</v>
      </c>
      <c r="AE19">
        <f t="shared" ref="AE19:AE42" si="4">MONTH(A19)</f>
        <v>11</v>
      </c>
      <c r="AF19" t="str">
        <f t="shared" ref="AF19:AF42" si="5">IF(AE19=11,"November",IF(AE19=12,"December",IF(AE19=1,"January",IF(AE19=2,"February",IF(AE19=3,"March")))))</f>
        <v>November</v>
      </c>
    </row>
    <row r="20" spans="1:32" x14ac:dyDescent="0.3">
      <c r="A20" s="1">
        <v>45625</v>
      </c>
      <c r="B20" t="s">
        <v>14</v>
      </c>
      <c r="C20" t="s">
        <v>46</v>
      </c>
      <c r="D20" t="s">
        <v>47</v>
      </c>
      <c r="E20" t="s">
        <v>48</v>
      </c>
      <c r="F20" t="s">
        <v>49</v>
      </c>
      <c r="G20" t="s">
        <v>50</v>
      </c>
      <c r="H20" t="s">
        <v>59</v>
      </c>
      <c r="I20" t="s">
        <v>94</v>
      </c>
      <c r="J20" t="s">
        <v>51</v>
      </c>
      <c r="K20" t="s">
        <v>47</v>
      </c>
      <c r="L20" t="s">
        <v>13</v>
      </c>
      <c r="M20" t="s">
        <v>10</v>
      </c>
      <c r="N20" t="s">
        <v>10</v>
      </c>
      <c r="O20" t="s">
        <v>8</v>
      </c>
      <c r="P20">
        <v>329817</v>
      </c>
      <c r="Q20" t="s">
        <v>67</v>
      </c>
      <c r="R20" t="s">
        <v>52</v>
      </c>
      <c r="S20" t="s">
        <v>53</v>
      </c>
      <c r="T20">
        <v>0</v>
      </c>
      <c r="U20">
        <v>0.5</v>
      </c>
      <c r="V20" s="2">
        <v>2.0833333333333332E-2</v>
      </c>
      <c r="W20">
        <v>0</v>
      </c>
      <c r="AA20" t="s">
        <v>54</v>
      </c>
      <c r="AB20" t="s">
        <v>55</v>
      </c>
      <c r="AC20" t="s">
        <v>56</v>
      </c>
      <c r="AD20" t="s">
        <v>57</v>
      </c>
      <c r="AE20">
        <f t="shared" si="4"/>
        <v>11</v>
      </c>
      <c r="AF20" t="str">
        <f t="shared" si="5"/>
        <v>November</v>
      </c>
    </row>
    <row r="21" spans="1:32" x14ac:dyDescent="0.3">
      <c r="A21" s="1">
        <v>45628</v>
      </c>
      <c r="B21" t="s">
        <v>14</v>
      </c>
      <c r="C21" t="s">
        <v>46</v>
      </c>
      <c r="D21" t="s">
        <v>47</v>
      </c>
      <c r="E21" t="s">
        <v>48</v>
      </c>
      <c r="F21" t="s">
        <v>49</v>
      </c>
      <c r="G21" t="s">
        <v>50</v>
      </c>
      <c r="H21" t="s">
        <v>59</v>
      </c>
      <c r="I21" t="s">
        <v>94</v>
      </c>
      <c r="J21" t="s">
        <v>51</v>
      </c>
      <c r="K21" t="s">
        <v>47</v>
      </c>
      <c r="L21" t="s">
        <v>13</v>
      </c>
      <c r="M21" t="s">
        <v>10</v>
      </c>
      <c r="N21" t="s">
        <v>10</v>
      </c>
      <c r="O21" t="s">
        <v>8</v>
      </c>
      <c r="P21">
        <v>331412</v>
      </c>
      <c r="Q21" t="s">
        <v>88</v>
      </c>
      <c r="R21" t="s">
        <v>4</v>
      </c>
      <c r="S21" t="s">
        <v>53</v>
      </c>
      <c r="T21">
        <v>90</v>
      </c>
      <c r="U21">
        <v>0.5</v>
      </c>
      <c r="V21" s="2">
        <v>2.0833333333333332E-2</v>
      </c>
      <c r="W21">
        <v>45</v>
      </c>
      <c r="AA21" t="s">
        <v>54</v>
      </c>
      <c r="AC21" t="s">
        <v>56</v>
      </c>
      <c r="AD21" t="s">
        <v>57</v>
      </c>
      <c r="AE21">
        <f t="shared" si="4"/>
        <v>12</v>
      </c>
      <c r="AF21" t="str">
        <f t="shared" si="5"/>
        <v>December</v>
      </c>
    </row>
    <row r="22" spans="1:32" x14ac:dyDescent="0.3">
      <c r="A22" s="1">
        <v>45629</v>
      </c>
      <c r="B22" t="s">
        <v>14</v>
      </c>
      <c r="C22" t="s">
        <v>46</v>
      </c>
      <c r="D22" t="s">
        <v>47</v>
      </c>
      <c r="E22" t="s">
        <v>48</v>
      </c>
      <c r="F22" t="s">
        <v>49</v>
      </c>
      <c r="G22" t="s">
        <v>50</v>
      </c>
      <c r="H22" t="s">
        <v>59</v>
      </c>
      <c r="I22" t="s">
        <v>94</v>
      </c>
      <c r="J22" t="s">
        <v>51</v>
      </c>
      <c r="K22" t="s">
        <v>47</v>
      </c>
      <c r="L22" t="s">
        <v>13</v>
      </c>
      <c r="M22" t="s">
        <v>10</v>
      </c>
      <c r="N22" t="s">
        <v>10</v>
      </c>
      <c r="O22" t="s">
        <v>8</v>
      </c>
      <c r="P22">
        <v>331421</v>
      </c>
      <c r="Q22" t="s">
        <v>88</v>
      </c>
      <c r="R22" t="s">
        <v>4</v>
      </c>
      <c r="S22" t="s">
        <v>53</v>
      </c>
      <c r="T22">
        <v>90</v>
      </c>
      <c r="U22">
        <v>0.5</v>
      </c>
      <c r="V22" s="2">
        <v>2.0833333333333332E-2</v>
      </c>
      <c r="W22">
        <v>45</v>
      </c>
      <c r="AA22" t="s">
        <v>54</v>
      </c>
      <c r="AC22" t="s">
        <v>56</v>
      </c>
      <c r="AD22" t="s">
        <v>57</v>
      </c>
      <c r="AE22">
        <f t="shared" si="4"/>
        <v>12</v>
      </c>
      <c r="AF22" t="str">
        <f t="shared" si="5"/>
        <v>December</v>
      </c>
    </row>
    <row r="23" spans="1:32" x14ac:dyDescent="0.3">
      <c r="A23" s="1">
        <v>45630</v>
      </c>
      <c r="B23" t="s">
        <v>14</v>
      </c>
      <c r="C23" t="s">
        <v>46</v>
      </c>
      <c r="D23" t="s">
        <v>47</v>
      </c>
      <c r="E23" t="s">
        <v>48</v>
      </c>
      <c r="F23" t="s">
        <v>49</v>
      </c>
      <c r="G23" t="s">
        <v>50</v>
      </c>
      <c r="H23" t="s">
        <v>59</v>
      </c>
      <c r="I23" t="s">
        <v>94</v>
      </c>
      <c r="J23" t="s">
        <v>51</v>
      </c>
      <c r="K23" t="s">
        <v>47</v>
      </c>
      <c r="L23" t="s">
        <v>13</v>
      </c>
      <c r="M23" t="s">
        <v>10</v>
      </c>
      <c r="N23" t="s">
        <v>10</v>
      </c>
      <c r="O23" t="s">
        <v>8</v>
      </c>
      <c r="P23">
        <v>331913</v>
      </c>
      <c r="Q23" t="s">
        <v>67</v>
      </c>
      <c r="R23" t="s">
        <v>52</v>
      </c>
      <c r="S23" t="s">
        <v>53</v>
      </c>
      <c r="T23">
        <v>0</v>
      </c>
      <c r="U23">
        <v>0.25</v>
      </c>
      <c r="V23" s="2">
        <v>1.0416666666666666E-2</v>
      </c>
      <c r="W23">
        <v>0</v>
      </c>
      <c r="AA23" t="s">
        <v>54</v>
      </c>
      <c r="AC23" t="s">
        <v>56</v>
      </c>
      <c r="AD23" t="s">
        <v>57</v>
      </c>
      <c r="AE23">
        <f t="shared" si="4"/>
        <v>12</v>
      </c>
      <c r="AF23" t="str">
        <f t="shared" si="5"/>
        <v>December</v>
      </c>
    </row>
    <row r="24" spans="1:32" x14ac:dyDescent="0.3">
      <c r="A24" s="1">
        <v>45631</v>
      </c>
      <c r="B24" t="s">
        <v>14</v>
      </c>
      <c r="C24" t="s">
        <v>46</v>
      </c>
      <c r="D24" t="s">
        <v>47</v>
      </c>
      <c r="E24" t="s">
        <v>48</v>
      </c>
      <c r="F24" t="s">
        <v>49</v>
      </c>
      <c r="G24" t="s">
        <v>50</v>
      </c>
      <c r="H24" t="s">
        <v>59</v>
      </c>
      <c r="I24" t="s">
        <v>94</v>
      </c>
      <c r="J24" t="s">
        <v>51</v>
      </c>
      <c r="K24" t="s">
        <v>47</v>
      </c>
      <c r="L24" t="s">
        <v>13</v>
      </c>
      <c r="M24" t="s">
        <v>10</v>
      </c>
      <c r="N24" t="s">
        <v>10</v>
      </c>
      <c r="O24" t="s">
        <v>8</v>
      </c>
      <c r="P24">
        <v>333449</v>
      </c>
      <c r="Q24" t="s">
        <v>88</v>
      </c>
      <c r="R24" t="s">
        <v>4</v>
      </c>
      <c r="S24" t="s">
        <v>53</v>
      </c>
      <c r="T24">
        <v>90</v>
      </c>
      <c r="U24">
        <v>1</v>
      </c>
      <c r="V24" s="2">
        <v>4.1666666666666664E-2</v>
      </c>
      <c r="W24">
        <v>90</v>
      </c>
      <c r="AA24" t="s">
        <v>54</v>
      </c>
      <c r="AC24" t="s">
        <v>56</v>
      </c>
      <c r="AD24" t="s">
        <v>57</v>
      </c>
      <c r="AE24">
        <f t="shared" si="4"/>
        <v>12</v>
      </c>
      <c r="AF24" t="str">
        <f t="shared" si="5"/>
        <v>December</v>
      </c>
    </row>
    <row r="25" spans="1:32" x14ac:dyDescent="0.3">
      <c r="A25" s="1">
        <v>45617</v>
      </c>
      <c r="B25" t="s">
        <v>10</v>
      </c>
      <c r="C25" t="s">
        <v>46</v>
      </c>
      <c r="D25" t="s">
        <v>47</v>
      </c>
      <c r="E25" t="s">
        <v>48</v>
      </c>
      <c r="F25" t="s">
        <v>49</v>
      </c>
      <c r="G25" t="s">
        <v>50</v>
      </c>
      <c r="H25" t="s">
        <v>59</v>
      </c>
      <c r="I25" t="s">
        <v>94</v>
      </c>
      <c r="J25" t="s">
        <v>51</v>
      </c>
      <c r="K25" t="s">
        <v>47</v>
      </c>
      <c r="L25" t="s">
        <v>13</v>
      </c>
      <c r="M25" t="s">
        <v>10</v>
      </c>
      <c r="N25" t="s">
        <v>56</v>
      </c>
      <c r="O25" t="s">
        <v>8</v>
      </c>
      <c r="P25">
        <v>328871</v>
      </c>
      <c r="Q25" t="s">
        <v>88</v>
      </c>
      <c r="R25" t="s">
        <v>4</v>
      </c>
      <c r="S25" t="s">
        <v>53</v>
      </c>
      <c r="T25">
        <v>90</v>
      </c>
      <c r="U25">
        <v>0.5</v>
      </c>
      <c r="V25" s="2">
        <v>2.0833333333333332E-2</v>
      </c>
      <c r="W25">
        <v>45</v>
      </c>
      <c r="X25">
        <v>60</v>
      </c>
      <c r="Y25">
        <v>15</v>
      </c>
      <c r="Z25" t="s">
        <v>87</v>
      </c>
      <c r="AA25" t="s">
        <v>54</v>
      </c>
      <c r="AB25" t="s">
        <v>55</v>
      </c>
      <c r="AC25" t="s">
        <v>89</v>
      </c>
      <c r="AD25" t="s">
        <v>57</v>
      </c>
      <c r="AE25">
        <f t="shared" si="4"/>
        <v>11</v>
      </c>
      <c r="AF25" t="str">
        <f t="shared" si="5"/>
        <v>November</v>
      </c>
    </row>
    <row r="26" spans="1:32" x14ac:dyDescent="0.3">
      <c r="A26" s="1">
        <v>45621</v>
      </c>
      <c r="B26" t="s">
        <v>10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59</v>
      </c>
      <c r="I26" t="s">
        <v>94</v>
      </c>
      <c r="J26" t="s">
        <v>51</v>
      </c>
      <c r="K26" t="s">
        <v>47</v>
      </c>
      <c r="L26" t="s">
        <v>13</v>
      </c>
      <c r="M26" t="s">
        <v>10</v>
      </c>
      <c r="N26" t="s">
        <v>56</v>
      </c>
      <c r="O26" t="s">
        <v>8</v>
      </c>
      <c r="P26">
        <v>328882</v>
      </c>
      <c r="Q26" t="s">
        <v>88</v>
      </c>
      <c r="R26" t="s">
        <v>4</v>
      </c>
      <c r="S26" t="s">
        <v>53</v>
      </c>
      <c r="T26">
        <v>90</v>
      </c>
      <c r="U26">
        <v>1</v>
      </c>
      <c r="V26" s="2">
        <v>4.1666666666666664E-2</v>
      </c>
      <c r="W26">
        <v>90</v>
      </c>
      <c r="X26">
        <v>120</v>
      </c>
      <c r="Y26">
        <v>30</v>
      </c>
      <c r="Z26" t="s">
        <v>87</v>
      </c>
      <c r="AA26" t="s">
        <v>54</v>
      </c>
      <c r="AB26" t="s">
        <v>55</v>
      </c>
      <c r="AC26" t="s">
        <v>90</v>
      </c>
      <c r="AD26" t="s">
        <v>57</v>
      </c>
      <c r="AE26">
        <f t="shared" si="4"/>
        <v>11</v>
      </c>
      <c r="AF26" t="str">
        <f t="shared" si="5"/>
        <v>November</v>
      </c>
    </row>
    <row r="27" spans="1:32" x14ac:dyDescent="0.3">
      <c r="A27" s="1">
        <v>45622</v>
      </c>
      <c r="B27" t="s">
        <v>10</v>
      </c>
      <c r="C27" t="s">
        <v>46</v>
      </c>
      <c r="D27" t="s">
        <v>47</v>
      </c>
      <c r="E27" t="s">
        <v>48</v>
      </c>
      <c r="F27" t="s">
        <v>49</v>
      </c>
      <c r="G27" t="s">
        <v>50</v>
      </c>
      <c r="H27" t="s">
        <v>59</v>
      </c>
      <c r="I27" t="s">
        <v>94</v>
      </c>
      <c r="J27" t="s">
        <v>51</v>
      </c>
      <c r="K27" t="s">
        <v>47</v>
      </c>
      <c r="L27" t="s">
        <v>13</v>
      </c>
      <c r="M27" t="s">
        <v>10</v>
      </c>
      <c r="N27" t="s">
        <v>56</v>
      </c>
      <c r="O27" t="s">
        <v>8</v>
      </c>
      <c r="P27">
        <v>328895</v>
      </c>
      <c r="Q27" t="s">
        <v>88</v>
      </c>
      <c r="R27" t="s">
        <v>4</v>
      </c>
      <c r="S27" t="s">
        <v>53</v>
      </c>
      <c r="T27">
        <v>90</v>
      </c>
      <c r="U27">
        <v>1</v>
      </c>
      <c r="V27" s="2">
        <v>4.1666666666666664E-2</v>
      </c>
      <c r="W27">
        <v>90</v>
      </c>
      <c r="X27">
        <v>120</v>
      </c>
      <c r="Y27">
        <v>30</v>
      </c>
      <c r="Z27" t="s">
        <v>87</v>
      </c>
      <c r="AA27" t="s">
        <v>54</v>
      </c>
      <c r="AB27" t="s">
        <v>55</v>
      </c>
      <c r="AC27" t="s">
        <v>91</v>
      </c>
      <c r="AD27" t="s">
        <v>57</v>
      </c>
      <c r="AE27">
        <f t="shared" si="4"/>
        <v>11</v>
      </c>
      <c r="AF27" t="str">
        <f t="shared" si="5"/>
        <v>November</v>
      </c>
    </row>
    <row r="28" spans="1:32" x14ac:dyDescent="0.3">
      <c r="A28" s="1">
        <v>45623</v>
      </c>
      <c r="B28" t="s">
        <v>10</v>
      </c>
      <c r="C28" t="s">
        <v>46</v>
      </c>
      <c r="D28" t="s">
        <v>47</v>
      </c>
      <c r="E28" t="s">
        <v>48</v>
      </c>
      <c r="F28" t="s">
        <v>49</v>
      </c>
      <c r="G28" t="s">
        <v>50</v>
      </c>
      <c r="H28" t="s">
        <v>59</v>
      </c>
      <c r="I28" t="s">
        <v>94</v>
      </c>
      <c r="J28" t="s">
        <v>51</v>
      </c>
      <c r="K28" t="s">
        <v>47</v>
      </c>
      <c r="L28" t="s">
        <v>13</v>
      </c>
      <c r="M28" t="s">
        <v>10</v>
      </c>
      <c r="N28" t="s">
        <v>56</v>
      </c>
      <c r="O28" t="s">
        <v>8</v>
      </c>
      <c r="P28">
        <v>328899</v>
      </c>
      <c r="Q28" t="s">
        <v>88</v>
      </c>
      <c r="R28" t="s">
        <v>4</v>
      </c>
      <c r="S28" t="s">
        <v>53</v>
      </c>
      <c r="T28">
        <v>90</v>
      </c>
      <c r="U28">
        <v>0.5</v>
      </c>
      <c r="V28" s="2">
        <v>2.0833333333333332E-2</v>
      </c>
      <c r="W28">
        <v>45</v>
      </c>
      <c r="X28">
        <v>60</v>
      </c>
      <c r="Y28">
        <v>15</v>
      </c>
      <c r="Z28" t="s">
        <v>87</v>
      </c>
      <c r="AA28" t="s">
        <v>54</v>
      </c>
      <c r="AB28" t="s">
        <v>55</v>
      </c>
      <c r="AC28" t="s">
        <v>92</v>
      </c>
      <c r="AD28" t="s">
        <v>57</v>
      </c>
      <c r="AE28">
        <f t="shared" si="4"/>
        <v>11</v>
      </c>
      <c r="AF28" t="str">
        <f t="shared" si="5"/>
        <v>November</v>
      </c>
    </row>
    <row r="29" spans="1:32" x14ac:dyDescent="0.3">
      <c r="A29" s="1">
        <v>45624</v>
      </c>
      <c r="B29" t="s">
        <v>10</v>
      </c>
      <c r="C29" t="s">
        <v>46</v>
      </c>
      <c r="D29" t="s">
        <v>47</v>
      </c>
      <c r="E29" t="s">
        <v>48</v>
      </c>
      <c r="F29" t="s">
        <v>49</v>
      </c>
      <c r="G29" t="s">
        <v>50</v>
      </c>
      <c r="H29" t="s">
        <v>59</v>
      </c>
      <c r="I29" t="s">
        <v>94</v>
      </c>
      <c r="J29" t="s">
        <v>51</v>
      </c>
      <c r="K29" t="s">
        <v>47</v>
      </c>
      <c r="L29" t="s">
        <v>13</v>
      </c>
      <c r="M29" t="s">
        <v>10</v>
      </c>
      <c r="N29" t="s">
        <v>56</v>
      </c>
      <c r="O29" t="s">
        <v>8</v>
      </c>
      <c r="P29">
        <v>330390</v>
      </c>
      <c r="Q29" t="s">
        <v>88</v>
      </c>
      <c r="R29" t="s">
        <v>4</v>
      </c>
      <c r="S29" t="s">
        <v>53</v>
      </c>
      <c r="T29">
        <v>90</v>
      </c>
      <c r="U29">
        <v>0.5</v>
      </c>
      <c r="V29" s="2">
        <v>2.0833333333333332E-2</v>
      </c>
      <c r="W29">
        <v>45</v>
      </c>
      <c r="X29">
        <v>60</v>
      </c>
      <c r="Y29">
        <v>15</v>
      </c>
      <c r="Z29" t="s">
        <v>87</v>
      </c>
      <c r="AA29" t="s">
        <v>54</v>
      </c>
      <c r="AC29" t="s">
        <v>93</v>
      </c>
      <c r="AD29" t="s">
        <v>57</v>
      </c>
      <c r="AE29">
        <f t="shared" si="4"/>
        <v>11</v>
      </c>
      <c r="AF29" t="str">
        <f t="shared" si="5"/>
        <v>November</v>
      </c>
    </row>
    <row r="30" spans="1:32" x14ac:dyDescent="0.3">
      <c r="A30" s="1">
        <v>45614</v>
      </c>
      <c r="B30" t="s">
        <v>61</v>
      </c>
      <c r="C30" t="s">
        <v>46</v>
      </c>
      <c r="D30" t="s">
        <v>47</v>
      </c>
      <c r="E30" t="s">
        <v>58</v>
      </c>
      <c r="F30" t="s">
        <v>49</v>
      </c>
      <c r="G30" t="s">
        <v>50</v>
      </c>
      <c r="H30" t="s">
        <v>59</v>
      </c>
      <c r="I30" t="s">
        <v>94</v>
      </c>
      <c r="J30" t="s">
        <v>51</v>
      </c>
      <c r="K30" t="s">
        <v>47</v>
      </c>
      <c r="L30" t="s">
        <v>13</v>
      </c>
      <c r="M30" t="s">
        <v>10</v>
      </c>
      <c r="N30" t="s">
        <v>56</v>
      </c>
      <c r="O30" t="s">
        <v>8</v>
      </c>
      <c r="P30">
        <v>325476</v>
      </c>
      <c r="Q30" t="s">
        <v>62</v>
      </c>
      <c r="R30" t="s">
        <v>4</v>
      </c>
      <c r="S30" t="s">
        <v>53</v>
      </c>
      <c r="T30">
        <v>90</v>
      </c>
      <c r="U30">
        <v>0.25</v>
      </c>
      <c r="V30" s="2">
        <v>1.0416666666666666E-2</v>
      </c>
      <c r="W30">
        <v>22.5</v>
      </c>
      <c r="X30">
        <v>30</v>
      </c>
      <c r="Y30">
        <v>7.5</v>
      </c>
      <c r="Z30" t="s">
        <v>87</v>
      </c>
      <c r="AA30" t="s">
        <v>54</v>
      </c>
      <c r="AB30" t="s">
        <v>55</v>
      </c>
      <c r="AC30" t="s">
        <v>63</v>
      </c>
      <c r="AD30" t="s">
        <v>57</v>
      </c>
      <c r="AE30">
        <f t="shared" si="4"/>
        <v>11</v>
      </c>
      <c r="AF30" t="str">
        <f t="shared" si="5"/>
        <v>November</v>
      </c>
    </row>
    <row r="31" spans="1:32" x14ac:dyDescent="0.3">
      <c r="A31" s="1">
        <v>45615</v>
      </c>
      <c r="B31" t="s">
        <v>61</v>
      </c>
      <c r="C31" t="s">
        <v>46</v>
      </c>
      <c r="D31" t="s">
        <v>47</v>
      </c>
      <c r="E31" t="s">
        <v>58</v>
      </c>
      <c r="F31" t="s">
        <v>49</v>
      </c>
      <c r="G31" t="s">
        <v>50</v>
      </c>
      <c r="H31" t="s">
        <v>59</v>
      </c>
      <c r="I31" t="s">
        <v>94</v>
      </c>
      <c r="J31" t="s">
        <v>51</v>
      </c>
      <c r="K31" t="s">
        <v>47</v>
      </c>
      <c r="L31" t="s">
        <v>13</v>
      </c>
      <c r="M31" t="s">
        <v>10</v>
      </c>
      <c r="N31" t="s">
        <v>56</v>
      </c>
      <c r="O31" t="s">
        <v>8</v>
      </c>
      <c r="P31">
        <v>325746</v>
      </c>
      <c r="Q31" t="s">
        <v>62</v>
      </c>
      <c r="R31" t="s">
        <v>4</v>
      </c>
      <c r="S31" t="s">
        <v>53</v>
      </c>
      <c r="T31">
        <v>90</v>
      </c>
      <c r="U31">
        <v>0.25</v>
      </c>
      <c r="V31" s="2">
        <v>1.0416666666666666E-2</v>
      </c>
      <c r="W31">
        <v>22.5</v>
      </c>
      <c r="X31">
        <v>30</v>
      </c>
      <c r="Y31">
        <v>7.5</v>
      </c>
      <c r="Z31" t="s">
        <v>87</v>
      </c>
      <c r="AA31" t="s">
        <v>54</v>
      </c>
      <c r="AB31" t="s">
        <v>55</v>
      </c>
      <c r="AC31" t="s">
        <v>64</v>
      </c>
      <c r="AD31" t="s">
        <v>57</v>
      </c>
      <c r="AE31">
        <f t="shared" si="4"/>
        <v>11</v>
      </c>
      <c r="AF31" t="str">
        <f t="shared" si="5"/>
        <v>November</v>
      </c>
    </row>
    <row r="32" spans="1:32" x14ac:dyDescent="0.3">
      <c r="A32" s="1">
        <v>45616</v>
      </c>
      <c r="B32" t="s">
        <v>61</v>
      </c>
      <c r="C32" t="s">
        <v>46</v>
      </c>
      <c r="D32" t="s">
        <v>47</v>
      </c>
      <c r="E32" t="s">
        <v>58</v>
      </c>
      <c r="F32" t="s">
        <v>49</v>
      </c>
      <c r="G32" t="s">
        <v>50</v>
      </c>
      <c r="H32" t="s">
        <v>59</v>
      </c>
      <c r="I32" t="s">
        <v>94</v>
      </c>
      <c r="J32" t="s">
        <v>51</v>
      </c>
      <c r="K32" t="s">
        <v>47</v>
      </c>
      <c r="L32" t="s">
        <v>13</v>
      </c>
      <c r="M32" t="s">
        <v>10</v>
      </c>
      <c r="N32" t="s">
        <v>56</v>
      </c>
      <c r="O32" t="s">
        <v>8</v>
      </c>
      <c r="P32">
        <v>325465</v>
      </c>
      <c r="Q32" t="s">
        <v>62</v>
      </c>
      <c r="R32" t="s">
        <v>4</v>
      </c>
      <c r="S32" t="s">
        <v>53</v>
      </c>
      <c r="T32">
        <v>90</v>
      </c>
      <c r="U32">
        <v>0.25</v>
      </c>
      <c r="V32" s="2">
        <v>1.0416666666666666E-2</v>
      </c>
      <c r="W32">
        <v>22.5</v>
      </c>
      <c r="X32">
        <v>30</v>
      </c>
      <c r="Y32">
        <v>7.5</v>
      </c>
      <c r="Z32" t="s">
        <v>87</v>
      </c>
      <c r="AA32" t="s">
        <v>54</v>
      </c>
      <c r="AB32" t="s">
        <v>55</v>
      </c>
      <c r="AC32" t="s">
        <v>64</v>
      </c>
      <c r="AD32" t="s">
        <v>57</v>
      </c>
      <c r="AE32">
        <f t="shared" si="4"/>
        <v>11</v>
      </c>
      <c r="AF32" t="str">
        <f t="shared" si="5"/>
        <v>November</v>
      </c>
    </row>
    <row r="33" spans="1:32" x14ac:dyDescent="0.3">
      <c r="A33" s="1">
        <v>45617</v>
      </c>
      <c r="B33" t="s">
        <v>61</v>
      </c>
      <c r="C33" t="s">
        <v>46</v>
      </c>
      <c r="D33" t="s">
        <v>47</v>
      </c>
      <c r="E33" t="s">
        <v>58</v>
      </c>
      <c r="F33" t="s">
        <v>49</v>
      </c>
      <c r="G33" t="s">
        <v>50</v>
      </c>
      <c r="H33" t="s">
        <v>59</v>
      </c>
      <c r="I33" t="s">
        <v>94</v>
      </c>
      <c r="J33" t="s">
        <v>51</v>
      </c>
      <c r="K33" t="s">
        <v>47</v>
      </c>
      <c r="L33" t="s">
        <v>13</v>
      </c>
      <c r="M33" t="s">
        <v>10</v>
      </c>
      <c r="N33" t="s">
        <v>56</v>
      </c>
      <c r="O33" t="s">
        <v>8</v>
      </c>
      <c r="P33">
        <v>325938</v>
      </c>
      <c r="Q33" t="s">
        <v>62</v>
      </c>
      <c r="R33" t="s">
        <v>4</v>
      </c>
      <c r="S33" t="s">
        <v>53</v>
      </c>
      <c r="T33">
        <v>90</v>
      </c>
      <c r="U33">
        <v>0.5</v>
      </c>
      <c r="V33" s="2">
        <v>2.0833333333333332E-2</v>
      </c>
      <c r="W33">
        <v>45</v>
      </c>
      <c r="X33">
        <v>60</v>
      </c>
      <c r="Y33">
        <v>15</v>
      </c>
      <c r="Z33" t="s">
        <v>87</v>
      </c>
      <c r="AA33" t="s">
        <v>54</v>
      </c>
      <c r="AB33" t="s">
        <v>55</v>
      </c>
      <c r="AC33" t="s">
        <v>65</v>
      </c>
      <c r="AD33" t="s">
        <v>57</v>
      </c>
      <c r="AE33">
        <f t="shared" si="4"/>
        <v>11</v>
      </c>
      <c r="AF33" t="str">
        <f t="shared" si="5"/>
        <v>November</v>
      </c>
    </row>
    <row r="34" spans="1:32" x14ac:dyDescent="0.3">
      <c r="A34" s="1">
        <v>45618</v>
      </c>
      <c r="B34" t="s">
        <v>61</v>
      </c>
      <c r="C34" t="s">
        <v>46</v>
      </c>
      <c r="D34" t="s">
        <v>47</v>
      </c>
      <c r="E34" t="s">
        <v>58</v>
      </c>
      <c r="F34" t="s">
        <v>49</v>
      </c>
      <c r="G34" t="s">
        <v>50</v>
      </c>
      <c r="H34" t="s">
        <v>59</v>
      </c>
      <c r="I34" t="s">
        <v>94</v>
      </c>
      <c r="J34" t="s">
        <v>51</v>
      </c>
      <c r="K34" t="s">
        <v>47</v>
      </c>
      <c r="L34" t="s">
        <v>13</v>
      </c>
      <c r="M34" t="s">
        <v>10</v>
      </c>
      <c r="N34" t="s">
        <v>56</v>
      </c>
      <c r="O34" t="s">
        <v>8</v>
      </c>
      <c r="P34">
        <v>326763</v>
      </c>
      <c r="Q34" t="s">
        <v>62</v>
      </c>
      <c r="R34" t="s">
        <v>4</v>
      </c>
      <c r="S34" t="s">
        <v>53</v>
      </c>
      <c r="T34">
        <v>90</v>
      </c>
      <c r="U34">
        <v>0.25</v>
      </c>
      <c r="V34" s="2">
        <v>1.0416666666666666E-2</v>
      </c>
      <c r="W34">
        <v>22.5</v>
      </c>
      <c r="X34">
        <v>30</v>
      </c>
      <c r="Y34">
        <v>7.5</v>
      </c>
      <c r="Z34" t="s">
        <v>87</v>
      </c>
      <c r="AA34" t="s">
        <v>54</v>
      </c>
      <c r="AB34" t="s">
        <v>55</v>
      </c>
      <c r="AC34" t="s">
        <v>56</v>
      </c>
      <c r="AD34" t="s">
        <v>57</v>
      </c>
      <c r="AE34">
        <f t="shared" si="4"/>
        <v>11</v>
      </c>
      <c r="AF34" t="str">
        <f t="shared" si="5"/>
        <v>November</v>
      </c>
    </row>
    <row r="35" spans="1:32" x14ac:dyDescent="0.3">
      <c r="A35" s="1">
        <v>45621</v>
      </c>
      <c r="B35" t="s">
        <v>61</v>
      </c>
      <c r="C35" t="s">
        <v>46</v>
      </c>
      <c r="D35" t="s">
        <v>47</v>
      </c>
      <c r="E35" t="s">
        <v>58</v>
      </c>
      <c r="F35" t="s">
        <v>49</v>
      </c>
      <c r="G35" t="s">
        <v>50</v>
      </c>
      <c r="H35" t="s">
        <v>59</v>
      </c>
      <c r="I35" t="s">
        <v>94</v>
      </c>
      <c r="J35" t="s">
        <v>51</v>
      </c>
      <c r="K35" t="s">
        <v>47</v>
      </c>
      <c r="L35" t="s">
        <v>13</v>
      </c>
      <c r="M35" t="s">
        <v>10</v>
      </c>
      <c r="N35" t="s">
        <v>56</v>
      </c>
      <c r="O35" t="s">
        <v>8</v>
      </c>
      <c r="P35">
        <v>327547</v>
      </c>
      <c r="Q35" t="s">
        <v>62</v>
      </c>
      <c r="R35" t="s">
        <v>4</v>
      </c>
      <c r="S35" t="s">
        <v>53</v>
      </c>
      <c r="T35">
        <v>90</v>
      </c>
      <c r="U35">
        <v>1.25</v>
      </c>
      <c r="V35" s="2">
        <v>5.2083333333333336E-2</v>
      </c>
      <c r="W35">
        <v>112.5</v>
      </c>
      <c r="X35">
        <v>150</v>
      </c>
      <c r="Y35">
        <v>37.5</v>
      </c>
      <c r="Z35" t="s">
        <v>87</v>
      </c>
      <c r="AA35" t="s">
        <v>54</v>
      </c>
      <c r="AB35" t="s">
        <v>55</v>
      </c>
      <c r="AC35" t="s">
        <v>56</v>
      </c>
      <c r="AD35" t="s">
        <v>57</v>
      </c>
      <c r="AE35">
        <f t="shared" si="4"/>
        <v>11</v>
      </c>
      <c r="AF35" t="str">
        <f t="shared" si="5"/>
        <v>November</v>
      </c>
    </row>
    <row r="36" spans="1:32" x14ac:dyDescent="0.3">
      <c r="A36" s="1">
        <v>45622</v>
      </c>
      <c r="B36" t="s">
        <v>61</v>
      </c>
      <c r="C36" t="s">
        <v>46</v>
      </c>
      <c r="D36" t="s">
        <v>47</v>
      </c>
      <c r="E36" t="s">
        <v>58</v>
      </c>
      <c r="F36" t="s">
        <v>49</v>
      </c>
      <c r="G36" t="s">
        <v>50</v>
      </c>
      <c r="H36" t="s">
        <v>59</v>
      </c>
      <c r="I36" t="s">
        <v>94</v>
      </c>
      <c r="J36" t="s">
        <v>51</v>
      </c>
      <c r="K36" t="s">
        <v>47</v>
      </c>
      <c r="L36" t="s">
        <v>13</v>
      </c>
      <c r="M36" t="s">
        <v>10</v>
      </c>
      <c r="N36" t="s">
        <v>56</v>
      </c>
      <c r="O36" t="s">
        <v>8</v>
      </c>
      <c r="P36">
        <v>328016</v>
      </c>
      <c r="Q36" t="s">
        <v>62</v>
      </c>
      <c r="R36" t="s">
        <v>4</v>
      </c>
      <c r="S36" t="s">
        <v>53</v>
      </c>
      <c r="T36">
        <v>90</v>
      </c>
      <c r="U36">
        <v>2.75</v>
      </c>
      <c r="V36" s="2">
        <v>0.11458333333333333</v>
      </c>
      <c r="W36">
        <v>247.5</v>
      </c>
      <c r="X36">
        <v>330</v>
      </c>
      <c r="Y36">
        <v>82.5</v>
      </c>
      <c r="Z36" t="s">
        <v>87</v>
      </c>
      <c r="AA36" t="s">
        <v>54</v>
      </c>
      <c r="AB36" t="s">
        <v>55</v>
      </c>
      <c r="AC36" t="s">
        <v>56</v>
      </c>
      <c r="AD36" t="s">
        <v>57</v>
      </c>
      <c r="AE36">
        <f t="shared" si="4"/>
        <v>11</v>
      </c>
      <c r="AF36" t="str">
        <f t="shared" si="5"/>
        <v>November</v>
      </c>
    </row>
    <row r="37" spans="1:32" x14ac:dyDescent="0.3">
      <c r="A37" s="1">
        <v>45623</v>
      </c>
      <c r="B37" t="s">
        <v>61</v>
      </c>
      <c r="C37" t="s">
        <v>46</v>
      </c>
      <c r="D37" t="s">
        <v>47</v>
      </c>
      <c r="E37" t="s">
        <v>58</v>
      </c>
      <c r="F37" t="s">
        <v>49</v>
      </c>
      <c r="G37" t="s">
        <v>50</v>
      </c>
      <c r="H37" t="s">
        <v>59</v>
      </c>
      <c r="I37" t="s">
        <v>94</v>
      </c>
      <c r="J37" t="s">
        <v>51</v>
      </c>
      <c r="K37" t="s">
        <v>47</v>
      </c>
      <c r="L37" t="s">
        <v>13</v>
      </c>
      <c r="M37" t="s">
        <v>10</v>
      </c>
      <c r="N37" t="s">
        <v>56</v>
      </c>
      <c r="O37" t="s">
        <v>8</v>
      </c>
      <c r="P37">
        <v>328660</v>
      </c>
      <c r="Q37" t="s">
        <v>62</v>
      </c>
      <c r="R37" t="s">
        <v>4</v>
      </c>
      <c r="S37" t="s">
        <v>53</v>
      </c>
      <c r="T37">
        <v>90</v>
      </c>
      <c r="U37">
        <v>1</v>
      </c>
      <c r="V37" s="2">
        <v>4.1666666666666664E-2</v>
      </c>
      <c r="W37">
        <v>90</v>
      </c>
      <c r="X37">
        <v>120</v>
      </c>
      <c r="Y37">
        <v>30</v>
      </c>
      <c r="Z37" t="s">
        <v>87</v>
      </c>
      <c r="AA37" t="s">
        <v>54</v>
      </c>
      <c r="AB37" t="s">
        <v>55</v>
      </c>
      <c r="AC37" t="s">
        <v>56</v>
      </c>
      <c r="AD37" t="s">
        <v>57</v>
      </c>
      <c r="AE37">
        <f t="shared" si="4"/>
        <v>11</v>
      </c>
      <c r="AF37" t="str">
        <f t="shared" si="5"/>
        <v>November</v>
      </c>
    </row>
    <row r="38" spans="1:32" x14ac:dyDescent="0.3">
      <c r="A38" s="1">
        <v>45624</v>
      </c>
      <c r="B38" t="s">
        <v>61</v>
      </c>
      <c r="C38" t="s">
        <v>46</v>
      </c>
      <c r="D38" t="s">
        <v>47</v>
      </c>
      <c r="E38" t="s">
        <v>58</v>
      </c>
      <c r="F38" t="s">
        <v>49</v>
      </c>
      <c r="G38" t="s">
        <v>50</v>
      </c>
      <c r="H38" t="s">
        <v>59</v>
      </c>
      <c r="I38" t="s">
        <v>94</v>
      </c>
      <c r="J38" t="s">
        <v>51</v>
      </c>
      <c r="K38" t="s">
        <v>47</v>
      </c>
      <c r="L38" t="s">
        <v>13</v>
      </c>
      <c r="M38" t="s">
        <v>10</v>
      </c>
      <c r="N38" t="s">
        <v>56</v>
      </c>
      <c r="O38" t="s">
        <v>8</v>
      </c>
      <c r="P38">
        <v>329490</v>
      </c>
      <c r="Q38" t="s">
        <v>62</v>
      </c>
      <c r="R38" t="s">
        <v>4</v>
      </c>
      <c r="S38" t="s">
        <v>53</v>
      </c>
      <c r="T38">
        <v>90</v>
      </c>
      <c r="U38">
        <v>4</v>
      </c>
      <c r="V38" s="2">
        <v>0.16666666666666666</v>
      </c>
      <c r="W38">
        <v>360</v>
      </c>
      <c r="X38">
        <v>480</v>
      </c>
      <c r="Y38">
        <v>120</v>
      </c>
      <c r="Z38" t="s">
        <v>87</v>
      </c>
      <c r="AA38" t="s">
        <v>54</v>
      </c>
      <c r="AB38" t="s">
        <v>55</v>
      </c>
      <c r="AC38" t="s">
        <v>56</v>
      </c>
      <c r="AD38" t="s">
        <v>57</v>
      </c>
      <c r="AE38">
        <f t="shared" si="4"/>
        <v>11</v>
      </c>
      <c r="AF38" t="str">
        <f t="shared" si="5"/>
        <v>November</v>
      </c>
    </row>
    <row r="39" spans="1:32" x14ac:dyDescent="0.3">
      <c r="A39" s="1">
        <v>45625</v>
      </c>
      <c r="B39" t="s">
        <v>61</v>
      </c>
      <c r="C39" t="s">
        <v>46</v>
      </c>
      <c r="D39" t="s">
        <v>47</v>
      </c>
      <c r="E39" t="s">
        <v>58</v>
      </c>
      <c r="F39" t="s">
        <v>49</v>
      </c>
      <c r="G39" t="s">
        <v>50</v>
      </c>
      <c r="H39" t="s">
        <v>59</v>
      </c>
      <c r="I39" t="s">
        <v>94</v>
      </c>
      <c r="J39" t="s">
        <v>51</v>
      </c>
      <c r="K39" t="s">
        <v>47</v>
      </c>
      <c r="L39" t="s">
        <v>13</v>
      </c>
      <c r="M39" t="s">
        <v>10</v>
      </c>
      <c r="N39" t="s">
        <v>56</v>
      </c>
      <c r="O39" t="s">
        <v>8</v>
      </c>
      <c r="P39">
        <v>329493</v>
      </c>
      <c r="Q39" t="s">
        <v>62</v>
      </c>
      <c r="R39" t="s">
        <v>4</v>
      </c>
      <c r="S39" t="s">
        <v>53</v>
      </c>
      <c r="T39">
        <v>90</v>
      </c>
      <c r="U39">
        <v>1.25</v>
      </c>
      <c r="V39" s="2">
        <v>5.2083333333333336E-2</v>
      </c>
      <c r="W39">
        <v>112.5</v>
      </c>
      <c r="X39">
        <v>150</v>
      </c>
      <c r="Y39">
        <v>37.5</v>
      </c>
      <c r="Z39" t="s">
        <v>87</v>
      </c>
      <c r="AA39" t="s">
        <v>54</v>
      </c>
      <c r="AB39" t="s">
        <v>55</v>
      </c>
      <c r="AC39" t="s">
        <v>56</v>
      </c>
      <c r="AD39" t="s">
        <v>57</v>
      </c>
      <c r="AE39">
        <f t="shared" si="4"/>
        <v>11</v>
      </c>
      <c r="AF39" t="str">
        <f t="shared" si="5"/>
        <v>November</v>
      </c>
    </row>
    <row r="40" spans="1:32" x14ac:dyDescent="0.3">
      <c r="A40" s="1">
        <v>45628</v>
      </c>
      <c r="B40" t="s">
        <v>61</v>
      </c>
      <c r="C40" t="s">
        <v>46</v>
      </c>
      <c r="D40" t="s">
        <v>47</v>
      </c>
      <c r="E40" t="s">
        <v>58</v>
      </c>
      <c r="F40" t="s">
        <v>49</v>
      </c>
      <c r="G40" t="s">
        <v>50</v>
      </c>
      <c r="H40" t="s">
        <v>59</v>
      </c>
      <c r="I40" t="s">
        <v>94</v>
      </c>
      <c r="J40" t="s">
        <v>51</v>
      </c>
      <c r="K40" t="s">
        <v>47</v>
      </c>
      <c r="L40" t="s">
        <v>13</v>
      </c>
      <c r="M40" t="s">
        <v>10</v>
      </c>
      <c r="N40" t="s">
        <v>56</v>
      </c>
      <c r="O40" t="s">
        <v>8</v>
      </c>
      <c r="P40">
        <v>330916</v>
      </c>
      <c r="Q40" t="s">
        <v>62</v>
      </c>
      <c r="R40" t="s">
        <v>4</v>
      </c>
      <c r="S40" t="s">
        <v>53</v>
      </c>
      <c r="T40">
        <v>90</v>
      </c>
      <c r="U40">
        <v>1</v>
      </c>
      <c r="V40" s="2">
        <v>4.1666666666666664E-2</v>
      </c>
      <c r="W40">
        <v>90</v>
      </c>
      <c r="AA40" t="s">
        <v>54</v>
      </c>
      <c r="AC40" t="s">
        <v>56</v>
      </c>
      <c r="AD40" t="s">
        <v>57</v>
      </c>
      <c r="AE40">
        <f t="shared" si="4"/>
        <v>12</v>
      </c>
      <c r="AF40" t="str">
        <f t="shared" si="5"/>
        <v>December</v>
      </c>
    </row>
    <row r="41" spans="1:32" x14ac:dyDescent="0.3">
      <c r="A41" s="1">
        <v>45629</v>
      </c>
      <c r="B41" t="s">
        <v>61</v>
      </c>
      <c r="C41" t="s">
        <v>46</v>
      </c>
      <c r="D41" t="s">
        <v>47</v>
      </c>
      <c r="E41" t="s">
        <v>58</v>
      </c>
      <c r="F41" t="s">
        <v>49</v>
      </c>
      <c r="G41" t="s">
        <v>50</v>
      </c>
      <c r="H41" t="s">
        <v>59</v>
      </c>
      <c r="I41" t="s">
        <v>94</v>
      </c>
      <c r="J41" t="s">
        <v>51</v>
      </c>
      <c r="K41" t="s">
        <v>47</v>
      </c>
      <c r="L41" t="s">
        <v>13</v>
      </c>
      <c r="M41" t="s">
        <v>10</v>
      </c>
      <c r="N41" t="s">
        <v>56</v>
      </c>
      <c r="O41" t="s">
        <v>8</v>
      </c>
      <c r="P41">
        <v>331015</v>
      </c>
      <c r="Q41" t="s">
        <v>62</v>
      </c>
      <c r="R41" t="s">
        <v>4</v>
      </c>
      <c r="S41" t="s">
        <v>53</v>
      </c>
      <c r="T41">
        <v>90</v>
      </c>
      <c r="U41">
        <v>1.75</v>
      </c>
      <c r="V41" s="2">
        <v>7.2916666666666671E-2</v>
      </c>
      <c r="W41">
        <v>157.5</v>
      </c>
      <c r="AA41" t="s">
        <v>54</v>
      </c>
      <c r="AC41" t="s">
        <v>56</v>
      </c>
      <c r="AD41" t="s">
        <v>57</v>
      </c>
      <c r="AE41">
        <f t="shared" si="4"/>
        <v>12</v>
      </c>
      <c r="AF41" t="str">
        <f t="shared" si="5"/>
        <v>December</v>
      </c>
    </row>
    <row r="42" spans="1:32" x14ac:dyDescent="0.3">
      <c r="A42" s="1">
        <v>45630</v>
      </c>
      <c r="B42" t="s">
        <v>61</v>
      </c>
      <c r="C42" t="s">
        <v>46</v>
      </c>
      <c r="D42" t="s">
        <v>47</v>
      </c>
      <c r="E42" t="s">
        <v>58</v>
      </c>
      <c r="F42" t="s">
        <v>49</v>
      </c>
      <c r="G42" t="s">
        <v>50</v>
      </c>
      <c r="H42" t="s">
        <v>59</v>
      </c>
      <c r="I42" t="s">
        <v>94</v>
      </c>
      <c r="J42" t="s">
        <v>51</v>
      </c>
      <c r="K42" t="s">
        <v>47</v>
      </c>
      <c r="L42" t="s">
        <v>13</v>
      </c>
      <c r="M42" t="s">
        <v>10</v>
      </c>
      <c r="N42" t="s">
        <v>56</v>
      </c>
      <c r="O42" t="s">
        <v>8</v>
      </c>
      <c r="P42">
        <v>331563</v>
      </c>
      <c r="Q42" t="s">
        <v>62</v>
      </c>
      <c r="R42" t="s">
        <v>4</v>
      </c>
      <c r="S42" t="s">
        <v>53</v>
      </c>
      <c r="T42">
        <v>90</v>
      </c>
      <c r="U42">
        <v>1</v>
      </c>
      <c r="V42" s="2">
        <v>4.1666666666666664E-2</v>
      </c>
      <c r="W42">
        <v>90</v>
      </c>
      <c r="AA42" t="s">
        <v>54</v>
      </c>
      <c r="AC42" t="s">
        <v>56</v>
      </c>
      <c r="AD42" t="s">
        <v>57</v>
      </c>
      <c r="AE42">
        <f t="shared" si="4"/>
        <v>12</v>
      </c>
      <c r="AF42" t="str">
        <f t="shared" si="5"/>
        <v>December</v>
      </c>
    </row>
    <row r="43" spans="1:32" x14ac:dyDescent="0.3">
      <c r="A43" s="1">
        <v>45614</v>
      </c>
      <c r="B43" t="s">
        <v>13</v>
      </c>
      <c r="C43" t="s">
        <v>46</v>
      </c>
      <c r="D43" t="s">
        <v>47</v>
      </c>
      <c r="E43" t="s">
        <v>48</v>
      </c>
      <c r="F43" t="s">
        <v>49</v>
      </c>
      <c r="G43" t="s">
        <v>50</v>
      </c>
      <c r="H43" t="s">
        <v>59</v>
      </c>
      <c r="I43" t="s">
        <v>94</v>
      </c>
      <c r="J43" t="s">
        <v>51</v>
      </c>
      <c r="K43" t="s">
        <v>47</v>
      </c>
      <c r="L43" t="s">
        <v>13</v>
      </c>
      <c r="M43" t="s">
        <v>10</v>
      </c>
      <c r="N43" t="s">
        <v>56</v>
      </c>
      <c r="O43" t="s">
        <v>8</v>
      </c>
      <c r="P43">
        <v>325456</v>
      </c>
      <c r="Q43" t="s">
        <v>66</v>
      </c>
      <c r="R43" t="s">
        <v>4</v>
      </c>
      <c r="S43" t="s">
        <v>53</v>
      </c>
      <c r="T43">
        <v>90</v>
      </c>
      <c r="U43">
        <v>1</v>
      </c>
      <c r="V43" s="2">
        <v>4.1666666666666664E-2</v>
      </c>
      <c r="W43">
        <v>90</v>
      </c>
      <c r="X43">
        <v>120</v>
      </c>
      <c r="Y43">
        <v>30</v>
      </c>
      <c r="Z43" t="s">
        <v>87</v>
      </c>
      <c r="AA43" t="s">
        <v>54</v>
      </c>
      <c r="AB43" t="s">
        <v>55</v>
      </c>
      <c r="AC43" t="s">
        <v>56</v>
      </c>
      <c r="AD43" t="s">
        <v>57</v>
      </c>
      <c r="AE43">
        <f t="shared" ref="AE43:AE54" si="6">MONTH(A43)</f>
        <v>11</v>
      </c>
      <c r="AF43" t="str">
        <f t="shared" ref="AF43:AF54" si="7">IF(AE43=11,"November",IF(AE43=12,"December",IF(AE43=1,"January",IF(AE43=2,"February",IF(AE43=3,"March")))))</f>
        <v>November</v>
      </c>
    </row>
    <row r="44" spans="1:32" x14ac:dyDescent="0.3">
      <c r="A44" s="1">
        <v>45614</v>
      </c>
      <c r="B44" t="s">
        <v>13</v>
      </c>
      <c r="C44" t="s">
        <v>46</v>
      </c>
      <c r="D44" t="s">
        <v>47</v>
      </c>
      <c r="E44" t="s">
        <v>48</v>
      </c>
      <c r="F44" t="s">
        <v>49</v>
      </c>
      <c r="G44" t="s">
        <v>50</v>
      </c>
      <c r="H44" t="s">
        <v>59</v>
      </c>
      <c r="I44" t="s">
        <v>94</v>
      </c>
      <c r="J44" t="s">
        <v>51</v>
      </c>
      <c r="K44" t="s">
        <v>47</v>
      </c>
      <c r="L44" t="s">
        <v>13</v>
      </c>
      <c r="M44" t="s">
        <v>10</v>
      </c>
      <c r="N44" t="s">
        <v>56</v>
      </c>
      <c r="O44" t="s">
        <v>8</v>
      </c>
      <c r="P44">
        <v>325455</v>
      </c>
      <c r="Q44" t="s">
        <v>67</v>
      </c>
      <c r="R44" t="s">
        <v>52</v>
      </c>
      <c r="S44" t="s">
        <v>53</v>
      </c>
      <c r="T44">
        <v>0</v>
      </c>
      <c r="U44">
        <v>0.5</v>
      </c>
      <c r="V44" s="2">
        <v>2.0833333333333332E-2</v>
      </c>
      <c r="W44">
        <v>0</v>
      </c>
      <c r="AA44" t="s">
        <v>54</v>
      </c>
      <c r="AB44" t="s">
        <v>55</v>
      </c>
      <c r="AC44" t="s">
        <v>56</v>
      </c>
      <c r="AD44" t="s">
        <v>57</v>
      </c>
      <c r="AE44">
        <f t="shared" si="6"/>
        <v>11</v>
      </c>
      <c r="AF44" t="str">
        <f t="shared" si="7"/>
        <v>November</v>
      </c>
    </row>
    <row r="45" spans="1:32" x14ac:dyDescent="0.3">
      <c r="A45" s="1">
        <v>45615</v>
      </c>
      <c r="B45" t="s">
        <v>13</v>
      </c>
      <c r="C45" t="s">
        <v>46</v>
      </c>
      <c r="D45" t="s">
        <v>47</v>
      </c>
      <c r="E45" t="s">
        <v>48</v>
      </c>
      <c r="F45" t="s">
        <v>49</v>
      </c>
      <c r="G45" t="s">
        <v>50</v>
      </c>
      <c r="H45" t="s">
        <v>59</v>
      </c>
      <c r="I45" t="s">
        <v>94</v>
      </c>
      <c r="J45" t="s">
        <v>51</v>
      </c>
      <c r="K45" t="s">
        <v>47</v>
      </c>
      <c r="L45" t="s">
        <v>13</v>
      </c>
      <c r="M45" t="s">
        <v>10</v>
      </c>
      <c r="N45" t="s">
        <v>56</v>
      </c>
      <c r="O45" t="s">
        <v>8</v>
      </c>
      <c r="P45">
        <v>325457</v>
      </c>
      <c r="Q45" t="s">
        <v>67</v>
      </c>
      <c r="R45" t="s">
        <v>52</v>
      </c>
      <c r="S45" t="s">
        <v>53</v>
      </c>
      <c r="T45">
        <v>0</v>
      </c>
      <c r="U45">
        <v>1.5</v>
      </c>
      <c r="V45" s="2">
        <v>6.25E-2</v>
      </c>
      <c r="W45">
        <v>0</v>
      </c>
      <c r="AA45" t="s">
        <v>54</v>
      </c>
      <c r="AB45" t="s">
        <v>55</v>
      </c>
      <c r="AC45" t="s">
        <v>56</v>
      </c>
      <c r="AD45" t="s">
        <v>57</v>
      </c>
      <c r="AE45">
        <f t="shared" si="6"/>
        <v>11</v>
      </c>
      <c r="AF45" t="str">
        <f t="shared" si="7"/>
        <v>November</v>
      </c>
    </row>
    <row r="46" spans="1:32" x14ac:dyDescent="0.3">
      <c r="A46" s="1">
        <v>45616</v>
      </c>
      <c r="B46" t="s">
        <v>13</v>
      </c>
      <c r="C46" t="s">
        <v>46</v>
      </c>
      <c r="D46" t="s">
        <v>47</v>
      </c>
      <c r="E46" t="s">
        <v>48</v>
      </c>
      <c r="F46" t="s">
        <v>49</v>
      </c>
      <c r="G46" t="s">
        <v>50</v>
      </c>
      <c r="H46" t="s">
        <v>59</v>
      </c>
      <c r="I46" t="s">
        <v>94</v>
      </c>
      <c r="J46" t="s">
        <v>51</v>
      </c>
      <c r="K46" t="s">
        <v>47</v>
      </c>
      <c r="L46" t="s">
        <v>13</v>
      </c>
      <c r="M46" t="s">
        <v>10</v>
      </c>
      <c r="N46" t="s">
        <v>56</v>
      </c>
      <c r="O46" t="s">
        <v>8</v>
      </c>
      <c r="P46">
        <v>325454</v>
      </c>
      <c r="Q46" t="s">
        <v>66</v>
      </c>
      <c r="R46" t="s">
        <v>4</v>
      </c>
      <c r="S46" t="s">
        <v>53</v>
      </c>
      <c r="T46">
        <v>90</v>
      </c>
      <c r="U46">
        <v>0.25</v>
      </c>
      <c r="V46" s="2">
        <v>1.0416666666666666E-2</v>
      </c>
      <c r="W46">
        <v>22.5</v>
      </c>
      <c r="X46">
        <v>30</v>
      </c>
      <c r="Y46">
        <v>7.5</v>
      </c>
      <c r="Z46" t="s">
        <v>87</v>
      </c>
      <c r="AA46" t="s">
        <v>54</v>
      </c>
      <c r="AB46" t="s">
        <v>55</v>
      </c>
      <c r="AC46" t="s">
        <v>56</v>
      </c>
      <c r="AD46" t="s">
        <v>57</v>
      </c>
      <c r="AE46">
        <f t="shared" si="6"/>
        <v>11</v>
      </c>
      <c r="AF46" t="str">
        <f t="shared" si="7"/>
        <v>November</v>
      </c>
    </row>
    <row r="47" spans="1:32" x14ac:dyDescent="0.3">
      <c r="A47" s="1">
        <v>45616</v>
      </c>
      <c r="B47" t="s">
        <v>13</v>
      </c>
      <c r="C47" t="s">
        <v>46</v>
      </c>
      <c r="D47" t="s">
        <v>47</v>
      </c>
      <c r="E47" t="s">
        <v>48</v>
      </c>
      <c r="F47" t="s">
        <v>49</v>
      </c>
      <c r="G47" t="s">
        <v>50</v>
      </c>
      <c r="H47" t="s">
        <v>59</v>
      </c>
      <c r="I47" t="s">
        <v>94</v>
      </c>
      <c r="J47" t="s">
        <v>51</v>
      </c>
      <c r="K47" t="s">
        <v>47</v>
      </c>
      <c r="L47" t="s">
        <v>13</v>
      </c>
      <c r="M47" t="s">
        <v>10</v>
      </c>
      <c r="N47" t="s">
        <v>56</v>
      </c>
      <c r="O47" t="s">
        <v>8</v>
      </c>
      <c r="P47">
        <v>325453</v>
      </c>
      <c r="Q47" t="s">
        <v>67</v>
      </c>
      <c r="R47" t="s">
        <v>52</v>
      </c>
      <c r="S47" t="s">
        <v>53</v>
      </c>
      <c r="T47">
        <v>0</v>
      </c>
      <c r="U47">
        <v>0.75</v>
      </c>
      <c r="V47" s="2">
        <v>3.125E-2</v>
      </c>
      <c r="W47">
        <v>0</v>
      </c>
      <c r="AA47" t="s">
        <v>54</v>
      </c>
      <c r="AB47" t="s">
        <v>55</v>
      </c>
      <c r="AC47" t="s">
        <v>56</v>
      </c>
      <c r="AD47" t="s">
        <v>57</v>
      </c>
      <c r="AE47">
        <f t="shared" si="6"/>
        <v>11</v>
      </c>
      <c r="AF47" t="str">
        <f t="shared" si="7"/>
        <v>November</v>
      </c>
    </row>
    <row r="48" spans="1:32" x14ac:dyDescent="0.3">
      <c r="A48" s="1">
        <v>45617</v>
      </c>
      <c r="B48" t="s">
        <v>13</v>
      </c>
      <c r="C48" t="s">
        <v>46</v>
      </c>
      <c r="D48" t="s">
        <v>47</v>
      </c>
      <c r="E48" t="s">
        <v>48</v>
      </c>
      <c r="F48" t="s">
        <v>49</v>
      </c>
      <c r="G48" t="s">
        <v>50</v>
      </c>
      <c r="H48" t="s">
        <v>59</v>
      </c>
      <c r="I48" t="s">
        <v>94</v>
      </c>
      <c r="J48" t="s">
        <v>51</v>
      </c>
      <c r="K48" t="s">
        <v>47</v>
      </c>
      <c r="L48" t="s">
        <v>13</v>
      </c>
      <c r="M48" t="s">
        <v>10</v>
      </c>
      <c r="N48" t="s">
        <v>56</v>
      </c>
      <c r="O48" t="s">
        <v>8</v>
      </c>
      <c r="P48">
        <v>326249</v>
      </c>
      <c r="Q48" t="s">
        <v>66</v>
      </c>
      <c r="R48" t="s">
        <v>4</v>
      </c>
      <c r="S48" t="s">
        <v>53</v>
      </c>
      <c r="T48">
        <v>90</v>
      </c>
      <c r="U48">
        <v>0.25</v>
      </c>
      <c r="V48" s="2">
        <v>1.0416666666666666E-2</v>
      </c>
      <c r="W48">
        <v>22.5</v>
      </c>
      <c r="X48">
        <v>30</v>
      </c>
      <c r="Y48">
        <v>7.5</v>
      </c>
      <c r="Z48" t="s">
        <v>87</v>
      </c>
      <c r="AA48" t="s">
        <v>54</v>
      </c>
      <c r="AB48" t="s">
        <v>55</v>
      </c>
      <c r="AC48" t="s">
        <v>56</v>
      </c>
      <c r="AD48" t="s">
        <v>57</v>
      </c>
      <c r="AE48">
        <f t="shared" si="6"/>
        <v>11</v>
      </c>
      <c r="AF48" t="str">
        <f t="shared" si="7"/>
        <v>November</v>
      </c>
    </row>
    <row r="49" spans="1:32" x14ac:dyDescent="0.3">
      <c r="A49" s="1">
        <v>45618</v>
      </c>
      <c r="B49" t="s">
        <v>13</v>
      </c>
      <c r="C49" t="s">
        <v>46</v>
      </c>
      <c r="D49" t="s">
        <v>47</v>
      </c>
      <c r="E49" t="s">
        <v>48</v>
      </c>
      <c r="F49" t="s">
        <v>49</v>
      </c>
      <c r="G49" t="s">
        <v>50</v>
      </c>
      <c r="H49" t="s">
        <v>59</v>
      </c>
      <c r="I49" t="s">
        <v>94</v>
      </c>
      <c r="J49" t="s">
        <v>51</v>
      </c>
      <c r="K49" t="s">
        <v>47</v>
      </c>
      <c r="L49" t="s">
        <v>13</v>
      </c>
      <c r="M49" t="s">
        <v>10</v>
      </c>
      <c r="N49" t="s">
        <v>56</v>
      </c>
      <c r="O49" t="s">
        <v>8</v>
      </c>
      <c r="P49">
        <v>327242</v>
      </c>
      <c r="Q49" t="s">
        <v>66</v>
      </c>
      <c r="R49" t="s">
        <v>4</v>
      </c>
      <c r="S49" t="s">
        <v>53</v>
      </c>
      <c r="T49">
        <v>90</v>
      </c>
      <c r="U49">
        <v>0.25</v>
      </c>
      <c r="V49" s="2">
        <v>1.0416666666666666E-2</v>
      </c>
      <c r="W49">
        <v>22.5</v>
      </c>
      <c r="X49">
        <v>30</v>
      </c>
      <c r="Y49">
        <v>7.5</v>
      </c>
      <c r="Z49" t="s">
        <v>87</v>
      </c>
      <c r="AA49" t="s">
        <v>54</v>
      </c>
      <c r="AB49" t="s">
        <v>55</v>
      </c>
      <c r="AC49" t="s">
        <v>56</v>
      </c>
      <c r="AD49" t="s">
        <v>57</v>
      </c>
      <c r="AE49">
        <f t="shared" si="6"/>
        <v>11</v>
      </c>
      <c r="AF49" t="str">
        <f t="shared" si="7"/>
        <v>November</v>
      </c>
    </row>
    <row r="50" spans="1:32" x14ac:dyDescent="0.3">
      <c r="A50" s="1">
        <v>45621</v>
      </c>
      <c r="B50" t="s">
        <v>13</v>
      </c>
      <c r="C50" t="s">
        <v>46</v>
      </c>
      <c r="D50" t="s">
        <v>47</v>
      </c>
      <c r="E50" t="s">
        <v>48</v>
      </c>
      <c r="F50" t="s">
        <v>49</v>
      </c>
      <c r="G50" t="s">
        <v>50</v>
      </c>
      <c r="H50" t="s">
        <v>59</v>
      </c>
      <c r="I50" t="s">
        <v>94</v>
      </c>
      <c r="J50" t="s">
        <v>51</v>
      </c>
      <c r="K50" t="s">
        <v>47</v>
      </c>
      <c r="L50" t="s">
        <v>13</v>
      </c>
      <c r="M50" t="s">
        <v>10</v>
      </c>
      <c r="N50" t="s">
        <v>56</v>
      </c>
      <c r="O50" t="s">
        <v>8</v>
      </c>
      <c r="P50">
        <v>327236</v>
      </c>
      <c r="Q50" t="s">
        <v>66</v>
      </c>
      <c r="R50" t="s">
        <v>4</v>
      </c>
      <c r="S50" t="s">
        <v>53</v>
      </c>
      <c r="T50">
        <v>90</v>
      </c>
      <c r="U50">
        <v>0.5</v>
      </c>
      <c r="V50" s="2">
        <v>2.0833333333333332E-2</v>
      </c>
      <c r="W50">
        <v>45</v>
      </c>
      <c r="X50">
        <v>60</v>
      </c>
      <c r="Y50">
        <v>15</v>
      </c>
      <c r="Z50" t="s">
        <v>87</v>
      </c>
      <c r="AA50" t="s">
        <v>54</v>
      </c>
      <c r="AB50" t="s">
        <v>55</v>
      </c>
      <c r="AC50" t="s">
        <v>56</v>
      </c>
      <c r="AD50" t="s">
        <v>57</v>
      </c>
      <c r="AE50">
        <f t="shared" si="6"/>
        <v>11</v>
      </c>
      <c r="AF50" t="str">
        <f t="shared" si="7"/>
        <v>November</v>
      </c>
    </row>
    <row r="51" spans="1:32" x14ac:dyDescent="0.3">
      <c r="A51" s="1">
        <v>45628</v>
      </c>
      <c r="B51" t="s">
        <v>13</v>
      </c>
      <c r="C51" t="s">
        <v>46</v>
      </c>
      <c r="D51" t="s">
        <v>47</v>
      </c>
      <c r="E51" t="s">
        <v>48</v>
      </c>
      <c r="F51" t="s">
        <v>49</v>
      </c>
      <c r="G51" t="s">
        <v>50</v>
      </c>
      <c r="H51" t="s">
        <v>59</v>
      </c>
      <c r="I51" t="s">
        <v>94</v>
      </c>
      <c r="J51" t="s">
        <v>51</v>
      </c>
      <c r="K51" t="s">
        <v>47</v>
      </c>
      <c r="L51" t="s">
        <v>13</v>
      </c>
      <c r="M51" t="s">
        <v>10</v>
      </c>
      <c r="N51" t="s">
        <v>56</v>
      </c>
      <c r="O51" t="s">
        <v>8</v>
      </c>
      <c r="P51">
        <v>331079</v>
      </c>
      <c r="Q51" t="s">
        <v>67</v>
      </c>
      <c r="R51" t="s">
        <v>52</v>
      </c>
      <c r="S51" t="s">
        <v>53</v>
      </c>
      <c r="T51">
        <v>0</v>
      </c>
      <c r="U51">
        <v>0.25</v>
      </c>
      <c r="V51" s="2">
        <v>1.0416666666666666E-2</v>
      </c>
      <c r="W51">
        <v>0</v>
      </c>
      <c r="AA51" t="s">
        <v>54</v>
      </c>
      <c r="AC51" t="s">
        <v>56</v>
      </c>
      <c r="AD51" t="s">
        <v>57</v>
      </c>
      <c r="AE51">
        <f t="shared" si="6"/>
        <v>12</v>
      </c>
      <c r="AF51" t="str">
        <f t="shared" si="7"/>
        <v>December</v>
      </c>
    </row>
    <row r="52" spans="1:32" x14ac:dyDescent="0.3">
      <c r="A52" s="1">
        <v>45629</v>
      </c>
      <c r="B52" t="s">
        <v>13</v>
      </c>
      <c r="C52" t="s">
        <v>46</v>
      </c>
      <c r="D52" t="s">
        <v>47</v>
      </c>
      <c r="E52" t="s">
        <v>48</v>
      </c>
      <c r="F52" t="s">
        <v>49</v>
      </c>
      <c r="G52" t="s">
        <v>50</v>
      </c>
      <c r="H52" t="s">
        <v>59</v>
      </c>
      <c r="I52" t="s">
        <v>94</v>
      </c>
      <c r="J52" t="s">
        <v>51</v>
      </c>
      <c r="K52" t="s">
        <v>47</v>
      </c>
      <c r="L52" t="s">
        <v>13</v>
      </c>
      <c r="M52" t="s">
        <v>10</v>
      </c>
      <c r="N52" t="s">
        <v>56</v>
      </c>
      <c r="O52" t="s">
        <v>8</v>
      </c>
      <c r="P52">
        <v>331089</v>
      </c>
      <c r="Q52" t="s">
        <v>67</v>
      </c>
      <c r="R52" t="s">
        <v>52</v>
      </c>
      <c r="S52" t="s">
        <v>53</v>
      </c>
      <c r="T52">
        <v>0</v>
      </c>
      <c r="U52">
        <v>0.25</v>
      </c>
      <c r="V52" s="2">
        <v>1.0416666666666666E-2</v>
      </c>
      <c r="W52">
        <v>0</v>
      </c>
      <c r="AA52" t="s">
        <v>54</v>
      </c>
      <c r="AC52" t="s">
        <v>56</v>
      </c>
      <c r="AD52" t="s">
        <v>57</v>
      </c>
      <c r="AE52">
        <f t="shared" si="6"/>
        <v>12</v>
      </c>
      <c r="AF52" t="str">
        <f t="shared" si="7"/>
        <v>December</v>
      </c>
    </row>
    <row r="53" spans="1:32" x14ac:dyDescent="0.3">
      <c r="A53" s="1">
        <v>45630</v>
      </c>
      <c r="B53" t="s">
        <v>13</v>
      </c>
      <c r="C53" t="s">
        <v>46</v>
      </c>
      <c r="D53" t="s">
        <v>47</v>
      </c>
      <c r="E53" t="s">
        <v>48</v>
      </c>
      <c r="F53" t="s">
        <v>49</v>
      </c>
      <c r="G53" t="s">
        <v>50</v>
      </c>
      <c r="H53" t="s">
        <v>59</v>
      </c>
      <c r="I53" t="s">
        <v>94</v>
      </c>
      <c r="J53" t="s">
        <v>51</v>
      </c>
      <c r="K53" t="s">
        <v>47</v>
      </c>
      <c r="L53" t="s">
        <v>13</v>
      </c>
      <c r="M53" t="s">
        <v>10</v>
      </c>
      <c r="N53" t="s">
        <v>56</v>
      </c>
      <c r="O53" t="s">
        <v>8</v>
      </c>
      <c r="P53">
        <v>331744</v>
      </c>
      <c r="Q53" t="s">
        <v>67</v>
      </c>
      <c r="R53" t="s">
        <v>52</v>
      </c>
      <c r="S53" t="s">
        <v>53</v>
      </c>
      <c r="T53">
        <v>0</v>
      </c>
      <c r="U53">
        <v>0.5</v>
      </c>
      <c r="V53" s="2">
        <v>2.0833333333333332E-2</v>
      </c>
      <c r="W53">
        <v>0</v>
      </c>
      <c r="AA53" t="s">
        <v>54</v>
      </c>
      <c r="AC53" t="s">
        <v>56</v>
      </c>
      <c r="AD53" t="s">
        <v>57</v>
      </c>
      <c r="AE53">
        <f t="shared" si="6"/>
        <v>12</v>
      </c>
      <c r="AF53" t="str">
        <f t="shared" si="7"/>
        <v>December</v>
      </c>
    </row>
    <row r="54" spans="1:32" x14ac:dyDescent="0.3">
      <c r="A54" s="1">
        <v>45631</v>
      </c>
      <c r="B54" t="s">
        <v>13</v>
      </c>
      <c r="C54" t="s">
        <v>46</v>
      </c>
      <c r="D54" t="s">
        <v>47</v>
      </c>
      <c r="E54" t="s">
        <v>48</v>
      </c>
      <c r="F54" t="s">
        <v>49</v>
      </c>
      <c r="G54" t="s">
        <v>50</v>
      </c>
      <c r="H54" t="s">
        <v>59</v>
      </c>
      <c r="I54" t="s">
        <v>94</v>
      </c>
      <c r="J54" t="s">
        <v>51</v>
      </c>
      <c r="K54" t="s">
        <v>47</v>
      </c>
      <c r="L54" t="s">
        <v>13</v>
      </c>
      <c r="M54" t="s">
        <v>10</v>
      </c>
      <c r="N54" t="s">
        <v>56</v>
      </c>
      <c r="O54" t="s">
        <v>8</v>
      </c>
      <c r="P54">
        <v>332082</v>
      </c>
      <c r="Q54" t="s">
        <v>67</v>
      </c>
      <c r="R54" t="s">
        <v>52</v>
      </c>
      <c r="S54" t="s">
        <v>53</v>
      </c>
      <c r="T54">
        <v>0</v>
      </c>
      <c r="U54">
        <v>0.5</v>
      </c>
      <c r="V54" s="2">
        <v>2.0833333333333332E-2</v>
      </c>
      <c r="W54">
        <v>0</v>
      </c>
      <c r="AA54" t="s">
        <v>54</v>
      </c>
      <c r="AC54" t="s">
        <v>56</v>
      </c>
      <c r="AD54" t="s">
        <v>57</v>
      </c>
      <c r="AE54">
        <f t="shared" si="6"/>
        <v>12</v>
      </c>
      <c r="AF54" t="str">
        <f t="shared" si="7"/>
        <v>December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CB0DFB-CC9C-46EB-857C-95BCF2E888F7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3D3988DF-4AA9-4978-9646-CAE57FB1A4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513026E-746A-4710-8E0C-2BD609C11DC4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1ffbd5dc-7a64-4097-8396-87f6c90b212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6AB2261F-A05D-4470-A631-EC568B5D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Delivery Timesheets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2024-12-10T13:30:06Z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