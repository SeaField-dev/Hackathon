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80" documentId="8_{167E9527-0BDB-4F80-917D-937C202D374A}" xr6:coauthVersionLast="47" xr6:coauthVersionMax="47" xr10:uidLastSave="{4A4F0CD0-2B62-4E46-A3E1-786559C5EF93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4" i="3" l="1"/>
  <c r="AF124" i="3" s="1"/>
  <c r="AE125" i="3"/>
  <c r="AF125" i="3" s="1"/>
  <c r="AE115" i="3"/>
  <c r="AF115" i="3" s="1"/>
  <c r="AE116" i="3"/>
  <c r="AF116" i="3" s="1"/>
  <c r="AE117" i="3"/>
  <c r="AF117" i="3" s="1"/>
  <c r="AE118" i="3"/>
  <c r="AF118" i="3" s="1"/>
  <c r="AE119" i="3"/>
  <c r="AF119" i="3" s="1"/>
  <c r="AE120" i="3"/>
  <c r="AF120" i="3" s="1"/>
  <c r="AE121" i="3"/>
  <c r="AF121" i="3" s="1"/>
  <c r="AE122" i="3"/>
  <c r="AF122" i="3" s="1"/>
  <c r="AE123" i="3"/>
  <c r="AF123" i="3" s="1"/>
  <c r="AE107" i="3"/>
  <c r="AF107" i="3" s="1"/>
  <c r="AE108" i="3"/>
  <c r="AF108" i="3" s="1"/>
  <c r="AE109" i="3"/>
  <c r="AF109" i="3" s="1"/>
  <c r="AE110" i="3"/>
  <c r="AF110" i="3" s="1"/>
  <c r="AE111" i="3"/>
  <c r="AF111" i="3" s="1"/>
  <c r="AE112" i="3"/>
  <c r="AF112" i="3" s="1"/>
  <c r="AE113" i="3"/>
  <c r="AF113" i="3" s="1"/>
  <c r="AE114" i="3"/>
  <c r="AF114" i="3" s="1"/>
  <c r="AE95" i="3"/>
  <c r="AF95" i="3" s="1"/>
  <c r="AE96" i="3"/>
  <c r="AF96" i="3" s="1"/>
  <c r="AE97" i="3"/>
  <c r="AF97" i="3" s="1"/>
  <c r="AE98" i="3"/>
  <c r="AF98" i="3" s="1"/>
  <c r="AE99" i="3"/>
  <c r="AF99" i="3" s="1"/>
  <c r="AE100" i="3"/>
  <c r="AF100" i="3" s="1"/>
  <c r="AE101" i="3"/>
  <c r="AF101" i="3" s="1"/>
  <c r="AE102" i="3"/>
  <c r="AF102" i="3" s="1"/>
  <c r="AE103" i="3"/>
  <c r="AF103" i="3" s="1"/>
  <c r="AE104" i="3"/>
  <c r="AF104" i="3" s="1"/>
  <c r="AE105" i="3"/>
  <c r="AF105" i="3" s="1"/>
  <c r="AE106" i="3"/>
  <c r="AF106" i="3" s="1"/>
  <c r="AE85" i="3"/>
  <c r="AF85" i="3" s="1"/>
  <c r="AE86" i="3"/>
  <c r="AF86" i="3" s="1"/>
  <c r="AE87" i="3"/>
  <c r="AF87" i="3" s="1"/>
  <c r="AE88" i="3"/>
  <c r="AF88" i="3" s="1"/>
  <c r="AE89" i="3"/>
  <c r="AF89" i="3" s="1"/>
  <c r="AE90" i="3"/>
  <c r="AF90" i="3" s="1"/>
  <c r="AE91" i="3"/>
  <c r="AF91" i="3" s="1"/>
  <c r="AE92" i="3"/>
  <c r="AF92" i="3"/>
  <c r="AE93" i="3"/>
  <c r="AF93" i="3" s="1"/>
  <c r="AE94" i="3"/>
  <c r="AF94" i="3" s="1"/>
  <c r="AE77" i="3"/>
  <c r="AF77" i="3" s="1"/>
  <c r="AE78" i="3"/>
  <c r="AF78" i="3" s="1"/>
  <c r="AE79" i="3"/>
  <c r="AF79" i="3" s="1"/>
  <c r="AE80" i="3"/>
  <c r="AF80" i="3" s="1"/>
  <c r="AE81" i="3"/>
  <c r="AF81" i="3" s="1"/>
  <c r="AE82" i="3"/>
  <c r="AF82" i="3" s="1"/>
  <c r="AE83" i="3"/>
  <c r="AF83" i="3" s="1"/>
  <c r="AE84" i="3"/>
  <c r="AF84" i="3" s="1"/>
  <c r="AE76" i="3"/>
  <c r="AF76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 s="1"/>
  <c r="AE57" i="3"/>
  <c r="AF57" i="3" s="1"/>
  <c r="AE58" i="3"/>
  <c r="AF58" i="3" s="1"/>
  <c r="AE59" i="3"/>
  <c r="AF59" i="3" s="1"/>
  <c r="AE60" i="3"/>
  <c r="AF60" i="3" s="1"/>
  <c r="AE61" i="3"/>
  <c r="AF61" i="3" s="1"/>
  <c r="AE62" i="3"/>
  <c r="AF62" i="3" s="1"/>
  <c r="AE63" i="3"/>
  <c r="AF63" i="3" s="1"/>
  <c r="AE64" i="3"/>
  <c r="AF64" i="3" s="1"/>
  <c r="AE65" i="3"/>
  <c r="AF65" i="3" s="1"/>
  <c r="AE66" i="3"/>
  <c r="AF66" i="3" s="1"/>
  <c r="AE67" i="3"/>
  <c r="AF67" i="3" s="1"/>
  <c r="AE68" i="3"/>
  <c r="AF68" i="3" s="1"/>
  <c r="AE69" i="3"/>
  <c r="AF69" i="3" s="1"/>
  <c r="AE43" i="3"/>
  <c r="AF43" i="3" s="1"/>
  <c r="AE44" i="3"/>
  <c r="AF44" i="3" s="1"/>
  <c r="AE45" i="3"/>
  <c r="AF45" i="3" s="1"/>
  <c r="AE46" i="3"/>
  <c r="AF46" i="3" s="1"/>
  <c r="AE47" i="3"/>
  <c r="AF47" i="3" s="1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 s="1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 s="1"/>
  <c r="AE17" i="3"/>
  <c r="AF17" i="3" s="1"/>
  <c r="AE18" i="3"/>
  <c r="AF18" i="3" s="1"/>
</calcChain>
</file>

<file path=xl/sharedStrings.xml><?xml version="1.0" encoding="utf-8"?>
<sst xmlns="http://schemas.openxmlformats.org/spreadsheetml/2006/main" count="2745" uniqueCount="107">
  <si>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</si>
  <si>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</si>
  <si>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</si>
  <si>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</si>
  <si>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</si>
  <si>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</si>
  <si>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</si>
  <si>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</si>
  <si>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</si>
  <si>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</si>
  <si>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</si>
  <si>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</si>
  <si>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</si>
  <si>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</si>
  <si>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</si>
  <si>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</si>
  <si>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</si>
  <si>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</si>
  <si>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</si>
  <si>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</si>
  <si>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</si>
  <si>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</si>
  <si>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</si>
  <si>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</si>
  <si>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</si>
  <si>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</si>
  <si>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</si>
  <si>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</si>
  <si>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</si>
  <si>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</si>
  <si>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</si>
  <si>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</si>
  <si>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</si>
  <si>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</si>
  <si>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</si>
  <si>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</si>
  <si>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</si>
  <si>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</si>
  <si>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</si>
  <si>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</si>
  <si>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</si>
  <si>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</si>
  <si>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</si>
  <si>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</si>
  <si>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</si>
  <si>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</si>
  <si>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</si>
  <si>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</si>
  <si>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</si>
  <si>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</si>
  <si>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</si>
  <si>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</si>
  <si>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</si>
  <si>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</si>
  <si>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</si>
  <si>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</si>
  <si>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</si>
  <si>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</si>
  <si>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</si>
  <si>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</si>
  <si>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</si>
  <si>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</si>
  <si>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</si>
  <si>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</si>
  <si>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</si>
  <si>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</si>
  <si>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</si>
  <si>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</si>
  <si>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</si>
  <si>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</si>
  <si>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</si>
  <si>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</si>
  <si>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</si>
  <si>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</si>
  <si>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</si>
  <si>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</si>
  <si>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</si>
  <si>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</si>
  <si>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</si>
  <si>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</si>
  <si>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</si>
  <si>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</si>
  <si>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</si>
  <si>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</si>
  <si>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</si>
  <si>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</si>
  <si>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</si>
  <si>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</si>
  <si>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</si>
  <si>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</si>
  <si>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</si>
  <si>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</si>
  <si>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</si>
  <si>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</si>
  <si>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</si>
  <si>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</si>
  <si>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</si>
  <si>
    <t>IN08990</t>
  </si>
  <si>
    <t>UAT kick off call</t>
  </si>
  <si>
    <t>UAT kickoff</t>
  </si>
  <si>
    <t>Discussion with Jacob about failing deployment. Worked on fixing test class - RightMoveLeadEmailProcessorTest. Deployment to UAT.</t>
  </si>
  <si>
    <t>IN09053</t>
  </si>
  <si>
    <t>Prod Deployment and Post Go-Live Support</t>
  </si>
  <si>
    <t>UAT checkin</t>
  </si>
  <si>
    <t>Deployment</t>
  </si>
  <si>
    <t>Resolving Post deployment issues</t>
  </si>
  <si>
    <t>Final cutover and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</si>
</sst>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12.470808680555" createdVersion="8" refreshedVersion="8" minRefreshableVersion="3" recordCount="124" xr:uid="{6D6DFF83-A076-4959-BBFC-70F46C12D4D0}">
  <cacheSource type="worksheet">
    <worksheetSource ref="A1:AF125" sheet="Delivery Timesheets"/>
  </cacheSource>
  <cacheFields count="32">
    <cacheField name="Date" numFmtId="15">
      <sharedItems containsSemiMixedTypes="0" containsNonDate="0" containsDate="1" containsString="0" minDate="2024-11-18T00:00:00" maxDate="2025-02-18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58057"/>
    </cacheField>
    <cacheField name="Timecode Name" numFmtId="0">
      <sharedItems count="7">
        <s v="Overheads (Non-Billable)"/>
        <s v="Development"/>
        <s v="Analysis"/>
        <s v="UAT"/>
        <s v="Prod Deployment and Post Go-Live Suppor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unt="4">
        <s v="November"/>
        <s v="December"/>
        <s v="February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5-02-03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2011"/>
    <x v="1"/>
    <x v="1"/>
    <s v="Standard Timecode"/>
    <n v="90"/>
    <n v="2.5"/>
    <d v="1899-12-30T02:30:00"/>
    <n v="225"/>
    <m/>
    <m/>
    <m/>
    <s v="GBP"/>
    <s v="Reviewed"/>
    <s v="Discussion with Jacob about failing deployment. Worked on fixing test class - RightMoveLeadEmailProcessorTest. Deployment to UAT."/>
    <s v="Not submitted"/>
    <n v="2"/>
    <x v="2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3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8682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5-01-13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80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539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978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2-04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2391"/>
    <x v="0"/>
    <x v="0"/>
    <s v="Standard Timecode"/>
    <n v="0"/>
    <n v="0.25"/>
    <d v="1899-12-30T00:15:00"/>
    <n v="0"/>
    <m/>
    <m/>
    <m/>
    <s v="GBP"/>
    <s v="Reviewed"/>
    <s v="Time Report"/>
    <s v="Not submitted"/>
    <n v="2"/>
    <x v="2"/>
  </r>
  <r>
    <d v="2025-0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4966"/>
    <x v="0"/>
    <x v="0"/>
    <s v="Standard Timecode"/>
    <n v="0"/>
    <n v="0.25"/>
    <d v="1899-12-30T00:15:00"/>
    <n v="0"/>
    <m/>
    <m/>
    <m/>
    <s v="GBP"/>
    <s v="Reviewed"/>
    <s v="Time Report"/>
    <s v="Not submitted"/>
    <n v="2"/>
    <x v="2"/>
  </r>
  <r>
    <d v="2025-0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8011"/>
    <x v="0"/>
    <x v="0"/>
    <s v="Standard Timecode"/>
    <n v="0"/>
    <n v="0.25"/>
    <d v="1899-12-30T00:15:00"/>
    <n v="0"/>
    <m/>
    <m/>
    <m/>
    <s v="GBP"/>
    <s v="Reviewed"/>
    <s v="Time Report"/>
    <s v="Not submitted"/>
    <n v="2"/>
    <x v="2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2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2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2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2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1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1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1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2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1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1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1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1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1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1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1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1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1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5-01-1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5649"/>
    <x v="1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0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6"/>
    <x v="1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5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7"/>
    <x v="1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8443"/>
    <x v="3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129"/>
    <x v="4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9"/>
    <x v="1"/>
    <x v="1"/>
    <s v="Standard Timecode"/>
    <n v="90"/>
    <n v="1"/>
    <d v="1899-12-30T01:00:00"/>
    <n v="90"/>
    <m/>
    <m/>
    <m/>
    <s v="GBP"/>
    <s v="Reviewed"/>
    <s v=" "/>
    <s v="Not submitted"/>
    <n v="2"/>
    <x v="2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8"/>
    <x v="4"/>
    <x v="1"/>
    <s v="Standard Timecode"/>
    <n v="90"/>
    <n v="1.5"/>
    <d v="1899-12-30T01:30:00"/>
    <n v="135"/>
    <m/>
    <m/>
    <m/>
    <s v="GBP"/>
    <s v="Reviewed"/>
    <s v=" "/>
    <s v="Not submitted"/>
    <n v="2"/>
    <x v="2"/>
  </r>
  <r>
    <d v="2025-0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5"/>
    <x v="0"/>
    <x v="0"/>
    <s v="Standard Timecode"/>
    <n v="0"/>
    <n v="0.25"/>
    <d v="1899-12-30T00:15:00"/>
    <n v="0"/>
    <m/>
    <m/>
    <m/>
    <s v="GBP"/>
    <s v="Reviewed"/>
    <s v=" "/>
    <s v="Not submitted"/>
    <n v="2"/>
    <x v="2"/>
  </r>
  <r>
    <d v="2025-0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6"/>
    <x v="4"/>
    <x v="1"/>
    <s v="Standard Timecode"/>
    <n v="90"/>
    <n v="2"/>
    <d v="1899-12-30T02:00:00"/>
    <n v="180"/>
    <m/>
    <m/>
    <m/>
    <s v="GBP"/>
    <s v="Reviewed"/>
    <s v=" "/>
    <s v="Not submitted"/>
    <n v="2"/>
    <x v="2"/>
  </r>
  <r>
    <d v="2025-02-0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1"/>
    <x v="4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4640"/>
    <x v="4"/>
    <x v="1"/>
    <s v="Standard Timecode"/>
    <n v="90"/>
    <n v="1.75"/>
    <d v="1899-12-30T01:45:00"/>
    <n v="157.5"/>
    <m/>
    <m/>
    <m/>
    <s v="GBP"/>
    <s v="Reviewed"/>
    <s v=" "/>
    <s v="Not submitted"/>
    <n v="2"/>
    <x v="2"/>
  </r>
  <r>
    <d v="2025-0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5975"/>
    <x v="4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1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1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1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1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1"/>
    <x v="1"/>
    <s v="Standard Timecode"/>
    <n v="90"/>
    <n v="0.5"/>
    <d v="1899-12-30T00:30:00"/>
    <n v="45"/>
    <n v="60"/>
    <n v="15"/>
    <s v="IN08888"/>
    <s v="GBP"/>
    <s v="Reviewed"/>
    <s v="Refinement with Jacob (30 mins)"/>
    <s v="Not submitted"/>
    <n v="11"/>
    <x v="0"/>
  </r>
  <r>
    <d v="2025-01-1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323"/>
    <x v="1"/>
    <x v="1"/>
    <s v="Standard Timecode"/>
    <n v="90"/>
    <n v="1"/>
    <d v="1899-12-30T01:00:00"/>
    <n v="90"/>
    <n v="120"/>
    <n v="30"/>
    <s v="IN09053"/>
    <s v="GBP"/>
    <s v="Reviewed"/>
    <s v="UAT kickoff"/>
    <s v="Not submitted"/>
    <n v="1"/>
    <x v="3"/>
  </r>
  <r>
    <d v="2025-0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876"/>
    <x v="1"/>
    <x v="1"/>
    <s v="Standard Timecode"/>
    <n v="90"/>
    <n v="0.5"/>
    <d v="1899-12-30T00:30:00"/>
    <n v="45"/>
    <n v="60"/>
    <n v="15"/>
    <s v="IN09053"/>
    <s v="GBP"/>
    <s v="Reviewed"/>
    <s v="UAT checkin"/>
    <s v="Not submitted"/>
    <n v="1"/>
    <x v="3"/>
  </r>
  <r>
    <d v="2025-02-04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7346"/>
    <x v="4"/>
    <x v="1"/>
    <s v="Standard Timecode"/>
    <n v="90"/>
    <n v="1"/>
    <d v="1899-12-30T01:00:00"/>
    <n v="90"/>
    <m/>
    <m/>
    <m/>
    <s v="GBP"/>
    <s v="Reviewed"/>
    <s v="Deployment"/>
    <s v="Not submitted"/>
    <n v="2"/>
    <x v="2"/>
  </r>
  <r>
    <d v="2025-02-0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7347"/>
    <x v="4"/>
    <x v="1"/>
    <s v="Standard Timecode"/>
    <n v="90"/>
    <n v="1"/>
    <d v="1899-12-30T01:00:00"/>
    <n v="90"/>
    <m/>
    <m/>
    <m/>
    <s v="GBP"/>
    <s v="Reviewed"/>
    <s v="Resolving Post deployment issues"/>
    <s v="Not submitted"/>
    <n v="2"/>
    <x v="2"/>
  </r>
  <r>
    <d v="2025-02-0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7348"/>
    <x v="4"/>
    <x v="1"/>
    <s v="Standard Timecode"/>
    <n v="90"/>
    <n v="1"/>
    <d v="1899-12-30T01:00:00"/>
    <n v="90"/>
    <m/>
    <m/>
    <m/>
    <s v="GBP"/>
    <s v="Reviewed"/>
    <s v="Final cutover and call"/>
    <s v="Not submitted"/>
    <n v="2"/>
    <x v="2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5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5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5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5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5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5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5"/>
    <x v="1"/>
    <s v="Standard Timecode"/>
    <n v="90"/>
    <n v="1.75"/>
    <d v="1899-12-30T01:45:00"/>
    <n v="157.5"/>
    <n v="210"/>
    <n v="52.5"/>
    <s v="IN08990"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5"/>
    <x v="1"/>
    <s v="Standard Timecode"/>
    <n v="90"/>
    <n v="1.25"/>
    <d v="1899-12-30T01:15:00"/>
    <n v="112.5"/>
    <n v="150"/>
    <n v="37.5"/>
    <s v="IN08990"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5"/>
    <x v="1"/>
    <s v="Standard Timecode"/>
    <n v="90"/>
    <n v="3.5"/>
    <d v="1899-12-30T03:30:00"/>
    <n v="315"/>
    <n v="420"/>
    <n v="105"/>
    <s v="IN08990"/>
    <s v="GBP"/>
    <s v="Reviewed"/>
    <s v=" "/>
    <s v="Not submitted"/>
    <n v="12"/>
    <x v="1"/>
  </r>
  <r>
    <d v="2025-01-1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139"/>
    <x v="5"/>
    <x v="1"/>
    <s v="Standard Timecode"/>
    <n v="90"/>
    <n v="1"/>
    <d v="1899-12-30T01:00:00"/>
    <n v="90"/>
    <n v="120"/>
    <n v="30"/>
    <s v="IN09053"/>
    <s v="GBP"/>
    <s v="Reviewed"/>
    <s v="UAT kick off call"/>
    <s v="Not submitted"/>
    <n v="1"/>
    <x v="3"/>
  </r>
  <r>
    <d v="2025-0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956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6610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4799"/>
    <x v="5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6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6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5-01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12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067"/>
    <x v="0"/>
    <x v="0"/>
    <s v="Standard Timecode"/>
    <n v="0"/>
    <n v="0.5"/>
    <d v="1899-12-30T00:30:00"/>
    <n v="0"/>
    <m/>
    <m/>
    <m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645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170"/>
    <x v="0"/>
    <x v="0"/>
    <s v="Standard Timecode"/>
    <n v="0"/>
    <n v="0.25"/>
    <d v="1899-12-30T00:15:00"/>
    <n v="0"/>
    <m/>
    <m/>
    <m/>
    <s v="GBP"/>
    <s v="Reviewed"/>
    <s v=" "/>
    <s v="Not submitted"/>
    <n v="1"/>
    <x v="3"/>
  </r>
  <r>
    <d v="2025-0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080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92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4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9999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02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887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043"/>
    <x v="6"/>
    <x v="1"/>
    <s v="Standard Timecode"/>
    <n v="90"/>
    <n v="1"/>
    <d v="1899-12-30T01:00:00"/>
    <n v="90"/>
    <m/>
    <m/>
    <m/>
    <s v="GBP"/>
    <s v="Reviewed"/>
    <s v=" "/>
    <s v="Not submitted"/>
    <n v="2"/>
    <x v="2"/>
  </r>
  <r>
    <d v="2025-02-0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476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0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913"/>
    <x v="6"/>
    <x v="1"/>
    <s v="Standard Timecode"/>
    <n v="90"/>
    <n v="0.25"/>
    <d v="1899-12-30T00:15:00"/>
    <n v="22.5"/>
    <m/>
    <m/>
    <m/>
    <s v="GBP"/>
    <s v="Reviewed"/>
    <s v=" "/>
    <s v="Not submitted"/>
    <n v="2"/>
    <x v="2"/>
  </r>
  <r>
    <d v="2025-02-1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5167"/>
    <x v="6"/>
    <x v="1"/>
    <s v="Standard Timecode"/>
    <n v="90"/>
    <n v="0.25"/>
    <d v="1899-12-30T00:15:00"/>
    <n v="22.5"/>
    <m/>
    <m/>
    <m/>
    <s v="GBP"/>
    <s v="Reviewed"/>
    <s v=" "/>
    <s v="Not submitted"/>
    <n v="2"/>
    <x v="2"/>
  </r>
  <r>
    <d v="2025-0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5346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6318"/>
    <x v="6"/>
    <x v="1"/>
    <s v="Standard Timecode"/>
    <n v="90"/>
    <n v="0.25"/>
    <d v="1899-12-30T00:15:00"/>
    <n v="22.5"/>
    <m/>
    <m/>
    <m/>
    <s v="GBP"/>
    <s v="Reviewed"/>
    <s v=" "/>
    <s v="Not submitted"/>
    <n v="2"/>
    <x v="2"/>
  </r>
  <r>
    <d v="2025-0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8057"/>
    <x v="6"/>
    <x v="1"/>
    <s v="Standard Timecode"/>
    <n v="90"/>
    <n v="0.25"/>
    <d v="1899-12-30T00:15:00"/>
    <n v="22.5"/>
    <m/>
    <m/>
    <m/>
    <s v="GBP"/>
    <s v="Reviewed"/>
    <s v=" "/>
    <s v="Not submitted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80828-2BD7-4A4F-9D69-04152D151C2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H13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2"/>
        <item x="5"/>
        <item x="6"/>
        <item x="0"/>
        <item x="1"/>
        <item x="3"/>
        <item x="4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3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16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13" sqref="H13"/>
    </sheetView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6" width="4.33203125" bestFit="1" customWidth="1"/>
    <col min="7" max="7" width="39.6640625" bestFit="1" customWidth="1"/>
    <col min="8" max="9" width="11" customWidth="1"/>
    <col min="10" max="10" width="27.5546875" customWidth="1"/>
    <col min="11" max="11" width="15.109375" bestFit="1" customWidth="1"/>
    <col min="12" max="12" width="14.88671875" bestFit="1" customWidth="1"/>
    <col min="13" max="13" width="15.109375" bestFit="1" customWidth="1"/>
    <col min="14" max="14" width="14.88671875" bestFit="1" customWidth="1"/>
  </cols>
  <sheetData>
    <row r="1" spans="1:14" x14ac:dyDescent="0.3">
      <c r="A1" s="8" t="s">
        <v>0</v>
      </c>
      <c r="C1"/>
    </row>
    <row r="2" spans="1:14" ht="15" thickBot="1" x14ac:dyDescent="0.35">
      <c r="C2"/>
    </row>
    <row r="3" spans="1:14" ht="25.8" thickBot="1" x14ac:dyDescent="0.35">
      <c r="A3" s="4" t="s">
        <v>1</v>
      </c>
      <c r="B3" t="s">
        <v>2</v>
      </c>
      <c r="C3"/>
      <c r="D3" s="6" t="s">
        <v>3</v>
      </c>
      <c r="J3" s="9" t="s">
        <v>4</v>
      </c>
      <c r="K3" s="10" t="s">
        <v>5</v>
      </c>
      <c r="L3" s="10" t="s">
        <v>6</v>
      </c>
      <c r="M3" s="10" t="s">
        <v>5</v>
      </c>
      <c r="N3" s="10" t="s">
        <v>6</v>
      </c>
    </row>
    <row r="4" spans="1:14" ht="15" thickBot="1" x14ac:dyDescent="0.35">
      <c r="A4" s="4" t="s">
        <v>7</v>
      </c>
      <c r="B4" t="s">
        <v>8</v>
      </c>
      <c r="C4"/>
      <c r="J4" s="11" t="s">
        <v>9</v>
      </c>
      <c r="K4" s="16">
        <v>8</v>
      </c>
      <c r="L4" s="16">
        <v>10</v>
      </c>
      <c r="M4" s="12" t="s">
        <v>10</v>
      </c>
      <c r="N4" s="12" t="s">
        <v>11</v>
      </c>
    </row>
    <row r="5" spans="1:14" ht="15" thickBot="1" x14ac:dyDescent="0.35">
      <c r="C5"/>
      <c r="J5" s="11" t="s">
        <v>12</v>
      </c>
      <c r="K5" s="16">
        <v>40</v>
      </c>
      <c r="L5" s="16">
        <v>48</v>
      </c>
      <c r="M5" s="12" t="s">
        <v>13</v>
      </c>
      <c r="N5" s="12" t="s">
        <v>14</v>
      </c>
    </row>
    <row r="6" spans="1:14" ht="15" thickBot="1" x14ac:dyDescent="0.35">
      <c r="A6" s="4" t="s">
        <v>15</v>
      </c>
      <c r="B6" s="4" t="s">
        <v>16</v>
      </c>
      <c r="C6"/>
      <c r="J6" s="11" t="s">
        <v>17</v>
      </c>
      <c r="K6" s="16">
        <v>4</v>
      </c>
      <c r="L6" s="16">
        <v>5</v>
      </c>
      <c r="M6" s="12" t="s">
        <v>18</v>
      </c>
      <c r="N6" s="12" t="s">
        <v>19</v>
      </c>
    </row>
    <row r="7" spans="1:14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24</v>
      </c>
      <c r="G7" t="s">
        <v>102</v>
      </c>
      <c r="H7" t="s">
        <v>23</v>
      </c>
      <c r="J7" s="11" t="s">
        <v>24</v>
      </c>
      <c r="K7" s="16">
        <v>8</v>
      </c>
      <c r="L7" s="16">
        <v>10</v>
      </c>
      <c r="M7" s="12" t="s">
        <v>10</v>
      </c>
      <c r="N7" s="12" t="s">
        <v>11</v>
      </c>
    </row>
    <row r="8" spans="1:14" ht="25.8" thickBot="1" x14ac:dyDescent="0.35">
      <c r="A8" s="5" t="s">
        <v>25</v>
      </c>
      <c r="B8" s="17"/>
      <c r="C8" s="17"/>
      <c r="D8" s="17">
        <v>9.25</v>
      </c>
      <c r="E8" s="17"/>
      <c r="F8" s="17"/>
      <c r="G8" s="17"/>
      <c r="H8" s="17">
        <v>9.25</v>
      </c>
      <c r="J8" s="11" t="s">
        <v>26</v>
      </c>
      <c r="K8" s="16">
        <v>8</v>
      </c>
      <c r="L8" s="16">
        <v>10</v>
      </c>
      <c r="M8" s="12" t="s">
        <v>10</v>
      </c>
      <c r="N8" s="12" t="s">
        <v>11</v>
      </c>
    </row>
    <row r="9" spans="1:14" ht="15" thickBot="1" x14ac:dyDescent="0.35">
      <c r="A9" s="5" t="s">
        <v>27</v>
      </c>
      <c r="B9" s="17">
        <v>5</v>
      </c>
      <c r="C9" s="17"/>
      <c r="D9" s="17"/>
      <c r="E9" s="17">
        <v>19.75</v>
      </c>
      <c r="F9" s="17">
        <v>1</v>
      </c>
      <c r="G9" s="17">
        <v>6.75</v>
      </c>
      <c r="H9" s="17">
        <v>32.5</v>
      </c>
      <c r="J9" s="13" t="s">
        <v>28</v>
      </c>
      <c r="K9" s="14">
        <v>68</v>
      </c>
      <c r="L9" s="14">
        <v>83</v>
      </c>
      <c r="M9" s="15" t="s">
        <v>29</v>
      </c>
      <c r="N9" s="15" t="s">
        <v>30</v>
      </c>
    </row>
    <row r="10" spans="1:14" ht="15" thickTop="1" x14ac:dyDescent="0.3">
      <c r="A10" s="5" t="s">
        <v>31</v>
      </c>
      <c r="B10" s="17"/>
      <c r="C10" s="17">
        <v>23.75</v>
      </c>
      <c r="D10" s="17"/>
      <c r="E10" s="17"/>
      <c r="F10" s="17"/>
      <c r="G10" s="17"/>
      <c r="H10" s="17">
        <v>23.75</v>
      </c>
    </row>
    <row r="11" spans="1:14" x14ac:dyDescent="0.3">
      <c r="A11" s="5" t="s">
        <v>63</v>
      </c>
      <c r="B11" s="17"/>
      <c r="C11" s="17"/>
      <c r="D11" s="17"/>
      <c r="E11" s="17">
        <v>2.5</v>
      </c>
      <c r="F11" s="17"/>
      <c r="G11" s="17"/>
      <c r="H11" s="17">
        <v>2.5</v>
      </c>
    </row>
    <row r="12" spans="1:14" x14ac:dyDescent="0.3">
      <c r="A12" s="5" t="s">
        <v>32</v>
      </c>
      <c r="B12" s="17"/>
      <c r="C12" s="17"/>
      <c r="D12" s="17"/>
      <c r="E12" s="17">
        <v>5</v>
      </c>
      <c r="F12" s="17"/>
      <c r="G12" s="17">
        <v>3</v>
      </c>
      <c r="H12" s="17">
        <v>8</v>
      </c>
    </row>
    <row r="13" spans="1:14" x14ac:dyDescent="0.3">
      <c r="A13" s="5" t="s">
        <v>23</v>
      </c>
      <c r="B13" s="17">
        <v>5</v>
      </c>
      <c r="C13" s="17">
        <v>23.75</v>
      </c>
      <c r="D13" s="17">
        <v>9.25</v>
      </c>
      <c r="E13" s="17">
        <v>27.25</v>
      </c>
      <c r="F13" s="17">
        <v>1</v>
      </c>
      <c r="G13" s="17">
        <v>9.75</v>
      </c>
      <c r="H13" s="17">
        <v>76</v>
      </c>
    </row>
    <row r="14" spans="1:14" x14ac:dyDescent="0.3">
      <c r="C14"/>
    </row>
    <row r="15" spans="1:14" x14ac:dyDescent="0.3">
      <c r="C15"/>
    </row>
    <row r="16" spans="1:14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125"/>
  <sheetViews>
    <sheetView topLeftCell="A84" zoomScale="85" zoomScaleNormal="85" workbookViewId="0"/>
  </sheetViews>
  <sheetFormatPr defaultRowHeight="14.4" x14ac:dyDescent="0.3"/>
  <cols>
    <col min="1" max="1" width="9.5546875" bestFit="1" customWidth="1"/>
  </cols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45691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32</v>
      </c>
      <c r="O6" t="s">
        <v>0</v>
      </c>
      <c r="P6">
        <v>352011</v>
      </c>
      <c r="Q6" t="s">
        <v>22</v>
      </c>
      <c r="R6" t="s">
        <v>8</v>
      </c>
      <c r="S6" t="s">
        <v>74</v>
      </c>
      <c r="T6">
        <v>90</v>
      </c>
      <c r="U6">
        <v>2.5</v>
      </c>
      <c r="V6" s="2">
        <v>0.10416666666666667</v>
      </c>
      <c r="W6">
        <v>225</v>
      </c>
      <c r="AA6" t="s">
        <v>75</v>
      </c>
      <c r="AB6" t="s">
        <v>76</v>
      </c>
      <c r="AC6" t="s">
        <v>100</v>
      </c>
      <c r="AD6" t="s">
        <v>78</v>
      </c>
      <c r="AE6">
        <f t="shared" si="1"/>
        <v>2</v>
      </c>
      <c r="AF6" t="str">
        <f t="shared" si="0"/>
        <v>February</v>
      </c>
    </row>
    <row r="7" spans="1:32" x14ac:dyDescent="0.3">
      <c r="A7" s="1">
        <v>45621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327722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85</v>
      </c>
      <c r="AD7" t="s">
        <v>78</v>
      </c>
      <c r="AE7">
        <f t="shared" si="1"/>
        <v>11</v>
      </c>
      <c r="AF7" t="str">
        <f t="shared" si="0"/>
        <v>November</v>
      </c>
    </row>
    <row r="8" spans="1:32" x14ac:dyDescent="0.3">
      <c r="A8" s="1">
        <v>45628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330796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86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45636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333714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85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45643</v>
      </c>
      <c r="B10" t="s">
        <v>81</v>
      </c>
      <c r="C10" t="s">
        <v>82</v>
      </c>
      <c r="D10" t="s">
        <v>65</v>
      </c>
      <c r="E10" t="s">
        <v>83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84</v>
      </c>
      <c r="O10" t="s">
        <v>0</v>
      </c>
      <c r="P10">
        <v>337211</v>
      </c>
      <c r="Q10" t="s">
        <v>72</v>
      </c>
      <c r="R10" t="s">
        <v>73</v>
      </c>
      <c r="S10" t="s">
        <v>74</v>
      </c>
      <c r="T10">
        <v>0</v>
      </c>
      <c r="U10">
        <v>0.25</v>
      </c>
      <c r="V10" s="2">
        <v>1.0416666666666666E-2</v>
      </c>
      <c r="W10">
        <v>0</v>
      </c>
      <c r="AA10" t="s">
        <v>75</v>
      </c>
      <c r="AB10" t="s">
        <v>76</v>
      </c>
      <c r="AC10" t="s">
        <v>86</v>
      </c>
      <c r="AD10" t="s">
        <v>78</v>
      </c>
      <c r="AE10">
        <f t="shared" si="1"/>
        <v>12</v>
      </c>
      <c r="AF10" t="str">
        <f t="shared" si="0"/>
        <v>December</v>
      </c>
    </row>
    <row r="11" spans="1:32" x14ac:dyDescent="0.3">
      <c r="A11" s="1">
        <v>45656</v>
      </c>
      <c r="B11" t="s">
        <v>81</v>
      </c>
      <c r="C11" t="s">
        <v>82</v>
      </c>
      <c r="D11" t="s">
        <v>65</v>
      </c>
      <c r="E11" t="s">
        <v>83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84</v>
      </c>
      <c r="O11" t="s">
        <v>0</v>
      </c>
      <c r="P11">
        <v>338682</v>
      </c>
      <c r="Q11" t="s">
        <v>72</v>
      </c>
      <c r="R11" t="s">
        <v>73</v>
      </c>
      <c r="S11" t="s">
        <v>74</v>
      </c>
      <c r="T11">
        <v>0</v>
      </c>
      <c r="U11">
        <v>0.25</v>
      </c>
      <c r="V11" s="2">
        <v>1.0416666666666666E-2</v>
      </c>
      <c r="W11">
        <v>0</v>
      </c>
      <c r="AA11" t="s">
        <v>75</v>
      </c>
      <c r="AC11" t="s">
        <v>86</v>
      </c>
      <c r="AD11" t="s">
        <v>78</v>
      </c>
      <c r="AE11">
        <f t="shared" si="1"/>
        <v>12</v>
      </c>
      <c r="AF11" t="str">
        <f t="shared" si="0"/>
        <v>December</v>
      </c>
    </row>
    <row r="12" spans="1:32" x14ac:dyDescent="0.3">
      <c r="A12" s="1">
        <v>45670</v>
      </c>
      <c r="B12" t="s">
        <v>81</v>
      </c>
      <c r="C12" t="s">
        <v>82</v>
      </c>
      <c r="D12" t="s">
        <v>65</v>
      </c>
      <c r="E12" t="s">
        <v>83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84</v>
      </c>
      <c r="O12" t="s">
        <v>0</v>
      </c>
      <c r="P12">
        <v>341580</v>
      </c>
      <c r="Q12" t="s">
        <v>72</v>
      </c>
      <c r="R12" t="s">
        <v>73</v>
      </c>
      <c r="S12" t="s">
        <v>74</v>
      </c>
      <c r="T12">
        <v>0</v>
      </c>
      <c r="U12">
        <v>0.25</v>
      </c>
      <c r="V12" s="2">
        <v>1.0416666666666666E-2</v>
      </c>
      <c r="W12">
        <v>0</v>
      </c>
      <c r="AA12" t="s">
        <v>75</v>
      </c>
      <c r="AB12" t="s">
        <v>76</v>
      </c>
      <c r="AC12" t="s">
        <v>85</v>
      </c>
      <c r="AD12" t="s">
        <v>78</v>
      </c>
      <c r="AE12">
        <f t="shared" si="1"/>
        <v>1</v>
      </c>
      <c r="AF12" t="str">
        <f t="shared" si="0"/>
        <v>January</v>
      </c>
    </row>
    <row r="13" spans="1:32" x14ac:dyDescent="0.3">
      <c r="A13" s="1">
        <v>45677</v>
      </c>
      <c r="B13" t="s">
        <v>81</v>
      </c>
      <c r="C13" t="s">
        <v>82</v>
      </c>
      <c r="D13" t="s">
        <v>65</v>
      </c>
      <c r="E13" t="s">
        <v>83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84</v>
      </c>
      <c r="O13" t="s">
        <v>0</v>
      </c>
      <c r="P13">
        <v>344539</v>
      </c>
      <c r="Q13" t="s">
        <v>72</v>
      </c>
      <c r="R13" t="s">
        <v>73</v>
      </c>
      <c r="S13" t="s">
        <v>74</v>
      </c>
      <c r="T13">
        <v>0</v>
      </c>
      <c r="U13">
        <v>0.25</v>
      </c>
      <c r="V13" s="2">
        <v>1.0416666666666666E-2</v>
      </c>
      <c r="W13">
        <v>0</v>
      </c>
      <c r="AA13" t="s">
        <v>75</v>
      </c>
      <c r="AB13" t="s">
        <v>76</v>
      </c>
      <c r="AC13" t="s">
        <v>86</v>
      </c>
      <c r="AD13" t="s">
        <v>78</v>
      </c>
      <c r="AE13">
        <f t="shared" si="1"/>
        <v>1</v>
      </c>
      <c r="AF13" t="str">
        <f t="shared" si="0"/>
        <v>January</v>
      </c>
    </row>
    <row r="14" spans="1:32" x14ac:dyDescent="0.3">
      <c r="A14" s="1">
        <v>45684</v>
      </c>
      <c r="B14" t="s">
        <v>81</v>
      </c>
      <c r="C14" t="s">
        <v>82</v>
      </c>
      <c r="D14" t="s">
        <v>65</v>
      </c>
      <c r="E14" t="s">
        <v>83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84</v>
      </c>
      <c r="O14" t="s">
        <v>0</v>
      </c>
      <c r="P14">
        <v>347978</v>
      </c>
      <c r="Q14" t="s">
        <v>72</v>
      </c>
      <c r="R14" t="s">
        <v>73</v>
      </c>
      <c r="S14" t="s">
        <v>74</v>
      </c>
      <c r="T14">
        <v>0</v>
      </c>
      <c r="U14">
        <v>0.25</v>
      </c>
      <c r="V14" s="2">
        <v>1.0416666666666666E-2</v>
      </c>
      <c r="W14">
        <v>0</v>
      </c>
      <c r="AA14" t="s">
        <v>75</v>
      </c>
      <c r="AB14" t="s">
        <v>76</v>
      </c>
      <c r="AC14" t="s">
        <v>86</v>
      </c>
      <c r="AD14" t="s">
        <v>78</v>
      </c>
      <c r="AE14">
        <f t="shared" si="1"/>
        <v>1</v>
      </c>
      <c r="AF14" t="str">
        <f t="shared" si="0"/>
        <v>January</v>
      </c>
    </row>
    <row r="15" spans="1:32" x14ac:dyDescent="0.3">
      <c r="A15" s="1">
        <v>45692</v>
      </c>
      <c r="B15" t="s">
        <v>81</v>
      </c>
      <c r="C15" t="s">
        <v>82</v>
      </c>
      <c r="D15" t="s">
        <v>65</v>
      </c>
      <c r="E15" t="s">
        <v>83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84</v>
      </c>
      <c r="O15" t="s">
        <v>0</v>
      </c>
      <c r="P15">
        <v>352391</v>
      </c>
      <c r="Q15" t="s">
        <v>72</v>
      </c>
      <c r="R15" t="s">
        <v>73</v>
      </c>
      <c r="S15" t="s">
        <v>74</v>
      </c>
      <c r="T15">
        <v>0</v>
      </c>
      <c r="U15">
        <v>0.25</v>
      </c>
      <c r="V15" s="2">
        <v>1.0416666666666666E-2</v>
      </c>
      <c r="W15">
        <v>0</v>
      </c>
      <c r="AA15" t="s">
        <v>75</v>
      </c>
      <c r="AB15" t="s">
        <v>76</v>
      </c>
      <c r="AC15" t="s">
        <v>85</v>
      </c>
      <c r="AD15" t="s">
        <v>78</v>
      </c>
      <c r="AE15">
        <f t="shared" si="1"/>
        <v>2</v>
      </c>
      <c r="AF15" t="str">
        <f t="shared" si="0"/>
        <v>February</v>
      </c>
    </row>
    <row r="16" spans="1:32" x14ac:dyDescent="0.3">
      <c r="A16" s="1">
        <v>45698</v>
      </c>
      <c r="B16" t="s">
        <v>81</v>
      </c>
      <c r="C16" t="s">
        <v>82</v>
      </c>
      <c r="D16" t="s">
        <v>65</v>
      </c>
      <c r="E16" t="s">
        <v>83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84</v>
      </c>
      <c r="O16" t="s">
        <v>0</v>
      </c>
      <c r="P16">
        <v>354966</v>
      </c>
      <c r="Q16" t="s">
        <v>72</v>
      </c>
      <c r="R16" t="s">
        <v>73</v>
      </c>
      <c r="S16" t="s">
        <v>74</v>
      </c>
      <c r="T16">
        <v>0</v>
      </c>
      <c r="U16">
        <v>0.25</v>
      </c>
      <c r="V16" s="2">
        <v>1.0416666666666666E-2</v>
      </c>
      <c r="W16">
        <v>0</v>
      </c>
      <c r="AA16" t="s">
        <v>75</v>
      </c>
      <c r="AB16" t="s">
        <v>76</v>
      </c>
      <c r="AC16" t="s">
        <v>86</v>
      </c>
      <c r="AD16" t="s">
        <v>78</v>
      </c>
      <c r="AE16">
        <f t="shared" ref="AE16:AE18" si="2">MONTH(A16)</f>
        <v>2</v>
      </c>
      <c r="AF16" t="str">
        <f t="shared" ref="AF16:AF18" si="3">IF(AE16=11,"November",IF(AE16=12,"December",IF(AE16=1,"January",IF(AE16=2,"February",IF(AE16=3,"March")))))</f>
        <v>February</v>
      </c>
    </row>
    <row r="17" spans="1:32" x14ac:dyDescent="0.3">
      <c r="A17" s="1">
        <v>45705</v>
      </c>
      <c r="B17" t="s">
        <v>81</v>
      </c>
      <c r="C17" t="s">
        <v>82</v>
      </c>
      <c r="D17" t="s">
        <v>65</v>
      </c>
      <c r="E17" t="s">
        <v>83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84</v>
      </c>
      <c r="O17" t="s">
        <v>0</v>
      </c>
      <c r="P17">
        <v>358011</v>
      </c>
      <c r="Q17" t="s">
        <v>72</v>
      </c>
      <c r="R17" t="s">
        <v>73</v>
      </c>
      <c r="S17" t="s">
        <v>74</v>
      </c>
      <c r="T17">
        <v>0</v>
      </c>
      <c r="U17">
        <v>0.25</v>
      </c>
      <c r="V17" s="2">
        <v>1.0416666666666666E-2</v>
      </c>
      <c r="W17">
        <v>0</v>
      </c>
      <c r="AA17" t="s">
        <v>75</v>
      </c>
      <c r="AB17" t="s">
        <v>76</v>
      </c>
      <c r="AC17" t="s">
        <v>86</v>
      </c>
      <c r="AD17" t="s">
        <v>78</v>
      </c>
      <c r="AE17">
        <f t="shared" si="2"/>
        <v>2</v>
      </c>
      <c r="AF17" t="str">
        <f t="shared" si="3"/>
        <v>February</v>
      </c>
    </row>
    <row r="18" spans="1:32" x14ac:dyDescent="0.3">
      <c r="A18" s="1">
        <v>45616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325460</v>
      </c>
      <c r="Q18" t="s">
        <v>9</v>
      </c>
      <c r="R18" t="s">
        <v>8</v>
      </c>
      <c r="S18" t="s">
        <v>74</v>
      </c>
      <c r="T18">
        <v>90</v>
      </c>
      <c r="U18">
        <v>1.5</v>
      </c>
      <c r="V18" s="2">
        <v>6.25E-2</v>
      </c>
      <c r="W18">
        <v>135</v>
      </c>
      <c r="X18">
        <v>180</v>
      </c>
      <c r="Y18">
        <v>45</v>
      </c>
      <c r="Z18" t="s">
        <v>87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45617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326072</v>
      </c>
      <c r="Q19" t="s">
        <v>9</v>
      </c>
      <c r="R19" t="s">
        <v>8</v>
      </c>
      <c r="S19" t="s">
        <v>74</v>
      </c>
      <c r="T19">
        <v>90</v>
      </c>
      <c r="U19">
        <v>2.25</v>
      </c>
      <c r="V19" s="2">
        <v>9.375E-2</v>
      </c>
      <c r="W19">
        <v>202.5</v>
      </c>
      <c r="X19">
        <v>270</v>
      </c>
      <c r="Y19">
        <v>67.5</v>
      </c>
      <c r="Z19" t="s">
        <v>87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45618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327414</v>
      </c>
      <c r="Q20" t="s">
        <v>9</v>
      </c>
      <c r="R20" t="s">
        <v>8</v>
      </c>
      <c r="S20" t="s">
        <v>74</v>
      </c>
      <c r="T20">
        <v>90</v>
      </c>
      <c r="U20">
        <v>0.5</v>
      </c>
      <c r="V20" s="2">
        <v>2.0833333333333332E-2</v>
      </c>
      <c r="W20">
        <v>45</v>
      </c>
      <c r="X20">
        <v>60</v>
      </c>
      <c r="Y20">
        <v>15</v>
      </c>
      <c r="Z20" t="s">
        <v>87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45621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327421</v>
      </c>
      <c r="Q21" t="s">
        <v>9</v>
      </c>
      <c r="R21" t="s">
        <v>8</v>
      </c>
      <c r="S21" t="s">
        <v>74</v>
      </c>
      <c r="T21">
        <v>90</v>
      </c>
      <c r="U21">
        <v>0.25</v>
      </c>
      <c r="V21" s="2">
        <v>1.0416666666666666E-2</v>
      </c>
      <c r="W21">
        <v>22.5</v>
      </c>
      <c r="X21">
        <v>30</v>
      </c>
      <c r="Y21">
        <v>7.5</v>
      </c>
      <c r="Z21" t="s">
        <v>87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45621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327485</v>
      </c>
      <c r="Q22" t="s">
        <v>22</v>
      </c>
      <c r="R22" t="s">
        <v>8</v>
      </c>
      <c r="S22" t="s">
        <v>74</v>
      </c>
      <c r="T22">
        <v>90</v>
      </c>
      <c r="U22">
        <v>1.75</v>
      </c>
      <c r="V22" s="2">
        <v>7.2916666666666671E-2</v>
      </c>
      <c r="W22">
        <v>157.5</v>
      </c>
      <c r="X22">
        <v>210</v>
      </c>
      <c r="Y22">
        <v>52.5</v>
      </c>
      <c r="Z22" t="s">
        <v>87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45621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327416</v>
      </c>
      <c r="Q23" t="s">
        <v>72</v>
      </c>
      <c r="R23" t="s">
        <v>73</v>
      </c>
      <c r="S23" t="s">
        <v>74</v>
      </c>
      <c r="T23">
        <v>0</v>
      </c>
      <c r="U23">
        <v>1</v>
      </c>
      <c r="V23" s="2">
        <v>4.1666666666666664E-2</v>
      </c>
      <c r="W23">
        <v>0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45622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328006</v>
      </c>
      <c r="Q24" t="s">
        <v>22</v>
      </c>
      <c r="R24" t="s">
        <v>8</v>
      </c>
      <c r="S24" t="s">
        <v>74</v>
      </c>
      <c r="T24">
        <v>90</v>
      </c>
      <c r="U24">
        <v>3.5</v>
      </c>
      <c r="V24" s="2">
        <v>0.14583333333333334</v>
      </c>
      <c r="W24">
        <v>315</v>
      </c>
      <c r="X24">
        <v>420</v>
      </c>
      <c r="Y24">
        <v>105</v>
      </c>
      <c r="Z24" t="s">
        <v>87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45622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328003</v>
      </c>
      <c r="Q25" t="s">
        <v>72</v>
      </c>
      <c r="R25" t="s">
        <v>73</v>
      </c>
      <c r="S25" t="s">
        <v>74</v>
      </c>
      <c r="T25">
        <v>0</v>
      </c>
      <c r="U25">
        <v>1</v>
      </c>
      <c r="V25" s="2">
        <v>4.1666666666666664E-2</v>
      </c>
      <c r="W25">
        <v>0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45623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328702</v>
      </c>
      <c r="Q26" t="s">
        <v>22</v>
      </c>
      <c r="R26" t="s">
        <v>8</v>
      </c>
      <c r="S26" t="s">
        <v>74</v>
      </c>
      <c r="T26">
        <v>90</v>
      </c>
      <c r="U26">
        <v>3.75</v>
      </c>
      <c r="V26" s="2">
        <v>0.15625</v>
      </c>
      <c r="W26">
        <v>337.5</v>
      </c>
      <c r="X26">
        <v>450</v>
      </c>
      <c r="Y26">
        <v>112.5</v>
      </c>
      <c r="Z26" t="s">
        <v>87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11</v>
      </c>
      <c r="AF26" t="str">
        <f t="shared" si="5"/>
        <v>November</v>
      </c>
    </row>
    <row r="27" spans="1:32" x14ac:dyDescent="0.3">
      <c r="A27" s="1">
        <v>45623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328708</v>
      </c>
      <c r="Q27" t="s">
        <v>72</v>
      </c>
      <c r="R27" t="s">
        <v>73</v>
      </c>
      <c r="S27" t="s">
        <v>74</v>
      </c>
      <c r="T27">
        <v>0</v>
      </c>
      <c r="U27">
        <v>0.75</v>
      </c>
      <c r="V27" s="2">
        <v>3.125E-2</v>
      </c>
      <c r="W27">
        <v>0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11</v>
      </c>
      <c r="AF27" t="str">
        <f t="shared" si="5"/>
        <v>November</v>
      </c>
    </row>
    <row r="28" spans="1:32" x14ac:dyDescent="0.3">
      <c r="A28" s="1">
        <v>45624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329615</v>
      </c>
      <c r="Q28" t="s">
        <v>9</v>
      </c>
      <c r="R28" t="s">
        <v>8</v>
      </c>
      <c r="S28" t="s">
        <v>74</v>
      </c>
      <c r="T28">
        <v>90</v>
      </c>
      <c r="U28">
        <v>0.5</v>
      </c>
      <c r="V28" s="2">
        <v>2.0833333333333332E-2</v>
      </c>
      <c r="W28">
        <v>45</v>
      </c>
      <c r="X28">
        <v>60</v>
      </c>
      <c r="Y28">
        <v>15</v>
      </c>
      <c r="Z28" t="s">
        <v>87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11</v>
      </c>
      <c r="AF28" t="str">
        <f t="shared" si="5"/>
        <v>November</v>
      </c>
    </row>
    <row r="29" spans="1:32" x14ac:dyDescent="0.3">
      <c r="A29" s="1">
        <v>45624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329613</v>
      </c>
      <c r="Q29" t="s">
        <v>22</v>
      </c>
      <c r="R29" t="s">
        <v>8</v>
      </c>
      <c r="S29" t="s">
        <v>74</v>
      </c>
      <c r="T29">
        <v>90</v>
      </c>
      <c r="U29">
        <v>3</v>
      </c>
      <c r="V29" s="2">
        <v>0.125</v>
      </c>
      <c r="W29">
        <v>270</v>
      </c>
      <c r="X29">
        <v>360</v>
      </c>
      <c r="Y29">
        <v>90</v>
      </c>
      <c r="Z29" t="s">
        <v>87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11</v>
      </c>
      <c r="AF29" t="str">
        <f t="shared" si="5"/>
        <v>November</v>
      </c>
    </row>
    <row r="30" spans="1:32" x14ac:dyDescent="0.3">
      <c r="A30" s="1">
        <v>45625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329816</v>
      </c>
      <c r="Q30" t="s">
        <v>22</v>
      </c>
      <c r="R30" t="s">
        <v>8</v>
      </c>
      <c r="S30" t="s">
        <v>74</v>
      </c>
      <c r="T30">
        <v>90</v>
      </c>
      <c r="U30">
        <v>1</v>
      </c>
      <c r="V30" s="2">
        <v>4.1666666666666664E-2</v>
      </c>
      <c r="W30">
        <v>90</v>
      </c>
      <c r="X30">
        <v>120</v>
      </c>
      <c r="Y30">
        <v>30</v>
      </c>
      <c r="Z30" t="s">
        <v>87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11</v>
      </c>
      <c r="AF30" t="str">
        <f t="shared" si="5"/>
        <v>November</v>
      </c>
    </row>
    <row r="31" spans="1:32" x14ac:dyDescent="0.3">
      <c r="A31" s="1">
        <v>45625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329817</v>
      </c>
      <c r="Q31" t="s">
        <v>72</v>
      </c>
      <c r="R31" t="s">
        <v>73</v>
      </c>
      <c r="S31" t="s">
        <v>74</v>
      </c>
      <c r="T31">
        <v>0</v>
      </c>
      <c r="U31">
        <v>0.5</v>
      </c>
      <c r="V31" s="2">
        <v>2.0833333333333332E-2</v>
      </c>
      <c r="W31">
        <v>0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11</v>
      </c>
      <c r="AF31" t="str">
        <f t="shared" si="5"/>
        <v>November</v>
      </c>
    </row>
    <row r="32" spans="1:32" x14ac:dyDescent="0.3">
      <c r="A32" s="1">
        <v>45628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331412</v>
      </c>
      <c r="Q32" t="s">
        <v>22</v>
      </c>
      <c r="R32" t="s">
        <v>8</v>
      </c>
      <c r="S32" t="s">
        <v>74</v>
      </c>
      <c r="T32">
        <v>90</v>
      </c>
      <c r="U32">
        <v>0.5</v>
      </c>
      <c r="V32" s="2">
        <v>2.0833333333333332E-2</v>
      </c>
      <c r="W32">
        <v>45</v>
      </c>
      <c r="X32">
        <v>60</v>
      </c>
      <c r="Y32">
        <v>15</v>
      </c>
      <c r="Z32" t="s">
        <v>97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45629</v>
      </c>
      <c r="B33" t="s">
        <v>27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32</v>
      </c>
      <c r="O33" t="s">
        <v>0</v>
      </c>
      <c r="P33">
        <v>331421</v>
      </c>
      <c r="Q33" t="s">
        <v>22</v>
      </c>
      <c r="R33" t="s">
        <v>8</v>
      </c>
      <c r="S33" t="s">
        <v>74</v>
      </c>
      <c r="T33">
        <v>90</v>
      </c>
      <c r="U33">
        <v>0.5</v>
      </c>
      <c r="V33" s="2">
        <v>2.0833333333333332E-2</v>
      </c>
      <c r="W33">
        <v>45</v>
      </c>
      <c r="X33">
        <v>60</v>
      </c>
      <c r="Y33">
        <v>15</v>
      </c>
      <c r="Z33" t="s">
        <v>97</v>
      </c>
      <c r="AA33" t="s">
        <v>75</v>
      </c>
      <c r="AB33" t="s">
        <v>76</v>
      </c>
      <c r="AC33" t="s">
        <v>84</v>
      </c>
      <c r="AD33" t="s">
        <v>78</v>
      </c>
      <c r="AE33">
        <f t="shared" si="4"/>
        <v>12</v>
      </c>
      <c r="AF33" t="str">
        <f t="shared" si="5"/>
        <v>December</v>
      </c>
    </row>
    <row r="34" spans="1:32" x14ac:dyDescent="0.3">
      <c r="A34" s="1">
        <v>45630</v>
      </c>
      <c r="B34" t="s">
        <v>27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32</v>
      </c>
      <c r="O34" t="s">
        <v>0</v>
      </c>
      <c r="P34">
        <v>331913</v>
      </c>
      <c r="Q34" t="s">
        <v>72</v>
      </c>
      <c r="R34" t="s">
        <v>73</v>
      </c>
      <c r="S34" t="s">
        <v>74</v>
      </c>
      <c r="T34">
        <v>0</v>
      </c>
      <c r="U34">
        <v>0.25</v>
      </c>
      <c r="V34" s="2">
        <v>1.0416666666666666E-2</v>
      </c>
      <c r="W34">
        <v>0</v>
      </c>
      <c r="AA34" t="s">
        <v>75</v>
      </c>
      <c r="AB34" t="s">
        <v>76</v>
      </c>
      <c r="AC34" t="s">
        <v>84</v>
      </c>
      <c r="AD34" t="s">
        <v>78</v>
      </c>
      <c r="AE34">
        <f t="shared" si="4"/>
        <v>12</v>
      </c>
      <c r="AF34" t="str">
        <f t="shared" si="5"/>
        <v>December</v>
      </c>
    </row>
    <row r="35" spans="1:32" x14ac:dyDescent="0.3">
      <c r="A35" s="1">
        <v>45631</v>
      </c>
      <c r="B35" t="s">
        <v>27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32</v>
      </c>
      <c r="O35" t="s">
        <v>0</v>
      </c>
      <c r="P35">
        <v>333449</v>
      </c>
      <c r="Q35" t="s">
        <v>22</v>
      </c>
      <c r="R35" t="s">
        <v>8</v>
      </c>
      <c r="S35" t="s">
        <v>74</v>
      </c>
      <c r="T35">
        <v>90</v>
      </c>
      <c r="U35">
        <v>1</v>
      </c>
      <c r="V35" s="2">
        <v>4.1666666666666664E-2</v>
      </c>
      <c r="W35">
        <v>90</v>
      </c>
      <c r="X35">
        <v>120</v>
      </c>
      <c r="Y35">
        <v>30</v>
      </c>
      <c r="Z35" t="s">
        <v>97</v>
      </c>
      <c r="AA35" t="s">
        <v>75</v>
      </c>
      <c r="AB35" t="s">
        <v>76</v>
      </c>
      <c r="AC35" t="s">
        <v>84</v>
      </c>
      <c r="AD35" t="s">
        <v>78</v>
      </c>
      <c r="AE35">
        <f t="shared" si="4"/>
        <v>12</v>
      </c>
      <c r="AF35" t="str">
        <f t="shared" si="5"/>
        <v>December</v>
      </c>
    </row>
    <row r="36" spans="1:32" x14ac:dyDescent="0.3">
      <c r="A36" s="1">
        <v>45636</v>
      </c>
      <c r="B36" t="s">
        <v>27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32</v>
      </c>
      <c r="O36" t="s">
        <v>0</v>
      </c>
      <c r="P36">
        <v>334502</v>
      </c>
      <c r="Q36" t="s">
        <v>22</v>
      </c>
      <c r="R36" t="s">
        <v>8</v>
      </c>
      <c r="S36" t="s">
        <v>74</v>
      </c>
      <c r="T36">
        <v>90</v>
      </c>
      <c r="U36">
        <v>0.5</v>
      </c>
      <c r="V36" s="2">
        <v>2.0833333333333332E-2</v>
      </c>
      <c r="W36">
        <v>45</v>
      </c>
      <c r="X36">
        <v>60</v>
      </c>
      <c r="Y36">
        <v>15</v>
      </c>
      <c r="Z36" t="s">
        <v>97</v>
      </c>
      <c r="AA36" t="s">
        <v>75</v>
      </c>
      <c r="AB36" t="s">
        <v>76</v>
      </c>
      <c r="AC36" t="s">
        <v>84</v>
      </c>
      <c r="AD36" t="s">
        <v>78</v>
      </c>
      <c r="AE36">
        <f t="shared" si="4"/>
        <v>12</v>
      </c>
      <c r="AF36" t="str">
        <f t="shared" si="5"/>
        <v>December</v>
      </c>
    </row>
    <row r="37" spans="1:32" x14ac:dyDescent="0.3">
      <c r="A37" s="1">
        <v>45637</v>
      </c>
      <c r="B37" t="s">
        <v>27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32</v>
      </c>
      <c r="O37" t="s">
        <v>0</v>
      </c>
      <c r="P37">
        <v>334505</v>
      </c>
      <c r="Q37" t="s">
        <v>22</v>
      </c>
      <c r="R37" t="s">
        <v>8</v>
      </c>
      <c r="S37" t="s">
        <v>74</v>
      </c>
      <c r="T37">
        <v>90</v>
      </c>
      <c r="U37">
        <v>0.5</v>
      </c>
      <c r="V37" s="2">
        <v>2.0833333333333332E-2</v>
      </c>
      <c r="W37">
        <v>45</v>
      </c>
      <c r="X37">
        <v>60</v>
      </c>
      <c r="Y37">
        <v>15</v>
      </c>
      <c r="Z37" t="s">
        <v>97</v>
      </c>
      <c r="AA37" t="s">
        <v>75</v>
      </c>
      <c r="AB37" t="s">
        <v>76</v>
      </c>
      <c r="AC37" t="s">
        <v>84</v>
      </c>
      <c r="AD37" t="s">
        <v>78</v>
      </c>
      <c r="AE37">
        <f t="shared" si="4"/>
        <v>12</v>
      </c>
      <c r="AF37" t="str">
        <f t="shared" si="5"/>
        <v>December</v>
      </c>
    </row>
    <row r="38" spans="1:32" x14ac:dyDescent="0.3">
      <c r="A38" s="1">
        <v>45638</v>
      </c>
      <c r="B38" t="s">
        <v>27</v>
      </c>
      <c r="C38" t="s">
        <v>82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32</v>
      </c>
      <c r="O38" t="s">
        <v>0</v>
      </c>
      <c r="P38">
        <v>334759</v>
      </c>
      <c r="Q38" t="s">
        <v>72</v>
      </c>
      <c r="R38" t="s">
        <v>73</v>
      </c>
      <c r="S38" t="s">
        <v>74</v>
      </c>
      <c r="T38">
        <v>0</v>
      </c>
      <c r="U38">
        <v>0.5</v>
      </c>
      <c r="V38" s="2">
        <v>2.0833333333333332E-2</v>
      </c>
      <c r="W38">
        <v>0</v>
      </c>
      <c r="AA38" t="s">
        <v>75</v>
      </c>
      <c r="AB38" t="s">
        <v>76</v>
      </c>
      <c r="AC38" t="s">
        <v>84</v>
      </c>
      <c r="AD38" t="s">
        <v>78</v>
      </c>
      <c r="AE38">
        <f t="shared" si="4"/>
        <v>12</v>
      </c>
      <c r="AF38" t="str">
        <f t="shared" si="5"/>
        <v>December</v>
      </c>
    </row>
    <row r="39" spans="1:32" x14ac:dyDescent="0.3">
      <c r="A39" s="1">
        <v>45642</v>
      </c>
      <c r="B39" t="s">
        <v>27</v>
      </c>
      <c r="C39" t="s">
        <v>82</v>
      </c>
      <c r="D39" t="s">
        <v>65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32</v>
      </c>
      <c r="O39" t="s">
        <v>0</v>
      </c>
      <c r="P39">
        <v>335523</v>
      </c>
      <c r="Q39" t="s">
        <v>22</v>
      </c>
      <c r="R39" t="s">
        <v>8</v>
      </c>
      <c r="S39" t="s">
        <v>74</v>
      </c>
      <c r="T39">
        <v>90</v>
      </c>
      <c r="U39">
        <v>0.5</v>
      </c>
      <c r="V39" s="2">
        <v>2.0833333333333332E-2</v>
      </c>
      <c r="W39">
        <v>45</v>
      </c>
      <c r="X39">
        <v>60</v>
      </c>
      <c r="Y39">
        <v>15</v>
      </c>
      <c r="Z39" t="s">
        <v>97</v>
      </c>
      <c r="AA39" t="s">
        <v>75</v>
      </c>
      <c r="AB39" t="s">
        <v>76</v>
      </c>
      <c r="AC39" t="s">
        <v>84</v>
      </c>
      <c r="AD39" t="s">
        <v>78</v>
      </c>
      <c r="AE39">
        <f t="shared" si="4"/>
        <v>12</v>
      </c>
      <c r="AF39" t="str">
        <f t="shared" si="5"/>
        <v>December</v>
      </c>
    </row>
    <row r="40" spans="1:32" x14ac:dyDescent="0.3">
      <c r="A40" s="1">
        <v>45645</v>
      </c>
      <c r="B40" t="s">
        <v>27</v>
      </c>
      <c r="C40" t="s">
        <v>82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32</v>
      </c>
      <c r="O40" t="s">
        <v>0</v>
      </c>
      <c r="P40">
        <v>338044</v>
      </c>
      <c r="Q40" t="s">
        <v>22</v>
      </c>
      <c r="R40" t="s">
        <v>8</v>
      </c>
      <c r="S40" t="s">
        <v>74</v>
      </c>
      <c r="T40">
        <v>90</v>
      </c>
      <c r="U40">
        <v>0.25</v>
      </c>
      <c r="V40" s="2">
        <v>1.0416666666666666E-2</v>
      </c>
      <c r="W40">
        <v>22.5</v>
      </c>
      <c r="X40">
        <v>30</v>
      </c>
      <c r="Y40">
        <v>7.5</v>
      </c>
      <c r="Z40" t="s">
        <v>97</v>
      </c>
      <c r="AA40" t="s">
        <v>75</v>
      </c>
      <c r="AB40" t="s">
        <v>76</v>
      </c>
      <c r="AC40" t="s">
        <v>84</v>
      </c>
      <c r="AD40" t="s">
        <v>78</v>
      </c>
      <c r="AE40">
        <f t="shared" si="4"/>
        <v>12</v>
      </c>
      <c r="AF40" t="str">
        <f t="shared" si="5"/>
        <v>December</v>
      </c>
    </row>
    <row r="41" spans="1:32" x14ac:dyDescent="0.3">
      <c r="A41" s="1">
        <v>45672</v>
      </c>
      <c r="B41" t="s">
        <v>27</v>
      </c>
      <c r="C41" t="s">
        <v>82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32</v>
      </c>
      <c r="O41" t="s">
        <v>0</v>
      </c>
      <c r="P41">
        <v>345649</v>
      </c>
      <c r="Q41" t="s">
        <v>22</v>
      </c>
      <c r="R41" t="s">
        <v>8</v>
      </c>
      <c r="S41" t="s">
        <v>74</v>
      </c>
      <c r="T41">
        <v>90</v>
      </c>
      <c r="U41">
        <v>0.75</v>
      </c>
      <c r="V41" s="2">
        <v>3.125E-2</v>
      </c>
      <c r="W41">
        <v>67.5</v>
      </c>
      <c r="X41">
        <v>90</v>
      </c>
      <c r="Y41">
        <v>22.5</v>
      </c>
      <c r="Z41" t="s">
        <v>101</v>
      </c>
      <c r="AA41" t="s">
        <v>75</v>
      </c>
      <c r="AB41" t="s">
        <v>76</v>
      </c>
      <c r="AC41" t="s">
        <v>84</v>
      </c>
      <c r="AD41" t="s">
        <v>78</v>
      </c>
      <c r="AE41">
        <f t="shared" si="4"/>
        <v>1</v>
      </c>
      <c r="AF41" t="str">
        <f t="shared" si="5"/>
        <v>January</v>
      </c>
    </row>
    <row r="42" spans="1:32" x14ac:dyDescent="0.3">
      <c r="A42" s="1">
        <v>45678</v>
      </c>
      <c r="B42" t="s">
        <v>27</v>
      </c>
      <c r="C42" t="s">
        <v>82</v>
      </c>
      <c r="D42" t="s">
        <v>65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32</v>
      </c>
      <c r="O42" t="s">
        <v>0</v>
      </c>
      <c r="P42">
        <v>346120</v>
      </c>
      <c r="Q42" t="s">
        <v>24</v>
      </c>
      <c r="R42" t="s">
        <v>8</v>
      </c>
      <c r="S42" t="s">
        <v>74</v>
      </c>
      <c r="T42">
        <v>90</v>
      </c>
      <c r="U42">
        <v>0.25</v>
      </c>
      <c r="V42" s="2">
        <v>1.0416666666666666E-2</v>
      </c>
      <c r="W42">
        <v>22.5</v>
      </c>
      <c r="X42">
        <v>30</v>
      </c>
      <c r="Y42">
        <v>7.5</v>
      </c>
      <c r="Z42" t="s">
        <v>101</v>
      </c>
      <c r="AA42" t="s">
        <v>75</v>
      </c>
      <c r="AB42" t="s">
        <v>76</v>
      </c>
      <c r="AC42" t="s">
        <v>84</v>
      </c>
      <c r="AD42" t="s">
        <v>78</v>
      </c>
      <c r="AE42">
        <f t="shared" si="4"/>
        <v>1</v>
      </c>
      <c r="AF42" t="str">
        <f t="shared" si="5"/>
        <v>January</v>
      </c>
    </row>
    <row r="43" spans="1:32" x14ac:dyDescent="0.3">
      <c r="A43" s="1">
        <v>45679</v>
      </c>
      <c r="B43" t="s">
        <v>27</v>
      </c>
      <c r="C43" t="s">
        <v>82</v>
      </c>
      <c r="D43" t="s">
        <v>65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32</v>
      </c>
      <c r="O43" t="s">
        <v>0</v>
      </c>
      <c r="P43">
        <v>346126</v>
      </c>
      <c r="Q43" t="s">
        <v>22</v>
      </c>
      <c r="R43" t="s">
        <v>8</v>
      </c>
      <c r="S43" t="s">
        <v>74</v>
      </c>
      <c r="T43">
        <v>90</v>
      </c>
      <c r="U43">
        <v>0.5</v>
      </c>
      <c r="V43" s="2">
        <v>2.0833333333333332E-2</v>
      </c>
      <c r="W43">
        <v>45</v>
      </c>
      <c r="X43">
        <v>60</v>
      </c>
      <c r="Y43">
        <v>15</v>
      </c>
      <c r="Z43" t="s">
        <v>101</v>
      </c>
      <c r="AA43" t="s">
        <v>75</v>
      </c>
      <c r="AB43" t="s">
        <v>76</v>
      </c>
      <c r="AC43" t="s">
        <v>84</v>
      </c>
      <c r="AD43" t="s">
        <v>78</v>
      </c>
      <c r="AE43">
        <f t="shared" ref="AE43:AE54" si="6">MONTH(A43)</f>
        <v>1</v>
      </c>
      <c r="AF43" t="str">
        <f t="shared" ref="AF43:AF54" si="7">IF(AE43=11,"November",IF(AE43=12,"December",IF(AE43=1,"January",IF(AE43=2,"February",IF(AE43=3,"March")))))</f>
        <v>January</v>
      </c>
    </row>
    <row r="44" spans="1:32" x14ac:dyDescent="0.3">
      <c r="A44" s="1">
        <v>45679</v>
      </c>
      <c r="B44" t="s">
        <v>27</v>
      </c>
      <c r="C44" t="s">
        <v>82</v>
      </c>
      <c r="D44" t="s">
        <v>65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32</v>
      </c>
      <c r="O44" t="s">
        <v>0</v>
      </c>
      <c r="P44">
        <v>346125</v>
      </c>
      <c r="Q44" t="s">
        <v>24</v>
      </c>
      <c r="R44" t="s">
        <v>8</v>
      </c>
      <c r="S44" t="s">
        <v>74</v>
      </c>
      <c r="T44">
        <v>90</v>
      </c>
      <c r="U44">
        <v>0.25</v>
      </c>
      <c r="V44" s="2">
        <v>1.0416666666666666E-2</v>
      </c>
      <c r="W44">
        <v>22.5</v>
      </c>
      <c r="X44">
        <v>30</v>
      </c>
      <c r="Y44">
        <v>7.5</v>
      </c>
      <c r="Z44" t="s">
        <v>101</v>
      </c>
      <c r="AA44" t="s">
        <v>75</v>
      </c>
      <c r="AB44" t="s">
        <v>76</v>
      </c>
      <c r="AC44" t="s">
        <v>84</v>
      </c>
      <c r="AD44" t="s">
        <v>78</v>
      </c>
      <c r="AE44">
        <f t="shared" si="6"/>
        <v>1</v>
      </c>
      <c r="AF44" t="str">
        <f t="shared" si="7"/>
        <v>January</v>
      </c>
    </row>
    <row r="45" spans="1:32" x14ac:dyDescent="0.3">
      <c r="A45" s="1">
        <v>45680</v>
      </c>
      <c r="B45" t="s">
        <v>27</v>
      </c>
      <c r="C45" t="s">
        <v>82</v>
      </c>
      <c r="D45" t="s">
        <v>65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32</v>
      </c>
      <c r="O45" t="s">
        <v>0</v>
      </c>
      <c r="P45">
        <v>346127</v>
      </c>
      <c r="Q45" t="s">
        <v>22</v>
      </c>
      <c r="R45" t="s">
        <v>8</v>
      </c>
      <c r="S45" t="s">
        <v>74</v>
      </c>
      <c r="T45">
        <v>90</v>
      </c>
      <c r="U45">
        <v>0.75</v>
      </c>
      <c r="V45" s="2">
        <v>3.125E-2</v>
      </c>
      <c r="W45">
        <v>67.5</v>
      </c>
      <c r="X45">
        <v>90</v>
      </c>
      <c r="Y45">
        <v>22.5</v>
      </c>
      <c r="Z45" t="s">
        <v>101</v>
      </c>
      <c r="AA45" t="s">
        <v>75</v>
      </c>
      <c r="AB45" t="s">
        <v>76</v>
      </c>
      <c r="AC45" t="s">
        <v>84</v>
      </c>
      <c r="AD45" t="s">
        <v>78</v>
      </c>
      <c r="AE45">
        <f t="shared" si="6"/>
        <v>1</v>
      </c>
      <c r="AF45" t="str">
        <f t="shared" si="7"/>
        <v>January</v>
      </c>
    </row>
    <row r="46" spans="1:32" x14ac:dyDescent="0.3">
      <c r="A46" s="1">
        <v>45685</v>
      </c>
      <c r="B46" t="s">
        <v>27</v>
      </c>
      <c r="C46" t="s">
        <v>82</v>
      </c>
      <c r="D46" t="s">
        <v>65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32</v>
      </c>
      <c r="O46" t="s">
        <v>0</v>
      </c>
      <c r="P46">
        <v>348443</v>
      </c>
      <c r="Q46" t="s">
        <v>24</v>
      </c>
      <c r="R46" t="s">
        <v>8</v>
      </c>
      <c r="S46" t="s">
        <v>74</v>
      </c>
      <c r="T46">
        <v>90</v>
      </c>
      <c r="U46">
        <v>0.5</v>
      </c>
      <c r="V46" s="2">
        <v>2.0833333333333332E-2</v>
      </c>
      <c r="W46">
        <v>45</v>
      </c>
      <c r="X46">
        <v>60</v>
      </c>
      <c r="Y46">
        <v>15</v>
      </c>
      <c r="Z46" t="s">
        <v>101</v>
      </c>
      <c r="AA46" t="s">
        <v>75</v>
      </c>
      <c r="AB46" t="s">
        <v>76</v>
      </c>
      <c r="AC46" t="s">
        <v>84</v>
      </c>
      <c r="AD46" t="s">
        <v>78</v>
      </c>
      <c r="AE46">
        <f t="shared" si="6"/>
        <v>1</v>
      </c>
      <c r="AF46" t="str">
        <f t="shared" si="7"/>
        <v>January</v>
      </c>
    </row>
    <row r="47" spans="1:32" x14ac:dyDescent="0.3">
      <c r="A47" s="1">
        <v>45688</v>
      </c>
      <c r="B47" t="s">
        <v>27</v>
      </c>
      <c r="C47" t="s">
        <v>82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32</v>
      </c>
      <c r="O47" t="s">
        <v>0</v>
      </c>
      <c r="P47">
        <v>351129</v>
      </c>
      <c r="Q47" t="s">
        <v>102</v>
      </c>
      <c r="R47" t="s">
        <v>8</v>
      </c>
      <c r="S47" t="s">
        <v>74</v>
      </c>
      <c r="T47">
        <v>90</v>
      </c>
      <c r="U47">
        <v>0.5</v>
      </c>
      <c r="V47" s="2">
        <v>2.0833333333333332E-2</v>
      </c>
      <c r="W47">
        <v>45</v>
      </c>
      <c r="X47">
        <v>60</v>
      </c>
      <c r="Y47">
        <v>15</v>
      </c>
      <c r="Z47" t="s">
        <v>101</v>
      </c>
      <c r="AA47" t="s">
        <v>75</v>
      </c>
      <c r="AB47" t="s">
        <v>76</v>
      </c>
      <c r="AC47" t="s">
        <v>84</v>
      </c>
      <c r="AD47" t="s">
        <v>78</v>
      </c>
      <c r="AE47">
        <f t="shared" si="6"/>
        <v>1</v>
      </c>
      <c r="AF47" t="str">
        <f t="shared" si="7"/>
        <v>January</v>
      </c>
    </row>
    <row r="48" spans="1:32" x14ac:dyDescent="0.3">
      <c r="A48" s="1">
        <v>45691</v>
      </c>
      <c r="B48" t="s">
        <v>27</v>
      </c>
      <c r="C48" t="s">
        <v>82</v>
      </c>
      <c r="D48" t="s">
        <v>65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32</v>
      </c>
      <c r="O48" t="s">
        <v>0</v>
      </c>
      <c r="P48">
        <v>351839</v>
      </c>
      <c r="Q48" t="s">
        <v>22</v>
      </c>
      <c r="R48" t="s">
        <v>8</v>
      </c>
      <c r="S48" t="s">
        <v>74</v>
      </c>
      <c r="T48">
        <v>90</v>
      </c>
      <c r="U48">
        <v>1</v>
      </c>
      <c r="V48" s="2">
        <v>4.1666666666666664E-2</v>
      </c>
      <c r="W48">
        <v>90</v>
      </c>
      <c r="AA48" t="s">
        <v>75</v>
      </c>
      <c r="AB48" t="s">
        <v>76</v>
      </c>
      <c r="AC48" t="s">
        <v>84</v>
      </c>
      <c r="AD48" t="s">
        <v>78</v>
      </c>
      <c r="AE48">
        <f t="shared" si="6"/>
        <v>2</v>
      </c>
      <c r="AF48" t="str">
        <f t="shared" si="7"/>
        <v>February</v>
      </c>
    </row>
    <row r="49" spans="1:32" x14ac:dyDescent="0.3">
      <c r="A49" s="1">
        <v>45691</v>
      </c>
      <c r="B49" t="s">
        <v>27</v>
      </c>
      <c r="C49" t="s">
        <v>82</v>
      </c>
      <c r="D49" t="s">
        <v>65</v>
      </c>
      <c r="E49" t="s">
        <v>66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32</v>
      </c>
      <c r="O49" t="s">
        <v>0</v>
      </c>
      <c r="P49">
        <v>351838</v>
      </c>
      <c r="Q49" t="s">
        <v>102</v>
      </c>
      <c r="R49" t="s">
        <v>8</v>
      </c>
      <c r="S49" t="s">
        <v>74</v>
      </c>
      <c r="T49">
        <v>90</v>
      </c>
      <c r="U49">
        <v>1.5</v>
      </c>
      <c r="V49" s="2">
        <v>6.25E-2</v>
      </c>
      <c r="W49">
        <v>135</v>
      </c>
      <c r="AA49" t="s">
        <v>75</v>
      </c>
      <c r="AB49" t="s">
        <v>76</v>
      </c>
      <c r="AC49" t="s">
        <v>84</v>
      </c>
      <c r="AD49" t="s">
        <v>78</v>
      </c>
      <c r="AE49">
        <f t="shared" si="6"/>
        <v>2</v>
      </c>
      <c r="AF49" t="str">
        <f t="shared" si="7"/>
        <v>February</v>
      </c>
    </row>
    <row r="50" spans="1:32" x14ac:dyDescent="0.3">
      <c r="A50" s="1">
        <v>45693</v>
      </c>
      <c r="B50" t="s">
        <v>27</v>
      </c>
      <c r="C50" t="s">
        <v>82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32</v>
      </c>
      <c r="O50" t="s">
        <v>0</v>
      </c>
      <c r="P50">
        <v>353435</v>
      </c>
      <c r="Q50" t="s">
        <v>72</v>
      </c>
      <c r="R50" t="s">
        <v>73</v>
      </c>
      <c r="S50" t="s">
        <v>74</v>
      </c>
      <c r="T50">
        <v>0</v>
      </c>
      <c r="U50">
        <v>0.25</v>
      </c>
      <c r="V50" s="2">
        <v>1.0416666666666666E-2</v>
      </c>
      <c r="W50">
        <v>0</v>
      </c>
      <c r="AA50" t="s">
        <v>75</v>
      </c>
      <c r="AB50" t="s">
        <v>76</v>
      </c>
      <c r="AC50" t="s">
        <v>84</v>
      </c>
      <c r="AD50" t="s">
        <v>78</v>
      </c>
      <c r="AE50">
        <f t="shared" si="6"/>
        <v>2</v>
      </c>
      <c r="AF50" t="str">
        <f t="shared" si="7"/>
        <v>February</v>
      </c>
    </row>
    <row r="51" spans="1:32" x14ac:dyDescent="0.3">
      <c r="A51" s="1">
        <v>45693</v>
      </c>
      <c r="B51" t="s">
        <v>27</v>
      </c>
      <c r="C51" t="s">
        <v>82</v>
      </c>
      <c r="D51" t="s">
        <v>65</v>
      </c>
      <c r="E51" t="s">
        <v>66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32</v>
      </c>
      <c r="O51" t="s">
        <v>0</v>
      </c>
      <c r="P51">
        <v>353436</v>
      </c>
      <c r="Q51" t="s">
        <v>102</v>
      </c>
      <c r="R51" t="s">
        <v>8</v>
      </c>
      <c r="S51" t="s">
        <v>74</v>
      </c>
      <c r="T51">
        <v>90</v>
      </c>
      <c r="U51">
        <v>2</v>
      </c>
      <c r="V51" s="2">
        <v>8.3333333333333329E-2</v>
      </c>
      <c r="W51">
        <v>180</v>
      </c>
      <c r="AA51" t="s">
        <v>75</v>
      </c>
      <c r="AB51" t="s">
        <v>76</v>
      </c>
      <c r="AC51" t="s">
        <v>84</v>
      </c>
      <c r="AD51" t="s">
        <v>78</v>
      </c>
      <c r="AE51">
        <f t="shared" si="6"/>
        <v>2</v>
      </c>
      <c r="AF51" t="str">
        <f t="shared" si="7"/>
        <v>February</v>
      </c>
    </row>
    <row r="52" spans="1:32" x14ac:dyDescent="0.3">
      <c r="A52" s="1">
        <v>45694</v>
      </c>
      <c r="B52" t="s">
        <v>27</v>
      </c>
      <c r="C52" t="s">
        <v>82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32</v>
      </c>
      <c r="O52" t="s">
        <v>0</v>
      </c>
      <c r="P52">
        <v>353431</v>
      </c>
      <c r="Q52" t="s">
        <v>102</v>
      </c>
      <c r="R52" t="s">
        <v>8</v>
      </c>
      <c r="S52" t="s">
        <v>74</v>
      </c>
      <c r="T52">
        <v>90</v>
      </c>
      <c r="U52">
        <v>0.5</v>
      </c>
      <c r="V52" s="2">
        <v>2.0833333333333332E-2</v>
      </c>
      <c r="W52">
        <v>45</v>
      </c>
      <c r="AA52" t="s">
        <v>75</v>
      </c>
      <c r="AB52" t="s">
        <v>76</v>
      </c>
      <c r="AC52" t="s">
        <v>84</v>
      </c>
      <c r="AD52" t="s">
        <v>78</v>
      </c>
      <c r="AE52">
        <f t="shared" si="6"/>
        <v>2</v>
      </c>
      <c r="AF52" t="str">
        <f t="shared" si="7"/>
        <v>February</v>
      </c>
    </row>
    <row r="53" spans="1:32" x14ac:dyDescent="0.3">
      <c r="A53" s="1">
        <v>45698</v>
      </c>
      <c r="B53" t="s">
        <v>27</v>
      </c>
      <c r="C53" t="s">
        <v>82</v>
      </c>
      <c r="D53" t="s">
        <v>65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32</v>
      </c>
      <c r="O53" t="s">
        <v>0</v>
      </c>
      <c r="P53">
        <v>354640</v>
      </c>
      <c r="Q53" t="s">
        <v>102</v>
      </c>
      <c r="R53" t="s">
        <v>8</v>
      </c>
      <c r="S53" t="s">
        <v>74</v>
      </c>
      <c r="T53">
        <v>90</v>
      </c>
      <c r="U53">
        <v>1.75</v>
      </c>
      <c r="V53" s="2">
        <v>7.2916666666666671E-2</v>
      </c>
      <c r="W53">
        <v>157.5</v>
      </c>
      <c r="AA53" t="s">
        <v>75</v>
      </c>
      <c r="AB53" t="s">
        <v>76</v>
      </c>
      <c r="AC53" t="s">
        <v>84</v>
      </c>
      <c r="AD53" t="s">
        <v>78</v>
      </c>
      <c r="AE53">
        <f t="shared" si="6"/>
        <v>2</v>
      </c>
      <c r="AF53" t="str">
        <f t="shared" si="7"/>
        <v>February</v>
      </c>
    </row>
    <row r="54" spans="1:32" x14ac:dyDescent="0.3">
      <c r="A54" s="1">
        <v>45700</v>
      </c>
      <c r="B54" t="s">
        <v>27</v>
      </c>
      <c r="C54" t="s">
        <v>82</v>
      </c>
      <c r="D54" t="s">
        <v>65</v>
      </c>
      <c r="E54" t="s">
        <v>66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32</v>
      </c>
      <c r="O54" t="s">
        <v>0</v>
      </c>
      <c r="P54">
        <v>355975</v>
      </c>
      <c r="Q54" t="s">
        <v>102</v>
      </c>
      <c r="R54" t="s">
        <v>8</v>
      </c>
      <c r="S54" t="s">
        <v>74</v>
      </c>
      <c r="T54">
        <v>90</v>
      </c>
      <c r="U54">
        <v>0.5</v>
      </c>
      <c r="V54" s="2">
        <v>2.0833333333333332E-2</v>
      </c>
      <c r="W54">
        <v>45</v>
      </c>
      <c r="AA54" t="s">
        <v>75</v>
      </c>
      <c r="AB54" t="s">
        <v>76</v>
      </c>
      <c r="AC54" t="s">
        <v>84</v>
      </c>
      <c r="AD54" t="s">
        <v>78</v>
      </c>
      <c r="AE54">
        <f t="shared" si="6"/>
        <v>2</v>
      </c>
      <c r="AF54" t="str">
        <f t="shared" si="7"/>
        <v>February</v>
      </c>
    </row>
    <row r="55" spans="1:32" x14ac:dyDescent="0.3">
      <c r="A55" s="1">
        <v>45617</v>
      </c>
      <c r="B55" t="s">
        <v>32</v>
      </c>
      <c r="C55" t="s">
        <v>82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328871</v>
      </c>
      <c r="Q55" t="s">
        <v>22</v>
      </c>
      <c r="R55" t="s">
        <v>8</v>
      </c>
      <c r="S55" t="s">
        <v>74</v>
      </c>
      <c r="T55">
        <v>90</v>
      </c>
      <c r="U55">
        <v>0.5</v>
      </c>
      <c r="V55" s="2">
        <v>2.0833333333333332E-2</v>
      </c>
      <c r="W55">
        <v>45</v>
      </c>
      <c r="X55">
        <v>60</v>
      </c>
      <c r="Y55">
        <v>15</v>
      </c>
      <c r="Z55" t="s">
        <v>87</v>
      </c>
      <c r="AA55" t="s">
        <v>75</v>
      </c>
      <c r="AB55" t="s">
        <v>76</v>
      </c>
      <c r="AC55" t="s">
        <v>88</v>
      </c>
      <c r="AD55" t="s">
        <v>78</v>
      </c>
      <c r="AE55">
        <f t="shared" ref="AE55:AE69" si="8">MONTH(A55)</f>
        <v>11</v>
      </c>
      <c r="AF55" t="str">
        <f t="shared" ref="AF55:AF69" si="9">IF(AE55=11,"November",IF(AE55=12,"December",IF(AE55=1,"January",IF(AE55=2,"February",IF(AE55=3,"March")))))</f>
        <v>November</v>
      </c>
    </row>
    <row r="56" spans="1:32" x14ac:dyDescent="0.3">
      <c r="A56" s="1">
        <v>45621</v>
      </c>
      <c r="B56" t="s">
        <v>32</v>
      </c>
      <c r="C56" t="s">
        <v>82</v>
      </c>
      <c r="D56" t="s">
        <v>65</v>
      </c>
      <c r="E56" t="s">
        <v>66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328882</v>
      </c>
      <c r="Q56" t="s">
        <v>22</v>
      </c>
      <c r="R56" t="s">
        <v>8</v>
      </c>
      <c r="S56" t="s">
        <v>74</v>
      </c>
      <c r="T56">
        <v>90</v>
      </c>
      <c r="U56">
        <v>1</v>
      </c>
      <c r="V56" s="2">
        <v>4.1666666666666664E-2</v>
      </c>
      <c r="W56">
        <v>90</v>
      </c>
      <c r="X56">
        <v>120</v>
      </c>
      <c r="Y56">
        <v>30</v>
      </c>
      <c r="Z56" t="s">
        <v>87</v>
      </c>
      <c r="AA56" t="s">
        <v>75</v>
      </c>
      <c r="AB56" t="s">
        <v>76</v>
      </c>
      <c r="AC56" t="s">
        <v>89</v>
      </c>
      <c r="AD56" t="s">
        <v>78</v>
      </c>
      <c r="AE56">
        <f t="shared" si="8"/>
        <v>11</v>
      </c>
      <c r="AF56" t="str">
        <f t="shared" si="9"/>
        <v>November</v>
      </c>
    </row>
    <row r="57" spans="1:32" x14ac:dyDescent="0.3">
      <c r="A57" s="1">
        <v>45622</v>
      </c>
      <c r="B57" t="s">
        <v>32</v>
      </c>
      <c r="C57" t="s">
        <v>82</v>
      </c>
      <c r="D57" t="s">
        <v>65</v>
      </c>
      <c r="E57" t="s">
        <v>66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328895</v>
      </c>
      <c r="Q57" t="s">
        <v>22</v>
      </c>
      <c r="R57" t="s">
        <v>8</v>
      </c>
      <c r="S57" t="s">
        <v>74</v>
      </c>
      <c r="T57">
        <v>90</v>
      </c>
      <c r="U57">
        <v>1</v>
      </c>
      <c r="V57" s="2">
        <v>4.1666666666666664E-2</v>
      </c>
      <c r="W57">
        <v>90</v>
      </c>
      <c r="X57">
        <v>120</v>
      </c>
      <c r="Y57">
        <v>30</v>
      </c>
      <c r="Z57" t="s">
        <v>87</v>
      </c>
      <c r="AA57" t="s">
        <v>75</v>
      </c>
      <c r="AB57" t="s">
        <v>76</v>
      </c>
      <c r="AC57" t="s">
        <v>90</v>
      </c>
      <c r="AD57" t="s">
        <v>78</v>
      </c>
      <c r="AE57">
        <f t="shared" si="8"/>
        <v>11</v>
      </c>
      <c r="AF57" t="str">
        <f t="shared" si="9"/>
        <v>November</v>
      </c>
    </row>
    <row r="58" spans="1:32" x14ac:dyDescent="0.3">
      <c r="A58" s="1">
        <v>45623</v>
      </c>
      <c r="B58" t="s">
        <v>32</v>
      </c>
      <c r="C58" t="s">
        <v>82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328899</v>
      </c>
      <c r="Q58" t="s">
        <v>22</v>
      </c>
      <c r="R58" t="s">
        <v>8</v>
      </c>
      <c r="S58" t="s">
        <v>74</v>
      </c>
      <c r="T58">
        <v>90</v>
      </c>
      <c r="U58">
        <v>0.5</v>
      </c>
      <c r="V58" s="2">
        <v>2.0833333333333332E-2</v>
      </c>
      <c r="W58">
        <v>45</v>
      </c>
      <c r="X58">
        <v>60</v>
      </c>
      <c r="Y58">
        <v>15</v>
      </c>
      <c r="Z58" t="s">
        <v>87</v>
      </c>
      <c r="AA58" t="s">
        <v>75</v>
      </c>
      <c r="AB58" t="s">
        <v>76</v>
      </c>
      <c r="AC58" t="s">
        <v>91</v>
      </c>
      <c r="AD58" t="s">
        <v>78</v>
      </c>
      <c r="AE58">
        <f t="shared" si="8"/>
        <v>11</v>
      </c>
      <c r="AF58" t="str">
        <f t="shared" si="9"/>
        <v>November</v>
      </c>
    </row>
    <row r="59" spans="1:32" x14ac:dyDescent="0.3">
      <c r="A59" s="1">
        <v>45624</v>
      </c>
      <c r="B59" t="s">
        <v>32</v>
      </c>
      <c r="C59" t="s">
        <v>82</v>
      </c>
      <c r="D59" t="s">
        <v>65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330390</v>
      </c>
      <c r="Q59" t="s">
        <v>22</v>
      </c>
      <c r="R59" t="s">
        <v>8</v>
      </c>
      <c r="S59" t="s">
        <v>74</v>
      </c>
      <c r="T59">
        <v>90</v>
      </c>
      <c r="U59">
        <v>0.5</v>
      </c>
      <c r="V59" s="2">
        <v>2.0833333333333332E-2</v>
      </c>
      <c r="W59">
        <v>45</v>
      </c>
      <c r="X59">
        <v>60</v>
      </c>
      <c r="Y59">
        <v>15</v>
      </c>
      <c r="Z59" t="s">
        <v>87</v>
      </c>
      <c r="AA59" t="s">
        <v>75</v>
      </c>
      <c r="AB59" t="s">
        <v>76</v>
      </c>
      <c r="AC59" t="s">
        <v>92</v>
      </c>
      <c r="AD59" t="s">
        <v>78</v>
      </c>
      <c r="AE59">
        <f t="shared" si="8"/>
        <v>11</v>
      </c>
      <c r="AF59" t="str">
        <f t="shared" si="9"/>
        <v>November</v>
      </c>
    </row>
    <row r="60" spans="1:32" x14ac:dyDescent="0.3">
      <c r="A60" s="1">
        <v>45672</v>
      </c>
      <c r="B60" t="s">
        <v>32</v>
      </c>
      <c r="C60" t="s">
        <v>82</v>
      </c>
      <c r="D60" t="s">
        <v>65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344323</v>
      </c>
      <c r="Q60" t="s">
        <v>22</v>
      </c>
      <c r="R60" t="s">
        <v>8</v>
      </c>
      <c r="S60" t="s">
        <v>74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101</v>
      </c>
      <c r="AA60" t="s">
        <v>75</v>
      </c>
      <c r="AB60" t="s">
        <v>76</v>
      </c>
      <c r="AC60" t="s">
        <v>99</v>
      </c>
      <c r="AD60" t="s">
        <v>78</v>
      </c>
      <c r="AE60">
        <f t="shared" si="8"/>
        <v>1</v>
      </c>
      <c r="AF60" t="str">
        <f t="shared" si="9"/>
        <v>January</v>
      </c>
    </row>
    <row r="61" spans="1:32" x14ac:dyDescent="0.3">
      <c r="A61" s="1">
        <v>45678</v>
      </c>
      <c r="B61" t="s">
        <v>32</v>
      </c>
      <c r="C61" t="s">
        <v>82</v>
      </c>
      <c r="D61" t="s">
        <v>65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347876</v>
      </c>
      <c r="Q61" t="s">
        <v>22</v>
      </c>
      <c r="R61" t="s">
        <v>8</v>
      </c>
      <c r="S61" t="s">
        <v>74</v>
      </c>
      <c r="T61">
        <v>90</v>
      </c>
      <c r="U61">
        <v>0.5</v>
      </c>
      <c r="V61" s="2">
        <v>2.0833333333333332E-2</v>
      </c>
      <c r="W61">
        <v>45</v>
      </c>
      <c r="X61">
        <v>60</v>
      </c>
      <c r="Y61">
        <v>15</v>
      </c>
      <c r="Z61" t="s">
        <v>101</v>
      </c>
      <c r="AA61" t="s">
        <v>75</v>
      </c>
      <c r="AB61" t="s">
        <v>76</v>
      </c>
      <c r="AC61" t="s">
        <v>103</v>
      </c>
      <c r="AD61" t="s">
        <v>78</v>
      </c>
      <c r="AE61">
        <f t="shared" si="8"/>
        <v>1</v>
      </c>
      <c r="AF61" t="str">
        <f t="shared" si="9"/>
        <v>January</v>
      </c>
    </row>
    <row r="62" spans="1:32" x14ac:dyDescent="0.3">
      <c r="A62" s="1">
        <v>45692</v>
      </c>
      <c r="B62" t="s">
        <v>32</v>
      </c>
      <c r="C62" t="s">
        <v>82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357346</v>
      </c>
      <c r="Q62" t="s">
        <v>102</v>
      </c>
      <c r="R62" t="s">
        <v>8</v>
      </c>
      <c r="S62" t="s">
        <v>74</v>
      </c>
      <c r="T62">
        <v>90</v>
      </c>
      <c r="U62">
        <v>1</v>
      </c>
      <c r="V62" s="2">
        <v>4.1666666666666664E-2</v>
      </c>
      <c r="W62">
        <v>90</v>
      </c>
      <c r="AA62" t="s">
        <v>75</v>
      </c>
      <c r="AB62" t="s">
        <v>76</v>
      </c>
      <c r="AC62" t="s">
        <v>104</v>
      </c>
      <c r="AD62" t="s">
        <v>78</v>
      </c>
      <c r="AE62">
        <f t="shared" si="8"/>
        <v>2</v>
      </c>
      <c r="AF62" t="str">
        <f t="shared" si="9"/>
        <v>February</v>
      </c>
    </row>
    <row r="63" spans="1:32" x14ac:dyDescent="0.3">
      <c r="A63" s="1">
        <v>45693</v>
      </c>
      <c r="B63" t="s">
        <v>32</v>
      </c>
      <c r="C63" t="s">
        <v>82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357347</v>
      </c>
      <c r="Q63" t="s">
        <v>102</v>
      </c>
      <c r="R63" t="s">
        <v>8</v>
      </c>
      <c r="S63" t="s">
        <v>74</v>
      </c>
      <c r="T63">
        <v>90</v>
      </c>
      <c r="U63">
        <v>1</v>
      </c>
      <c r="V63" s="2">
        <v>4.1666666666666664E-2</v>
      </c>
      <c r="W63">
        <v>90</v>
      </c>
      <c r="AA63" t="s">
        <v>75</v>
      </c>
      <c r="AB63" t="s">
        <v>76</v>
      </c>
      <c r="AC63" t="s">
        <v>105</v>
      </c>
      <c r="AD63" t="s">
        <v>78</v>
      </c>
      <c r="AE63">
        <f t="shared" si="8"/>
        <v>2</v>
      </c>
      <c r="AF63" t="str">
        <f t="shared" si="9"/>
        <v>February</v>
      </c>
    </row>
    <row r="64" spans="1:32" x14ac:dyDescent="0.3">
      <c r="A64" s="1">
        <v>45694</v>
      </c>
      <c r="B64" t="s">
        <v>32</v>
      </c>
      <c r="C64" t="s">
        <v>82</v>
      </c>
      <c r="D64" t="s">
        <v>65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357348</v>
      </c>
      <c r="Q64" t="s">
        <v>102</v>
      </c>
      <c r="R64" t="s">
        <v>8</v>
      </c>
      <c r="S64" t="s">
        <v>74</v>
      </c>
      <c r="T64">
        <v>90</v>
      </c>
      <c r="U64">
        <v>1</v>
      </c>
      <c r="V64" s="2">
        <v>4.1666666666666664E-2</v>
      </c>
      <c r="W64">
        <v>90</v>
      </c>
      <c r="AA64" t="s">
        <v>75</v>
      </c>
      <c r="AB64" t="s">
        <v>76</v>
      </c>
      <c r="AC64" t="s">
        <v>106</v>
      </c>
      <c r="AD64" t="s">
        <v>78</v>
      </c>
      <c r="AE64">
        <f t="shared" si="8"/>
        <v>2</v>
      </c>
      <c r="AF64" t="str">
        <f t="shared" si="9"/>
        <v>February</v>
      </c>
    </row>
    <row r="65" spans="1:32" x14ac:dyDescent="0.3">
      <c r="A65" s="1">
        <v>45614</v>
      </c>
      <c r="B65" t="s">
        <v>31</v>
      </c>
      <c r="C65" t="s">
        <v>82</v>
      </c>
      <c r="D65" t="s">
        <v>65</v>
      </c>
      <c r="E65" t="s">
        <v>83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325476</v>
      </c>
      <c r="Q65" t="s">
        <v>21</v>
      </c>
      <c r="R65" t="s">
        <v>8</v>
      </c>
      <c r="S65" t="s">
        <v>74</v>
      </c>
      <c r="T65">
        <v>90</v>
      </c>
      <c r="U65">
        <v>0.25</v>
      </c>
      <c r="V65" s="2">
        <v>1.0416666666666666E-2</v>
      </c>
      <c r="W65">
        <v>22.5</v>
      </c>
      <c r="X65">
        <v>30</v>
      </c>
      <c r="Y65">
        <v>7.5</v>
      </c>
      <c r="Z65" t="s">
        <v>87</v>
      </c>
      <c r="AA65" t="s">
        <v>75</v>
      </c>
      <c r="AB65" t="s">
        <v>76</v>
      </c>
      <c r="AC65" t="s">
        <v>93</v>
      </c>
      <c r="AD65" t="s">
        <v>78</v>
      </c>
      <c r="AE65">
        <f t="shared" si="8"/>
        <v>11</v>
      </c>
      <c r="AF65" t="str">
        <f t="shared" si="9"/>
        <v>November</v>
      </c>
    </row>
    <row r="66" spans="1:32" x14ac:dyDescent="0.3">
      <c r="A66" s="1">
        <v>45615</v>
      </c>
      <c r="B66" t="s">
        <v>31</v>
      </c>
      <c r="C66" t="s">
        <v>82</v>
      </c>
      <c r="D66" t="s">
        <v>65</v>
      </c>
      <c r="E66" t="s">
        <v>83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325746</v>
      </c>
      <c r="Q66" t="s">
        <v>21</v>
      </c>
      <c r="R66" t="s">
        <v>8</v>
      </c>
      <c r="S66" t="s">
        <v>74</v>
      </c>
      <c r="T66">
        <v>90</v>
      </c>
      <c r="U66">
        <v>0.25</v>
      </c>
      <c r="V66" s="2">
        <v>1.0416666666666666E-2</v>
      </c>
      <c r="W66">
        <v>22.5</v>
      </c>
      <c r="X66">
        <v>30</v>
      </c>
      <c r="Y66">
        <v>7.5</v>
      </c>
      <c r="Z66" t="s">
        <v>87</v>
      </c>
      <c r="AA66" t="s">
        <v>75</v>
      </c>
      <c r="AB66" t="s">
        <v>76</v>
      </c>
      <c r="AC66" t="s">
        <v>94</v>
      </c>
      <c r="AD66" t="s">
        <v>78</v>
      </c>
      <c r="AE66">
        <f t="shared" si="8"/>
        <v>11</v>
      </c>
      <c r="AF66" t="str">
        <f t="shared" si="9"/>
        <v>November</v>
      </c>
    </row>
    <row r="67" spans="1:32" x14ac:dyDescent="0.3">
      <c r="A67" s="1">
        <v>45616</v>
      </c>
      <c r="B67" t="s">
        <v>31</v>
      </c>
      <c r="C67" t="s">
        <v>82</v>
      </c>
      <c r="D67" t="s">
        <v>65</v>
      </c>
      <c r="E67" t="s">
        <v>83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325465</v>
      </c>
      <c r="Q67" t="s">
        <v>21</v>
      </c>
      <c r="R67" t="s">
        <v>8</v>
      </c>
      <c r="S67" t="s">
        <v>74</v>
      </c>
      <c r="T67">
        <v>90</v>
      </c>
      <c r="U67">
        <v>0.25</v>
      </c>
      <c r="V67" s="2">
        <v>1.0416666666666666E-2</v>
      </c>
      <c r="W67">
        <v>22.5</v>
      </c>
      <c r="X67">
        <v>30</v>
      </c>
      <c r="Y67">
        <v>7.5</v>
      </c>
      <c r="Z67" t="s">
        <v>87</v>
      </c>
      <c r="AA67" t="s">
        <v>75</v>
      </c>
      <c r="AB67" t="s">
        <v>76</v>
      </c>
      <c r="AC67" t="s">
        <v>94</v>
      </c>
      <c r="AD67" t="s">
        <v>78</v>
      </c>
      <c r="AE67">
        <f t="shared" si="8"/>
        <v>11</v>
      </c>
      <c r="AF67" t="str">
        <f t="shared" si="9"/>
        <v>November</v>
      </c>
    </row>
    <row r="68" spans="1:32" x14ac:dyDescent="0.3">
      <c r="A68" s="1">
        <v>45617</v>
      </c>
      <c r="B68" t="s">
        <v>31</v>
      </c>
      <c r="C68" t="s">
        <v>82</v>
      </c>
      <c r="D68" t="s">
        <v>65</v>
      </c>
      <c r="E68" t="s">
        <v>83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325938</v>
      </c>
      <c r="Q68" t="s">
        <v>21</v>
      </c>
      <c r="R68" t="s">
        <v>8</v>
      </c>
      <c r="S68" t="s">
        <v>74</v>
      </c>
      <c r="T68">
        <v>90</v>
      </c>
      <c r="U68">
        <v>0.5</v>
      </c>
      <c r="V68" s="2">
        <v>2.0833333333333332E-2</v>
      </c>
      <c r="W68">
        <v>45</v>
      </c>
      <c r="X68">
        <v>60</v>
      </c>
      <c r="Y68">
        <v>15</v>
      </c>
      <c r="Z68" t="s">
        <v>87</v>
      </c>
      <c r="AA68" t="s">
        <v>75</v>
      </c>
      <c r="AB68" t="s">
        <v>76</v>
      </c>
      <c r="AC68" t="s">
        <v>95</v>
      </c>
      <c r="AD68" t="s">
        <v>78</v>
      </c>
      <c r="AE68">
        <f t="shared" si="8"/>
        <v>11</v>
      </c>
      <c r="AF68" t="str">
        <f t="shared" si="9"/>
        <v>November</v>
      </c>
    </row>
    <row r="69" spans="1:32" x14ac:dyDescent="0.3">
      <c r="A69" s="1">
        <v>45618</v>
      </c>
      <c r="B69" t="s">
        <v>31</v>
      </c>
      <c r="C69" t="s">
        <v>82</v>
      </c>
      <c r="D69" t="s">
        <v>65</v>
      </c>
      <c r="E69" t="s">
        <v>83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326763</v>
      </c>
      <c r="Q69" t="s">
        <v>21</v>
      </c>
      <c r="R69" t="s">
        <v>8</v>
      </c>
      <c r="S69" t="s">
        <v>74</v>
      </c>
      <c r="T69">
        <v>90</v>
      </c>
      <c r="U69">
        <v>0.25</v>
      </c>
      <c r="V69" s="2">
        <v>1.0416666666666666E-2</v>
      </c>
      <c r="W69">
        <v>22.5</v>
      </c>
      <c r="X69">
        <v>30</v>
      </c>
      <c r="Y69">
        <v>7.5</v>
      </c>
      <c r="Z69" t="s">
        <v>87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11</v>
      </c>
      <c r="AF69" t="str">
        <f t="shared" si="9"/>
        <v>November</v>
      </c>
    </row>
    <row r="70" spans="1:32" x14ac:dyDescent="0.3">
      <c r="A70" s="1">
        <v>45621</v>
      </c>
      <c r="B70" t="s">
        <v>31</v>
      </c>
      <c r="C70" t="s">
        <v>82</v>
      </c>
      <c r="D70" t="s">
        <v>65</v>
      </c>
      <c r="E70" t="s">
        <v>83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327547</v>
      </c>
      <c r="Q70" t="s">
        <v>21</v>
      </c>
      <c r="R70" t="s">
        <v>8</v>
      </c>
      <c r="S70" t="s">
        <v>74</v>
      </c>
      <c r="T70">
        <v>90</v>
      </c>
      <c r="U70">
        <v>1.25</v>
      </c>
      <c r="V70" s="2">
        <v>5.2083333333333336E-2</v>
      </c>
      <c r="W70">
        <v>112.5</v>
      </c>
      <c r="X70">
        <v>150</v>
      </c>
      <c r="Y70">
        <v>37.5</v>
      </c>
      <c r="Z70" t="s">
        <v>87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11</v>
      </c>
      <c r="AF70" t="str">
        <f t="shared" ref="AF70:AF75" si="11">IF(AE70=11,"November",IF(AE70=12,"December",IF(AE70=1,"January",IF(AE70=2,"February",IF(AE70=3,"March")))))</f>
        <v>November</v>
      </c>
    </row>
    <row r="71" spans="1:32" x14ac:dyDescent="0.3">
      <c r="A71" s="1">
        <v>45622</v>
      </c>
      <c r="B71" t="s">
        <v>31</v>
      </c>
      <c r="C71" t="s">
        <v>82</v>
      </c>
      <c r="D71" t="s">
        <v>65</v>
      </c>
      <c r="E71" t="s">
        <v>83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328016</v>
      </c>
      <c r="Q71" t="s">
        <v>21</v>
      </c>
      <c r="R71" t="s">
        <v>8</v>
      </c>
      <c r="S71" t="s">
        <v>74</v>
      </c>
      <c r="T71">
        <v>90</v>
      </c>
      <c r="U71">
        <v>2.75</v>
      </c>
      <c r="V71" s="2">
        <v>0.11458333333333333</v>
      </c>
      <c r="W71">
        <v>247.5</v>
      </c>
      <c r="X71">
        <v>330</v>
      </c>
      <c r="Y71">
        <v>82.5</v>
      </c>
      <c r="Z71" t="s">
        <v>87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11</v>
      </c>
      <c r="AF71" t="str">
        <f t="shared" si="11"/>
        <v>November</v>
      </c>
    </row>
    <row r="72" spans="1:32" x14ac:dyDescent="0.3">
      <c r="A72" s="1">
        <v>45623</v>
      </c>
      <c r="B72" t="s">
        <v>31</v>
      </c>
      <c r="C72" t="s">
        <v>82</v>
      </c>
      <c r="D72" t="s">
        <v>65</v>
      </c>
      <c r="E72" t="s">
        <v>83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328660</v>
      </c>
      <c r="Q72" t="s">
        <v>21</v>
      </c>
      <c r="R72" t="s">
        <v>8</v>
      </c>
      <c r="S72" t="s">
        <v>74</v>
      </c>
      <c r="T72">
        <v>90</v>
      </c>
      <c r="U72">
        <v>1</v>
      </c>
      <c r="V72" s="2">
        <v>4.1666666666666664E-2</v>
      </c>
      <c r="W72">
        <v>90</v>
      </c>
      <c r="X72">
        <v>120</v>
      </c>
      <c r="Y72">
        <v>30</v>
      </c>
      <c r="Z72" t="s">
        <v>87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11</v>
      </c>
      <c r="AF72" t="str">
        <f t="shared" si="11"/>
        <v>November</v>
      </c>
    </row>
    <row r="73" spans="1:32" x14ac:dyDescent="0.3">
      <c r="A73" s="1">
        <v>45624</v>
      </c>
      <c r="B73" t="s">
        <v>31</v>
      </c>
      <c r="C73" t="s">
        <v>82</v>
      </c>
      <c r="D73" t="s">
        <v>65</v>
      </c>
      <c r="E73" t="s">
        <v>83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329490</v>
      </c>
      <c r="Q73" t="s">
        <v>21</v>
      </c>
      <c r="R73" t="s">
        <v>8</v>
      </c>
      <c r="S73" t="s">
        <v>74</v>
      </c>
      <c r="T73">
        <v>90</v>
      </c>
      <c r="U73">
        <v>4</v>
      </c>
      <c r="V73" s="2">
        <v>0.16666666666666666</v>
      </c>
      <c r="W73">
        <v>360</v>
      </c>
      <c r="X73">
        <v>480</v>
      </c>
      <c r="Y73">
        <v>120</v>
      </c>
      <c r="Z73" t="s">
        <v>87</v>
      </c>
      <c r="AA73" t="s">
        <v>75</v>
      </c>
      <c r="AB73" t="s">
        <v>76</v>
      </c>
      <c r="AC73" t="s">
        <v>84</v>
      </c>
      <c r="AD73" t="s">
        <v>78</v>
      </c>
      <c r="AE73">
        <f t="shared" si="10"/>
        <v>11</v>
      </c>
      <c r="AF73" t="str">
        <f t="shared" si="11"/>
        <v>November</v>
      </c>
    </row>
    <row r="74" spans="1:32" x14ac:dyDescent="0.3">
      <c r="A74" s="1">
        <v>45625</v>
      </c>
      <c r="B74" t="s">
        <v>31</v>
      </c>
      <c r="C74" t="s">
        <v>82</v>
      </c>
      <c r="D74" t="s">
        <v>65</v>
      </c>
      <c r="E74" t="s">
        <v>83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329493</v>
      </c>
      <c r="Q74" t="s">
        <v>21</v>
      </c>
      <c r="R74" t="s">
        <v>8</v>
      </c>
      <c r="S74" t="s">
        <v>74</v>
      </c>
      <c r="T74">
        <v>90</v>
      </c>
      <c r="U74">
        <v>1.25</v>
      </c>
      <c r="V74" s="2">
        <v>5.2083333333333336E-2</v>
      </c>
      <c r="W74">
        <v>112.5</v>
      </c>
      <c r="X74">
        <v>150</v>
      </c>
      <c r="Y74">
        <v>37.5</v>
      </c>
      <c r="Z74" t="s">
        <v>87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11</v>
      </c>
      <c r="AF74" t="str">
        <f t="shared" si="11"/>
        <v>November</v>
      </c>
    </row>
    <row r="75" spans="1:32" x14ac:dyDescent="0.3">
      <c r="A75" s="1">
        <v>45628</v>
      </c>
      <c r="B75" t="s">
        <v>31</v>
      </c>
      <c r="C75" t="s">
        <v>82</v>
      </c>
      <c r="D75" t="s">
        <v>65</v>
      </c>
      <c r="E75" t="s">
        <v>83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330916</v>
      </c>
      <c r="Q75" t="s">
        <v>21</v>
      </c>
      <c r="R75" t="s">
        <v>8</v>
      </c>
      <c r="S75" t="s">
        <v>74</v>
      </c>
      <c r="T75">
        <v>90</v>
      </c>
      <c r="U75">
        <v>1</v>
      </c>
      <c r="V75" s="2">
        <v>4.1666666666666664E-2</v>
      </c>
      <c r="W75">
        <v>90</v>
      </c>
      <c r="X75">
        <v>120</v>
      </c>
      <c r="Y75">
        <v>30</v>
      </c>
      <c r="Z75" t="s">
        <v>97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12</v>
      </c>
      <c r="AF75" t="str">
        <f t="shared" si="11"/>
        <v>December</v>
      </c>
    </row>
    <row r="76" spans="1:32" x14ac:dyDescent="0.3">
      <c r="A76" s="1">
        <v>45629</v>
      </c>
      <c r="B76" t="s">
        <v>31</v>
      </c>
      <c r="C76" t="s">
        <v>82</v>
      </c>
      <c r="D76" t="s">
        <v>65</v>
      </c>
      <c r="E76" t="s">
        <v>83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65</v>
      </c>
      <c r="L76" t="s">
        <v>25</v>
      </c>
      <c r="M76" t="s">
        <v>32</v>
      </c>
      <c r="N76" t="s">
        <v>84</v>
      </c>
      <c r="O76" t="s">
        <v>0</v>
      </c>
      <c r="P76">
        <v>331015</v>
      </c>
      <c r="Q76" t="s">
        <v>21</v>
      </c>
      <c r="R76" t="s">
        <v>8</v>
      </c>
      <c r="S76" t="s">
        <v>74</v>
      </c>
      <c r="T76">
        <v>90</v>
      </c>
      <c r="U76">
        <v>1.75</v>
      </c>
      <c r="V76" s="2">
        <v>7.2916666666666671E-2</v>
      </c>
      <c r="W76">
        <v>157.5</v>
      </c>
      <c r="X76">
        <v>210</v>
      </c>
      <c r="Y76">
        <v>52.5</v>
      </c>
      <c r="Z76" t="s">
        <v>97</v>
      </c>
      <c r="AA76" t="s">
        <v>75</v>
      </c>
      <c r="AB76" t="s">
        <v>76</v>
      </c>
      <c r="AC76" t="s">
        <v>84</v>
      </c>
      <c r="AD76" t="s">
        <v>78</v>
      </c>
      <c r="AE76">
        <f t="shared" ref="AE76" si="12">MONTH(A76)</f>
        <v>12</v>
      </c>
      <c r="AF76" t="str">
        <f t="shared" ref="AF76" si="13">IF(AE76=11,"November",IF(AE76=12,"December",IF(AE76=1,"January",IF(AE76=2,"February",IF(AE76=3,"March")))))</f>
        <v>December</v>
      </c>
    </row>
    <row r="77" spans="1:32" x14ac:dyDescent="0.3">
      <c r="A77" s="1">
        <v>45630</v>
      </c>
      <c r="B77" t="s">
        <v>31</v>
      </c>
      <c r="C77" t="s">
        <v>82</v>
      </c>
      <c r="D77" t="s">
        <v>65</v>
      </c>
      <c r="E77" t="s">
        <v>83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65</v>
      </c>
      <c r="L77" t="s">
        <v>25</v>
      </c>
      <c r="M77" t="s">
        <v>32</v>
      </c>
      <c r="N77" t="s">
        <v>84</v>
      </c>
      <c r="O77" t="s">
        <v>0</v>
      </c>
      <c r="P77">
        <v>331563</v>
      </c>
      <c r="Q77" t="s">
        <v>21</v>
      </c>
      <c r="R77" t="s">
        <v>8</v>
      </c>
      <c r="S77" t="s">
        <v>74</v>
      </c>
      <c r="T77">
        <v>90</v>
      </c>
      <c r="U77">
        <v>1.25</v>
      </c>
      <c r="V77" s="2">
        <v>5.2083333333333336E-2</v>
      </c>
      <c r="W77">
        <v>112.5</v>
      </c>
      <c r="X77">
        <v>150</v>
      </c>
      <c r="Y77">
        <v>37.5</v>
      </c>
      <c r="Z77" t="s">
        <v>97</v>
      </c>
      <c r="AA77" t="s">
        <v>75</v>
      </c>
      <c r="AB77" t="s">
        <v>76</v>
      </c>
      <c r="AC77" t="s">
        <v>84</v>
      </c>
      <c r="AD77" t="s">
        <v>78</v>
      </c>
      <c r="AE77">
        <f t="shared" ref="AE77:AE84" si="14">MONTH(A77)</f>
        <v>12</v>
      </c>
      <c r="AF77" t="str">
        <f t="shared" ref="AF77:AF84" si="15">IF(AE77=11,"November",IF(AE77=12,"December",IF(AE77=1,"January",IF(AE77=2,"February",IF(AE77=3,"March")))))</f>
        <v>December</v>
      </c>
    </row>
    <row r="78" spans="1:32" x14ac:dyDescent="0.3">
      <c r="A78" s="1">
        <v>45631</v>
      </c>
      <c r="B78" t="s">
        <v>31</v>
      </c>
      <c r="C78" t="s">
        <v>82</v>
      </c>
      <c r="D78" t="s">
        <v>65</v>
      </c>
      <c r="E78" t="s">
        <v>83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65</v>
      </c>
      <c r="L78" t="s">
        <v>25</v>
      </c>
      <c r="M78" t="s">
        <v>32</v>
      </c>
      <c r="N78" t="s">
        <v>84</v>
      </c>
      <c r="O78" t="s">
        <v>0</v>
      </c>
      <c r="P78">
        <v>333982</v>
      </c>
      <c r="Q78" t="s">
        <v>21</v>
      </c>
      <c r="R78" t="s">
        <v>8</v>
      </c>
      <c r="S78" t="s">
        <v>74</v>
      </c>
      <c r="T78">
        <v>90</v>
      </c>
      <c r="U78">
        <v>0.25</v>
      </c>
      <c r="V78" s="2">
        <v>1.0416666666666666E-2</v>
      </c>
      <c r="W78">
        <v>22.5</v>
      </c>
      <c r="X78">
        <v>30</v>
      </c>
      <c r="Y78">
        <v>7.5</v>
      </c>
      <c r="Z78" t="s">
        <v>97</v>
      </c>
      <c r="AA78" t="s">
        <v>75</v>
      </c>
      <c r="AB78" t="s">
        <v>76</v>
      </c>
      <c r="AC78" t="s">
        <v>84</v>
      </c>
      <c r="AD78" t="s">
        <v>78</v>
      </c>
      <c r="AE78">
        <f t="shared" si="14"/>
        <v>12</v>
      </c>
      <c r="AF78" t="str">
        <f t="shared" si="15"/>
        <v>December</v>
      </c>
    </row>
    <row r="79" spans="1:32" x14ac:dyDescent="0.3">
      <c r="A79" s="1">
        <v>45632</v>
      </c>
      <c r="B79" t="s">
        <v>31</v>
      </c>
      <c r="C79" t="s">
        <v>82</v>
      </c>
      <c r="D79" t="s">
        <v>65</v>
      </c>
      <c r="E79" t="s">
        <v>83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65</v>
      </c>
      <c r="L79" t="s">
        <v>25</v>
      </c>
      <c r="M79" t="s">
        <v>32</v>
      </c>
      <c r="N79" t="s">
        <v>84</v>
      </c>
      <c r="O79" t="s">
        <v>0</v>
      </c>
      <c r="P79">
        <v>333988</v>
      </c>
      <c r="Q79" t="s">
        <v>21</v>
      </c>
      <c r="R79" t="s">
        <v>8</v>
      </c>
      <c r="S79" t="s">
        <v>74</v>
      </c>
      <c r="T79">
        <v>90</v>
      </c>
      <c r="U79">
        <v>0.25</v>
      </c>
      <c r="V79" s="2">
        <v>1.0416666666666666E-2</v>
      </c>
      <c r="W79">
        <v>22.5</v>
      </c>
      <c r="X79">
        <v>30</v>
      </c>
      <c r="Y79">
        <v>7.5</v>
      </c>
      <c r="Z79" t="s">
        <v>97</v>
      </c>
      <c r="AA79" t="s">
        <v>75</v>
      </c>
      <c r="AB79" t="s">
        <v>76</v>
      </c>
      <c r="AC79" t="s">
        <v>84</v>
      </c>
      <c r="AD79" t="s">
        <v>78</v>
      </c>
      <c r="AE79">
        <f t="shared" si="14"/>
        <v>12</v>
      </c>
      <c r="AF79" t="str">
        <f t="shared" si="15"/>
        <v>December</v>
      </c>
    </row>
    <row r="80" spans="1:32" x14ac:dyDescent="0.3">
      <c r="A80" s="1">
        <v>45635</v>
      </c>
      <c r="B80" t="s">
        <v>31</v>
      </c>
      <c r="C80" t="s">
        <v>82</v>
      </c>
      <c r="D80" t="s">
        <v>65</v>
      </c>
      <c r="E80" t="s">
        <v>83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65</v>
      </c>
      <c r="L80" t="s">
        <v>25</v>
      </c>
      <c r="M80" t="s">
        <v>32</v>
      </c>
      <c r="N80" t="s">
        <v>84</v>
      </c>
      <c r="O80" t="s">
        <v>0</v>
      </c>
      <c r="P80">
        <v>333996</v>
      </c>
      <c r="Q80" t="s">
        <v>21</v>
      </c>
      <c r="R80" t="s">
        <v>8</v>
      </c>
      <c r="S80" t="s">
        <v>74</v>
      </c>
      <c r="T80">
        <v>90</v>
      </c>
      <c r="U80">
        <v>0.25</v>
      </c>
      <c r="V80" s="2">
        <v>1.0416666666666666E-2</v>
      </c>
      <c r="W80">
        <v>22.5</v>
      </c>
      <c r="X80">
        <v>30</v>
      </c>
      <c r="Y80">
        <v>7.5</v>
      </c>
      <c r="Z80" t="s">
        <v>97</v>
      </c>
      <c r="AA80" t="s">
        <v>75</v>
      </c>
      <c r="AB80" t="s">
        <v>76</v>
      </c>
      <c r="AC80" t="s">
        <v>84</v>
      </c>
      <c r="AD80" t="s">
        <v>78</v>
      </c>
      <c r="AE80">
        <f t="shared" si="14"/>
        <v>12</v>
      </c>
      <c r="AF80" t="str">
        <f t="shared" si="15"/>
        <v>December</v>
      </c>
    </row>
    <row r="81" spans="1:32" x14ac:dyDescent="0.3">
      <c r="A81" s="1">
        <v>45636</v>
      </c>
      <c r="B81" t="s">
        <v>31</v>
      </c>
      <c r="C81" t="s">
        <v>82</v>
      </c>
      <c r="D81" t="s">
        <v>65</v>
      </c>
      <c r="E81" t="s">
        <v>83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65</v>
      </c>
      <c r="L81" t="s">
        <v>25</v>
      </c>
      <c r="M81" t="s">
        <v>32</v>
      </c>
      <c r="N81" t="s">
        <v>84</v>
      </c>
      <c r="O81" t="s">
        <v>0</v>
      </c>
      <c r="P81">
        <v>333997</v>
      </c>
      <c r="Q81" t="s">
        <v>21</v>
      </c>
      <c r="R81" t="s">
        <v>8</v>
      </c>
      <c r="S81" t="s">
        <v>74</v>
      </c>
      <c r="T81">
        <v>90</v>
      </c>
      <c r="U81">
        <v>0.25</v>
      </c>
      <c r="V81" s="2">
        <v>1.0416666666666666E-2</v>
      </c>
      <c r="W81">
        <v>22.5</v>
      </c>
      <c r="X81">
        <v>30</v>
      </c>
      <c r="Y81">
        <v>7.5</v>
      </c>
      <c r="Z81" t="s">
        <v>97</v>
      </c>
      <c r="AA81" t="s">
        <v>75</v>
      </c>
      <c r="AB81" t="s">
        <v>76</v>
      </c>
      <c r="AC81" t="s">
        <v>84</v>
      </c>
      <c r="AD81" t="s">
        <v>78</v>
      </c>
      <c r="AE81">
        <f t="shared" si="14"/>
        <v>12</v>
      </c>
      <c r="AF81" t="str">
        <f t="shared" si="15"/>
        <v>December</v>
      </c>
    </row>
    <row r="82" spans="1:32" x14ac:dyDescent="0.3">
      <c r="A82" s="1">
        <v>45637</v>
      </c>
      <c r="B82" t="s">
        <v>31</v>
      </c>
      <c r="C82" t="s">
        <v>82</v>
      </c>
      <c r="D82" t="s">
        <v>65</v>
      </c>
      <c r="E82" t="s">
        <v>83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65</v>
      </c>
      <c r="L82" t="s">
        <v>25</v>
      </c>
      <c r="M82" t="s">
        <v>32</v>
      </c>
      <c r="N82" t="s">
        <v>84</v>
      </c>
      <c r="O82" t="s">
        <v>0</v>
      </c>
      <c r="P82">
        <v>333998</v>
      </c>
      <c r="Q82" t="s">
        <v>21</v>
      </c>
      <c r="R82" t="s">
        <v>8</v>
      </c>
      <c r="S82" t="s">
        <v>74</v>
      </c>
      <c r="T82">
        <v>90</v>
      </c>
      <c r="U82">
        <v>1</v>
      </c>
      <c r="V82" s="2">
        <v>4.1666666666666664E-2</v>
      </c>
      <c r="W82">
        <v>90</v>
      </c>
      <c r="X82">
        <v>120</v>
      </c>
      <c r="Y82">
        <v>30</v>
      </c>
      <c r="Z82" t="s">
        <v>97</v>
      </c>
      <c r="AA82" t="s">
        <v>75</v>
      </c>
      <c r="AB82" t="s">
        <v>76</v>
      </c>
      <c r="AC82" t="s">
        <v>84</v>
      </c>
      <c r="AD82" t="s">
        <v>78</v>
      </c>
      <c r="AE82">
        <f t="shared" si="14"/>
        <v>12</v>
      </c>
      <c r="AF82" t="str">
        <f t="shared" si="15"/>
        <v>December</v>
      </c>
    </row>
    <row r="83" spans="1:32" x14ac:dyDescent="0.3">
      <c r="A83" s="1">
        <v>45638</v>
      </c>
      <c r="B83" t="s">
        <v>31</v>
      </c>
      <c r="C83" t="s">
        <v>82</v>
      </c>
      <c r="D83" t="s">
        <v>65</v>
      </c>
      <c r="E83" t="s">
        <v>83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65</v>
      </c>
      <c r="L83" t="s">
        <v>25</v>
      </c>
      <c r="M83" t="s">
        <v>32</v>
      </c>
      <c r="N83" t="s">
        <v>84</v>
      </c>
      <c r="O83" t="s">
        <v>0</v>
      </c>
      <c r="P83">
        <v>334771</v>
      </c>
      <c r="Q83" t="s">
        <v>21</v>
      </c>
      <c r="R83" t="s">
        <v>8</v>
      </c>
      <c r="S83" t="s">
        <v>74</v>
      </c>
      <c r="T83">
        <v>90</v>
      </c>
      <c r="U83">
        <v>3.5</v>
      </c>
      <c r="V83" s="2">
        <v>0.14583333333333334</v>
      </c>
      <c r="W83">
        <v>315</v>
      </c>
      <c r="X83">
        <v>420</v>
      </c>
      <c r="Y83">
        <v>105</v>
      </c>
      <c r="Z83" t="s">
        <v>97</v>
      </c>
      <c r="AA83" t="s">
        <v>75</v>
      </c>
      <c r="AB83" t="s">
        <v>76</v>
      </c>
      <c r="AC83" t="s">
        <v>84</v>
      </c>
      <c r="AD83" t="s">
        <v>78</v>
      </c>
      <c r="AE83">
        <f t="shared" si="14"/>
        <v>12</v>
      </c>
      <c r="AF83" t="str">
        <f t="shared" si="15"/>
        <v>December</v>
      </c>
    </row>
    <row r="84" spans="1:32" x14ac:dyDescent="0.3">
      <c r="A84" s="1">
        <v>45672</v>
      </c>
      <c r="B84" t="s">
        <v>31</v>
      </c>
      <c r="C84" t="s">
        <v>82</v>
      </c>
      <c r="D84" t="s">
        <v>65</v>
      </c>
      <c r="E84" t="s">
        <v>83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65</v>
      </c>
      <c r="L84" t="s">
        <v>25</v>
      </c>
      <c r="M84" t="s">
        <v>32</v>
      </c>
      <c r="N84" t="s">
        <v>84</v>
      </c>
      <c r="O84" t="s">
        <v>0</v>
      </c>
      <c r="P84">
        <v>343139</v>
      </c>
      <c r="Q84" t="s">
        <v>21</v>
      </c>
      <c r="R84" t="s">
        <v>8</v>
      </c>
      <c r="S84" t="s">
        <v>74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101</v>
      </c>
      <c r="AA84" t="s">
        <v>75</v>
      </c>
      <c r="AB84" t="s">
        <v>76</v>
      </c>
      <c r="AC84" t="s">
        <v>98</v>
      </c>
      <c r="AD84" t="s">
        <v>78</v>
      </c>
      <c r="AE84">
        <f t="shared" si="14"/>
        <v>1</v>
      </c>
      <c r="AF84" t="str">
        <f t="shared" si="15"/>
        <v>January</v>
      </c>
    </row>
    <row r="85" spans="1:32" x14ac:dyDescent="0.3">
      <c r="A85" s="1">
        <v>45678</v>
      </c>
      <c r="B85" t="s">
        <v>31</v>
      </c>
      <c r="C85" t="s">
        <v>82</v>
      </c>
      <c r="D85" t="s">
        <v>65</v>
      </c>
      <c r="E85" t="s">
        <v>83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65</v>
      </c>
      <c r="L85" t="s">
        <v>25</v>
      </c>
      <c r="M85" t="s">
        <v>32</v>
      </c>
      <c r="N85" t="s">
        <v>84</v>
      </c>
      <c r="O85" t="s">
        <v>0</v>
      </c>
      <c r="P85">
        <v>344956</v>
      </c>
      <c r="Q85" t="s">
        <v>21</v>
      </c>
      <c r="R85" t="s">
        <v>8</v>
      </c>
      <c r="S85" t="s">
        <v>74</v>
      </c>
      <c r="T85">
        <v>90</v>
      </c>
      <c r="U85">
        <v>0.5</v>
      </c>
      <c r="V85" s="2">
        <v>2.0833333333333332E-2</v>
      </c>
      <c r="W85">
        <v>45</v>
      </c>
      <c r="X85">
        <v>60</v>
      </c>
      <c r="Y85">
        <v>15</v>
      </c>
      <c r="Z85" t="s">
        <v>101</v>
      </c>
      <c r="AA85" t="s">
        <v>75</v>
      </c>
      <c r="AB85" t="s">
        <v>76</v>
      </c>
      <c r="AC85" t="s">
        <v>84</v>
      </c>
      <c r="AD85" t="s">
        <v>78</v>
      </c>
      <c r="AE85">
        <f t="shared" ref="AE85:AE94" si="16">MONTH(A85)</f>
        <v>1</v>
      </c>
      <c r="AF85" t="str">
        <f t="shared" ref="AF85:AF94" si="17">IF(AE85=11,"November",IF(AE85=12,"December",IF(AE85=1,"January",IF(AE85=2,"February",IF(AE85=3,"March")))))</f>
        <v>January</v>
      </c>
    </row>
    <row r="86" spans="1:32" x14ac:dyDescent="0.3">
      <c r="A86" s="1">
        <v>45680</v>
      </c>
      <c r="B86" t="s">
        <v>31</v>
      </c>
      <c r="C86" t="s">
        <v>82</v>
      </c>
      <c r="D86" t="s">
        <v>65</v>
      </c>
      <c r="E86" t="s">
        <v>83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65</v>
      </c>
      <c r="L86" t="s">
        <v>25</v>
      </c>
      <c r="M86" t="s">
        <v>32</v>
      </c>
      <c r="N86" t="s">
        <v>84</v>
      </c>
      <c r="O86" t="s">
        <v>0</v>
      </c>
      <c r="P86">
        <v>346610</v>
      </c>
      <c r="Q86" t="s">
        <v>21</v>
      </c>
      <c r="R86" t="s">
        <v>8</v>
      </c>
      <c r="S86" t="s">
        <v>74</v>
      </c>
      <c r="T86">
        <v>90</v>
      </c>
      <c r="U86">
        <v>0.5</v>
      </c>
      <c r="V86" s="2">
        <v>2.0833333333333332E-2</v>
      </c>
      <c r="W86">
        <v>45</v>
      </c>
      <c r="X86">
        <v>60</v>
      </c>
      <c r="Y86">
        <v>15</v>
      </c>
      <c r="Z86" t="s">
        <v>101</v>
      </c>
      <c r="AA86" t="s">
        <v>75</v>
      </c>
      <c r="AB86" t="s">
        <v>76</v>
      </c>
      <c r="AC86" t="s">
        <v>84</v>
      </c>
      <c r="AD86" t="s">
        <v>78</v>
      </c>
      <c r="AE86">
        <f t="shared" si="16"/>
        <v>1</v>
      </c>
      <c r="AF86" t="str">
        <f t="shared" si="17"/>
        <v>January</v>
      </c>
    </row>
    <row r="87" spans="1:32" x14ac:dyDescent="0.3">
      <c r="A87" s="1">
        <v>45698</v>
      </c>
      <c r="B87" t="s">
        <v>31</v>
      </c>
      <c r="C87" t="s">
        <v>82</v>
      </c>
      <c r="D87" t="s">
        <v>65</v>
      </c>
      <c r="E87" t="s">
        <v>83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65</v>
      </c>
      <c r="L87" t="s">
        <v>25</v>
      </c>
      <c r="M87" t="s">
        <v>32</v>
      </c>
      <c r="N87" t="s">
        <v>84</v>
      </c>
      <c r="O87" t="s">
        <v>0</v>
      </c>
      <c r="P87">
        <v>354799</v>
      </c>
      <c r="Q87" t="s">
        <v>21</v>
      </c>
      <c r="R87" t="s">
        <v>8</v>
      </c>
      <c r="S87" t="s">
        <v>74</v>
      </c>
      <c r="T87">
        <v>90</v>
      </c>
      <c r="U87">
        <v>0.5</v>
      </c>
      <c r="V87" s="2">
        <v>2.0833333333333332E-2</v>
      </c>
      <c r="W87">
        <v>45</v>
      </c>
      <c r="AA87" t="s">
        <v>75</v>
      </c>
      <c r="AB87" t="s">
        <v>76</v>
      </c>
      <c r="AC87" t="s">
        <v>84</v>
      </c>
      <c r="AD87" t="s">
        <v>78</v>
      </c>
      <c r="AE87">
        <f t="shared" si="16"/>
        <v>2</v>
      </c>
      <c r="AF87" t="str">
        <f t="shared" si="17"/>
        <v>February</v>
      </c>
    </row>
    <row r="88" spans="1:32" x14ac:dyDescent="0.3">
      <c r="A88" s="1">
        <v>45614</v>
      </c>
      <c r="B88" t="s">
        <v>25</v>
      </c>
      <c r="C88" t="s">
        <v>82</v>
      </c>
      <c r="D88" t="s">
        <v>65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s">
        <v>71</v>
      </c>
      <c r="K88" t="s">
        <v>65</v>
      </c>
      <c r="L88" t="s">
        <v>25</v>
      </c>
      <c r="M88" t="s">
        <v>32</v>
      </c>
      <c r="N88" t="s">
        <v>84</v>
      </c>
      <c r="O88" t="s">
        <v>0</v>
      </c>
      <c r="P88">
        <v>325456</v>
      </c>
      <c r="Q88" t="s">
        <v>17</v>
      </c>
      <c r="R88" t="s">
        <v>8</v>
      </c>
      <c r="S88" t="s">
        <v>74</v>
      </c>
      <c r="T88">
        <v>90</v>
      </c>
      <c r="U88">
        <v>1</v>
      </c>
      <c r="V88" s="2">
        <v>4.1666666666666664E-2</v>
      </c>
      <c r="W88">
        <v>90</v>
      </c>
      <c r="X88">
        <v>120</v>
      </c>
      <c r="Y88">
        <v>30</v>
      </c>
      <c r="Z88" t="s">
        <v>87</v>
      </c>
      <c r="AA88" t="s">
        <v>75</v>
      </c>
      <c r="AB88" t="s">
        <v>76</v>
      </c>
      <c r="AC88" t="s">
        <v>84</v>
      </c>
      <c r="AD88" t="s">
        <v>78</v>
      </c>
      <c r="AE88">
        <f t="shared" si="16"/>
        <v>11</v>
      </c>
      <c r="AF88" t="str">
        <f t="shared" si="17"/>
        <v>November</v>
      </c>
    </row>
    <row r="89" spans="1:32" x14ac:dyDescent="0.3">
      <c r="A89" s="1">
        <v>45614</v>
      </c>
      <c r="B89" t="s">
        <v>25</v>
      </c>
      <c r="C89" t="s">
        <v>82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65</v>
      </c>
      <c r="L89" t="s">
        <v>25</v>
      </c>
      <c r="M89" t="s">
        <v>32</v>
      </c>
      <c r="N89" t="s">
        <v>84</v>
      </c>
      <c r="O89" t="s">
        <v>0</v>
      </c>
      <c r="P89">
        <v>325455</v>
      </c>
      <c r="Q89" t="s">
        <v>72</v>
      </c>
      <c r="R89" t="s">
        <v>73</v>
      </c>
      <c r="S89" t="s">
        <v>74</v>
      </c>
      <c r="T89">
        <v>0</v>
      </c>
      <c r="U89">
        <v>0.5</v>
      </c>
      <c r="V89" s="2">
        <v>2.0833333333333332E-2</v>
      </c>
      <c r="W89">
        <v>0</v>
      </c>
      <c r="AA89" t="s">
        <v>75</v>
      </c>
      <c r="AB89" t="s">
        <v>76</v>
      </c>
      <c r="AC89" t="s">
        <v>84</v>
      </c>
      <c r="AD89" t="s">
        <v>78</v>
      </c>
      <c r="AE89">
        <f t="shared" si="16"/>
        <v>11</v>
      </c>
      <c r="AF89" t="str">
        <f t="shared" si="17"/>
        <v>November</v>
      </c>
    </row>
    <row r="90" spans="1:32" x14ac:dyDescent="0.3">
      <c r="A90" s="1">
        <v>45615</v>
      </c>
      <c r="B90" t="s">
        <v>25</v>
      </c>
      <c r="C90" t="s">
        <v>82</v>
      </c>
      <c r="D90" t="s">
        <v>65</v>
      </c>
      <c r="E90" t="s">
        <v>66</v>
      </c>
      <c r="F90" t="s">
        <v>67</v>
      </c>
      <c r="G90" t="s">
        <v>68</v>
      </c>
      <c r="H90" t="s">
        <v>69</v>
      </c>
      <c r="I90" t="s">
        <v>70</v>
      </c>
      <c r="J90" t="s">
        <v>71</v>
      </c>
      <c r="K90" t="s">
        <v>65</v>
      </c>
      <c r="L90" t="s">
        <v>25</v>
      </c>
      <c r="M90" t="s">
        <v>32</v>
      </c>
      <c r="N90" t="s">
        <v>84</v>
      </c>
      <c r="O90" t="s">
        <v>0</v>
      </c>
      <c r="P90">
        <v>325457</v>
      </c>
      <c r="Q90" t="s">
        <v>72</v>
      </c>
      <c r="R90" t="s">
        <v>73</v>
      </c>
      <c r="S90" t="s">
        <v>74</v>
      </c>
      <c r="T90">
        <v>0</v>
      </c>
      <c r="U90">
        <v>1.5</v>
      </c>
      <c r="V90" s="2">
        <v>6.25E-2</v>
      </c>
      <c r="W90">
        <v>0</v>
      </c>
      <c r="AA90" t="s">
        <v>75</v>
      </c>
      <c r="AB90" t="s">
        <v>76</v>
      </c>
      <c r="AC90" t="s">
        <v>84</v>
      </c>
      <c r="AD90" t="s">
        <v>78</v>
      </c>
      <c r="AE90">
        <f t="shared" si="16"/>
        <v>11</v>
      </c>
      <c r="AF90" t="str">
        <f t="shared" si="17"/>
        <v>November</v>
      </c>
    </row>
    <row r="91" spans="1:32" x14ac:dyDescent="0.3">
      <c r="A91" s="1">
        <v>45616</v>
      </c>
      <c r="B91" t="s">
        <v>25</v>
      </c>
      <c r="C91" t="s">
        <v>82</v>
      </c>
      <c r="D91" t="s">
        <v>65</v>
      </c>
      <c r="E91" t="s">
        <v>66</v>
      </c>
      <c r="F91" t="s">
        <v>67</v>
      </c>
      <c r="G91" t="s">
        <v>68</v>
      </c>
      <c r="H91" t="s">
        <v>69</v>
      </c>
      <c r="I91" t="s">
        <v>70</v>
      </c>
      <c r="J91" t="s">
        <v>71</v>
      </c>
      <c r="K91" t="s">
        <v>65</v>
      </c>
      <c r="L91" t="s">
        <v>25</v>
      </c>
      <c r="M91" t="s">
        <v>32</v>
      </c>
      <c r="N91" t="s">
        <v>84</v>
      </c>
      <c r="O91" t="s">
        <v>0</v>
      </c>
      <c r="P91">
        <v>325454</v>
      </c>
      <c r="Q91" t="s">
        <v>17</v>
      </c>
      <c r="R91" t="s">
        <v>8</v>
      </c>
      <c r="S91" t="s">
        <v>74</v>
      </c>
      <c r="T91">
        <v>90</v>
      </c>
      <c r="U91">
        <v>0.25</v>
      </c>
      <c r="V91" s="2">
        <v>1.0416666666666666E-2</v>
      </c>
      <c r="W91">
        <v>22.5</v>
      </c>
      <c r="X91">
        <v>30</v>
      </c>
      <c r="Y91">
        <v>7.5</v>
      </c>
      <c r="Z91" t="s">
        <v>87</v>
      </c>
      <c r="AA91" t="s">
        <v>75</v>
      </c>
      <c r="AB91" t="s">
        <v>76</v>
      </c>
      <c r="AC91" t="s">
        <v>84</v>
      </c>
      <c r="AD91" t="s">
        <v>78</v>
      </c>
      <c r="AE91">
        <f t="shared" si="16"/>
        <v>11</v>
      </c>
      <c r="AF91" t="str">
        <f t="shared" si="17"/>
        <v>November</v>
      </c>
    </row>
    <row r="92" spans="1:32" x14ac:dyDescent="0.3">
      <c r="A92" s="1">
        <v>45616</v>
      </c>
      <c r="B92" t="s">
        <v>25</v>
      </c>
      <c r="C92" t="s">
        <v>82</v>
      </c>
      <c r="D92" t="s">
        <v>65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s">
        <v>71</v>
      </c>
      <c r="K92" t="s">
        <v>65</v>
      </c>
      <c r="L92" t="s">
        <v>25</v>
      </c>
      <c r="M92" t="s">
        <v>32</v>
      </c>
      <c r="N92" t="s">
        <v>84</v>
      </c>
      <c r="O92" t="s">
        <v>0</v>
      </c>
      <c r="P92">
        <v>325453</v>
      </c>
      <c r="Q92" t="s">
        <v>72</v>
      </c>
      <c r="R92" t="s">
        <v>73</v>
      </c>
      <c r="S92" t="s">
        <v>74</v>
      </c>
      <c r="T92">
        <v>0</v>
      </c>
      <c r="U92">
        <v>0.75</v>
      </c>
      <c r="V92" s="2">
        <v>3.125E-2</v>
      </c>
      <c r="W92">
        <v>0</v>
      </c>
      <c r="AA92" t="s">
        <v>75</v>
      </c>
      <c r="AB92" t="s">
        <v>76</v>
      </c>
      <c r="AC92" t="s">
        <v>84</v>
      </c>
      <c r="AD92" t="s">
        <v>78</v>
      </c>
      <c r="AE92">
        <f t="shared" si="16"/>
        <v>11</v>
      </c>
      <c r="AF92" t="str">
        <f t="shared" si="17"/>
        <v>November</v>
      </c>
    </row>
    <row r="93" spans="1:32" x14ac:dyDescent="0.3">
      <c r="A93" s="1">
        <v>45617</v>
      </c>
      <c r="B93" t="s">
        <v>25</v>
      </c>
      <c r="C93" t="s">
        <v>82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s">
        <v>71</v>
      </c>
      <c r="K93" t="s">
        <v>65</v>
      </c>
      <c r="L93" t="s">
        <v>25</v>
      </c>
      <c r="M93" t="s">
        <v>32</v>
      </c>
      <c r="N93" t="s">
        <v>84</v>
      </c>
      <c r="O93" t="s">
        <v>0</v>
      </c>
      <c r="P93">
        <v>326249</v>
      </c>
      <c r="Q93" t="s">
        <v>17</v>
      </c>
      <c r="R93" t="s">
        <v>8</v>
      </c>
      <c r="S93" t="s">
        <v>74</v>
      </c>
      <c r="T93">
        <v>90</v>
      </c>
      <c r="U93">
        <v>0.25</v>
      </c>
      <c r="V93" s="2">
        <v>1.0416666666666666E-2</v>
      </c>
      <c r="W93">
        <v>22.5</v>
      </c>
      <c r="X93">
        <v>30</v>
      </c>
      <c r="Y93">
        <v>7.5</v>
      </c>
      <c r="Z93" t="s">
        <v>87</v>
      </c>
      <c r="AA93" t="s">
        <v>75</v>
      </c>
      <c r="AB93" t="s">
        <v>76</v>
      </c>
      <c r="AC93" t="s">
        <v>84</v>
      </c>
      <c r="AD93" t="s">
        <v>78</v>
      </c>
      <c r="AE93">
        <f t="shared" si="16"/>
        <v>11</v>
      </c>
      <c r="AF93" t="str">
        <f t="shared" si="17"/>
        <v>November</v>
      </c>
    </row>
    <row r="94" spans="1:32" x14ac:dyDescent="0.3">
      <c r="A94" s="1">
        <v>45618</v>
      </c>
      <c r="B94" t="s">
        <v>25</v>
      </c>
      <c r="C94" t="s">
        <v>82</v>
      </c>
      <c r="D94" t="s">
        <v>65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s">
        <v>71</v>
      </c>
      <c r="K94" t="s">
        <v>65</v>
      </c>
      <c r="L94" t="s">
        <v>25</v>
      </c>
      <c r="M94" t="s">
        <v>32</v>
      </c>
      <c r="N94" t="s">
        <v>84</v>
      </c>
      <c r="O94" t="s">
        <v>0</v>
      </c>
      <c r="P94">
        <v>327242</v>
      </c>
      <c r="Q94" t="s">
        <v>17</v>
      </c>
      <c r="R94" t="s">
        <v>8</v>
      </c>
      <c r="S94" t="s">
        <v>74</v>
      </c>
      <c r="T94">
        <v>90</v>
      </c>
      <c r="U94">
        <v>0.25</v>
      </c>
      <c r="V94" s="2">
        <v>1.0416666666666666E-2</v>
      </c>
      <c r="W94">
        <v>22.5</v>
      </c>
      <c r="X94">
        <v>30</v>
      </c>
      <c r="Y94">
        <v>7.5</v>
      </c>
      <c r="Z94" t="s">
        <v>87</v>
      </c>
      <c r="AA94" t="s">
        <v>75</v>
      </c>
      <c r="AB94" t="s">
        <v>76</v>
      </c>
      <c r="AC94" t="s">
        <v>84</v>
      </c>
      <c r="AD94" t="s">
        <v>78</v>
      </c>
      <c r="AE94">
        <f t="shared" si="16"/>
        <v>11</v>
      </c>
      <c r="AF94" t="str">
        <f t="shared" si="17"/>
        <v>November</v>
      </c>
    </row>
    <row r="95" spans="1:32" x14ac:dyDescent="0.3">
      <c r="A95" s="1">
        <v>45621</v>
      </c>
      <c r="B95" t="s">
        <v>25</v>
      </c>
      <c r="C95" t="s">
        <v>82</v>
      </c>
      <c r="D95" t="s">
        <v>65</v>
      </c>
      <c r="E95" t="s">
        <v>66</v>
      </c>
      <c r="F95" t="s">
        <v>67</v>
      </c>
      <c r="G95" t="s">
        <v>68</v>
      </c>
      <c r="H95" t="s">
        <v>69</v>
      </c>
      <c r="I95" t="s">
        <v>70</v>
      </c>
      <c r="J95" t="s">
        <v>71</v>
      </c>
      <c r="K95" t="s">
        <v>65</v>
      </c>
      <c r="L95" t="s">
        <v>25</v>
      </c>
      <c r="M95" t="s">
        <v>32</v>
      </c>
      <c r="N95" t="s">
        <v>84</v>
      </c>
      <c r="O95" t="s">
        <v>0</v>
      </c>
      <c r="P95">
        <v>327236</v>
      </c>
      <c r="Q95" t="s">
        <v>17</v>
      </c>
      <c r="R95" t="s">
        <v>8</v>
      </c>
      <c r="S95" t="s">
        <v>74</v>
      </c>
      <c r="T95">
        <v>90</v>
      </c>
      <c r="U95">
        <v>0.5</v>
      </c>
      <c r="V95" s="2">
        <v>2.0833333333333332E-2</v>
      </c>
      <c r="W95">
        <v>45</v>
      </c>
      <c r="X95">
        <v>60</v>
      </c>
      <c r="Y95">
        <v>15</v>
      </c>
      <c r="Z95" t="s">
        <v>87</v>
      </c>
      <c r="AA95" t="s">
        <v>75</v>
      </c>
      <c r="AB95" t="s">
        <v>76</v>
      </c>
      <c r="AC95" t="s">
        <v>84</v>
      </c>
      <c r="AD95" t="s">
        <v>78</v>
      </c>
      <c r="AE95">
        <f t="shared" ref="AE95:AE106" si="18">MONTH(A95)</f>
        <v>11</v>
      </c>
      <c r="AF95" t="str">
        <f t="shared" ref="AF95:AF106" si="19">IF(AE95=11,"November",IF(AE95=12,"December",IF(AE95=1,"January",IF(AE95=2,"February",IF(AE95=3,"March")))))</f>
        <v>November</v>
      </c>
    </row>
    <row r="96" spans="1:32" x14ac:dyDescent="0.3">
      <c r="A96" s="1">
        <v>45628</v>
      </c>
      <c r="B96" t="s">
        <v>25</v>
      </c>
      <c r="C96" t="s">
        <v>82</v>
      </c>
      <c r="D96" t="s">
        <v>65</v>
      </c>
      <c r="E96" t="s">
        <v>66</v>
      </c>
      <c r="F96" t="s">
        <v>67</v>
      </c>
      <c r="G96" t="s">
        <v>68</v>
      </c>
      <c r="H96" t="s">
        <v>69</v>
      </c>
      <c r="I96" t="s">
        <v>70</v>
      </c>
      <c r="J96" t="s">
        <v>71</v>
      </c>
      <c r="K96" t="s">
        <v>65</v>
      </c>
      <c r="L96" t="s">
        <v>25</v>
      </c>
      <c r="M96" t="s">
        <v>32</v>
      </c>
      <c r="N96" t="s">
        <v>84</v>
      </c>
      <c r="O96" t="s">
        <v>0</v>
      </c>
      <c r="P96">
        <v>331079</v>
      </c>
      <c r="Q96" t="s">
        <v>72</v>
      </c>
      <c r="R96" t="s">
        <v>73</v>
      </c>
      <c r="S96" t="s">
        <v>74</v>
      </c>
      <c r="T96">
        <v>0</v>
      </c>
      <c r="U96">
        <v>0.25</v>
      </c>
      <c r="V96" s="2">
        <v>1.0416666666666666E-2</v>
      </c>
      <c r="W96">
        <v>0</v>
      </c>
      <c r="AA96" t="s">
        <v>75</v>
      </c>
      <c r="AB96" t="s">
        <v>76</v>
      </c>
      <c r="AC96" t="s">
        <v>84</v>
      </c>
      <c r="AD96" t="s">
        <v>78</v>
      </c>
      <c r="AE96">
        <f t="shared" si="18"/>
        <v>12</v>
      </c>
      <c r="AF96" t="str">
        <f t="shared" si="19"/>
        <v>December</v>
      </c>
    </row>
    <row r="97" spans="1:32" x14ac:dyDescent="0.3">
      <c r="A97" s="1">
        <v>45629</v>
      </c>
      <c r="B97" t="s">
        <v>25</v>
      </c>
      <c r="C97" t="s">
        <v>82</v>
      </c>
      <c r="D97" t="s">
        <v>65</v>
      </c>
      <c r="E97" t="s">
        <v>66</v>
      </c>
      <c r="F97" t="s">
        <v>67</v>
      </c>
      <c r="G97" t="s">
        <v>68</v>
      </c>
      <c r="H97" t="s">
        <v>69</v>
      </c>
      <c r="I97" t="s">
        <v>70</v>
      </c>
      <c r="J97" t="s">
        <v>71</v>
      </c>
      <c r="K97" t="s">
        <v>65</v>
      </c>
      <c r="L97" t="s">
        <v>25</v>
      </c>
      <c r="M97" t="s">
        <v>32</v>
      </c>
      <c r="N97" t="s">
        <v>84</v>
      </c>
      <c r="O97" t="s">
        <v>0</v>
      </c>
      <c r="P97">
        <v>331089</v>
      </c>
      <c r="Q97" t="s">
        <v>72</v>
      </c>
      <c r="R97" t="s">
        <v>73</v>
      </c>
      <c r="S97" t="s">
        <v>74</v>
      </c>
      <c r="T97">
        <v>0</v>
      </c>
      <c r="U97">
        <v>0.25</v>
      </c>
      <c r="V97" s="2">
        <v>1.0416666666666666E-2</v>
      </c>
      <c r="W97">
        <v>0</v>
      </c>
      <c r="AA97" t="s">
        <v>75</v>
      </c>
      <c r="AB97" t="s">
        <v>76</v>
      </c>
      <c r="AC97" t="s">
        <v>84</v>
      </c>
      <c r="AD97" t="s">
        <v>78</v>
      </c>
      <c r="AE97">
        <f t="shared" si="18"/>
        <v>12</v>
      </c>
      <c r="AF97" t="str">
        <f t="shared" si="19"/>
        <v>December</v>
      </c>
    </row>
    <row r="98" spans="1:32" x14ac:dyDescent="0.3">
      <c r="A98" s="1">
        <v>45630</v>
      </c>
      <c r="B98" t="s">
        <v>25</v>
      </c>
      <c r="C98" t="s">
        <v>82</v>
      </c>
      <c r="D98" t="s">
        <v>65</v>
      </c>
      <c r="E98" t="s">
        <v>66</v>
      </c>
      <c r="F98" t="s">
        <v>67</v>
      </c>
      <c r="G98" t="s">
        <v>68</v>
      </c>
      <c r="H98" t="s">
        <v>69</v>
      </c>
      <c r="I98" t="s">
        <v>70</v>
      </c>
      <c r="J98" t="s">
        <v>71</v>
      </c>
      <c r="K98" t="s">
        <v>65</v>
      </c>
      <c r="L98" t="s">
        <v>25</v>
      </c>
      <c r="M98" t="s">
        <v>32</v>
      </c>
      <c r="N98" t="s">
        <v>84</v>
      </c>
      <c r="O98" t="s">
        <v>0</v>
      </c>
      <c r="P98">
        <v>331744</v>
      </c>
      <c r="Q98" t="s">
        <v>72</v>
      </c>
      <c r="R98" t="s">
        <v>73</v>
      </c>
      <c r="S98" t="s">
        <v>74</v>
      </c>
      <c r="T98">
        <v>0</v>
      </c>
      <c r="U98">
        <v>0.5</v>
      </c>
      <c r="V98" s="2">
        <v>2.0833333333333332E-2</v>
      </c>
      <c r="W98">
        <v>0</v>
      </c>
      <c r="AA98" t="s">
        <v>75</v>
      </c>
      <c r="AB98" t="s">
        <v>76</v>
      </c>
      <c r="AC98" t="s">
        <v>84</v>
      </c>
      <c r="AD98" t="s">
        <v>78</v>
      </c>
      <c r="AE98">
        <f t="shared" si="18"/>
        <v>12</v>
      </c>
      <c r="AF98" t="str">
        <f t="shared" si="19"/>
        <v>December</v>
      </c>
    </row>
    <row r="99" spans="1:32" x14ac:dyDescent="0.3">
      <c r="A99" s="1">
        <v>45631</v>
      </c>
      <c r="B99" t="s">
        <v>25</v>
      </c>
      <c r="C99" t="s">
        <v>82</v>
      </c>
      <c r="D99" t="s">
        <v>65</v>
      </c>
      <c r="E99" t="s">
        <v>66</v>
      </c>
      <c r="F99" t="s">
        <v>67</v>
      </c>
      <c r="G99" t="s">
        <v>68</v>
      </c>
      <c r="H99" t="s">
        <v>69</v>
      </c>
      <c r="I99" t="s">
        <v>70</v>
      </c>
      <c r="J99" t="s">
        <v>71</v>
      </c>
      <c r="K99" t="s">
        <v>65</v>
      </c>
      <c r="L99" t="s">
        <v>25</v>
      </c>
      <c r="M99" t="s">
        <v>32</v>
      </c>
      <c r="N99" t="s">
        <v>84</v>
      </c>
      <c r="O99" t="s">
        <v>0</v>
      </c>
      <c r="P99">
        <v>332082</v>
      </c>
      <c r="Q99" t="s">
        <v>72</v>
      </c>
      <c r="R99" t="s">
        <v>73</v>
      </c>
      <c r="S99" t="s">
        <v>74</v>
      </c>
      <c r="T99">
        <v>0</v>
      </c>
      <c r="U99">
        <v>0.5</v>
      </c>
      <c r="V99" s="2">
        <v>2.0833333333333332E-2</v>
      </c>
      <c r="W99">
        <v>0</v>
      </c>
      <c r="AA99" t="s">
        <v>75</v>
      </c>
      <c r="AB99" t="s">
        <v>76</v>
      </c>
      <c r="AC99" t="s">
        <v>84</v>
      </c>
      <c r="AD99" t="s">
        <v>78</v>
      </c>
      <c r="AE99">
        <f t="shared" si="18"/>
        <v>12</v>
      </c>
      <c r="AF99" t="str">
        <f t="shared" si="19"/>
        <v>December</v>
      </c>
    </row>
    <row r="100" spans="1:32" x14ac:dyDescent="0.3">
      <c r="A100" s="1">
        <v>45635</v>
      </c>
      <c r="B100" t="s">
        <v>25</v>
      </c>
      <c r="C100" t="s">
        <v>82</v>
      </c>
      <c r="D100" t="s">
        <v>65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s">
        <v>71</v>
      </c>
      <c r="K100" t="s">
        <v>65</v>
      </c>
      <c r="L100" t="s">
        <v>25</v>
      </c>
      <c r="M100" t="s">
        <v>32</v>
      </c>
      <c r="N100" t="s">
        <v>84</v>
      </c>
      <c r="O100" t="s">
        <v>0</v>
      </c>
      <c r="P100">
        <v>334072</v>
      </c>
      <c r="Q100" t="s">
        <v>72</v>
      </c>
      <c r="R100" t="s">
        <v>73</v>
      </c>
      <c r="S100" t="s">
        <v>74</v>
      </c>
      <c r="T100">
        <v>0</v>
      </c>
      <c r="U100">
        <v>0.25</v>
      </c>
      <c r="V100" s="2">
        <v>1.0416666666666666E-2</v>
      </c>
      <c r="W100">
        <v>0</v>
      </c>
      <c r="AA100" t="s">
        <v>75</v>
      </c>
      <c r="AB100" t="s">
        <v>76</v>
      </c>
      <c r="AC100" t="s">
        <v>84</v>
      </c>
      <c r="AD100" t="s">
        <v>78</v>
      </c>
      <c r="AE100">
        <f t="shared" si="18"/>
        <v>12</v>
      </c>
      <c r="AF100" t="str">
        <f t="shared" si="19"/>
        <v>December</v>
      </c>
    </row>
    <row r="101" spans="1:32" x14ac:dyDescent="0.3">
      <c r="A101" s="1">
        <v>45637</v>
      </c>
      <c r="B101" t="s">
        <v>25</v>
      </c>
      <c r="C101" t="s">
        <v>82</v>
      </c>
      <c r="D101" t="s">
        <v>65</v>
      </c>
      <c r="E101" t="s">
        <v>66</v>
      </c>
      <c r="F101" t="s">
        <v>67</v>
      </c>
      <c r="G101" t="s">
        <v>68</v>
      </c>
      <c r="H101" t="s">
        <v>69</v>
      </c>
      <c r="I101" t="s">
        <v>70</v>
      </c>
      <c r="J101" t="s">
        <v>71</v>
      </c>
      <c r="K101" t="s">
        <v>65</v>
      </c>
      <c r="L101" t="s">
        <v>25</v>
      </c>
      <c r="M101" t="s">
        <v>32</v>
      </c>
      <c r="N101" t="s">
        <v>84</v>
      </c>
      <c r="O101" t="s">
        <v>0</v>
      </c>
      <c r="P101">
        <v>334592</v>
      </c>
      <c r="Q101" t="s">
        <v>72</v>
      </c>
      <c r="R101" t="s">
        <v>73</v>
      </c>
      <c r="S101" t="s">
        <v>74</v>
      </c>
      <c r="T101">
        <v>0</v>
      </c>
      <c r="U101">
        <v>0.25</v>
      </c>
      <c r="V101" s="2">
        <v>1.0416666666666666E-2</v>
      </c>
      <c r="W101">
        <v>0</v>
      </c>
      <c r="AA101" t="s">
        <v>75</v>
      </c>
      <c r="AB101" t="s">
        <v>76</v>
      </c>
      <c r="AC101" t="s">
        <v>84</v>
      </c>
      <c r="AD101" t="s">
        <v>78</v>
      </c>
      <c r="AE101">
        <f t="shared" si="18"/>
        <v>12</v>
      </c>
      <c r="AF101" t="str">
        <f t="shared" si="19"/>
        <v>December</v>
      </c>
    </row>
    <row r="102" spans="1:32" x14ac:dyDescent="0.3">
      <c r="A102" s="1">
        <v>45638</v>
      </c>
      <c r="B102" t="s">
        <v>25</v>
      </c>
      <c r="C102" t="s">
        <v>82</v>
      </c>
      <c r="D102" t="s">
        <v>65</v>
      </c>
      <c r="E102" t="s">
        <v>66</v>
      </c>
      <c r="F102" t="s">
        <v>67</v>
      </c>
      <c r="G102" t="s">
        <v>68</v>
      </c>
      <c r="H102" t="s">
        <v>69</v>
      </c>
      <c r="I102" t="s">
        <v>70</v>
      </c>
      <c r="J102" t="s">
        <v>71</v>
      </c>
      <c r="K102" t="s">
        <v>65</v>
      </c>
      <c r="L102" t="s">
        <v>25</v>
      </c>
      <c r="M102" t="s">
        <v>32</v>
      </c>
      <c r="N102" t="s">
        <v>84</v>
      </c>
      <c r="O102" t="s">
        <v>0</v>
      </c>
      <c r="P102">
        <v>335029</v>
      </c>
      <c r="Q102" t="s">
        <v>72</v>
      </c>
      <c r="R102" t="s">
        <v>73</v>
      </c>
      <c r="S102" t="s">
        <v>74</v>
      </c>
      <c r="T102">
        <v>0</v>
      </c>
      <c r="U102">
        <v>1</v>
      </c>
      <c r="V102" s="2">
        <v>4.1666666666666664E-2</v>
      </c>
      <c r="W102">
        <v>0</v>
      </c>
      <c r="AA102" t="s">
        <v>75</v>
      </c>
      <c r="AB102" t="s">
        <v>76</v>
      </c>
      <c r="AC102" t="s">
        <v>84</v>
      </c>
      <c r="AD102" t="s">
        <v>78</v>
      </c>
      <c r="AE102">
        <f t="shared" si="18"/>
        <v>12</v>
      </c>
      <c r="AF102" t="str">
        <f t="shared" si="19"/>
        <v>December</v>
      </c>
    </row>
    <row r="103" spans="1:32" x14ac:dyDescent="0.3">
      <c r="A103" s="1">
        <v>45639</v>
      </c>
      <c r="B103" t="s">
        <v>25</v>
      </c>
      <c r="C103" t="s">
        <v>82</v>
      </c>
      <c r="D103" t="s">
        <v>65</v>
      </c>
      <c r="E103" t="s">
        <v>66</v>
      </c>
      <c r="F103" t="s">
        <v>67</v>
      </c>
      <c r="G103" t="s">
        <v>68</v>
      </c>
      <c r="H103" t="s">
        <v>69</v>
      </c>
      <c r="I103" t="s">
        <v>70</v>
      </c>
      <c r="J103" t="s">
        <v>71</v>
      </c>
      <c r="K103" t="s">
        <v>65</v>
      </c>
      <c r="L103" t="s">
        <v>25</v>
      </c>
      <c r="M103" t="s">
        <v>32</v>
      </c>
      <c r="N103" t="s">
        <v>84</v>
      </c>
      <c r="O103" t="s">
        <v>0</v>
      </c>
      <c r="P103">
        <v>335383</v>
      </c>
      <c r="Q103" t="s">
        <v>72</v>
      </c>
      <c r="R103" t="s">
        <v>73</v>
      </c>
      <c r="S103" t="s">
        <v>74</v>
      </c>
      <c r="T103">
        <v>0</v>
      </c>
      <c r="U103">
        <v>0.25</v>
      </c>
      <c r="V103" s="2">
        <v>1.0416666666666666E-2</v>
      </c>
      <c r="W103">
        <v>0</v>
      </c>
      <c r="AA103" t="s">
        <v>75</v>
      </c>
      <c r="AB103" t="s">
        <v>76</v>
      </c>
      <c r="AC103" t="s">
        <v>84</v>
      </c>
      <c r="AD103" t="s">
        <v>78</v>
      </c>
      <c r="AE103">
        <f t="shared" si="18"/>
        <v>12</v>
      </c>
      <c r="AF103" t="str">
        <f t="shared" si="19"/>
        <v>December</v>
      </c>
    </row>
    <row r="104" spans="1:32" x14ac:dyDescent="0.3">
      <c r="A104" s="1">
        <v>45643</v>
      </c>
      <c r="B104" t="s">
        <v>25</v>
      </c>
      <c r="C104" t="s">
        <v>82</v>
      </c>
      <c r="D104" t="s">
        <v>65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s">
        <v>71</v>
      </c>
      <c r="K104" t="s">
        <v>65</v>
      </c>
      <c r="L104" t="s">
        <v>25</v>
      </c>
      <c r="M104" t="s">
        <v>32</v>
      </c>
      <c r="N104" t="s">
        <v>84</v>
      </c>
      <c r="O104" t="s">
        <v>0</v>
      </c>
      <c r="P104">
        <v>336420</v>
      </c>
      <c r="Q104" t="s">
        <v>72</v>
      </c>
      <c r="R104" t="s">
        <v>73</v>
      </c>
      <c r="S104" t="s">
        <v>74</v>
      </c>
      <c r="T104">
        <v>0</v>
      </c>
      <c r="U104">
        <v>1</v>
      </c>
      <c r="V104" s="2">
        <v>4.1666666666666664E-2</v>
      </c>
      <c r="W104">
        <v>0</v>
      </c>
      <c r="AA104" t="s">
        <v>75</v>
      </c>
      <c r="AB104" t="s">
        <v>76</v>
      </c>
      <c r="AC104" t="s">
        <v>84</v>
      </c>
      <c r="AD104" t="s">
        <v>78</v>
      </c>
      <c r="AE104">
        <f t="shared" si="18"/>
        <v>12</v>
      </c>
      <c r="AF104" t="str">
        <f t="shared" si="19"/>
        <v>December</v>
      </c>
    </row>
    <row r="105" spans="1:32" x14ac:dyDescent="0.3">
      <c r="A105" s="1">
        <v>45644</v>
      </c>
      <c r="B105" t="s">
        <v>25</v>
      </c>
      <c r="C105" t="s">
        <v>82</v>
      </c>
      <c r="D105" t="s">
        <v>65</v>
      </c>
      <c r="E105" t="s">
        <v>66</v>
      </c>
      <c r="F105" t="s">
        <v>67</v>
      </c>
      <c r="G105" t="s">
        <v>68</v>
      </c>
      <c r="H105" t="s">
        <v>69</v>
      </c>
      <c r="I105" t="s">
        <v>70</v>
      </c>
      <c r="J105" t="s">
        <v>71</v>
      </c>
      <c r="K105" t="s">
        <v>65</v>
      </c>
      <c r="L105" t="s">
        <v>25</v>
      </c>
      <c r="M105" t="s">
        <v>32</v>
      </c>
      <c r="N105" t="s">
        <v>84</v>
      </c>
      <c r="O105" t="s">
        <v>0</v>
      </c>
      <c r="P105">
        <v>337012</v>
      </c>
      <c r="Q105" t="s">
        <v>72</v>
      </c>
      <c r="R105" t="s">
        <v>73</v>
      </c>
      <c r="S105" t="s">
        <v>74</v>
      </c>
      <c r="T105">
        <v>0</v>
      </c>
      <c r="U105">
        <v>0.75</v>
      </c>
      <c r="V105" s="2">
        <v>3.125E-2</v>
      </c>
      <c r="W105">
        <v>0</v>
      </c>
      <c r="AA105" t="s">
        <v>75</v>
      </c>
      <c r="AB105" t="s">
        <v>76</v>
      </c>
      <c r="AC105" t="s">
        <v>84</v>
      </c>
      <c r="AD105" t="s">
        <v>78</v>
      </c>
      <c r="AE105">
        <f t="shared" si="18"/>
        <v>12</v>
      </c>
      <c r="AF105" t="str">
        <f t="shared" si="19"/>
        <v>December</v>
      </c>
    </row>
    <row r="106" spans="1:32" x14ac:dyDescent="0.3">
      <c r="A106" s="1">
        <v>45645</v>
      </c>
      <c r="B106" t="s">
        <v>25</v>
      </c>
      <c r="C106" t="s">
        <v>82</v>
      </c>
      <c r="D106" t="s">
        <v>65</v>
      </c>
      <c r="E106" t="s">
        <v>66</v>
      </c>
      <c r="F106" t="s">
        <v>67</v>
      </c>
      <c r="G106" t="s">
        <v>68</v>
      </c>
      <c r="H106" t="s">
        <v>69</v>
      </c>
      <c r="I106" t="s">
        <v>70</v>
      </c>
      <c r="J106" t="s">
        <v>71</v>
      </c>
      <c r="K106" t="s">
        <v>65</v>
      </c>
      <c r="L106" t="s">
        <v>25</v>
      </c>
      <c r="M106" t="s">
        <v>32</v>
      </c>
      <c r="N106" t="s">
        <v>84</v>
      </c>
      <c r="O106" t="s">
        <v>0</v>
      </c>
      <c r="P106">
        <v>337672</v>
      </c>
      <c r="Q106" t="s">
        <v>72</v>
      </c>
      <c r="R106" t="s">
        <v>73</v>
      </c>
      <c r="S106" t="s">
        <v>74</v>
      </c>
      <c r="T106">
        <v>0</v>
      </c>
      <c r="U106">
        <v>0.5</v>
      </c>
      <c r="V106" s="2">
        <v>2.0833333333333332E-2</v>
      </c>
      <c r="W106">
        <v>0</v>
      </c>
      <c r="AA106" t="s">
        <v>75</v>
      </c>
      <c r="AB106" t="s">
        <v>76</v>
      </c>
      <c r="AC106" t="s">
        <v>84</v>
      </c>
      <c r="AD106" t="s">
        <v>78</v>
      </c>
      <c r="AE106">
        <f t="shared" si="18"/>
        <v>12</v>
      </c>
      <c r="AF106" t="str">
        <f t="shared" si="19"/>
        <v>December</v>
      </c>
    </row>
    <row r="107" spans="1:32" x14ac:dyDescent="0.3">
      <c r="A107" s="1">
        <v>45670</v>
      </c>
      <c r="B107" t="s">
        <v>25</v>
      </c>
      <c r="C107" t="s">
        <v>82</v>
      </c>
      <c r="D107" t="s">
        <v>65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s">
        <v>71</v>
      </c>
      <c r="K107" t="s">
        <v>65</v>
      </c>
      <c r="L107" t="s">
        <v>25</v>
      </c>
      <c r="M107" t="s">
        <v>32</v>
      </c>
      <c r="N107" t="s">
        <v>84</v>
      </c>
      <c r="O107" t="s">
        <v>0</v>
      </c>
      <c r="P107">
        <v>341512</v>
      </c>
      <c r="Q107" t="s">
        <v>72</v>
      </c>
      <c r="R107" t="s">
        <v>73</v>
      </c>
      <c r="S107" t="s">
        <v>74</v>
      </c>
      <c r="T107">
        <v>0</v>
      </c>
      <c r="U107">
        <v>1</v>
      </c>
      <c r="V107" s="2">
        <v>4.1666666666666664E-2</v>
      </c>
      <c r="W107">
        <v>0</v>
      </c>
      <c r="AA107" t="s">
        <v>75</v>
      </c>
      <c r="AB107" t="s">
        <v>76</v>
      </c>
      <c r="AC107" t="s">
        <v>84</v>
      </c>
      <c r="AD107" t="s">
        <v>78</v>
      </c>
      <c r="AE107">
        <f t="shared" ref="AE107:AE114" si="20">MONTH(A107)</f>
        <v>1</v>
      </c>
      <c r="AF107" t="str">
        <f t="shared" ref="AF107:AF114" si="21">IF(AE107=11,"November",IF(AE107=12,"December",IF(AE107=1,"January",IF(AE107=2,"February",IF(AE107=3,"March")))))</f>
        <v>January</v>
      </c>
    </row>
    <row r="108" spans="1:32" x14ac:dyDescent="0.3">
      <c r="A108" s="1">
        <v>45671</v>
      </c>
      <c r="B108" t="s">
        <v>25</v>
      </c>
      <c r="C108" t="s">
        <v>82</v>
      </c>
      <c r="D108" t="s">
        <v>65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65</v>
      </c>
      <c r="L108" t="s">
        <v>25</v>
      </c>
      <c r="M108" t="s">
        <v>32</v>
      </c>
      <c r="N108" t="s">
        <v>84</v>
      </c>
      <c r="O108" t="s">
        <v>0</v>
      </c>
      <c r="P108">
        <v>342067</v>
      </c>
      <c r="Q108" t="s">
        <v>72</v>
      </c>
      <c r="R108" t="s">
        <v>73</v>
      </c>
      <c r="S108" t="s">
        <v>74</v>
      </c>
      <c r="T108">
        <v>0</v>
      </c>
      <c r="U108">
        <v>0.5</v>
      </c>
      <c r="V108" s="2">
        <v>2.0833333333333332E-2</v>
      </c>
      <c r="W108">
        <v>0</v>
      </c>
      <c r="AA108" t="s">
        <v>75</v>
      </c>
      <c r="AB108" t="s">
        <v>76</v>
      </c>
      <c r="AC108" t="s">
        <v>84</v>
      </c>
      <c r="AD108" t="s">
        <v>78</v>
      </c>
      <c r="AE108">
        <f t="shared" si="20"/>
        <v>1</v>
      </c>
      <c r="AF108" t="str">
        <f t="shared" si="21"/>
        <v>January</v>
      </c>
    </row>
    <row r="109" spans="1:32" x14ac:dyDescent="0.3">
      <c r="A109" s="1">
        <v>45672</v>
      </c>
      <c r="B109" t="s">
        <v>25</v>
      </c>
      <c r="C109" t="s">
        <v>82</v>
      </c>
      <c r="D109" t="s">
        <v>65</v>
      </c>
      <c r="E109" t="s">
        <v>66</v>
      </c>
      <c r="F109" t="s">
        <v>67</v>
      </c>
      <c r="G109" t="s">
        <v>68</v>
      </c>
      <c r="H109" t="s">
        <v>69</v>
      </c>
      <c r="I109" t="s">
        <v>70</v>
      </c>
      <c r="J109" t="s">
        <v>71</v>
      </c>
      <c r="K109" t="s">
        <v>65</v>
      </c>
      <c r="L109" t="s">
        <v>25</v>
      </c>
      <c r="M109" t="s">
        <v>32</v>
      </c>
      <c r="N109" t="s">
        <v>84</v>
      </c>
      <c r="O109" t="s">
        <v>0</v>
      </c>
      <c r="P109">
        <v>350986</v>
      </c>
      <c r="Q109" t="s">
        <v>17</v>
      </c>
      <c r="R109" t="s">
        <v>8</v>
      </c>
      <c r="S109" t="s">
        <v>74</v>
      </c>
      <c r="T109">
        <v>90</v>
      </c>
      <c r="U109">
        <v>0.5</v>
      </c>
      <c r="V109" s="2">
        <v>2.0833333333333332E-2</v>
      </c>
      <c r="W109">
        <v>45</v>
      </c>
      <c r="X109">
        <v>60</v>
      </c>
      <c r="Y109">
        <v>15</v>
      </c>
      <c r="Z109" t="s">
        <v>101</v>
      </c>
      <c r="AA109" t="s">
        <v>75</v>
      </c>
      <c r="AB109" t="s">
        <v>76</v>
      </c>
      <c r="AC109" t="s">
        <v>84</v>
      </c>
      <c r="AD109" t="s">
        <v>78</v>
      </c>
      <c r="AE109">
        <f t="shared" si="20"/>
        <v>1</v>
      </c>
      <c r="AF109" t="str">
        <f t="shared" si="21"/>
        <v>January</v>
      </c>
    </row>
    <row r="110" spans="1:32" x14ac:dyDescent="0.3">
      <c r="A110" s="1">
        <v>45672</v>
      </c>
      <c r="B110" t="s">
        <v>25</v>
      </c>
      <c r="C110" t="s">
        <v>82</v>
      </c>
      <c r="D110" t="s">
        <v>65</v>
      </c>
      <c r="E110" t="s">
        <v>66</v>
      </c>
      <c r="F110" t="s">
        <v>67</v>
      </c>
      <c r="G110" t="s">
        <v>68</v>
      </c>
      <c r="H110" t="s">
        <v>69</v>
      </c>
      <c r="I110" t="s">
        <v>70</v>
      </c>
      <c r="J110" t="s">
        <v>71</v>
      </c>
      <c r="K110" t="s">
        <v>65</v>
      </c>
      <c r="L110" t="s">
        <v>25</v>
      </c>
      <c r="M110" t="s">
        <v>32</v>
      </c>
      <c r="N110" t="s">
        <v>84</v>
      </c>
      <c r="O110" t="s">
        <v>0</v>
      </c>
      <c r="P110">
        <v>342645</v>
      </c>
      <c r="Q110" t="s">
        <v>72</v>
      </c>
      <c r="R110" t="s">
        <v>73</v>
      </c>
      <c r="S110" t="s">
        <v>74</v>
      </c>
      <c r="T110">
        <v>0</v>
      </c>
      <c r="U110">
        <v>1</v>
      </c>
      <c r="V110" s="2">
        <v>4.1666666666666664E-2</v>
      </c>
      <c r="W110">
        <v>0</v>
      </c>
      <c r="AA110" t="s">
        <v>75</v>
      </c>
      <c r="AB110" t="s">
        <v>76</v>
      </c>
      <c r="AC110" t="s">
        <v>84</v>
      </c>
      <c r="AD110" t="s">
        <v>78</v>
      </c>
      <c r="AE110">
        <f t="shared" si="20"/>
        <v>1</v>
      </c>
      <c r="AF110" t="str">
        <f t="shared" si="21"/>
        <v>January</v>
      </c>
    </row>
    <row r="111" spans="1:32" x14ac:dyDescent="0.3">
      <c r="A111" s="1">
        <v>45673</v>
      </c>
      <c r="B111" t="s">
        <v>25</v>
      </c>
      <c r="C111" t="s">
        <v>82</v>
      </c>
      <c r="D111" t="s">
        <v>65</v>
      </c>
      <c r="E111" t="s">
        <v>66</v>
      </c>
      <c r="F111" t="s">
        <v>67</v>
      </c>
      <c r="G111" t="s">
        <v>68</v>
      </c>
      <c r="H111" t="s">
        <v>69</v>
      </c>
      <c r="I111" t="s">
        <v>70</v>
      </c>
      <c r="J111" t="s">
        <v>71</v>
      </c>
      <c r="K111" t="s">
        <v>65</v>
      </c>
      <c r="L111" t="s">
        <v>25</v>
      </c>
      <c r="M111" t="s">
        <v>32</v>
      </c>
      <c r="N111" t="s">
        <v>84</v>
      </c>
      <c r="O111" t="s">
        <v>0</v>
      </c>
      <c r="P111">
        <v>350985</v>
      </c>
      <c r="Q111" t="s">
        <v>17</v>
      </c>
      <c r="R111" t="s">
        <v>8</v>
      </c>
      <c r="S111" t="s">
        <v>74</v>
      </c>
      <c r="T111">
        <v>90</v>
      </c>
      <c r="U111">
        <v>0.5</v>
      </c>
      <c r="V111" s="2">
        <v>2.0833333333333332E-2</v>
      </c>
      <c r="W111">
        <v>45</v>
      </c>
      <c r="X111">
        <v>60</v>
      </c>
      <c r="Y111">
        <v>15</v>
      </c>
      <c r="Z111" t="s">
        <v>101</v>
      </c>
      <c r="AA111" t="s">
        <v>75</v>
      </c>
      <c r="AB111" t="s">
        <v>76</v>
      </c>
      <c r="AC111" t="s">
        <v>84</v>
      </c>
      <c r="AD111" t="s">
        <v>78</v>
      </c>
      <c r="AE111">
        <f t="shared" si="20"/>
        <v>1</v>
      </c>
      <c r="AF111" t="str">
        <f t="shared" si="21"/>
        <v>January</v>
      </c>
    </row>
    <row r="112" spans="1:32" x14ac:dyDescent="0.3">
      <c r="A112" s="1">
        <v>45674</v>
      </c>
      <c r="B112" t="s">
        <v>25</v>
      </c>
      <c r="C112" t="s">
        <v>82</v>
      </c>
      <c r="D112" t="s">
        <v>65</v>
      </c>
      <c r="E112" t="s">
        <v>66</v>
      </c>
      <c r="F112" t="s">
        <v>67</v>
      </c>
      <c r="G112" t="s">
        <v>68</v>
      </c>
      <c r="H112" t="s">
        <v>69</v>
      </c>
      <c r="I112" t="s">
        <v>70</v>
      </c>
      <c r="J112" t="s">
        <v>71</v>
      </c>
      <c r="K112" t="s">
        <v>65</v>
      </c>
      <c r="L112" t="s">
        <v>25</v>
      </c>
      <c r="M112" t="s">
        <v>32</v>
      </c>
      <c r="N112" t="s">
        <v>84</v>
      </c>
      <c r="O112" t="s">
        <v>0</v>
      </c>
      <c r="P112">
        <v>344170</v>
      </c>
      <c r="Q112" t="s">
        <v>72</v>
      </c>
      <c r="R112" t="s">
        <v>73</v>
      </c>
      <c r="S112" t="s">
        <v>74</v>
      </c>
      <c r="T112">
        <v>0</v>
      </c>
      <c r="U112">
        <v>0.25</v>
      </c>
      <c r="V112" s="2">
        <v>1.0416666666666666E-2</v>
      </c>
      <c r="W112">
        <v>0</v>
      </c>
      <c r="AA112" t="s">
        <v>75</v>
      </c>
      <c r="AB112" t="s">
        <v>76</v>
      </c>
      <c r="AC112" t="s">
        <v>84</v>
      </c>
      <c r="AD112" t="s">
        <v>78</v>
      </c>
      <c r="AE112">
        <f t="shared" si="20"/>
        <v>1</v>
      </c>
      <c r="AF112" t="str">
        <f t="shared" si="21"/>
        <v>January</v>
      </c>
    </row>
    <row r="113" spans="1:32" x14ac:dyDescent="0.3">
      <c r="A113" s="1">
        <v>45678</v>
      </c>
      <c r="B113" t="s">
        <v>25</v>
      </c>
      <c r="C113" t="s">
        <v>82</v>
      </c>
      <c r="D113" t="s">
        <v>65</v>
      </c>
      <c r="E113" t="s">
        <v>66</v>
      </c>
      <c r="F113" t="s">
        <v>67</v>
      </c>
      <c r="G113" t="s">
        <v>68</v>
      </c>
      <c r="H113" t="s">
        <v>69</v>
      </c>
      <c r="I113" t="s">
        <v>70</v>
      </c>
      <c r="J113" t="s">
        <v>71</v>
      </c>
      <c r="K113" t="s">
        <v>65</v>
      </c>
      <c r="L113" t="s">
        <v>25</v>
      </c>
      <c r="M113" t="s">
        <v>32</v>
      </c>
      <c r="N113" t="s">
        <v>84</v>
      </c>
      <c r="O113" t="s">
        <v>0</v>
      </c>
      <c r="P113">
        <v>345080</v>
      </c>
      <c r="Q113" t="s">
        <v>17</v>
      </c>
      <c r="R113" t="s">
        <v>8</v>
      </c>
      <c r="S113" t="s">
        <v>74</v>
      </c>
      <c r="T113">
        <v>90</v>
      </c>
      <c r="U113">
        <v>0.5</v>
      </c>
      <c r="V113" s="2">
        <v>2.0833333333333332E-2</v>
      </c>
      <c r="W113">
        <v>45</v>
      </c>
      <c r="X113">
        <v>60</v>
      </c>
      <c r="Y113">
        <v>15</v>
      </c>
      <c r="Z113" t="s">
        <v>101</v>
      </c>
      <c r="AA113" t="s">
        <v>75</v>
      </c>
      <c r="AB113" t="s">
        <v>76</v>
      </c>
      <c r="AC113" t="s">
        <v>84</v>
      </c>
      <c r="AD113" t="s">
        <v>78</v>
      </c>
      <c r="AE113">
        <f t="shared" si="20"/>
        <v>1</v>
      </c>
      <c r="AF113" t="str">
        <f t="shared" si="21"/>
        <v>January</v>
      </c>
    </row>
    <row r="114" spans="1:32" x14ac:dyDescent="0.3">
      <c r="A114" s="1">
        <v>45679</v>
      </c>
      <c r="B114" t="s">
        <v>25</v>
      </c>
      <c r="C114" t="s">
        <v>82</v>
      </c>
      <c r="D114" t="s">
        <v>65</v>
      </c>
      <c r="E114" t="s">
        <v>66</v>
      </c>
      <c r="F114" t="s">
        <v>67</v>
      </c>
      <c r="G114" t="s">
        <v>68</v>
      </c>
      <c r="H114" t="s">
        <v>69</v>
      </c>
      <c r="I114" t="s">
        <v>70</v>
      </c>
      <c r="J114" t="s">
        <v>71</v>
      </c>
      <c r="K114" t="s">
        <v>65</v>
      </c>
      <c r="L114" t="s">
        <v>25</v>
      </c>
      <c r="M114" t="s">
        <v>32</v>
      </c>
      <c r="N114" t="s">
        <v>84</v>
      </c>
      <c r="O114" t="s">
        <v>0</v>
      </c>
      <c r="P114">
        <v>345926</v>
      </c>
      <c r="Q114" t="s">
        <v>17</v>
      </c>
      <c r="R114" t="s">
        <v>8</v>
      </c>
      <c r="S114" t="s">
        <v>74</v>
      </c>
      <c r="T114">
        <v>90</v>
      </c>
      <c r="U114">
        <v>0.5</v>
      </c>
      <c r="V114" s="2">
        <v>2.0833333333333332E-2</v>
      </c>
      <c r="W114">
        <v>45</v>
      </c>
      <c r="X114">
        <v>60</v>
      </c>
      <c r="Y114">
        <v>15</v>
      </c>
      <c r="Z114" t="s">
        <v>101</v>
      </c>
      <c r="AA114" t="s">
        <v>75</v>
      </c>
      <c r="AB114" t="s">
        <v>76</v>
      </c>
      <c r="AC114" t="s">
        <v>84</v>
      </c>
      <c r="AD114" t="s">
        <v>78</v>
      </c>
      <c r="AE114">
        <f t="shared" si="20"/>
        <v>1</v>
      </c>
      <c r="AF114" t="str">
        <f t="shared" si="21"/>
        <v>January</v>
      </c>
    </row>
    <row r="115" spans="1:32" x14ac:dyDescent="0.3">
      <c r="A115" s="1">
        <v>45686</v>
      </c>
      <c r="B115" t="s">
        <v>25</v>
      </c>
      <c r="C115" t="s">
        <v>82</v>
      </c>
      <c r="D115" t="s">
        <v>65</v>
      </c>
      <c r="E115" t="s">
        <v>66</v>
      </c>
      <c r="F115" t="s">
        <v>67</v>
      </c>
      <c r="G115" t="s">
        <v>68</v>
      </c>
      <c r="H115" t="s">
        <v>69</v>
      </c>
      <c r="I115" t="s">
        <v>70</v>
      </c>
      <c r="J115" t="s">
        <v>71</v>
      </c>
      <c r="K115" t="s">
        <v>65</v>
      </c>
      <c r="L115" t="s">
        <v>25</v>
      </c>
      <c r="M115" t="s">
        <v>32</v>
      </c>
      <c r="N115" t="s">
        <v>84</v>
      </c>
      <c r="O115" t="s">
        <v>0</v>
      </c>
      <c r="P115">
        <v>350984</v>
      </c>
      <c r="Q115" t="s">
        <v>17</v>
      </c>
      <c r="R115" t="s">
        <v>8</v>
      </c>
      <c r="S115" t="s">
        <v>74</v>
      </c>
      <c r="T115">
        <v>90</v>
      </c>
      <c r="U115">
        <v>0.5</v>
      </c>
      <c r="V115" s="2">
        <v>2.0833333333333332E-2</v>
      </c>
      <c r="W115">
        <v>45</v>
      </c>
      <c r="X115">
        <v>60</v>
      </c>
      <c r="Y115">
        <v>15</v>
      </c>
      <c r="Z115" t="s">
        <v>101</v>
      </c>
      <c r="AA115" t="s">
        <v>75</v>
      </c>
      <c r="AB115" t="s">
        <v>76</v>
      </c>
      <c r="AC115" t="s">
        <v>84</v>
      </c>
      <c r="AD115" t="s">
        <v>78</v>
      </c>
      <c r="AE115">
        <f t="shared" ref="AE115:AE123" si="22">MONTH(A115)</f>
        <v>1</v>
      </c>
      <c r="AF115" t="str">
        <f t="shared" ref="AF115:AF123" si="23">IF(AE115=11,"November",IF(AE115=12,"December",IF(AE115=1,"January",IF(AE115=2,"February",IF(AE115=3,"March")))))</f>
        <v>January</v>
      </c>
    </row>
    <row r="116" spans="1:32" x14ac:dyDescent="0.3">
      <c r="A116" s="1">
        <v>45687</v>
      </c>
      <c r="B116" t="s">
        <v>25</v>
      </c>
      <c r="C116" t="s">
        <v>82</v>
      </c>
      <c r="D116" t="s">
        <v>65</v>
      </c>
      <c r="E116" t="s">
        <v>66</v>
      </c>
      <c r="F116" t="s">
        <v>67</v>
      </c>
      <c r="G116" t="s">
        <v>68</v>
      </c>
      <c r="H116" t="s">
        <v>69</v>
      </c>
      <c r="I116" t="s">
        <v>70</v>
      </c>
      <c r="J116" t="s">
        <v>71</v>
      </c>
      <c r="K116" t="s">
        <v>65</v>
      </c>
      <c r="L116" t="s">
        <v>25</v>
      </c>
      <c r="M116" t="s">
        <v>32</v>
      </c>
      <c r="N116" t="s">
        <v>84</v>
      </c>
      <c r="O116" t="s">
        <v>0</v>
      </c>
      <c r="P116">
        <v>349999</v>
      </c>
      <c r="Q116" t="s">
        <v>17</v>
      </c>
      <c r="R116" t="s">
        <v>8</v>
      </c>
      <c r="S116" t="s">
        <v>74</v>
      </c>
      <c r="T116">
        <v>90</v>
      </c>
      <c r="U116">
        <v>0.5</v>
      </c>
      <c r="V116" s="2">
        <v>2.0833333333333332E-2</v>
      </c>
      <c r="W116">
        <v>45</v>
      </c>
      <c r="X116">
        <v>60</v>
      </c>
      <c r="Y116">
        <v>15</v>
      </c>
      <c r="Z116" t="s">
        <v>101</v>
      </c>
      <c r="AA116" t="s">
        <v>75</v>
      </c>
      <c r="AB116" t="s">
        <v>76</v>
      </c>
      <c r="AC116" t="s">
        <v>84</v>
      </c>
      <c r="AD116" t="s">
        <v>78</v>
      </c>
      <c r="AE116">
        <f t="shared" si="22"/>
        <v>1</v>
      </c>
      <c r="AF116" t="str">
        <f t="shared" si="23"/>
        <v>January</v>
      </c>
    </row>
    <row r="117" spans="1:32" x14ac:dyDescent="0.3">
      <c r="A117" s="1">
        <v>45688</v>
      </c>
      <c r="B117" t="s">
        <v>25</v>
      </c>
      <c r="C117" t="s">
        <v>82</v>
      </c>
      <c r="D117" t="s">
        <v>65</v>
      </c>
      <c r="E117" t="s">
        <v>66</v>
      </c>
      <c r="F117" t="s">
        <v>67</v>
      </c>
      <c r="G117" t="s">
        <v>68</v>
      </c>
      <c r="H117" t="s">
        <v>69</v>
      </c>
      <c r="I117" t="s">
        <v>70</v>
      </c>
      <c r="J117" t="s">
        <v>71</v>
      </c>
      <c r="K117" t="s">
        <v>65</v>
      </c>
      <c r="L117" t="s">
        <v>25</v>
      </c>
      <c r="M117" t="s">
        <v>32</v>
      </c>
      <c r="N117" t="s">
        <v>84</v>
      </c>
      <c r="O117" t="s">
        <v>0</v>
      </c>
      <c r="P117">
        <v>351025</v>
      </c>
      <c r="Q117" t="s">
        <v>17</v>
      </c>
      <c r="R117" t="s">
        <v>8</v>
      </c>
      <c r="S117" t="s">
        <v>74</v>
      </c>
      <c r="T117">
        <v>90</v>
      </c>
      <c r="U117">
        <v>0.5</v>
      </c>
      <c r="V117" s="2">
        <v>2.0833333333333332E-2</v>
      </c>
      <c r="W117">
        <v>45</v>
      </c>
      <c r="X117">
        <v>60</v>
      </c>
      <c r="Y117">
        <v>15</v>
      </c>
      <c r="Z117" t="s">
        <v>101</v>
      </c>
      <c r="AA117" t="s">
        <v>75</v>
      </c>
      <c r="AB117" t="s">
        <v>76</v>
      </c>
      <c r="AC117" t="s">
        <v>84</v>
      </c>
      <c r="AD117" t="s">
        <v>78</v>
      </c>
      <c r="AE117">
        <f t="shared" si="22"/>
        <v>1</v>
      </c>
      <c r="AF117" t="str">
        <f t="shared" si="23"/>
        <v>January</v>
      </c>
    </row>
    <row r="118" spans="1:32" x14ac:dyDescent="0.3">
      <c r="A118" s="1">
        <v>45691</v>
      </c>
      <c r="B118" t="s">
        <v>25</v>
      </c>
      <c r="C118" t="s">
        <v>82</v>
      </c>
      <c r="D118" t="s">
        <v>65</v>
      </c>
      <c r="E118" t="s">
        <v>66</v>
      </c>
      <c r="F118" t="s">
        <v>67</v>
      </c>
      <c r="G118" t="s">
        <v>68</v>
      </c>
      <c r="H118" t="s">
        <v>69</v>
      </c>
      <c r="I118" t="s">
        <v>70</v>
      </c>
      <c r="J118" t="s">
        <v>71</v>
      </c>
      <c r="K118" t="s">
        <v>65</v>
      </c>
      <c r="L118" t="s">
        <v>25</v>
      </c>
      <c r="M118" t="s">
        <v>32</v>
      </c>
      <c r="N118" t="s">
        <v>84</v>
      </c>
      <c r="O118" t="s">
        <v>0</v>
      </c>
      <c r="P118">
        <v>351887</v>
      </c>
      <c r="Q118" t="s">
        <v>17</v>
      </c>
      <c r="R118" t="s">
        <v>8</v>
      </c>
      <c r="S118" t="s">
        <v>74</v>
      </c>
      <c r="T118">
        <v>90</v>
      </c>
      <c r="U118">
        <v>0.5</v>
      </c>
      <c r="V118" s="2">
        <v>2.0833333333333332E-2</v>
      </c>
      <c r="W118">
        <v>45</v>
      </c>
      <c r="AA118" t="s">
        <v>75</v>
      </c>
      <c r="AB118" t="s">
        <v>76</v>
      </c>
      <c r="AC118" t="s">
        <v>84</v>
      </c>
      <c r="AD118" t="s">
        <v>78</v>
      </c>
      <c r="AE118">
        <f t="shared" si="22"/>
        <v>2</v>
      </c>
      <c r="AF118" t="str">
        <f t="shared" si="23"/>
        <v>February</v>
      </c>
    </row>
    <row r="119" spans="1:32" x14ac:dyDescent="0.3">
      <c r="A119" s="1">
        <v>45693</v>
      </c>
      <c r="B119" t="s">
        <v>25</v>
      </c>
      <c r="C119" t="s">
        <v>82</v>
      </c>
      <c r="D119" t="s">
        <v>65</v>
      </c>
      <c r="E119" t="s">
        <v>66</v>
      </c>
      <c r="F119" t="s">
        <v>67</v>
      </c>
      <c r="G119" t="s">
        <v>68</v>
      </c>
      <c r="H119" t="s">
        <v>69</v>
      </c>
      <c r="I119" t="s">
        <v>70</v>
      </c>
      <c r="J119" t="s">
        <v>71</v>
      </c>
      <c r="K119" t="s">
        <v>65</v>
      </c>
      <c r="L119" t="s">
        <v>25</v>
      </c>
      <c r="M119" t="s">
        <v>32</v>
      </c>
      <c r="N119" t="s">
        <v>84</v>
      </c>
      <c r="O119" t="s">
        <v>0</v>
      </c>
      <c r="P119">
        <v>353043</v>
      </c>
      <c r="Q119" t="s">
        <v>17</v>
      </c>
      <c r="R119" t="s">
        <v>8</v>
      </c>
      <c r="S119" t="s">
        <v>74</v>
      </c>
      <c r="T119">
        <v>90</v>
      </c>
      <c r="U119">
        <v>1</v>
      </c>
      <c r="V119" s="2">
        <v>4.1666666666666664E-2</v>
      </c>
      <c r="W119">
        <v>90</v>
      </c>
      <c r="AA119" t="s">
        <v>75</v>
      </c>
      <c r="AB119" t="s">
        <v>76</v>
      </c>
      <c r="AC119" t="s">
        <v>84</v>
      </c>
      <c r="AD119" t="s">
        <v>78</v>
      </c>
      <c r="AE119">
        <f t="shared" si="22"/>
        <v>2</v>
      </c>
      <c r="AF119" t="str">
        <f t="shared" si="23"/>
        <v>February</v>
      </c>
    </row>
    <row r="120" spans="1:32" x14ac:dyDescent="0.3">
      <c r="A120" s="1">
        <v>45694</v>
      </c>
      <c r="B120" t="s">
        <v>25</v>
      </c>
      <c r="C120" t="s">
        <v>82</v>
      </c>
      <c r="D120" t="s">
        <v>65</v>
      </c>
      <c r="E120" t="s">
        <v>66</v>
      </c>
      <c r="F120" t="s">
        <v>67</v>
      </c>
      <c r="G120" t="s">
        <v>68</v>
      </c>
      <c r="H120" t="s">
        <v>69</v>
      </c>
      <c r="I120" t="s">
        <v>70</v>
      </c>
      <c r="J120" t="s">
        <v>71</v>
      </c>
      <c r="K120" t="s">
        <v>65</v>
      </c>
      <c r="L120" t="s">
        <v>25</v>
      </c>
      <c r="M120" t="s">
        <v>32</v>
      </c>
      <c r="N120" t="s">
        <v>84</v>
      </c>
      <c r="O120" t="s">
        <v>0</v>
      </c>
      <c r="P120">
        <v>353476</v>
      </c>
      <c r="Q120" t="s">
        <v>17</v>
      </c>
      <c r="R120" t="s">
        <v>8</v>
      </c>
      <c r="S120" t="s">
        <v>74</v>
      </c>
      <c r="T120">
        <v>90</v>
      </c>
      <c r="U120">
        <v>0.5</v>
      </c>
      <c r="V120" s="2">
        <v>2.0833333333333332E-2</v>
      </c>
      <c r="W120">
        <v>45</v>
      </c>
      <c r="AA120" t="s">
        <v>75</v>
      </c>
      <c r="AB120" t="s">
        <v>76</v>
      </c>
      <c r="AC120" t="s">
        <v>84</v>
      </c>
      <c r="AD120" t="s">
        <v>78</v>
      </c>
      <c r="AE120">
        <f t="shared" si="22"/>
        <v>2</v>
      </c>
      <c r="AF120" t="str">
        <f t="shared" si="23"/>
        <v>February</v>
      </c>
    </row>
    <row r="121" spans="1:32" x14ac:dyDescent="0.3">
      <c r="A121" s="1">
        <v>45695</v>
      </c>
      <c r="B121" t="s">
        <v>25</v>
      </c>
      <c r="C121" t="s">
        <v>82</v>
      </c>
      <c r="D121" t="s">
        <v>65</v>
      </c>
      <c r="E121" t="s">
        <v>66</v>
      </c>
      <c r="F121" t="s">
        <v>67</v>
      </c>
      <c r="G121" t="s">
        <v>68</v>
      </c>
      <c r="H121" t="s">
        <v>69</v>
      </c>
      <c r="I121" t="s">
        <v>70</v>
      </c>
      <c r="J121" t="s">
        <v>71</v>
      </c>
      <c r="K121" t="s">
        <v>65</v>
      </c>
      <c r="L121" t="s">
        <v>25</v>
      </c>
      <c r="M121" t="s">
        <v>32</v>
      </c>
      <c r="N121" t="s">
        <v>84</v>
      </c>
      <c r="O121" t="s">
        <v>0</v>
      </c>
      <c r="P121">
        <v>353913</v>
      </c>
      <c r="Q121" t="s">
        <v>17</v>
      </c>
      <c r="R121" t="s">
        <v>8</v>
      </c>
      <c r="S121" t="s">
        <v>74</v>
      </c>
      <c r="T121">
        <v>90</v>
      </c>
      <c r="U121">
        <v>0.25</v>
      </c>
      <c r="V121" s="2">
        <v>1.0416666666666666E-2</v>
      </c>
      <c r="W121">
        <v>22.5</v>
      </c>
      <c r="AA121" t="s">
        <v>75</v>
      </c>
      <c r="AB121" t="s">
        <v>76</v>
      </c>
      <c r="AC121" t="s">
        <v>84</v>
      </c>
      <c r="AD121" t="s">
        <v>78</v>
      </c>
      <c r="AE121">
        <f t="shared" si="22"/>
        <v>2</v>
      </c>
      <c r="AF121" t="str">
        <f t="shared" si="23"/>
        <v>February</v>
      </c>
    </row>
    <row r="122" spans="1:32" x14ac:dyDescent="0.3">
      <c r="A122" s="1">
        <v>45698</v>
      </c>
      <c r="B122" t="s">
        <v>25</v>
      </c>
      <c r="C122" t="s">
        <v>82</v>
      </c>
      <c r="D122" t="s">
        <v>65</v>
      </c>
      <c r="E122" t="s">
        <v>66</v>
      </c>
      <c r="F122" t="s">
        <v>67</v>
      </c>
      <c r="G122" t="s">
        <v>68</v>
      </c>
      <c r="H122" t="s">
        <v>69</v>
      </c>
      <c r="I122" t="s">
        <v>70</v>
      </c>
      <c r="J122" t="s">
        <v>71</v>
      </c>
      <c r="K122" t="s">
        <v>65</v>
      </c>
      <c r="L122" t="s">
        <v>25</v>
      </c>
      <c r="M122" t="s">
        <v>32</v>
      </c>
      <c r="N122" t="s">
        <v>84</v>
      </c>
      <c r="O122" t="s">
        <v>0</v>
      </c>
      <c r="P122">
        <v>355167</v>
      </c>
      <c r="Q122" t="s">
        <v>17</v>
      </c>
      <c r="R122" t="s">
        <v>8</v>
      </c>
      <c r="S122" t="s">
        <v>74</v>
      </c>
      <c r="T122">
        <v>90</v>
      </c>
      <c r="U122">
        <v>0.25</v>
      </c>
      <c r="V122" s="2">
        <v>1.0416666666666666E-2</v>
      </c>
      <c r="W122">
        <v>22.5</v>
      </c>
      <c r="AA122" t="s">
        <v>75</v>
      </c>
      <c r="AB122" t="s">
        <v>76</v>
      </c>
      <c r="AC122" t="s">
        <v>84</v>
      </c>
      <c r="AD122" t="s">
        <v>78</v>
      </c>
      <c r="AE122">
        <f t="shared" si="22"/>
        <v>2</v>
      </c>
      <c r="AF122" t="str">
        <f t="shared" si="23"/>
        <v>February</v>
      </c>
    </row>
    <row r="123" spans="1:32" x14ac:dyDescent="0.3">
      <c r="A123" s="1">
        <v>45699</v>
      </c>
      <c r="B123" t="s">
        <v>25</v>
      </c>
      <c r="C123" t="s">
        <v>82</v>
      </c>
      <c r="D123" t="s">
        <v>65</v>
      </c>
      <c r="E123" t="s">
        <v>66</v>
      </c>
      <c r="F123" t="s">
        <v>67</v>
      </c>
      <c r="G123" t="s">
        <v>68</v>
      </c>
      <c r="H123" t="s">
        <v>69</v>
      </c>
      <c r="I123" t="s">
        <v>70</v>
      </c>
      <c r="J123" t="s">
        <v>71</v>
      </c>
      <c r="K123" t="s">
        <v>65</v>
      </c>
      <c r="L123" t="s">
        <v>25</v>
      </c>
      <c r="M123" t="s">
        <v>32</v>
      </c>
      <c r="N123" t="s">
        <v>84</v>
      </c>
      <c r="O123" t="s">
        <v>0</v>
      </c>
      <c r="P123">
        <v>355346</v>
      </c>
      <c r="Q123" t="s">
        <v>17</v>
      </c>
      <c r="R123" t="s">
        <v>8</v>
      </c>
      <c r="S123" t="s">
        <v>74</v>
      </c>
      <c r="T123">
        <v>90</v>
      </c>
      <c r="U123">
        <v>0.5</v>
      </c>
      <c r="V123" s="2">
        <v>2.0833333333333332E-2</v>
      </c>
      <c r="W123">
        <v>45</v>
      </c>
      <c r="AA123" t="s">
        <v>75</v>
      </c>
      <c r="AB123" t="s">
        <v>76</v>
      </c>
      <c r="AC123" t="s">
        <v>84</v>
      </c>
      <c r="AD123" t="s">
        <v>78</v>
      </c>
      <c r="AE123">
        <f t="shared" si="22"/>
        <v>2</v>
      </c>
      <c r="AF123" t="str">
        <f t="shared" si="23"/>
        <v>February</v>
      </c>
    </row>
    <row r="124" spans="1:32" x14ac:dyDescent="0.3">
      <c r="A124" s="1">
        <v>45700</v>
      </c>
      <c r="B124" t="s">
        <v>25</v>
      </c>
      <c r="C124" t="s">
        <v>82</v>
      </c>
      <c r="D124" t="s">
        <v>65</v>
      </c>
      <c r="E124" t="s">
        <v>66</v>
      </c>
      <c r="F124" t="s">
        <v>67</v>
      </c>
      <c r="G124" t="s">
        <v>68</v>
      </c>
      <c r="H124" t="s">
        <v>69</v>
      </c>
      <c r="I124" t="s">
        <v>70</v>
      </c>
      <c r="J124" t="s">
        <v>71</v>
      </c>
      <c r="K124" t="s">
        <v>65</v>
      </c>
      <c r="L124" t="s">
        <v>25</v>
      </c>
      <c r="M124" t="s">
        <v>32</v>
      </c>
      <c r="N124" t="s">
        <v>84</v>
      </c>
      <c r="O124" t="s">
        <v>0</v>
      </c>
      <c r="P124">
        <v>356318</v>
      </c>
      <c r="Q124" t="s">
        <v>17</v>
      </c>
      <c r="R124" t="s">
        <v>8</v>
      </c>
      <c r="S124" t="s">
        <v>74</v>
      </c>
      <c r="T124">
        <v>90</v>
      </c>
      <c r="U124">
        <v>0.25</v>
      </c>
      <c r="V124" s="2">
        <v>1.0416666666666666E-2</v>
      </c>
      <c r="W124">
        <v>22.5</v>
      </c>
      <c r="AA124" t="s">
        <v>75</v>
      </c>
      <c r="AB124" t="s">
        <v>76</v>
      </c>
      <c r="AC124" t="s">
        <v>84</v>
      </c>
      <c r="AD124" t="s">
        <v>78</v>
      </c>
      <c r="AE124">
        <f t="shared" ref="AE124:AE125" si="24">MONTH(A124)</f>
        <v>2</v>
      </c>
      <c r="AF124" t="str">
        <f t="shared" ref="AF124:AF125" si="25">IF(AE124=11,"November",IF(AE124=12,"December",IF(AE124=1,"January",IF(AE124=2,"February",IF(AE124=3,"March")))))</f>
        <v>February</v>
      </c>
    </row>
    <row r="125" spans="1:32" x14ac:dyDescent="0.3">
      <c r="A125" s="1">
        <v>45705</v>
      </c>
      <c r="B125" t="s">
        <v>25</v>
      </c>
      <c r="C125" t="s">
        <v>82</v>
      </c>
      <c r="D125" t="s">
        <v>65</v>
      </c>
      <c r="E125" t="s">
        <v>66</v>
      </c>
      <c r="F125" t="s">
        <v>67</v>
      </c>
      <c r="G125" t="s">
        <v>68</v>
      </c>
      <c r="H125" t="s">
        <v>69</v>
      </c>
      <c r="I125" t="s">
        <v>70</v>
      </c>
      <c r="J125" t="s">
        <v>71</v>
      </c>
      <c r="K125" t="s">
        <v>65</v>
      </c>
      <c r="L125" t="s">
        <v>25</v>
      </c>
      <c r="M125" t="s">
        <v>32</v>
      </c>
      <c r="N125" t="s">
        <v>84</v>
      </c>
      <c r="O125" t="s">
        <v>0</v>
      </c>
      <c r="P125">
        <v>358057</v>
      </c>
      <c r="Q125" t="s">
        <v>17</v>
      </c>
      <c r="R125" t="s">
        <v>8</v>
      </c>
      <c r="S125" t="s">
        <v>74</v>
      </c>
      <c r="T125">
        <v>90</v>
      </c>
      <c r="U125">
        <v>0.25</v>
      </c>
      <c r="V125" s="2">
        <v>1.0416666666666666E-2</v>
      </c>
      <c r="W125">
        <v>22.5</v>
      </c>
      <c r="AA125" t="s">
        <v>75</v>
      </c>
      <c r="AB125" t="s">
        <v>76</v>
      </c>
      <c r="AC125" t="s">
        <v>84</v>
      </c>
      <c r="AD125" t="s">
        <v>78</v>
      </c>
      <c r="AE125">
        <f t="shared" si="24"/>
        <v>2</v>
      </c>
      <c r="AF125" t="str">
        <f t="shared" si="25"/>
        <v>February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13026E-746A-4710-8E0C-2BD609C11DC4}">
  <ds:schemaRefs>
    <ds:schemaRef ds:uri="http://schemas.microsoft.com/office/2006/documentManagement/types"/>
    <ds:schemaRef ds:uri="http://www.w3.org/XML/1998/namespace"/>
    <ds:schemaRef ds:uri="http://purl.org/dc/terms/"/>
    <ds:schemaRef ds:uri="1ffbd5dc-7a64-4097-8396-87f6c90b212f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2025-02-24T09:18:13Z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