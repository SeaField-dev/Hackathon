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63" documentId="13_ncr:40009_{BBCEBA60-E38F-4EE1-BDB9-DA93CE793831}" xr6:coauthVersionLast="47" xr6:coauthVersionMax="47" xr10:uidLastSave="{9A74B942-4D4A-469A-9A84-EA970DF4FF60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119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0" i="1" l="1"/>
  <c r="AF30" i="1" s="1"/>
  <c r="AE31" i="1"/>
  <c r="AF31" i="1"/>
  <c r="AE32" i="1"/>
  <c r="AF32" i="1"/>
  <c r="AE33" i="1"/>
  <c r="AF33" i="1"/>
  <c r="AE34" i="1"/>
  <c r="AF34" i="1"/>
  <c r="AE35" i="1"/>
  <c r="AF35" i="1"/>
  <c r="AE36" i="1"/>
  <c r="AF36" i="1" s="1"/>
  <c r="AE37" i="1"/>
  <c r="AF37" i="1"/>
  <c r="AE38" i="1"/>
  <c r="AF38" i="1"/>
  <c r="AE39" i="1"/>
  <c r="AF39" i="1"/>
  <c r="AE40" i="1"/>
  <c r="AF40" i="1"/>
  <c r="AE41" i="1"/>
  <c r="AF41" i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/>
  <c r="AE10" i="1"/>
  <c r="AF10" i="1" s="1"/>
  <c r="AE11" i="1"/>
  <c r="AF11" i="1" s="1"/>
  <c r="AE12" i="1"/>
  <c r="AF12" i="1" s="1"/>
  <c r="AE13" i="1"/>
  <c r="AF13" i="1" s="1"/>
  <c r="AE14" i="1"/>
  <c r="AF14" i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 s="1"/>
  <c r="AE21" i="1"/>
  <c r="AF21" i="1"/>
  <c r="AE2" i="1"/>
  <c r="AF2" i="1" s="1"/>
</calcChain>
</file>

<file path=xl/sharedStrings.xml><?xml version="1.0" encoding="utf-8"?>
<sst xmlns="http://schemas.openxmlformats.org/spreadsheetml/2006/main" count="920" uniqueCount="75">
  <si>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</si>
  <si>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</si>
  <si>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</si>
  <si>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</si>
  <si>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</si>
  <si>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</si>
  <si>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</si>
  <si>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</si>
  <si>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</si>
  <si>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</si>
  <si>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</si>
  <si>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</si>
  <si>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</si>
  <si>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</si>
  <si>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</si>
  <si>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</si>
  <si>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</si>
  <si>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</si>
  <si>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</si>
  <si>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</si>
  <si>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</si>
  <si>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</si>
  <si>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</si>
  <si>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</si>
  <si>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</si>
  <si>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</si>
  <si>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</si>
  <si>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</si>
  <si>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</si>
  <si>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</si>
  <si>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</si>
  <si>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</si>
  <si>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</si>
  <si>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</si>
  <si>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</si>
  <si>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</si>
  <si>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</si>
  <si>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</si>
  <si>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</si>
  <si>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</si>
  <si>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</si>
  <si>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</si>
  <si>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</si>
  <si>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</si>
  <si>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</si>
  <si>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</si>
  <si>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Le Grange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</si>
  <si>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</si>
  <si>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</si>
  <si>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</si>
  <si>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</si>
  <si>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</si>
  <si>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</si>
  <si>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</si>
  <si>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</si>
  <si>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</si>
  <si>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</si>
  <si>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</si>
  <si>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</si>
  <si>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</si>
  <si>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</si>
  <si>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</si>
  <si>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</si>
  <si>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</si>
  <si>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</si>
  <si>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Jacob Smycz</t>
  </si>
  <si>
    <t>Salesforce</t>
  </si>
  <si>
    <t>Andrew Pollock</t>
  </si>
  <si>
    <t>IN08372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</si>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</sst>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quotePrefix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16.511671064814" createdVersion="8" refreshedVersion="8" minRefreshableVersion="3" recordCount="41" xr:uid="{2B2ACEBD-FB09-4079-A579-6C98B71EF6EC}">
  <cacheSource type="worksheet">
    <worksheetSource ref="A1:AF42" sheet="Project Timesheets"/>
  </cacheSource>
  <cacheFields count="32">
    <cacheField name="Date" numFmtId="15">
      <sharedItems containsSemiMixedTypes="0" containsNonDate="0" containsDate="1" containsString="0" minDate="2024-07-10T00:00:00" maxDate="2024-08-10T00:00:00"/>
    </cacheField>
    <cacheField name="Person" numFmtId="0">
      <sharedItems count="5">
        <s v="Carami Le Grange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82977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780"/>
    </cacheField>
    <cacheField name="Invoiced Delta" numFmtId="0">
      <sharedItems containsString="0" containsBlank="1" containsNumber="1" minValue="15" maxValue="19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8"/>
    </cacheField>
    <cacheField name="Month" numFmtId="0">
      <sharedItems count="2"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m/>
    <s v=" "/>
    <s v="Not submitted"/>
    <n v="8"/>
    <x v="1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m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m/>
    <s v=" "/>
    <s v="Not submitted"/>
    <n v="8"/>
    <x v="1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m/>
    <m/>
    <m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m/>
    <m/>
    <m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m/>
    <m/>
    <m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m/>
    <m/>
    <m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m/>
    <m/>
    <m/>
    <s v="GBP"/>
    <m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m/>
    <m/>
    <m/>
    <s v="GBP"/>
    <m/>
    <s v=" "/>
    <s v="Not submitted"/>
    <n v="8"/>
    <x v="1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m/>
    <m/>
    <m/>
    <s v="GBP"/>
    <m/>
    <s v="Meeting with Accounts Receivable &amp; Credit Control (1 hour)"/>
    <s v="Not submitted"/>
    <n v="8"/>
    <x v="1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m/>
    <s v=" "/>
    <s v="Not submitted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FC60D-9FAD-4CC1-B2CB-DE701B97438F}" name="PivotTable1" cacheId="119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10.5703125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</row>
    <row r="2" spans="1:10" ht="15.6">
      <c r="A2" s="4" t="s">
        <v>6</v>
      </c>
      <c r="B2" t="s">
        <v>7</v>
      </c>
      <c r="H2" s="13" t="s">
        <v>8</v>
      </c>
      <c r="I2" s="14">
        <v>250</v>
      </c>
      <c r="J2" s="15">
        <f>I2*120</f>
        <v>30000</v>
      </c>
    </row>
    <row r="3" spans="1:10" ht="15.6">
      <c r="C3"/>
      <c r="G3" s="7"/>
      <c r="H3" s="13" t="s">
        <v>9</v>
      </c>
      <c r="I3" s="14">
        <v>350</v>
      </c>
      <c r="J3" s="15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5.5</v>
      </c>
      <c r="C6" s="9">
        <v>5.5</v>
      </c>
    </row>
    <row r="7" spans="1:10">
      <c r="A7" s="5" t="s">
        <v>16</v>
      </c>
      <c r="B7" s="9">
        <v>60.25</v>
      </c>
      <c r="C7" s="9">
        <v>60.25</v>
      </c>
    </row>
    <row r="8" spans="1:10">
      <c r="A8" s="5" t="s">
        <v>14</v>
      </c>
      <c r="B8" s="9">
        <v>65.75</v>
      </c>
      <c r="C8" s="9">
        <v>65.75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17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45495</v>
      </c>
      <c r="B4" t="s">
        <v>65</v>
      </c>
      <c r="C4" t="s">
        <v>47</v>
      </c>
      <c r="D4" t="s">
        <v>48</v>
      </c>
      <c r="E4" t="s">
        <v>66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15</v>
      </c>
      <c r="O4" t="s">
        <v>57</v>
      </c>
      <c r="P4">
        <v>274226</v>
      </c>
      <c r="Q4" t="s">
        <v>58</v>
      </c>
      <c r="R4" t="s">
        <v>59</v>
      </c>
      <c r="S4" t="s">
        <v>60</v>
      </c>
      <c r="T4">
        <v>0</v>
      </c>
      <c r="U4">
        <v>1</v>
      </c>
      <c r="V4" s="2">
        <v>4.1666666666666664E-2</v>
      </c>
      <c r="W4">
        <v>0</v>
      </c>
      <c r="AA4" t="s">
        <v>61</v>
      </c>
      <c r="AB4" t="s">
        <v>62</v>
      </c>
      <c r="AC4" t="s">
        <v>56</v>
      </c>
      <c r="AD4" t="s">
        <v>64</v>
      </c>
      <c r="AE4">
        <f t="shared" si="0"/>
        <v>7</v>
      </c>
      <c r="AF4" t="str">
        <f t="shared" si="1"/>
        <v>July</v>
      </c>
    </row>
    <row r="5" spans="1:32">
      <c r="A5" s="1">
        <v>45497</v>
      </c>
      <c r="B5" t="s">
        <v>65</v>
      </c>
      <c r="C5" t="s">
        <v>47</v>
      </c>
      <c r="D5" t="s">
        <v>48</v>
      </c>
      <c r="E5" t="s">
        <v>66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15</v>
      </c>
      <c r="O5" t="s">
        <v>57</v>
      </c>
      <c r="P5">
        <v>275372</v>
      </c>
      <c r="Q5" t="s">
        <v>58</v>
      </c>
      <c r="R5" t="s">
        <v>59</v>
      </c>
      <c r="S5" t="s">
        <v>60</v>
      </c>
      <c r="T5">
        <v>0</v>
      </c>
      <c r="U5">
        <v>1</v>
      </c>
      <c r="V5" s="2">
        <v>4.1666666666666664E-2</v>
      </c>
      <c r="W5">
        <v>0</v>
      </c>
      <c r="AA5" t="s">
        <v>61</v>
      </c>
      <c r="AB5" t="s">
        <v>62</v>
      </c>
      <c r="AC5" t="s">
        <v>56</v>
      </c>
      <c r="AD5" t="s">
        <v>64</v>
      </c>
      <c r="AE5">
        <f t="shared" si="0"/>
        <v>7</v>
      </c>
      <c r="AF5" t="str">
        <f t="shared" si="1"/>
        <v>July</v>
      </c>
    </row>
    <row r="6" spans="1:32">
      <c r="A6" s="1">
        <v>45502</v>
      </c>
      <c r="B6" t="s">
        <v>65</v>
      </c>
      <c r="C6" t="s">
        <v>47</v>
      </c>
      <c r="D6" t="s">
        <v>48</v>
      </c>
      <c r="E6" t="s">
        <v>66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15</v>
      </c>
      <c r="O6" t="s">
        <v>57</v>
      </c>
      <c r="P6">
        <v>277480</v>
      </c>
      <c r="Q6" t="s">
        <v>58</v>
      </c>
      <c r="R6" t="s">
        <v>59</v>
      </c>
      <c r="S6" t="s">
        <v>60</v>
      </c>
      <c r="T6">
        <v>0</v>
      </c>
      <c r="U6">
        <v>1</v>
      </c>
      <c r="V6" s="2">
        <v>4.1666666666666664E-2</v>
      </c>
      <c r="W6">
        <v>0</v>
      </c>
      <c r="AA6" t="s">
        <v>61</v>
      </c>
      <c r="AB6" t="s">
        <v>62</v>
      </c>
      <c r="AC6" t="s">
        <v>56</v>
      </c>
      <c r="AD6" t="s">
        <v>64</v>
      </c>
      <c r="AE6">
        <f t="shared" si="0"/>
        <v>7</v>
      </c>
      <c r="AF6" t="str">
        <f t="shared" si="1"/>
        <v>July</v>
      </c>
    </row>
    <row r="7" spans="1:32">
      <c r="A7" s="1">
        <v>45503</v>
      </c>
      <c r="B7" t="s">
        <v>65</v>
      </c>
      <c r="C7" t="s">
        <v>47</v>
      </c>
      <c r="D7" t="s">
        <v>48</v>
      </c>
      <c r="E7" t="s">
        <v>66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15</v>
      </c>
      <c r="O7" t="s">
        <v>57</v>
      </c>
      <c r="P7">
        <v>279016</v>
      </c>
      <c r="Q7" t="s">
        <v>58</v>
      </c>
      <c r="R7" t="s">
        <v>59</v>
      </c>
      <c r="S7" t="s">
        <v>60</v>
      </c>
      <c r="T7">
        <v>0</v>
      </c>
      <c r="U7">
        <v>1</v>
      </c>
      <c r="V7" s="2">
        <v>4.1666666666666664E-2</v>
      </c>
      <c r="W7">
        <v>0</v>
      </c>
      <c r="AA7" t="s">
        <v>61</v>
      </c>
      <c r="AB7" t="s">
        <v>62</v>
      </c>
      <c r="AC7" t="s">
        <v>56</v>
      </c>
      <c r="AD7" t="s">
        <v>64</v>
      </c>
      <c r="AE7">
        <f t="shared" si="0"/>
        <v>7</v>
      </c>
      <c r="AF7" t="str">
        <f t="shared" si="1"/>
        <v>July</v>
      </c>
    </row>
    <row r="8" spans="1:32">
      <c r="A8" s="1">
        <v>45510</v>
      </c>
      <c r="B8" t="s">
        <v>65</v>
      </c>
      <c r="C8" t="s">
        <v>47</v>
      </c>
      <c r="D8" t="s">
        <v>48</v>
      </c>
      <c r="E8" t="s">
        <v>66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15</v>
      </c>
      <c r="O8" t="s">
        <v>57</v>
      </c>
      <c r="P8">
        <v>281244</v>
      </c>
      <c r="Q8" t="s">
        <v>58</v>
      </c>
      <c r="R8" t="s">
        <v>59</v>
      </c>
      <c r="S8" t="s">
        <v>60</v>
      </c>
      <c r="T8">
        <v>0</v>
      </c>
      <c r="U8">
        <v>1</v>
      </c>
      <c r="V8" s="2">
        <v>4.1666666666666664E-2</v>
      </c>
      <c r="W8">
        <v>0</v>
      </c>
      <c r="AA8" t="s">
        <v>61</v>
      </c>
      <c r="AC8" t="s">
        <v>56</v>
      </c>
      <c r="AD8" t="s">
        <v>64</v>
      </c>
      <c r="AE8">
        <f t="shared" si="0"/>
        <v>8</v>
      </c>
      <c r="AF8" t="str">
        <f t="shared" si="1"/>
        <v>August</v>
      </c>
    </row>
    <row r="9" spans="1:32">
      <c r="A9" s="1">
        <v>45512</v>
      </c>
      <c r="B9" t="s">
        <v>65</v>
      </c>
      <c r="C9" t="s">
        <v>47</v>
      </c>
      <c r="D9" t="s">
        <v>48</v>
      </c>
      <c r="E9" t="s">
        <v>66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282408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C9" t="s">
        <v>56</v>
      </c>
      <c r="AD9" t="s">
        <v>64</v>
      </c>
      <c r="AE9">
        <f t="shared" si="0"/>
        <v>8</v>
      </c>
      <c r="AF9" t="str">
        <f t="shared" si="1"/>
        <v>August</v>
      </c>
    </row>
    <row r="10" spans="1:32">
      <c r="A10" s="1">
        <v>45488</v>
      </c>
      <c r="B10" t="s">
        <v>16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67</v>
      </c>
      <c r="O10" t="s">
        <v>57</v>
      </c>
      <c r="P10">
        <v>271389</v>
      </c>
      <c r="Q10" t="s">
        <v>13</v>
      </c>
      <c r="R10" t="s">
        <v>7</v>
      </c>
      <c r="S10" t="s">
        <v>60</v>
      </c>
      <c r="T10">
        <v>90</v>
      </c>
      <c r="U10">
        <v>1</v>
      </c>
      <c r="V10" s="2">
        <v>4.1666666666666664E-2</v>
      </c>
      <c r="W10">
        <v>90</v>
      </c>
      <c r="X10">
        <v>120</v>
      </c>
      <c r="Y10">
        <v>30</v>
      </c>
      <c r="Z10" t="s">
        <v>68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45490</v>
      </c>
      <c r="B11" t="s">
        <v>16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67</v>
      </c>
      <c r="O11" t="s">
        <v>57</v>
      </c>
      <c r="P11">
        <v>272303</v>
      </c>
      <c r="Q11" t="s">
        <v>13</v>
      </c>
      <c r="R11" t="s">
        <v>7</v>
      </c>
      <c r="S11" t="s">
        <v>60</v>
      </c>
      <c r="T11">
        <v>90</v>
      </c>
      <c r="U11">
        <v>2</v>
      </c>
      <c r="V11" s="2">
        <v>8.3333333333333329E-2</v>
      </c>
      <c r="W11">
        <v>180</v>
      </c>
      <c r="X11">
        <v>240</v>
      </c>
      <c r="Y11">
        <v>60</v>
      </c>
      <c r="Z11" t="s">
        <v>68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45492</v>
      </c>
      <c r="B12" t="s">
        <v>16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67</v>
      </c>
      <c r="O12" t="s">
        <v>57</v>
      </c>
      <c r="P12">
        <v>273578</v>
      </c>
      <c r="Q12" t="s">
        <v>13</v>
      </c>
      <c r="R12" t="s">
        <v>7</v>
      </c>
      <c r="S12" t="s">
        <v>60</v>
      </c>
      <c r="T12">
        <v>90</v>
      </c>
      <c r="U12">
        <v>2.5</v>
      </c>
      <c r="V12" s="2">
        <v>0.10416666666666667</v>
      </c>
      <c r="W12">
        <v>225</v>
      </c>
      <c r="X12">
        <v>300</v>
      </c>
      <c r="Y12">
        <v>75</v>
      </c>
      <c r="Z12" t="s">
        <v>68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45495</v>
      </c>
      <c r="B13" t="s">
        <v>16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67</v>
      </c>
      <c r="O13" t="s">
        <v>57</v>
      </c>
      <c r="P13">
        <v>274383</v>
      </c>
      <c r="Q13" t="s">
        <v>13</v>
      </c>
      <c r="R13" t="s">
        <v>7</v>
      </c>
      <c r="S13" t="s">
        <v>60</v>
      </c>
      <c r="T13">
        <v>90</v>
      </c>
      <c r="U13">
        <v>1.75</v>
      </c>
      <c r="V13" s="2">
        <v>7.2916666666666671E-2</v>
      </c>
      <c r="W13">
        <v>157.5</v>
      </c>
      <c r="X13">
        <v>210</v>
      </c>
      <c r="Y13">
        <v>52.5</v>
      </c>
      <c r="Z13" t="s">
        <v>68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45496</v>
      </c>
      <c r="B14" t="s">
        <v>16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67</v>
      </c>
      <c r="O14" t="s">
        <v>57</v>
      </c>
      <c r="P14">
        <v>274985</v>
      </c>
      <c r="Q14" t="s">
        <v>13</v>
      </c>
      <c r="R14" t="s">
        <v>7</v>
      </c>
      <c r="S14" t="s">
        <v>60</v>
      </c>
      <c r="T14">
        <v>90</v>
      </c>
      <c r="U14">
        <v>5.5</v>
      </c>
      <c r="V14" s="2">
        <v>0.22916666666666666</v>
      </c>
      <c r="W14">
        <v>495</v>
      </c>
      <c r="X14">
        <v>660</v>
      </c>
      <c r="Y14">
        <v>165</v>
      </c>
      <c r="Z14" t="s">
        <v>68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45497</v>
      </c>
      <c r="B15" t="s">
        <v>16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67</v>
      </c>
      <c r="O15" t="s">
        <v>57</v>
      </c>
      <c r="P15">
        <v>275607</v>
      </c>
      <c r="Q15" t="s">
        <v>13</v>
      </c>
      <c r="R15" t="s">
        <v>7</v>
      </c>
      <c r="S15" t="s">
        <v>60</v>
      </c>
      <c r="T15">
        <v>90</v>
      </c>
      <c r="U15">
        <v>6.5</v>
      </c>
      <c r="V15" s="2">
        <v>0.27083333333333331</v>
      </c>
      <c r="W15">
        <v>585</v>
      </c>
      <c r="X15">
        <v>780</v>
      </c>
      <c r="Y15">
        <v>195</v>
      </c>
      <c r="Z15" t="s">
        <v>68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7</v>
      </c>
      <c r="AF15" t="str">
        <f t="shared" si="1"/>
        <v>July</v>
      </c>
    </row>
    <row r="16" spans="1:32">
      <c r="A16" s="1">
        <v>45498</v>
      </c>
      <c r="B16" t="s">
        <v>16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67</v>
      </c>
      <c r="O16" t="s">
        <v>57</v>
      </c>
      <c r="P16">
        <v>276158</v>
      </c>
      <c r="Q16" t="s">
        <v>13</v>
      </c>
      <c r="R16" t="s">
        <v>7</v>
      </c>
      <c r="S16" t="s">
        <v>60</v>
      </c>
      <c r="T16">
        <v>90</v>
      </c>
      <c r="U16">
        <v>5.75</v>
      </c>
      <c r="V16" s="2">
        <v>0.23958333333333334</v>
      </c>
      <c r="W16">
        <v>517.5</v>
      </c>
      <c r="X16">
        <v>690</v>
      </c>
      <c r="Y16">
        <v>172.5</v>
      </c>
      <c r="Z16" t="s">
        <v>68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7</v>
      </c>
      <c r="AF16" t="str">
        <f t="shared" si="1"/>
        <v>July</v>
      </c>
    </row>
    <row r="17" spans="1:32">
      <c r="A17" s="1">
        <v>45499</v>
      </c>
      <c r="B17" t="s">
        <v>16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67</v>
      </c>
      <c r="O17" t="s">
        <v>57</v>
      </c>
      <c r="P17">
        <v>276159</v>
      </c>
      <c r="Q17" t="s">
        <v>13</v>
      </c>
      <c r="R17" t="s">
        <v>7</v>
      </c>
      <c r="S17" t="s">
        <v>60</v>
      </c>
      <c r="T17">
        <v>90</v>
      </c>
      <c r="U17">
        <v>1</v>
      </c>
      <c r="V17" s="2">
        <v>4.1666666666666664E-2</v>
      </c>
      <c r="W17">
        <v>90</v>
      </c>
      <c r="X17">
        <v>120</v>
      </c>
      <c r="Y17">
        <v>30</v>
      </c>
      <c r="Z17" t="s">
        <v>68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7</v>
      </c>
      <c r="AF17" t="str">
        <f t="shared" si="1"/>
        <v>July</v>
      </c>
    </row>
    <row r="18" spans="1:32">
      <c r="A18" s="1">
        <v>45502</v>
      </c>
      <c r="B18" t="s">
        <v>16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67</v>
      </c>
      <c r="O18" t="s">
        <v>57</v>
      </c>
      <c r="P18">
        <v>277686</v>
      </c>
      <c r="Q18" t="s">
        <v>13</v>
      </c>
      <c r="R18" t="s">
        <v>7</v>
      </c>
      <c r="S18" t="s">
        <v>60</v>
      </c>
      <c r="T18">
        <v>90</v>
      </c>
      <c r="U18">
        <v>3.5</v>
      </c>
      <c r="V18" s="2">
        <v>0.14583333333333334</v>
      </c>
      <c r="W18">
        <v>315</v>
      </c>
      <c r="X18">
        <v>420</v>
      </c>
      <c r="Y18">
        <v>105</v>
      </c>
      <c r="Z18" t="s">
        <v>68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7</v>
      </c>
      <c r="AF18" t="str">
        <f t="shared" si="1"/>
        <v>July</v>
      </c>
    </row>
    <row r="19" spans="1:32">
      <c r="A19" s="1">
        <v>45503</v>
      </c>
      <c r="B19" t="s">
        <v>16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67</v>
      </c>
      <c r="O19" t="s">
        <v>57</v>
      </c>
      <c r="P19">
        <v>278267</v>
      </c>
      <c r="Q19" t="s">
        <v>13</v>
      </c>
      <c r="R19" t="s">
        <v>7</v>
      </c>
      <c r="S19" t="s">
        <v>60</v>
      </c>
      <c r="T19">
        <v>90</v>
      </c>
      <c r="U19">
        <v>6</v>
      </c>
      <c r="V19" s="2">
        <v>0.25</v>
      </c>
      <c r="W19">
        <v>540</v>
      </c>
      <c r="X19">
        <v>720</v>
      </c>
      <c r="Y19">
        <v>180</v>
      </c>
      <c r="Z19" t="s">
        <v>68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45504</v>
      </c>
      <c r="B20" t="s">
        <v>16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67</v>
      </c>
      <c r="O20" t="s">
        <v>57</v>
      </c>
      <c r="P20">
        <v>279226</v>
      </c>
      <c r="Q20" t="s">
        <v>13</v>
      </c>
      <c r="R20" t="s">
        <v>7</v>
      </c>
      <c r="S20" t="s">
        <v>60</v>
      </c>
      <c r="T20">
        <v>90</v>
      </c>
      <c r="U20">
        <v>1.75</v>
      </c>
      <c r="V20" s="2">
        <v>7.2916666666666671E-2</v>
      </c>
      <c r="W20">
        <v>157.5</v>
      </c>
      <c r="X20">
        <v>210</v>
      </c>
      <c r="Y20">
        <v>52.5</v>
      </c>
      <c r="Z20" t="s">
        <v>68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45505</v>
      </c>
      <c r="B21" t="s">
        <v>16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67</v>
      </c>
      <c r="O21" t="s">
        <v>57</v>
      </c>
      <c r="P21">
        <v>280641</v>
      </c>
      <c r="Q21" t="s">
        <v>13</v>
      </c>
      <c r="R21" t="s">
        <v>7</v>
      </c>
      <c r="S21" t="s">
        <v>60</v>
      </c>
      <c r="T21">
        <v>90</v>
      </c>
      <c r="U21">
        <v>3.25</v>
      </c>
      <c r="V21" s="2">
        <v>0.13541666666666666</v>
      </c>
      <c r="W21">
        <v>292.5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8</v>
      </c>
      <c r="AF21" t="str">
        <f t="shared" si="1"/>
        <v>August</v>
      </c>
    </row>
    <row r="22" spans="1:32">
      <c r="A22" s="1">
        <v>45509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67</v>
      </c>
      <c r="O22" t="s">
        <v>57</v>
      </c>
      <c r="P22">
        <v>281211</v>
      </c>
      <c r="Q22" t="s">
        <v>13</v>
      </c>
      <c r="R22" t="s">
        <v>7</v>
      </c>
      <c r="S22" t="s">
        <v>60</v>
      </c>
      <c r="T22">
        <v>90</v>
      </c>
      <c r="U22">
        <v>5.25</v>
      </c>
      <c r="V22" s="2">
        <v>0.21875</v>
      </c>
      <c r="W22">
        <v>472.5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8</v>
      </c>
      <c r="AF22" t="str">
        <f t="shared" ref="AF22:AF29" si="3">IF(AE22=7,"July",IF(AE22=8,"August",IF(AE22=9,"September",IF(AE22=10,"October",IF(AE22=11,"November")))))</f>
        <v>August</v>
      </c>
    </row>
    <row r="23" spans="1:32">
      <c r="A23" s="1">
        <v>45510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67</v>
      </c>
      <c r="O23" t="s">
        <v>57</v>
      </c>
      <c r="P23">
        <v>281202</v>
      </c>
      <c r="Q23" t="s">
        <v>13</v>
      </c>
      <c r="R23" t="s">
        <v>7</v>
      </c>
      <c r="S23" t="s">
        <v>60</v>
      </c>
      <c r="T23">
        <v>90</v>
      </c>
      <c r="U23">
        <v>2</v>
      </c>
      <c r="V23" s="2">
        <v>8.3333333333333329E-2</v>
      </c>
      <c r="W23">
        <v>180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8</v>
      </c>
      <c r="AF23" t="str">
        <f t="shared" si="3"/>
        <v>August</v>
      </c>
    </row>
    <row r="24" spans="1:32">
      <c r="A24" s="1">
        <v>45511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67</v>
      </c>
      <c r="O24" t="s">
        <v>57</v>
      </c>
      <c r="P24">
        <v>281207</v>
      </c>
      <c r="Q24" t="s">
        <v>13</v>
      </c>
      <c r="R24" t="s">
        <v>7</v>
      </c>
      <c r="S24" t="s">
        <v>60</v>
      </c>
      <c r="T24">
        <v>90</v>
      </c>
      <c r="U24">
        <v>3.5</v>
      </c>
      <c r="V24" s="2">
        <v>0.14583333333333334</v>
      </c>
      <c r="W24">
        <v>315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8</v>
      </c>
      <c r="AF24" t="str">
        <f t="shared" si="3"/>
        <v>August</v>
      </c>
    </row>
    <row r="25" spans="1:32">
      <c r="A25" s="1">
        <v>45512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67</v>
      </c>
      <c r="O25" t="s">
        <v>57</v>
      </c>
      <c r="P25">
        <v>282661</v>
      </c>
      <c r="Q25" t="s">
        <v>13</v>
      </c>
      <c r="R25" t="s">
        <v>7</v>
      </c>
      <c r="S25" t="s">
        <v>60</v>
      </c>
      <c r="T25">
        <v>90</v>
      </c>
      <c r="U25">
        <v>1.5</v>
      </c>
      <c r="V25" s="2">
        <v>6.25E-2</v>
      </c>
      <c r="W25">
        <v>135</v>
      </c>
      <c r="AA25" t="s">
        <v>61</v>
      </c>
      <c r="AC25" t="s">
        <v>56</v>
      </c>
      <c r="AD25" t="s">
        <v>64</v>
      </c>
      <c r="AE25">
        <f t="shared" si="2"/>
        <v>8</v>
      </c>
      <c r="AF25" t="str">
        <f t="shared" si="3"/>
        <v>August</v>
      </c>
    </row>
    <row r="26" spans="1:32">
      <c r="A26" s="1">
        <v>45513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67</v>
      </c>
      <c r="O26" t="s">
        <v>57</v>
      </c>
      <c r="P26">
        <v>282916</v>
      </c>
      <c r="Q26" t="s">
        <v>13</v>
      </c>
      <c r="R26" t="s">
        <v>7</v>
      </c>
      <c r="S26" t="s">
        <v>60</v>
      </c>
      <c r="T26">
        <v>90</v>
      </c>
      <c r="U26">
        <v>7.5</v>
      </c>
      <c r="V26" s="2">
        <v>0.3125</v>
      </c>
      <c r="W26">
        <v>675</v>
      </c>
      <c r="AA26" t="s">
        <v>61</v>
      </c>
      <c r="AC26" t="s">
        <v>56</v>
      </c>
      <c r="AD26" t="s">
        <v>64</v>
      </c>
      <c r="AE26">
        <f t="shared" si="2"/>
        <v>8</v>
      </c>
      <c r="AF26" t="str">
        <f t="shared" si="3"/>
        <v>August</v>
      </c>
    </row>
    <row r="27" spans="1:32">
      <c r="A27" s="1">
        <v>45483</v>
      </c>
      <c r="B27" t="s">
        <v>15</v>
      </c>
      <c r="C27" t="s">
        <v>47</v>
      </c>
      <c r="D27" t="s">
        <v>48</v>
      </c>
      <c r="E27" t="s">
        <v>66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56</v>
      </c>
      <c r="O27" t="s">
        <v>57</v>
      </c>
      <c r="P27">
        <v>270729</v>
      </c>
      <c r="Q27" t="s">
        <v>13</v>
      </c>
      <c r="R27" t="s">
        <v>7</v>
      </c>
      <c r="S27" t="s">
        <v>60</v>
      </c>
      <c r="T27">
        <v>90</v>
      </c>
      <c r="U27">
        <v>0.5</v>
      </c>
      <c r="V27" s="2">
        <v>2.0833333333333332E-2</v>
      </c>
      <c r="W27">
        <v>45</v>
      </c>
      <c r="X27">
        <v>60</v>
      </c>
      <c r="Y27">
        <v>15</v>
      </c>
      <c r="Z27" t="s">
        <v>68</v>
      </c>
      <c r="AA27" t="s">
        <v>61</v>
      </c>
      <c r="AB27" t="s">
        <v>62</v>
      </c>
      <c r="AC27" t="s">
        <v>69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45495</v>
      </c>
      <c r="B28" t="s">
        <v>15</v>
      </c>
      <c r="C28" t="s">
        <v>47</v>
      </c>
      <c r="D28" t="s">
        <v>48</v>
      </c>
      <c r="E28" t="s">
        <v>66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56</v>
      </c>
      <c r="O28" t="s">
        <v>57</v>
      </c>
      <c r="P28">
        <v>277287</v>
      </c>
      <c r="Q28" t="s">
        <v>13</v>
      </c>
      <c r="R28" t="s">
        <v>7</v>
      </c>
      <c r="S28" t="s">
        <v>60</v>
      </c>
      <c r="T28">
        <v>90</v>
      </c>
      <c r="U28">
        <v>1</v>
      </c>
      <c r="V28" s="2">
        <v>4.1666666666666664E-2</v>
      </c>
      <c r="W28">
        <v>90</v>
      </c>
      <c r="X28">
        <v>120</v>
      </c>
      <c r="Y28">
        <v>30</v>
      </c>
      <c r="Z28" t="s">
        <v>68</v>
      </c>
      <c r="AA28" t="s">
        <v>61</v>
      </c>
      <c r="AB28" t="s">
        <v>62</v>
      </c>
      <c r="AC28" t="s">
        <v>70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45502</v>
      </c>
      <c r="B29" t="s">
        <v>15</v>
      </c>
      <c r="C29" t="s">
        <v>47</v>
      </c>
      <c r="D29" t="s">
        <v>48</v>
      </c>
      <c r="E29" t="s">
        <v>66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56</v>
      </c>
      <c r="O29" t="s">
        <v>57</v>
      </c>
      <c r="P29">
        <v>278847</v>
      </c>
      <c r="Q29" t="s">
        <v>13</v>
      </c>
      <c r="R29" t="s">
        <v>7</v>
      </c>
      <c r="S29" t="s">
        <v>60</v>
      </c>
      <c r="T29">
        <v>90</v>
      </c>
      <c r="U29">
        <v>1</v>
      </c>
      <c r="V29" s="2">
        <v>4.1666666666666664E-2</v>
      </c>
      <c r="W29">
        <v>90</v>
      </c>
      <c r="X29">
        <v>120</v>
      </c>
      <c r="Y29">
        <v>30</v>
      </c>
      <c r="Z29" t="s">
        <v>68</v>
      </c>
      <c r="AA29" t="s">
        <v>61</v>
      </c>
      <c r="AB29" t="s">
        <v>62</v>
      </c>
      <c r="AC29" t="s">
        <v>71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45503</v>
      </c>
      <c r="B30" t="s">
        <v>15</v>
      </c>
      <c r="C30" t="s">
        <v>47</v>
      </c>
      <c r="D30" t="s">
        <v>48</v>
      </c>
      <c r="E30" t="s">
        <v>66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56</v>
      </c>
      <c r="O30" t="s">
        <v>57</v>
      </c>
      <c r="P30">
        <v>278848</v>
      </c>
      <c r="Q30" t="s">
        <v>13</v>
      </c>
      <c r="R30" t="s">
        <v>7</v>
      </c>
      <c r="S30" t="s">
        <v>60</v>
      </c>
      <c r="T30">
        <v>90</v>
      </c>
      <c r="U30">
        <v>1</v>
      </c>
      <c r="V30" s="2">
        <v>4.1666666666666664E-2</v>
      </c>
      <c r="W30">
        <v>90</v>
      </c>
      <c r="X30">
        <v>120</v>
      </c>
      <c r="Y30">
        <v>30</v>
      </c>
      <c r="Z30" t="s">
        <v>68</v>
      </c>
      <c r="AA30" t="s">
        <v>61</v>
      </c>
      <c r="AB30" t="s">
        <v>62</v>
      </c>
      <c r="AC30" t="s">
        <v>72</v>
      </c>
      <c r="AD30" t="s">
        <v>64</v>
      </c>
      <c r="AE30">
        <f t="shared" ref="AE30:AE42" si="4">MONTH(A30)</f>
        <v>7</v>
      </c>
      <c r="AF30" t="str">
        <f t="shared" ref="AF30:AF42" si="5">IF(AE30=7,"July",IF(AE30=8,"August",IF(AE30=9,"September",IF(AE30=10,"October",IF(AE30=11,"November")))))</f>
        <v>July</v>
      </c>
    </row>
    <row r="31" spans="1:32">
      <c r="A31" s="1">
        <v>45504</v>
      </c>
      <c r="B31" t="s">
        <v>15</v>
      </c>
      <c r="C31" t="s">
        <v>47</v>
      </c>
      <c r="D31" t="s">
        <v>48</v>
      </c>
      <c r="E31" t="s">
        <v>66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56</v>
      </c>
      <c r="O31" t="s">
        <v>57</v>
      </c>
      <c r="P31">
        <v>278849</v>
      </c>
      <c r="Q31" t="s">
        <v>13</v>
      </c>
      <c r="R31" t="s">
        <v>7</v>
      </c>
      <c r="S31" t="s">
        <v>60</v>
      </c>
      <c r="T31">
        <v>90</v>
      </c>
      <c r="U31">
        <v>1</v>
      </c>
      <c r="V31" s="2">
        <v>4.1666666666666664E-2</v>
      </c>
      <c r="W31">
        <v>90</v>
      </c>
      <c r="X31">
        <v>120</v>
      </c>
      <c r="Y31">
        <v>30</v>
      </c>
      <c r="Z31" t="s">
        <v>68</v>
      </c>
      <c r="AA31" t="s">
        <v>61</v>
      </c>
      <c r="AB31" t="s">
        <v>62</v>
      </c>
      <c r="AC31" t="s">
        <v>73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45512</v>
      </c>
      <c r="B32" t="s">
        <v>15</v>
      </c>
      <c r="C32" t="s">
        <v>47</v>
      </c>
      <c r="D32" t="s">
        <v>48</v>
      </c>
      <c r="E32" t="s">
        <v>66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56</v>
      </c>
      <c r="O32" t="s">
        <v>57</v>
      </c>
      <c r="P32">
        <v>282977</v>
      </c>
      <c r="Q32" t="s">
        <v>13</v>
      </c>
      <c r="R32" t="s">
        <v>7</v>
      </c>
      <c r="S32" t="s">
        <v>60</v>
      </c>
      <c r="T32">
        <v>90</v>
      </c>
      <c r="U32">
        <v>1</v>
      </c>
      <c r="V32" s="2">
        <v>4.1666666666666664E-2</v>
      </c>
      <c r="W32">
        <v>90</v>
      </c>
      <c r="AA32" t="s">
        <v>61</v>
      </c>
      <c r="AC32" t="s">
        <v>74</v>
      </c>
      <c r="AD32" t="s">
        <v>64</v>
      </c>
      <c r="AE32">
        <f t="shared" si="4"/>
        <v>8</v>
      </c>
      <c r="AF32" t="str">
        <f t="shared" si="5"/>
        <v>August</v>
      </c>
    </row>
    <row r="33" spans="1:32">
      <c r="A33" s="1">
        <v>45488</v>
      </c>
      <c r="B33" t="s">
        <v>55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56</v>
      </c>
      <c r="O33" t="s">
        <v>57</v>
      </c>
      <c r="P33">
        <v>271457</v>
      </c>
      <c r="Q33" t="s">
        <v>58</v>
      </c>
      <c r="R33" t="s">
        <v>59</v>
      </c>
      <c r="S33" t="s">
        <v>60</v>
      </c>
      <c r="T33">
        <v>0</v>
      </c>
      <c r="U33">
        <v>1</v>
      </c>
      <c r="V33" s="2">
        <v>4.1666666666666664E-2</v>
      </c>
      <c r="W33">
        <v>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7</v>
      </c>
      <c r="AF33" t="str">
        <f t="shared" si="5"/>
        <v>July</v>
      </c>
    </row>
    <row r="34" spans="1:32">
      <c r="A34" s="1">
        <v>45489</v>
      </c>
      <c r="B34" t="s">
        <v>55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56</v>
      </c>
      <c r="O34" t="s">
        <v>57</v>
      </c>
      <c r="P34">
        <v>271998</v>
      </c>
      <c r="Q34" t="s">
        <v>58</v>
      </c>
      <c r="R34" t="s">
        <v>59</v>
      </c>
      <c r="S34" t="s">
        <v>60</v>
      </c>
      <c r="T34">
        <v>0</v>
      </c>
      <c r="U34">
        <v>0.75</v>
      </c>
      <c r="V34" s="2">
        <v>3.125E-2</v>
      </c>
      <c r="W34">
        <v>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7</v>
      </c>
      <c r="AF34" t="str">
        <f t="shared" si="5"/>
        <v>July</v>
      </c>
    </row>
    <row r="35" spans="1:32">
      <c r="A35" s="1">
        <v>45490</v>
      </c>
      <c r="B35" t="s">
        <v>55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56</v>
      </c>
      <c r="O35" t="s">
        <v>57</v>
      </c>
      <c r="P35">
        <v>272503</v>
      </c>
      <c r="Q35" t="s">
        <v>58</v>
      </c>
      <c r="R35" t="s">
        <v>59</v>
      </c>
      <c r="S35" t="s">
        <v>60</v>
      </c>
      <c r="T35">
        <v>0</v>
      </c>
      <c r="U35">
        <v>0.75</v>
      </c>
      <c r="V35" s="2">
        <v>3.125E-2</v>
      </c>
      <c r="W35">
        <v>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7</v>
      </c>
      <c r="AF35" t="str">
        <f t="shared" si="5"/>
        <v>July</v>
      </c>
    </row>
    <row r="36" spans="1:32">
      <c r="A36" s="1">
        <v>45491</v>
      </c>
      <c r="B36" t="s">
        <v>55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56</v>
      </c>
      <c r="O36" t="s">
        <v>57</v>
      </c>
      <c r="P36">
        <v>273045</v>
      </c>
      <c r="Q36" t="s">
        <v>58</v>
      </c>
      <c r="R36" t="s">
        <v>59</v>
      </c>
      <c r="S36" t="s">
        <v>60</v>
      </c>
      <c r="T36">
        <v>0</v>
      </c>
      <c r="U36">
        <v>1</v>
      </c>
      <c r="V36" s="2">
        <v>4.1666666666666664E-2</v>
      </c>
      <c r="W36">
        <v>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7</v>
      </c>
      <c r="AF36" t="str">
        <f t="shared" si="5"/>
        <v>July</v>
      </c>
    </row>
    <row r="37" spans="1:32">
      <c r="A37" s="1">
        <v>45495</v>
      </c>
      <c r="B37" t="s">
        <v>55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56</v>
      </c>
      <c r="O37" t="s">
        <v>57</v>
      </c>
      <c r="P37">
        <v>274620</v>
      </c>
      <c r="Q37" t="s">
        <v>58</v>
      </c>
      <c r="R37" t="s">
        <v>59</v>
      </c>
      <c r="S37" t="s">
        <v>60</v>
      </c>
      <c r="T37">
        <v>0</v>
      </c>
      <c r="U37">
        <v>1</v>
      </c>
      <c r="V37" s="2">
        <v>4.1666666666666664E-2</v>
      </c>
      <c r="W37">
        <v>0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7</v>
      </c>
      <c r="AF37" t="str">
        <f t="shared" si="5"/>
        <v>July</v>
      </c>
    </row>
    <row r="38" spans="1:32">
      <c r="A38" s="1">
        <v>45496</v>
      </c>
      <c r="B38" t="s">
        <v>55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56</v>
      </c>
      <c r="O38" t="s">
        <v>57</v>
      </c>
      <c r="P38">
        <v>274612</v>
      </c>
      <c r="Q38" t="s">
        <v>58</v>
      </c>
      <c r="R38" t="s">
        <v>59</v>
      </c>
      <c r="S38" t="s">
        <v>60</v>
      </c>
      <c r="T38">
        <v>0</v>
      </c>
      <c r="U38">
        <v>0.25</v>
      </c>
      <c r="V38" s="2">
        <v>1.0416666666666666E-2</v>
      </c>
      <c r="W38">
        <v>0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7</v>
      </c>
      <c r="AF38" t="str">
        <f t="shared" si="5"/>
        <v>July</v>
      </c>
    </row>
    <row r="39" spans="1:32">
      <c r="A39" s="1">
        <v>45509</v>
      </c>
      <c r="B39" t="s">
        <v>55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56</v>
      </c>
      <c r="O39" t="s">
        <v>57</v>
      </c>
      <c r="P39">
        <v>281279</v>
      </c>
      <c r="Q39" t="s">
        <v>58</v>
      </c>
      <c r="R39" t="s">
        <v>59</v>
      </c>
      <c r="S39" t="s">
        <v>60</v>
      </c>
      <c r="T39">
        <v>0</v>
      </c>
      <c r="U39">
        <v>0.25</v>
      </c>
      <c r="V39" s="2">
        <v>1.0416666666666666E-2</v>
      </c>
      <c r="W39">
        <v>0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45510</v>
      </c>
      <c r="B40" t="s">
        <v>55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56</v>
      </c>
      <c r="O40" t="s">
        <v>57</v>
      </c>
      <c r="P40">
        <v>281586</v>
      </c>
      <c r="Q40" t="s">
        <v>58</v>
      </c>
      <c r="R40" t="s">
        <v>59</v>
      </c>
      <c r="S40" t="s">
        <v>60</v>
      </c>
      <c r="T40">
        <v>0</v>
      </c>
      <c r="U40">
        <v>0.5</v>
      </c>
      <c r="V40" s="2">
        <v>2.0833333333333332E-2</v>
      </c>
      <c r="W40">
        <v>0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45511</v>
      </c>
      <c r="B41" t="s">
        <v>55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56</v>
      </c>
      <c r="O41" t="s">
        <v>57</v>
      </c>
      <c r="P41">
        <v>282186</v>
      </c>
      <c r="Q41" t="s">
        <v>58</v>
      </c>
      <c r="R41" t="s">
        <v>59</v>
      </c>
      <c r="S41" t="s">
        <v>60</v>
      </c>
      <c r="T41">
        <v>0</v>
      </c>
      <c r="U41">
        <v>0.5</v>
      </c>
      <c r="V41" s="2">
        <v>2.0833333333333332E-2</v>
      </c>
      <c r="W41">
        <v>0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45512</v>
      </c>
      <c r="B42" t="s">
        <v>55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56</v>
      </c>
      <c r="O42" t="s">
        <v>57</v>
      </c>
      <c r="P42">
        <v>282606</v>
      </c>
      <c r="Q42" t="s">
        <v>58</v>
      </c>
      <c r="R42" t="s">
        <v>59</v>
      </c>
      <c r="S42" t="s">
        <v>60</v>
      </c>
      <c r="T42">
        <v>0</v>
      </c>
      <c r="U42">
        <v>0.5</v>
      </c>
      <c r="V42" s="2">
        <v>2.0833333333333332E-2</v>
      </c>
      <c r="W42">
        <v>0</v>
      </c>
      <c r="AA42" t="s">
        <v>61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/>
      <c r="V43" s="2"/>
    </row>
    <row r="44" spans="1:32">
      <c r="A44" s="1"/>
      <c r="V44" s="2"/>
    </row>
    <row r="45" spans="1:32">
      <c r="A45" s="1"/>
      <c r="V45" s="2"/>
    </row>
    <row r="46" spans="1:32">
      <c r="A46" s="1"/>
      <c r="V46" s="2"/>
    </row>
    <row r="47" spans="1:32">
      <c r="A47" s="1"/>
      <c r="V47" s="2"/>
    </row>
    <row r="48" spans="1:3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U72" s="10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380B1AF-5F25-4C2A-8AC3-0B5DAF262814}"/>
</file>

<file path=customXml/itemProps2.xml><?xml version="1.0" encoding="utf-8"?>
<ds:datastoreItem xmlns:ds="http://schemas.openxmlformats.org/officeDocument/2006/customXml" ds:itemID="{7A45C15F-3298-406B-A772-97FF242DA7B2}"/>
</file>

<file path=customXml/itemProps3.xml><?xml version="1.0" encoding="utf-8"?>
<ds:datastoreItem xmlns:ds="http://schemas.openxmlformats.org/officeDocument/2006/customXml" ds:itemID="{8CEEB3D2-E980-4B55-97B4-052BFD5D6AB8}"/>
</file>

<file path=customXml/itemProps4.xml><?xml version="1.0" encoding="utf-8"?>
<ds:datastoreItem xmlns:ds="http://schemas.openxmlformats.org/officeDocument/2006/customXml" ds:itemID="{AE6E0765-EDDF-4CB9-ADDC-69AB48767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2024-08-12T14:50:01Z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