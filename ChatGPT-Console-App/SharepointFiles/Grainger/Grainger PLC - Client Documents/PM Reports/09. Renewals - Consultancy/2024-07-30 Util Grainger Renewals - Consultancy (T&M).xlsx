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66" documentId="13_ncr:40009_{BBCEBA60-E38F-4EE1-BDB9-DA93CE793831}" xr6:coauthVersionLast="47" xr6:coauthVersionMax="47" xr10:uidLastSave="{40A200C3-4B8C-42D2-BACD-D22A2BD387D8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7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2" i="2"/>
  <c r="AE3" i="1"/>
  <c r="AF3" i="1"/>
  <c r="AE4" i="1"/>
  <c r="AF4" i="1" s="1"/>
  <c r="AE5" i="1"/>
  <c r="AF5" i="1"/>
  <c r="AE6" i="1"/>
  <c r="AF6" i="1"/>
  <c r="AE7" i="1"/>
  <c r="AF7" i="1"/>
  <c r="AE8" i="1"/>
  <c r="AF8" i="1"/>
  <c r="AE9" i="1"/>
  <c r="AF9" i="1"/>
  <c r="AE10" i="1"/>
  <c r="AF10" i="1" s="1"/>
  <c r="AE11" i="1"/>
  <c r="AF11" i="1"/>
  <c r="AE12" i="1"/>
  <c r="AF12" i="1"/>
  <c r="AE13" i="1"/>
  <c r="AF13" i="1"/>
  <c r="AE14" i="1"/>
  <c r="AF14" i="1"/>
  <c r="AE15" i="1"/>
  <c r="AF15" i="1"/>
  <c r="AE16" i="1"/>
  <c r="AF16" i="1" s="1"/>
  <c r="AE17" i="1"/>
  <c r="AF17" i="1"/>
  <c r="AE18" i="1"/>
  <c r="AF18" i="1"/>
  <c r="AE19" i="1"/>
  <c r="AF19" i="1"/>
  <c r="AE20" i="1"/>
  <c r="AF20" i="1"/>
  <c r="AE21" i="1"/>
  <c r="AF21" i="1"/>
  <c r="AE2" i="1"/>
  <c r="AF2" i="1" s="1"/>
</calcChain>
</file>

<file path=xl/sharedStrings.xml><?xml version="1.0" encoding="utf-8"?>
<sst xmlns="http://schemas.openxmlformats.org/spreadsheetml/2006/main" count="470" uniqueCount="68">
  <si>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</si>
  <si>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</si>
  <si>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</si>
  <si>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</si>
  <si>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</si>
  <si>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</si>
  <si>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</si>
  <si>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</si>
  <si>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</si>
  <si>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</si>
  <si>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</si>
  <si>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</si>
  <si>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</si>
  <si>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</si>
  <si>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Grand Total</t>
  </si>
  <si>
    <t>Sam Duncan</t>
  </si>
  <si>
    <t>Nikki Papenfus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</si>
  <si>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</si>
  <si>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</si>
  <si>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</si>
  <si>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</si>
  <si>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</si>
  <si>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</si>
  <si>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</si>
  <si>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</si>
  <si>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</si>
  <si>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</si>
  <si>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</si>
  <si>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</si>
  <si>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</si>
  <si>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</si>
  <si>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</si>
  <si>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</si>
  <si>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</si>
  <si>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</si>
  <si>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</si>
  <si>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</si>
  <si>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</si>
  <si>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</si>
  <si>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</si>
  <si>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</si>
  <si>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</si>
  <si>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</si>
  <si>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</si>
  <si>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</si>
  <si>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</si>
  <si>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Jacob Smycz</t>
  </si>
  <si>
    <t>Salaried / Fixed</t>
  </si>
  <si>
    <t>Open Box Software (Pty) Ltd (Open Box SA)</t>
  </si>
  <si>
    <t>Salesforce</t>
  </si>
  <si>
    <t>SA</t>
  </si>
  <si>
    <t>Grainger PLC</t>
  </si>
  <si>
    <t>OB-000677</t>
  </si>
  <si>
    <t>Renewals - Consultancy (T&amp;M)</t>
  </si>
  <si>
    <t>Billable</t>
  </si>
  <si>
    <t>Shaun Barrett</t>
  </si>
  <si>
    <t>Delivery</t>
  </si>
  <si>
    <t>Assistance (Non-Billable)</t>
  </si>
  <si>
    <t>Non-billable timecode</t>
  </si>
  <si>
    <t>Standard Timecode</t>
  </si>
  <si>
    <t>GBP</t>
  </si>
  <si>
    <t>Reviewed</t>
  </si>
  <si>
    <t xml:space="preserve"> </t>
  </si>
  <si>
    <t>Not submitted</t>
  </si>
  <si>
    <t>Custom Software</t>
  </si>
  <si>
    <t>Andrew Pollock</t>
  </si>
  <si>
    <t>Kickoff call</t>
  </si>
  <si>
    <t>Meeting with Nikki &amp; Grainger renewals team (1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</si>
</sst>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6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quotePrefix="1"/>
    <xf numFmtId="0" fontId="21" fillId="0" borderId="0" xfId="0" applyFont="1"/>
    <xf numFmtId="0" fontId="21" fillId="0" borderId="0" xfId="0" applyFont="1" applyAlignment="1">
      <alignment wrapText="1"/>
    </xf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6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03.396666203706" createdVersion="8" refreshedVersion="8" minRefreshableVersion="3" recordCount="20" xr:uid="{3E5F96D6-39C5-4E9A-9E62-086EFA87A9B3}">
  <cacheSource type="worksheet">
    <worksheetSource ref="A1:AF21" sheet="Project Timesheets"/>
  </cacheSource>
  <cacheFields count="32">
    <cacheField name="Date" numFmtId="15">
      <sharedItems containsSemiMixedTypes="0" containsNonDate="0" containsDate="1" containsString="0" minDate="2024-07-10T00:00:00" maxDate="2024-07-30T00:00:00"/>
    </cacheField>
    <cacheField name="Person" numFmtId="0">
      <sharedItems count="4"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277686"/>
    </cacheField>
    <cacheField name="Timecode Name" numFmtId="0">
      <sharedItems count="2">
        <s v="Assistance (Non-Billable)"/>
        <s v="Consultanc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6.5"/>
    </cacheField>
    <cacheField name="Time" numFmtId="20">
      <sharedItems containsSemiMixedTypes="0" containsNonDate="0" containsDate="1" containsString="0" minDate="1899-12-30T00:15:00" maxDate="1899-12-30T06:30:00"/>
    </cacheField>
    <cacheField name="Worked Amount" numFmtId="0">
      <sharedItems containsSemiMixedTypes="0" containsString="0" containsNumber="1" minValue="0" maxValue="58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7"/>
    </cacheField>
    <cacheField name="Month" numFmtId="0">
      <sharedItems count="1">
        <s v="Ju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4-07-22T00:00:00"/>
    <x v="0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4T00:00:00"/>
    <x v="0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9T00:00:00"/>
    <x v="0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5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1"/>
    <x v="1"/>
    <s v="Standard Timecode"/>
    <n v="90"/>
    <n v="1"/>
    <d v="1899-12-30T01:00:00"/>
    <n v="90"/>
    <m/>
    <m/>
    <m/>
    <s v="GBP"/>
    <s v="Reviewed"/>
    <s v=" "/>
    <s v="Not submitted"/>
    <n v="7"/>
    <x v="0"/>
  </r>
  <r>
    <d v="2024-07-17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1"/>
    <x v="1"/>
    <s v="Standard Timecode"/>
    <n v="90"/>
    <n v="2"/>
    <d v="1899-12-30T02:00:00"/>
    <n v="180"/>
    <m/>
    <m/>
    <m/>
    <s v="GBP"/>
    <s v="Reviewed"/>
    <s v=" "/>
    <s v="Not submitted"/>
    <n v="7"/>
    <x v="0"/>
  </r>
  <r>
    <d v="2024-07-19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1"/>
    <x v="1"/>
    <s v="Standard Timecode"/>
    <n v="90"/>
    <n v="2.5"/>
    <d v="1899-12-30T02:30:00"/>
    <n v="225"/>
    <m/>
    <m/>
    <m/>
    <s v="GBP"/>
    <s v="Reviewed"/>
    <s v=" "/>
    <s v="Not submitted"/>
    <n v="7"/>
    <x v="0"/>
  </r>
  <r>
    <d v="2024-07-22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1"/>
    <x v="1"/>
    <s v="Standard Timecode"/>
    <n v="90"/>
    <n v="1.75"/>
    <d v="1899-12-30T01:45:00"/>
    <n v="157.5"/>
    <m/>
    <m/>
    <m/>
    <s v="GBP"/>
    <s v="Reviewed"/>
    <s v=" "/>
    <s v="Not submitted"/>
    <n v="7"/>
    <x v="0"/>
  </r>
  <r>
    <d v="2024-07-23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1"/>
    <x v="1"/>
    <s v="Standard Timecode"/>
    <n v="90"/>
    <n v="5.5"/>
    <d v="1899-12-30T05:30:00"/>
    <n v="495"/>
    <m/>
    <m/>
    <m/>
    <s v="GBP"/>
    <s v="Reviewed"/>
    <s v=" "/>
    <s v="Not submitted"/>
    <n v="7"/>
    <x v="0"/>
  </r>
  <r>
    <d v="2024-07-24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1"/>
    <x v="1"/>
    <s v="Standard Timecode"/>
    <n v="90"/>
    <n v="6.5"/>
    <d v="1899-12-30T06:30:00"/>
    <n v="585"/>
    <m/>
    <m/>
    <m/>
    <s v="GBP"/>
    <s v="Reviewed"/>
    <s v=" "/>
    <s v="Not submitted"/>
    <n v="7"/>
    <x v="0"/>
  </r>
  <r>
    <d v="2024-07-25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1"/>
    <x v="1"/>
    <s v="Standard Timecode"/>
    <n v="90"/>
    <n v="5.75"/>
    <d v="1899-12-30T05:45:00"/>
    <n v="517.5"/>
    <m/>
    <m/>
    <m/>
    <s v="GBP"/>
    <s v="Reviewed"/>
    <s v=" "/>
    <s v="Not submitted"/>
    <n v="7"/>
    <x v="0"/>
  </r>
  <r>
    <d v="2024-07-26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1"/>
    <x v="1"/>
    <s v="Standard Timecode"/>
    <n v="90"/>
    <n v="1"/>
    <d v="1899-12-30T01:00:00"/>
    <n v="90"/>
    <m/>
    <m/>
    <m/>
    <s v="GBP"/>
    <s v="Reviewed"/>
    <s v=" "/>
    <s v="Not submitted"/>
    <n v="7"/>
    <x v="0"/>
  </r>
  <r>
    <d v="2024-07-29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1"/>
    <x v="1"/>
    <s v="Standard Timecode"/>
    <n v="90"/>
    <n v="3.5"/>
    <d v="1899-12-30T03:30:00"/>
    <n v="315"/>
    <m/>
    <m/>
    <m/>
    <s v="GBP"/>
    <s v="Reviewed"/>
    <s v=" "/>
    <s v="Not submitted"/>
    <n v="7"/>
    <x v="0"/>
  </r>
  <r>
    <d v="2024-07-10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1"/>
    <x v="1"/>
    <s v="Standard Timecode"/>
    <n v="90"/>
    <n v="0.5"/>
    <d v="1899-12-30T00:30:00"/>
    <n v="45"/>
    <m/>
    <m/>
    <m/>
    <s v="GBP"/>
    <s v="Reviewed"/>
    <s v="Kickoff call"/>
    <s v="Not submitted"/>
    <n v="7"/>
    <x v="0"/>
  </r>
  <r>
    <d v="2024-07-22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1"/>
    <x v="1"/>
    <s v="Standard Timecode"/>
    <n v="90"/>
    <n v="1"/>
    <d v="1899-12-30T01:00:00"/>
    <n v="90"/>
    <m/>
    <m/>
    <m/>
    <s v="GBP"/>
    <s v="Reviewed"/>
    <s v="Meeting with Nikki &amp; Grainger renewals team (1 hour)"/>
    <s v="Not submitted"/>
    <n v="7"/>
    <x v="0"/>
  </r>
  <r>
    <d v="2024-07-15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8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2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0"/>
    <x v="0"/>
    <s v="Standard Timecode"/>
    <n v="0"/>
    <n v="0.25"/>
    <d v="1899-12-30T00:15:00"/>
    <n v="0"/>
    <m/>
    <m/>
    <m/>
    <s v="GBP"/>
    <s v="Reviewed"/>
    <s v=" "/>
    <s v="Not submitted"/>
    <n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BD178-9867-4BE6-817A-F59EB55D89CE}" name="PivotTable1" cacheId="7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40.28515625" customWidth="1"/>
    <col min="9" max="10" width="22" customWidth="1"/>
    <col min="11" max="11" width="21.5703125" customWidth="1"/>
    <col min="12" max="12" width="21.28515625" customWidth="1"/>
  </cols>
  <sheetData>
    <row r="1" spans="1:12" ht="15.75">
      <c r="A1" s="4" t="s">
        <v>0</v>
      </c>
      <c r="B1" t="s">
        <v>1</v>
      </c>
      <c r="D1" s="6" t="s">
        <v>2</v>
      </c>
      <c r="H1" s="13" t="s">
        <v>3</v>
      </c>
      <c r="I1" s="14" t="s">
        <v>4</v>
      </c>
      <c r="J1" s="14" t="s">
        <v>5</v>
      </c>
      <c r="L1" s="11"/>
    </row>
    <row r="2" spans="1:12" ht="15.75">
      <c r="A2" s="4" t="s">
        <v>6</v>
      </c>
      <c r="B2" t="s">
        <v>7</v>
      </c>
      <c r="H2" s="15" t="s">
        <v>8</v>
      </c>
      <c r="I2" s="16">
        <v>250</v>
      </c>
      <c r="J2" s="17">
        <f>I2*120</f>
        <v>30000</v>
      </c>
      <c r="L2" s="11"/>
    </row>
    <row r="3" spans="1:12" ht="15.75">
      <c r="C3"/>
      <c r="G3" s="7"/>
      <c r="H3" s="15" t="s">
        <v>9</v>
      </c>
      <c r="I3" s="16">
        <v>350</v>
      </c>
      <c r="J3" s="17">
        <f>I3*120</f>
        <v>42000</v>
      </c>
      <c r="L3" s="11"/>
    </row>
    <row r="4" spans="1:12" ht="15.75">
      <c r="A4" s="4" t="s">
        <v>10</v>
      </c>
      <c r="B4" s="4" t="s">
        <v>11</v>
      </c>
      <c r="L4" s="11"/>
    </row>
    <row r="5" spans="1:12" ht="15.75">
      <c r="A5" s="4" t="s">
        <v>12</v>
      </c>
      <c r="B5" t="s">
        <v>13</v>
      </c>
      <c r="C5" t="s">
        <v>14</v>
      </c>
      <c r="L5" s="11"/>
    </row>
    <row r="6" spans="1:12" ht="15.75">
      <c r="A6" s="5" t="s">
        <v>15</v>
      </c>
      <c r="B6" s="9">
        <v>1.5</v>
      </c>
      <c r="C6" s="9">
        <v>1.5</v>
      </c>
      <c r="L6" s="11"/>
    </row>
    <row r="7" spans="1:12" ht="15.75">
      <c r="A7" s="5" t="s">
        <v>16</v>
      </c>
      <c r="B7" s="9">
        <v>29.5</v>
      </c>
      <c r="C7" s="9">
        <v>29.5</v>
      </c>
      <c r="L7" s="11"/>
    </row>
    <row r="8" spans="1:12" ht="15.75">
      <c r="A8" s="5" t="s">
        <v>14</v>
      </c>
      <c r="B8" s="9">
        <v>31</v>
      </c>
      <c r="C8" s="9">
        <v>31</v>
      </c>
      <c r="H8" s="12"/>
      <c r="I8" s="11"/>
      <c r="J8" s="11"/>
      <c r="K8" s="11"/>
      <c r="L8" s="11"/>
    </row>
    <row r="9" spans="1:12" ht="15">
      <c r="C9"/>
    </row>
    <row r="10" spans="1:12" ht="15">
      <c r="C10"/>
    </row>
    <row r="11" spans="1:12" ht="15">
      <c r="C11"/>
    </row>
    <row r="12" spans="1:12" ht="15">
      <c r="C12"/>
    </row>
    <row r="13" spans="1:12" ht="15">
      <c r="C13"/>
    </row>
    <row r="14" spans="1:12" ht="15">
      <c r="C14"/>
    </row>
    <row r="15" spans="1:12" ht="15">
      <c r="C15"/>
    </row>
    <row r="16" spans="1:12" ht="15">
      <c r="C16"/>
    </row>
    <row r="17" spans="3:12" ht="15.75">
      <c r="C17"/>
      <c r="H17" s="12"/>
      <c r="I17" s="11"/>
      <c r="J17" s="11"/>
      <c r="K17" s="11"/>
      <c r="L17" s="11"/>
    </row>
    <row r="18" spans="3:12" ht="15"/>
    <row r="19" spans="3:12" ht="15"/>
    <row r="20" spans="3:12" ht="15"/>
    <row r="21" spans="3:12" ht="15"/>
    <row r="22" spans="3:12" ht="15"/>
    <row r="23" spans="3:12" ht="15"/>
    <row r="24" spans="3:12" ht="15"/>
    <row r="25" spans="3:12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21" activePane="bottomLeft" state="frozen"/>
      <selection pane="bottomLeft"/>
    </sheetView>
  </sheetViews>
  <sheetFormatPr defaultRowHeight="14.45"/>
  <sheetData>
    <row r="1" spans="1:3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6</v>
      </c>
      <c r="S1" t="s">
        <v>34</v>
      </c>
      <c r="T1" t="s">
        <v>35</v>
      </c>
      <c r="U1" t="s">
        <v>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>
      <c r="A2" s="1">
        <v>45495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48</v>
      </c>
      <c r="L2" t="s">
        <v>55</v>
      </c>
      <c r="M2" t="s">
        <v>15</v>
      </c>
      <c r="N2" t="s">
        <v>15</v>
      </c>
      <c r="O2" t="s">
        <v>56</v>
      </c>
      <c r="P2">
        <v>274226</v>
      </c>
      <c r="Q2" t="s">
        <v>57</v>
      </c>
      <c r="R2" t="s">
        <v>58</v>
      </c>
      <c r="S2" t="s">
        <v>59</v>
      </c>
      <c r="T2">
        <v>0</v>
      </c>
      <c r="U2">
        <v>1</v>
      </c>
      <c r="V2" s="2">
        <v>4.1666666666666664E-2</v>
      </c>
      <c r="W2">
        <v>0</v>
      </c>
      <c r="AA2" t="s">
        <v>60</v>
      </c>
      <c r="AB2" t="s">
        <v>61</v>
      </c>
      <c r="AC2" t="s">
        <v>62</v>
      </c>
      <c r="AD2" t="s">
        <v>63</v>
      </c>
      <c r="AE2">
        <f>MONTH(A2)</f>
        <v>7</v>
      </c>
      <c r="AF2" t="str">
        <f>IF(AE2=7,"July",IF(AE2=8,"August",IF(AE2=9,"September",IF(AE2=10,"October",IF(AE2=11,"November")))))</f>
        <v>July</v>
      </c>
    </row>
    <row r="3" spans="1:32">
      <c r="A3" s="1">
        <v>45497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48</v>
      </c>
      <c r="L3" t="s">
        <v>55</v>
      </c>
      <c r="M3" t="s">
        <v>15</v>
      </c>
      <c r="N3" t="s">
        <v>15</v>
      </c>
      <c r="O3" t="s">
        <v>56</v>
      </c>
      <c r="P3">
        <v>275372</v>
      </c>
      <c r="Q3" t="s">
        <v>57</v>
      </c>
      <c r="R3" t="s">
        <v>58</v>
      </c>
      <c r="S3" t="s">
        <v>59</v>
      </c>
      <c r="T3">
        <v>0</v>
      </c>
      <c r="U3">
        <v>1</v>
      </c>
      <c r="V3" s="2">
        <v>4.1666666666666664E-2</v>
      </c>
      <c r="W3">
        <v>0</v>
      </c>
      <c r="AA3" t="s">
        <v>60</v>
      </c>
      <c r="AB3" t="s">
        <v>61</v>
      </c>
      <c r="AC3" t="s">
        <v>62</v>
      </c>
      <c r="AD3" t="s">
        <v>63</v>
      </c>
      <c r="AE3">
        <f t="shared" ref="AE3:AE21" si="0">MONTH(A3)</f>
        <v>7</v>
      </c>
      <c r="AF3" t="str">
        <f t="shared" ref="AF3:AF21" si="1">IF(AE3=7,"July",IF(AE3=8,"August",IF(AE3=9,"September",IF(AE3=10,"October",IF(AE3=11,"November")))))</f>
        <v>July</v>
      </c>
    </row>
    <row r="4" spans="1:32">
      <c r="A4" s="1">
        <v>45502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15</v>
      </c>
      <c r="N4" t="s">
        <v>15</v>
      </c>
      <c r="O4" t="s">
        <v>56</v>
      </c>
      <c r="P4">
        <v>277480</v>
      </c>
      <c r="Q4" t="s">
        <v>57</v>
      </c>
      <c r="R4" t="s">
        <v>58</v>
      </c>
      <c r="S4" t="s">
        <v>59</v>
      </c>
      <c r="T4">
        <v>0</v>
      </c>
      <c r="U4">
        <v>1</v>
      </c>
      <c r="V4" s="2">
        <v>4.1666666666666664E-2</v>
      </c>
      <c r="W4">
        <v>0</v>
      </c>
      <c r="AA4" t="s">
        <v>60</v>
      </c>
      <c r="AB4" t="s">
        <v>61</v>
      </c>
      <c r="AC4" t="s">
        <v>62</v>
      </c>
      <c r="AD4" t="s">
        <v>63</v>
      </c>
      <c r="AE4">
        <f t="shared" si="0"/>
        <v>7</v>
      </c>
      <c r="AF4" t="str">
        <f t="shared" si="1"/>
        <v>July</v>
      </c>
    </row>
    <row r="5" spans="1:32">
      <c r="A5" s="1">
        <v>45488</v>
      </c>
      <c r="B5" t="s">
        <v>16</v>
      </c>
      <c r="C5" t="s">
        <v>47</v>
      </c>
      <c r="D5" t="s">
        <v>48</v>
      </c>
      <c r="E5" t="s">
        <v>64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48</v>
      </c>
      <c r="L5" t="s">
        <v>55</v>
      </c>
      <c r="M5" t="s">
        <v>15</v>
      </c>
      <c r="N5" t="s">
        <v>65</v>
      </c>
      <c r="O5" t="s">
        <v>56</v>
      </c>
      <c r="P5">
        <v>271389</v>
      </c>
      <c r="Q5" t="s">
        <v>13</v>
      </c>
      <c r="R5" t="s">
        <v>7</v>
      </c>
      <c r="S5" t="s">
        <v>59</v>
      </c>
      <c r="T5">
        <v>90</v>
      </c>
      <c r="U5">
        <v>1</v>
      </c>
      <c r="V5" s="2">
        <v>4.1666666666666664E-2</v>
      </c>
      <c r="W5">
        <v>90</v>
      </c>
      <c r="AA5" t="s">
        <v>60</v>
      </c>
      <c r="AB5" t="s">
        <v>61</v>
      </c>
      <c r="AC5" t="s">
        <v>62</v>
      </c>
      <c r="AD5" t="s">
        <v>63</v>
      </c>
      <c r="AE5">
        <f t="shared" si="0"/>
        <v>7</v>
      </c>
      <c r="AF5" t="str">
        <f t="shared" si="1"/>
        <v>July</v>
      </c>
    </row>
    <row r="6" spans="1:32">
      <c r="A6" s="1">
        <v>45490</v>
      </c>
      <c r="B6" t="s">
        <v>16</v>
      </c>
      <c r="C6" t="s">
        <v>47</v>
      </c>
      <c r="D6" t="s">
        <v>48</v>
      </c>
      <c r="E6" t="s">
        <v>64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48</v>
      </c>
      <c r="L6" t="s">
        <v>55</v>
      </c>
      <c r="M6" t="s">
        <v>15</v>
      </c>
      <c r="N6" t="s">
        <v>65</v>
      </c>
      <c r="O6" t="s">
        <v>56</v>
      </c>
      <c r="P6">
        <v>272303</v>
      </c>
      <c r="Q6" t="s">
        <v>13</v>
      </c>
      <c r="R6" t="s">
        <v>7</v>
      </c>
      <c r="S6" t="s">
        <v>59</v>
      </c>
      <c r="T6">
        <v>90</v>
      </c>
      <c r="U6">
        <v>2</v>
      </c>
      <c r="V6" s="2">
        <v>8.3333333333333329E-2</v>
      </c>
      <c r="W6">
        <v>180</v>
      </c>
      <c r="AA6" t="s">
        <v>60</v>
      </c>
      <c r="AB6" t="s">
        <v>61</v>
      </c>
      <c r="AC6" t="s">
        <v>62</v>
      </c>
      <c r="AD6" t="s">
        <v>63</v>
      </c>
      <c r="AE6">
        <f t="shared" si="0"/>
        <v>7</v>
      </c>
      <c r="AF6" t="str">
        <f t="shared" si="1"/>
        <v>July</v>
      </c>
    </row>
    <row r="7" spans="1:32">
      <c r="A7" s="1">
        <v>45492</v>
      </c>
      <c r="B7" t="s">
        <v>16</v>
      </c>
      <c r="C7" t="s">
        <v>47</v>
      </c>
      <c r="D7" t="s">
        <v>48</v>
      </c>
      <c r="E7" t="s">
        <v>64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48</v>
      </c>
      <c r="L7" t="s">
        <v>55</v>
      </c>
      <c r="M7" t="s">
        <v>15</v>
      </c>
      <c r="N7" t="s">
        <v>65</v>
      </c>
      <c r="O7" t="s">
        <v>56</v>
      </c>
      <c r="P7">
        <v>273578</v>
      </c>
      <c r="Q7" t="s">
        <v>13</v>
      </c>
      <c r="R7" t="s">
        <v>7</v>
      </c>
      <c r="S7" t="s">
        <v>59</v>
      </c>
      <c r="T7">
        <v>90</v>
      </c>
      <c r="U7">
        <v>2.5</v>
      </c>
      <c r="V7" s="2">
        <v>0.10416666666666667</v>
      </c>
      <c r="W7">
        <v>225</v>
      </c>
      <c r="AA7" t="s">
        <v>60</v>
      </c>
      <c r="AB7" t="s">
        <v>61</v>
      </c>
      <c r="AC7" t="s">
        <v>62</v>
      </c>
      <c r="AD7" t="s">
        <v>63</v>
      </c>
      <c r="AE7">
        <f t="shared" si="0"/>
        <v>7</v>
      </c>
      <c r="AF7" t="str">
        <f t="shared" si="1"/>
        <v>July</v>
      </c>
    </row>
    <row r="8" spans="1:32">
      <c r="A8" s="1">
        <v>45495</v>
      </c>
      <c r="B8" t="s">
        <v>16</v>
      </c>
      <c r="C8" t="s">
        <v>47</v>
      </c>
      <c r="D8" t="s">
        <v>48</v>
      </c>
      <c r="E8" t="s">
        <v>64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48</v>
      </c>
      <c r="L8" t="s">
        <v>55</v>
      </c>
      <c r="M8" t="s">
        <v>15</v>
      </c>
      <c r="N8" t="s">
        <v>65</v>
      </c>
      <c r="O8" t="s">
        <v>56</v>
      </c>
      <c r="P8">
        <v>274383</v>
      </c>
      <c r="Q8" t="s">
        <v>13</v>
      </c>
      <c r="R8" t="s">
        <v>7</v>
      </c>
      <c r="S8" t="s">
        <v>59</v>
      </c>
      <c r="T8">
        <v>90</v>
      </c>
      <c r="U8">
        <v>1.75</v>
      </c>
      <c r="V8" s="2">
        <v>7.2916666666666671E-2</v>
      </c>
      <c r="W8">
        <v>157.5</v>
      </c>
      <c r="AA8" t="s">
        <v>60</v>
      </c>
      <c r="AB8" t="s">
        <v>61</v>
      </c>
      <c r="AC8" t="s">
        <v>62</v>
      </c>
      <c r="AD8" t="s">
        <v>63</v>
      </c>
      <c r="AE8">
        <f t="shared" si="0"/>
        <v>7</v>
      </c>
      <c r="AF8" t="str">
        <f t="shared" si="1"/>
        <v>July</v>
      </c>
    </row>
    <row r="9" spans="1:32">
      <c r="A9" s="1">
        <v>45496</v>
      </c>
      <c r="B9" t="s">
        <v>16</v>
      </c>
      <c r="C9" t="s">
        <v>47</v>
      </c>
      <c r="D9" t="s">
        <v>48</v>
      </c>
      <c r="E9" t="s">
        <v>64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48</v>
      </c>
      <c r="L9" t="s">
        <v>55</v>
      </c>
      <c r="M9" t="s">
        <v>15</v>
      </c>
      <c r="N9" t="s">
        <v>65</v>
      </c>
      <c r="O9" t="s">
        <v>56</v>
      </c>
      <c r="P9">
        <v>274985</v>
      </c>
      <c r="Q9" t="s">
        <v>13</v>
      </c>
      <c r="R9" t="s">
        <v>7</v>
      </c>
      <c r="S9" t="s">
        <v>59</v>
      </c>
      <c r="T9">
        <v>90</v>
      </c>
      <c r="U9">
        <v>5.5</v>
      </c>
      <c r="V9" s="2">
        <v>0.22916666666666666</v>
      </c>
      <c r="W9">
        <v>495</v>
      </c>
      <c r="AA9" t="s">
        <v>60</v>
      </c>
      <c r="AB9" t="s">
        <v>61</v>
      </c>
      <c r="AC9" t="s">
        <v>62</v>
      </c>
      <c r="AD9" t="s">
        <v>63</v>
      </c>
      <c r="AE9">
        <f t="shared" si="0"/>
        <v>7</v>
      </c>
      <c r="AF9" t="str">
        <f t="shared" si="1"/>
        <v>July</v>
      </c>
    </row>
    <row r="10" spans="1:32">
      <c r="A10" s="1">
        <v>45497</v>
      </c>
      <c r="B10" t="s">
        <v>16</v>
      </c>
      <c r="C10" t="s">
        <v>47</v>
      </c>
      <c r="D10" t="s">
        <v>48</v>
      </c>
      <c r="E10" t="s">
        <v>64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55</v>
      </c>
      <c r="M10" t="s">
        <v>15</v>
      </c>
      <c r="N10" t="s">
        <v>65</v>
      </c>
      <c r="O10" t="s">
        <v>56</v>
      </c>
      <c r="P10">
        <v>275607</v>
      </c>
      <c r="Q10" t="s">
        <v>13</v>
      </c>
      <c r="R10" t="s">
        <v>7</v>
      </c>
      <c r="S10" t="s">
        <v>59</v>
      </c>
      <c r="T10">
        <v>90</v>
      </c>
      <c r="U10">
        <v>6.5</v>
      </c>
      <c r="V10" s="2">
        <v>0.27083333333333331</v>
      </c>
      <c r="W10">
        <v>585</v>
      </c>
      <c r="AA10" t="s">
        <v>60</v>
      </c>
      <c r="AB10" t="s">
        <v>61</v>
      </c>
      <c r="AC10" t="s">
        <v>62</v>
      </c>
      <c r="AD10" t="s">
        <v>63</v>
      </c>
      <c r="AE10">
        <f t="shared" si="0"/>
        <v>7</v>
      </c>
      <c r="AF10" t="str">
        <f t="shared" si="1"/>
        <v>July</v>
      </c>
    </row>
    <row r="11" spans="1:32">
      <c r="A11" s="1">
        <v>45498</v>
      </c>
      <c r="B11" t="s">
        <v>16</v>
      </c>
      <c r="C11" t="s">
        <v>47</v>
      </c>
      <c r="D11" t="s">
        <v>48</v>
      </c>
      <c r="E11" t="s">
        <v>64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t="s">
        <v>55</v>
      </c>
      <c r="M11" t="s">
        <v>15</v>
      </c>
      <c r="N11" t="s">
        <v>65</v>
      </c>
      <c r="O11" t="s">
        <v>56</v>
      </c>
      <c r="P11">
        <v>276158</v>
      </c>
      <c r="Q11" t="s">
        <v>13</v>
      </c>
      <c r="R11" t="s">
        <v>7</v>
      </c>
      <c r="S11" t="s">
        <v>59</v>
      </c>
      <c r="T11">
        <v>90</v>
      </c>
      <c r="U11">
        <v>5.75</v>
      </c>
      <c r="V11" s="2">
        <v>0.23958333333333334</v>
      </c>
      <c r="W11">
        <v>517.5</v>
      </c>
      <c r="AA11" t="s">
        <v>60</v>
      </c>
      <c r="AB11" t="s">
        <v>61</v>
      </c>
      <c r="AC11" t="s">
        <v>62</v>
      </c>
      <c r="AD11" t="s">
        <v>63</v>
      </c>
      <c r="AE11">
        <f t="shared" si="0"/>
        <v>7</v>
      </c>
      <c r="AF11" t="str">
        <f t="shared" si="1"/>
        <v>July</v>
      </c>
    </row>
    <row r="12" spans="1:32">
      <c r="A12" s="1">
        <v>45499</v>
      </c>
      <c r="B12" t="s">
        <v>16</v>
      </c>
      <c r="C12" t="s">
        <v>47</v>
      </c>
      <c r="D12" t="s">
        <v>48</v>
      </c>
      <c r="E12" t="s">
        <v>64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48</v>
      </c>
      <c r="L12" t="s">
        <v>55</v>
      </c>
      <c r="M12" t="s">
        <v>15</v>
      </c>
      <c r="N12" t="s">
        <v>65</v>
      </c>
      <c r="O12" t="s">
        <v>56</v>
      </c>
      <c r="P12">
        <v>276159</v>
      </c>
      <c r="Q12" t="s">
        <v>13</v>
      </c>
      <c r="R12" t="s">
        <v>7</v>
      </c>
      <c r="S12" t="s">
        <v>59</v>
      </c>
      <c r="T12">
        <v>90</v>
      </c>
      <c r="U12">
        <v>1</v>
      </c>
      <c r="V12" s="2">
        <v>4.1666666666666664E-2</v>
      </c>
      <c r="W12">
        <v>90</v>
      </c>
      <c r="AA12" t="s">
        <v>60</v>
      </c>
      <c r="AB12" t="s">
        <v>61</v>
      </c>
      <c r="AC12" t="s">
        <v>62</v>
      </c>
      <c r="AD12" t="s">
        <v>63</v>
      </c>
      <c r="AE12">
        <f t="shared" si="0"/>
        <v>7</v>
      </c>
      <c r="AF12" t="str">
        <f t="shared" si="1"/>
        <v>July</v>
      </c>
    </row>
    <row r="13" spans="1:32">
      <c r="A13" s="1">
        <v>45502</v>
      </c>
      <c r="B13" t="s">
        <v>16</v>
      </c>
      <c r="C13" t="s">
        <v>47</v>
      </c>
      <c r="D13" t="s">
        <v>48</v>
      </c>
      <c r="E13" t="s">
        <v>64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48</v>
      </c>
      <c r="L13" t="s">
        <v>55</v>
      </c>
      <c r="M13" t="s">
        <v>15</v>
      </c>
      <c r="N13" t="s">
        <v>65</v>
      </c>
      <c r="O13" t="s">
        <v>56</v>
      </c>
      <c r="P13">
        <v>277686</v>
      </c>
      <c r="Q13" t="s">
        <v>13</v>
      </c>
      <c r="R13" t="s">
        <v>7</v>
      </c>
      <c r="S13" t="s">
        <v>59</v>
      </c>
      <c r="T13">
        <v>90</v>
      </c>
      <c r="U13">
        <v>3.5</v>
      </c>
      <c r="V13" s="2">
        <v>0.14583333333333334</v>
      </c>
      <c r="W13">
        <v>315</v>
      </c>
      <c r="AA13" t="s">
        <v>60</v>
      </c>
      <c r="AB13" t="s">
        <v>61</v>
      </c>
      <c r="AC13" t="s">
        <v>62</v>
      </c>
      <c r="AD13" t="s">
        <v>63</v>
      </c>
      <c r="AE13">
        <f t="shared" si="0"/>
        <v>7</v>
      </c>
      <c r="AF13" t="str">
        <f t="shared" si="1"/>
        <v>July</v>
      </c>
    </row>
    <row r="14" spans="1:32">
      <c r="A14" s="1">
        <v>45483</v>
      </c>
      <c r="B14" t="s">
        <v>15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48</v>
      </c>
      <c r="L14" t="s">
        <v>55</v>
      </c>
      <c r="M14" t="s">
        <v>15</v>
      </c>
      <c r="N14" t="s">
        <v>62</v>
      </c>
      <c r="O14" t="s">
        <v>56</v>
      </c>
      <c r="P14">
        <v>270729</v>
      </c>
      <c r="Q14" t="s">
        <v>13</v>
      </c>
      <c r="R14" t="s">
        <v>7</v>
      </c>
      <c r="S14" t="s">
        <v>59</v>
      </c>
      <c r="T14">
        <v>90</v>
      </c>
      <c r="U14">
        <v>0.5</v>
      </c>
      <c r="V14" s="2">
        <v>2.0833333333333332E-2</v>
      </c>
      <c r="W14">
        <v>45</v>
      </c>
      <c r="AA14" t="s">
        <v>60</v>
      </c>
      <c r="AB14" t="s">
        <v>61</v>
      </c>
      <c r="AC14" t="s">
        <v>66</v>
      </c>
      <c r="AD14" t="s">
        <v>63</v>
      </c>
      <c r="AE14">
        <f t="shared" si="0"/>
        <v>7</v>
      </c>
      <c r="AF14" t="str">
        <f t="shared" si="1"/>
        <v>July</v>
      </c>
    </row>
    <row r="15" spans="1:32">
      <c r="A15" s="1">
        <v>45495</v>
      </c>
      <c r="B15" t="s">
        <v>15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48</v>
      </c>
      <c r="L15" t="s">
        <v>55</v>
      </c>
      <c r="M15" t="s">
        <v>15</v>
      </c>
      <c r="N15" t="s">
        <v>62</v>
      </c>
      <c r="O15" t="s">
        <v>56</v>
      </c>
      <c r="P15">
        <v>277287</v>
      </c>
      <c r="Q15" t="s">
        <v>13</v>
      </c>
      <c r="R15" t="s">
        <v>7</v>
      </c>
      <c r="S15" t="s">
        <v>59</v>
      </c>
      <c r="T15">
        <v>90</v>
      </c>
      <c r="U15">
        <v>1</v>
      </c>
      <c r="V15" s="2">
        <v>4.1666666666666664E-2</v>
      </c>
      <c r="W15">
        <v>90</v>
      </c>
      <c r="AA15" t="s">
        <v>60</v>
      </c>
      <c r="AB15" t="s">
        <v>61</v>
      </c>
      <c r="AC15" t="s">
        <v>67</v>
      </c>
      <c r="AD15" t="s">
        <v>63</v>
      </c>
      <c r="AE15">
        <f t="shared" si="0"/>
        <v>7</v>
      </c>
      <c r="AF15" t="str">
        <f t="shared" si="1"/>
        <v>July</v>
      </c>
    </row>
    <row r="16" spans="1:32">
      <c r="A16" s="1">
        <v>45488</v>
      </c>
      <c r="B16" t="s">
        <v>55</v>
      </c>
      <c r="C16" t="s">
        <v>47</v>
      </c>
      <c r="D16" t="s">
        <v>48</v>
      </c>
      <c r="E16" t="s">
        <v>64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48</v>
      </c>
      <c r="L16" t="s">
        <v>55</v>
      </c>
      <c r="M16" t="s">
        <v>15</v>
      </c>
      <c r="N16" t="s">
        <v>62</v>
      </c>
      <c r="O16" t="s">
        <v>56</v>
      </c>
      <c r="P16">
        <v>271457</v>
      </c>
      <c r="Q16" t="s">
        <v>57</v>
      </c>
      <c r="R16" t="s">
        <v>58</v>
      </c>
      <c r="S16" t="s">
        <v>59</v>
      </c>
      <c r="T16">
        <v>0</v>
      </c>
      <c r="U16">
        <v>1</v>
      </c>
      <c r="V16" s="2">
        <v>4.1666666666666664E-2</v>
      </c>
      <c r="W16">
        <v>0</v>
      </c>
      <c r="AA16" t="s">
        <v>60</v>
      </c>
      <c r="AB16" t="s">
        <v>61</v>
      </c>
      <c r="AC16" t="s">
        <v>62</v>
      </c>
      <c r="AD16" t="s">
        <v>63</v>
      </c>
      <c r="AE16">
        <f t="shared" si="0"/>
        <v>7</v>
      </c>
      <c r="AF16" t="str">
        <f t="shared" si="1"/>
        <v>July</v>
      </c>
    </row>
    <row r="17" spans="1:32">
      <c r="A17" s="1">
        <v>45489</v>
      </c>
      <c r="B17" t="s">
        <v>55</v>
      </c>
      <c r="C17" t="s">
        <v>47</v>
      </c>
      <c r="D17" t="s">
        <v>48</v>
      </c>
      <c r="E17" t="s">
        <v>64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48</v>
      </c>
      <c r="L17" t="s">
        <v>55</v>
      </c>
      <c r="M17" t="s">
        <v>15</v>
      </c>
      <c r="N17" t="s">
        <v>62</v>
      </c>
      <c r="O17" t="s">
        <v>56</v>
      </c>
      <c r="P17">
        <v>271998</v>
      </c>
      <c r="Q17" t="s">
        <v>57</v>
      </c>
      <c r="R17" t="s">
        <v>58</v>
      </c>
      <c r="S17" t="s">
        <v>59</v>
      </c>
      <c r="T17">
        <v>0</v>
      </c>
      <c r="U17">
        <v>0.75</v>
      </c>
      <c r="V17" s="2">
        <v>3.125E-2</v>
      </c>
      <c r="W17">
        <v>0</v>
      </c>
      <c r="AA17" t="s">
        <v>60</v>
      </c>
      <c r="AB17" t="s">
        <v>61</v>
      </c>
      <c r="AC17" t="s">
        <v>62</v>
      </c>
      <c r="AD17" t="s">
        <v>63</v>
      </c>
      <c r="AE17">
        <f t="shared" si="0"/>
        <v>7</v>
      </c>
      <c r="AF17" t="str">
        <f t="shared" si="1"/>
        <v>July</v>
      </c>
    </row>
    <row r="18" spans="1:32">
      <c r="A18" s="1">
        <v>45490</v>
      </c>
      <c r="B18" t="s">
        <v>55</v>
      </c>
      <c r="C18" t="s">
        <v>47</v>
      </c>
      <c r="D18" t="s">
        <v>48</v>
      </c>
      <c r="E18" t="s">
        <v>64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48</v>
      </c>
      <c r="L18" t="s">
        <v>55</v>
      </c>
      <c r="M18" t="s">
        <v>15</v>
      </c>
      <c r="N18" t="s">
        <v>62</v>
      </c>
      <c r="O18" t="s">
        <v>56</v>
      </c>
      <c r="P18">
        <v>272503</v>
      </c>
      <c r="Q18" t="s">
        <v>57</v>
      </c>
      <c r="R18" t="s">
        <v>58</v>
      </c>
      <c r="S18" t="s">
        <v>59</v>
      </c>
      <c r="T18">
        <v>0</v>
      </c>
      <c r="U18">
        <v>0.75</v>
      </c>
      <c r="V18" s="2">
        <v>3.125E-2</v>
      </c>
      <c r="W18">
        <v>0</v>
      </c>
      <c r="AA18" t="s">
        <v>60</v>
      </c>
      <c r="AB18" t="s">
        <v>61</v>
      </c>
      <c r="AC18" t="s">
        <v>62</v>
      </c>
      <c r="AD18" t="s">
        <v>63</v>
      </c>
      <c r="AE18">
        <f t="shared" si="0"/>
        <v>7</v>
      </c>
      <c r="AF18" t="str">
        <f t="shared" si="1"/>
        <v>July</v>
      </c>
    </row>
    <row r="19" spans="1:32">
      <c r="A19" s="1">
        <v>45491</v>
      </c>
      <c r="B19" t="s">
        <v>55</v>
      </c>
      <c r="C19" t="s">
        <v>47</v>
      </c>
      <c r="D19" t="s">
        <v>48</v>
      </c>
      <c r="E19" t="s">
        <v>64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48</v>
      </c>
      <c r="L19" t="s">
        <v>55</v>
      </c>
      <c r="M19" t="s">
        <v>15</v>
      </c>
      <c r="N19" t="s">
        <v>62</v>
      </c>
      <c r="O19" t="s">
        <v>56</v>
      </c>
      <c r="P19">
        <v>273045</v>
      </c>
      <c r="Q19" t="s">
        <v>57</v>
      </c>
      <c r="R19" t="s">
        <v>58</v>
      </c>
      <c r="S19" t="s">
        <v>59</v>
      </c>
      <c r="T19">
        <v>0</v>
      </c>
      <c r="U19">
        <v>1</v>
      </c>
      <c r="V19" s="2">
        <v>4.1666666666666664E-2</v>
      </c>
      <c r="W19">
        <v>0</v>
      </c>
      <c r="AA19" t="s">
        <v>60</v>
      </c>
      <c r="AB19" t="s">
        <v>61</v>
      </c>
      <c r="AC19" t="s">
        <v>62</v>
      </c>
      <c r="AD19" t="s">
        <v>63</v>
      </c>
      <c r="AE19">
        <f t="shared" si="0"/>
        <v>7</v>
      </c>
      <c r="AF19" t="str">
        <f t="shared" si="1"/>
        <v>July</v>
      </c>
    </row>
    <row r="20" spans="1:32">
      <c r="A20" s="1">
        <v>45495</v>
      </c>
      <c r="B20" t="s">
        <v>55</v>
      </c>
      <c r="C20" t="s">
        <v>47</v>
      </c>
      <c r="D20" t="s">
        <v>48</v>
      </c>
      <c r="E20" t="s">
        <v>64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48</v>
      </c>
      <c r="L20" t="s">
        <v>55</v>
      </c>
      <c r="M20" t="s">
        <v>15</v>
      </c>
      <c r="N20" t="s">
        <v>62</v>
      </c>
      <c r="O20" t="s">
        <v>56</v>
      </c>
      <c r="P20">
        <v>274620</v>
      </c>
      <c r="Q20" t="s">
        <v>57</v>
      </c>
      <c r="R20" t="s">
        <v>58</v>
      </c>
      <c r="S20" t="s">
        <v>59</v>
      </c>
      <c r="T20">
        <v>0</v>
      </c>
      <c r="U20">
        <v>1</v>
      </c>
      <c r="V20" s="2">
        <v>4.1666666666666664E-2</v>
      </c>
      <c r="W20">
        <v>0</v>
      </c>
      <c r="AA20" t="s">
        <v>60</v>
      </c>
      <c r="AB20" t="s">
        <v>61</v>
      </c>
      <c r="AC20" t="s">
        <v>62</v>
      </c>
      <c r="AD20" t="s">
        <v>63</v>
      </c>
      <c r="AE20">
        <f t="shared" si="0"/>
        <v>7</v>
      </c>
      <c r="AF20" t="str">
        <f t="shared" si="1"/>
        <v>July</v>
      </c>
    </row>
    <row r="21" spans="1:32">
      <c r="A21" s="1">
        <v>45496</v>
      </c>
      <c r="B21" t="s">
        <v>55</v>
      </c>
      <c r="C21" t="s">
        <v>47</v>
      </c>
      <c r="D21" t="s">
        <v>48</v>
      </c>
      <c r="E21" t="s">
        <v>64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48</v>
      </c>
      <c r="L21" t="s">
        <v>55</v>
      </c>
      <c r="M21" t="s">
        <v>15</v>
      </c>
      <c r="N21" t="s">
        <v>62</v>
      </c>
      <c r="O21" t="s">
        <v>56</v>
      </c>
      <c r="P21">
        <v>274612</v>
      </c>
      <c r="Q21" t="s">
        <v>57</v>
      </c>
      <c r="R21" t="s">
        <v>58</v>
      </c>
      <c r="S21" t="s">
        <v>59</v>
      </c>
      <c r="T21">
        <v>0</v>
      </c>
      <c r="U21">
        <v>0.25</v>
      </c>
      <c r="V21" s="2">
        <v>1.0416666666666666E-2</v>
      </c>
      <c r="W21">
        <v>0</v>
      </c>
      <c r="AA21" t="s">
        <v>60</v>
      </c>
      <c r="AB21" t="s">
        <v>61</v>
      </c>
      <c r="AC21" t="s">
        <v>62</v>
      </c>
      <c r="AD21" t="s">
        <v>63</v>
      </c>
      <c r="AE21">
        <f t="shared" si="0"/>
        <v>7</v>
      </c>
      <c r="AF21" t="str">
        <f t="shared" si="1"/>
        <v>July</v>
      </c>
    </row>
    <row r="22" spans="1:32">
      <c r="A22" s="1"/>
      <c r="V22" s="2"/>
    </row>
    <row r="23" spans="1:32">
      <c r="A23" s="1"/>
      <c r="V23" s="2"/>
    </row>
    <row r="24" spans="1:32">
      <c r="A24" s="1"/>
      <c r="V24" s="2"/>
    </row>
    <row r="25" spans="1:32">
      <c r="A25" s="1"/>
      <c r="V25" s="2"/>
    </row>
    <row r="26" spans="1:32">
      <c r="A26" s="1"/>
      <c r="V26" s="2"/>
    </row>
    <row r="27" spans="1:32">
      <c r="A27" s="1"/>
      <c r="V27" s="2"/>
    </row>
    <row r="28" spans="1:32">
      <c r="A28" s="1"/>
      <c r="V28" s="2"/>
    </row>
    <row r="29" spans="1:32">
      <c r="A29" s="1"/>
      <c r="V29" s="2"/>
    </row>
    <row r="30" spans="1:32">
      <c r="A30" s="1"/>
      <c r="V30" s="2"/>
    </row>
    <row r="31" spans="1:32">
      <c r="A31" s="1"/>
      <c r="V31" s="2"/>
    </row>
    <row r="32" spans="1:32">
      <c r="A32" s="1"/>
      <c r="V32" s="2"/>
    </row>
    <row r="33" spans="1:22">
      <c r="A33" s="1"/>
      <c r="V33" s="2"/>
    </row>
    <row r="34" spans="1:22">
      <c r="A34" s="1"/>
      <c r="V34" s="2"/>
    </row>
    <row r="35" spans="1:22">
      <c r="A35" s="1"/>
      <c r="V35" s="2"/>
    </row>
    <row r="36" spans="1:22">
      <c r="A36" s="1"/>
      <c r="V36" s="2"/>
    </row>
    <row r="37" spans="1:22">
      <c r="A37" s="1"/>
      <c r="V37" s="2"/>
    </row>
    <row r="38" spans="1:22">
      <c r="A38" s="1"/>
      <c r="V38" s="2"/>
    </row>
    <row r="39" spans="1:22">
      <c r="A39" s="1"/>
      <c r="V39" s="2"/>
    </row>
    <row r="40" spans="1:22">
      <c r="A40" s="1"/>
      <c r="V40" s="2"/>
    </row>
    <row r="41" spans="1:22">
      <c r="A41" s="1"/>
      <c r="V41" s="2"/>
    </row>
    <row r="42" spans="1:22">
      <c r="A42" s="1"/>
      <c r="V42" s="2"/>
    </row>
    <row r="43" spans="1:22">
      <c r="A43" s="1"/>
      <c r="V43" s="2"/>
    </row>
    <row r="44" spans="1:22">
      <c r="A44" s="1"/>
      <c r="V44" s="2"/>
    </row>
    <row r="45" spans="1:22">
      <c r="A45" s="1"/>
      <c r="V45" s="2"/>
    </row>
    <row r="46" spans="1:22">
      <c r="A46" s="1"/>
      <c r="V46" s="2"/>
    </row>
    <row r="47" spans="1:22">
      <c r="A47" s="1"/>
      <c r="V47" s="2"/>
    </row>
    <row r="48" spans="1:2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U72" s="10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AC7891-589A-401D-A502-A8B60C01BFCF}"/>
</file>

<file path=customXml/itemProps2.xml><?xml version="1.0" encoding="utf-8"?>
<ds:datastoreItem xmlns:ds="http://schemas.openxmlformats.org/officeDocument/2006/customXml" ds:itemID="{1F2FC931-26F9-4881-87B2-034ECBE198F1}"/>
</file>

<file path=customXml/itemProps3.xml><?xml version="1.0" encoding="utf-8"?>
<ds:datastoreItem xmlns:ds="http://schemas.openxmlformats.org/officeDocument/2006/customXml" ds:itemID="{1B26030C-4A8C-4971-AF32-40AC45129777}"/>
</file>

<file path=customXml/itemProps4.xml><?xml version="1.0" encoding="utf-8"?>
<ds:datastoreItem xmlns:ds="http://schemas.openxmlformats.org/officeDocument/2006/customXml" ds:itemID="{A5B0757C-DA5E-4EEB-8FB2-B7B706AB6D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2024-04-02T08:03:36Z</dcterms:created>
  <dcterms:modified xsi:type="dcterms:W3CDTF">2024-07-30T14:58:40Z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