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58" documentId="13_ncr:40009_{BBCEBA60-E38F-4EE1-BDB9-DA93CE793831}" xr6:coauthVersionLast="47" xr6:coauthVersionMax="47" xr10:uidLastSave="{56987E7E-937F-4A4E-A519-37C0ED0D54B6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11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AE22" i="1"/>
  <c r="AF22" i="1"/>
  <c r="AE23" i="1"/>
  <c r="AF23" i="1" s="1"/>
  <c r="AE24" i="1"/>
  <c r="AF24" i="1"/>
  <c r="AE25" i="1"/>
  <c r="AF25" i="1"/>
  <c r="AE26" i="1"/>
  <c r="AF26" i="1"/>
  <c r="AE27" i="1"/>
  <c r="AF27" i="1"/>
  <c r="AE28" i="1"/>
  <c r="AF28" i="1"/>
  <c r="AE29" i="1"/>
  <c r="AF29" i="1" s="1"/>
  <c r="AE3" i="1"/>
  <c r="AF3" i="1" s="1"/>
  <c r="AE4" i="1"/>
  <c r="AF4" i="1" s="1"/>
  <c r="AE5" i="1"/>
  <c r="AF5" i="1" s="1"/>
  <c r="AE6" i="1"/>
  <c r="AF6" i="1"/>
  <c r="AE7" i="1"/>
  <c r="AF7" i="1"/>
  <c r="AE8" i="1"/>
  <c r="AF8" i="1" s="1"/>
  <c r="AE9" i="1"/>
  <c r="AF9" i="1"/>
  <c r="AE10" i="1"/>
  <c r="AF10" i="1" s="1"/>
  <c r="AE11" i="1"/>
  <c r="AF11" i="1"/>
  <c r="AE12" i="1"/>
  <c r="AF12" i="1"/>
  <c r="AE13" i="1"/>
  <c r="AF13" i="1"/>
  <c r="AE14" i="1"/>
  <c r="AF14" i="1"/>
  <c r="AE15" i="1"/>
  <c r="AF15" i="1"/>
  <c r="AE16" i="1"/>
  <c r="AF16" i="1" s="1"/>
  <c r="AE17" i="1"/>
  <c r="AF17" i="1" s="1"/>
  <c r="AE18" i="1"/>
  <c r="AF18" i="1"/>
  <c r="AE19" i="1"/>
  <c r="AF19" i="1"/>
  <c r="AE20" i="1"/>
  <c r="AF20" i="1"/>
  <c r="AE21" i="1"/>
  <c r="AF21" i="1"/>
  <c r="AE2" i="1"/>
  <c r="AF2" i="1" s="1"/>
</calcChain>
</file>

<file path=xl/sharedStrings.xml><?xml version="1.0" encoding="utf-8"?>
<sst xmlns="http://schemas.openxmlformats.org/spreadsheetml/2006/main" count="653" uniqueCount="74">
  <si>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</si>
  <si>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</si>
  <si>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</si>
  <si>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</si>
  <si>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</si>
  <si>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</si>
  <si>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</si>
  <si>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</si>
  <si>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</si>
  <si>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</si>
  <si>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</si>
  <si>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</si>
  <si>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</si>
  <si>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</si>
  <si>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</si>
  <si>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</si>
  <si>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</si>
  <si>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</si>
  <si>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</si>
  <si>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</si>
  <si>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</si>
  <si>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</si>
  <si>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</si>
  <si>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</si>
  <si>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</si>
  <si>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</si>
  <si>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</si>
  <si>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</si>
  <si>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</si>
  <si>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</si>
  <si>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</si>
  <si>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</si>
  <si>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</si>
  <si>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</si>
  <si>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</si>
  <si>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</si>
  <si>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</si>
  <si>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</si>
  <si>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</si>
  <si>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</si>
  <si>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</si>
  <si>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</si>
  <si>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</si>
  <si>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</si>
  <si>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</si>
  <si>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</si>
  <si>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Le Grange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</si>
  <si>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</si>
  <si>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</si>
  <si>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</si>
  <si>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</si>
  <si>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</si>
  <si>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</si>
  <si>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</si>
  <si>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</si>
  <si>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</si>
  <si>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</si>
  <si>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</si>
  <si>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</si>
  <si>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</si>
  <si>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</si>
  <si>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</si>
  <si>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</si>
  <si>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</si>
  <si>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</si>
  <si>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Jacob Smycz</t>
  </si>
  <si>
    <t>Salesforce</t>
  </si>
  <si>
    <t>Andrew Pollock</t>
  </si>
  <si>
    <t>IN08372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</si>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</sst>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quotePrefix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9.474597222223" createdVersion="8" refreshedVersion="8" minRefreshableVersion="3" recordCount="28" xr:uid="{6CACD6DA-8541-4CF2-B5A4-F212B62D06B1}">
  <cacheSource type="worksheet">
    <worksheetSource ref="A1:AF29" sheet="Project Timesheets"/>
  </cacheSource>
  <cacheFields count="32">
    <cacheField name="Date" numFmtId="15">
      <sharedItems containsSemiMixedTypes="0" containsNonDate="0" containsDate="1" containsString="0" minDate="2024-07-10T00:00:00" maxDate="2024-08-02T00:00:00"/>
    </cacheField>
    <cacheField name="Person" numFmtId="0">
      <sharedItems count="5">
        <s v="Carami Le Grange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80641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6.5"/>
    </cacheField>
    <cacheField name="Time" numFmtId="20">
      <sharedItems containsSemiMixedTypes="0" containsNonDate="0" containsDate="1" containsString="0" minDate="1899-12-30T00:15:00" maxDate="1899-12-30T06:30:00"/>
    </cacheField>
    <cacheField name="Worked Amount" numFmtId="0">
      <sharedItems containsSemiMixedTypes="0" containsString="0" containsNumber="1" minValue="0" maxValue="585"/>
    </cacheField>
    <cacheField name="Invoiced Amount" numFmtId="0">
      <sharedItems containsString="0" containsBlank="1" containsNumber="1" containsInteger="1" minValue="60" maxValue="780"/>
    </cacheField>
    <cacheField name="Invoiced Delta" numFmtId="0">
      <sharedItems containsString="0" containsBlank="1" containsNumber="1" minValue="15" maxValue="19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8"/>
    </cacheField>
    <cacheField name="Month" numFmtId="0">
      <sharedItems count="2"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m/>
    <m/>
    <m/>
    <s v="GBP"/>
    <m/>
    <s v=" "/>
    <s v="Not submitted"/>
    <n v="8"/>
    <x v="1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8A3C1-12A4-4E07-B404-C0982241A655}" name="PivotTable1" cacheId="1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</row>
    <row r="2" spans="1:10" ht="15.6">
      <c r="A2" s="4" t="s">
        <v>6</v>
      </c>
      <c r="B2" t="s">
        <v>7</v>
      </c>
      <c r="H2" s="13" t="s">
        <v>8</v>
      </c>
      <c r="I2" s="14">
        <v>250</v>
      </c>
      <c r="J2" s="15">
        <f>I2*120</f>
        <v>30000</v>
      </c>
    </row>
    <row r="3" spans="1:10" ht="15.6">
      <c r="C3"/>
      <c r="G3" s="7"/>
      <c r="H3" s="13" t="s">
        <v>9</v>
      </c>
      <c r="I3" s="14">
        <v>350</v>
      </c>
      <c r="J3" s="15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4.5</v>
      </c>
      <c r="C6" s="9">
        <v>4.5</v>
      </c>
    </row>
    <row r="7" spans="1:10">
      <c r="A7" s="5" t="s">
        <v>16</v>
      </c>
      <c r="B7" s="9">
        <v>40.5</v>
      </c>
      <c r="C7" s="9">
        <v>40.5</v>
      </c>
    </row>
    <row r="8" spans="1:10">
      <c r="A8" s="5" t="s">
        <v>14</v>
      </c>
      <c r="B8" s="9">
        <v>45</v>
      </c>
      <c r="C8" s="9">
        <v>45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2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45495</v>
      </c>
      <c r="B3" t="s">
        <v>65</v>
      </c>
      <c r="C3" t="s">
        <v>47</v>
      </c>
      <c r="D3" t="s">
        <v>48</v>
      </c>
      <c r="E3" t="s">
        <v>66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15</v>
      </c>
      <c r="O3" t="s">
        <v>57</v>
      </c>
      <c r="P3">
        <v>274226</v>
      </c>
      <c r="Q3" t="s">
        <v>58</v>
      </c>
      <c r="R3" t="s">
        <v>59</v>
      </c>
      <c r="S3" t="s">
        <v>60</v>
      </c>
      <c r="T3">
        <v>0</v>
      </c>
      <c r="U3">
        <v>1</v>
      </c>
      <c r="V3" s="2">
        <v>4.1666666666666664E-2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7</v>
      </c>
      <c r="AF3" t="str">
        <f t="shared" ref="AF3:AF21" si="1">IF(AE3=7,"July",IF(AE3=8,"August",IF(AE3=9,"September",IF(AE3=10,"October",IF(AE3=11,"November")))))</f>
        <v>July</v>
      </c>
    </row>
    <row r="4" spans="1:32">
      <c r="A4" s="1">
        <v>45497</v>
      </c>
      <c r="B4" t="s">
        <v>65</v>
      </c>
      <c r="C4" t="s">
        <v>47</v>
      </c>
      <c r="D4" t="s">
        <v>48</v>
      </c>
      <c r="E4" t="s">
        <v>66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15</v>
      </c>
      <c r="O4" t="s">
        <v>57</v>
      </c>
      <c r="P4">
        <v>275372</v>
      </c>
      <c r="Q4" t="s">
        <v>58</v>
      </c>
      <c r="R4" t="s">
        <v>59</v>
      </c>
      <c r="S4" t="s">
        <v>60</v>
      </c>
      <c r="T4">
        <v>0</v>
      </c>
      <c r="U4">
        <v>1</v>
      </c>
      <c r="V4" s="2">
        <v>4.1666666666666664E-2</v>
      </c>
      <c r="W4">
        <v>0</v>
      </c>
      <c r="AA4" t="s">
        <v>61</v>
      </c>
      <c r="AB4" t="s">
        <v>62</v>
      </c>
      <c r="AC4" t="s">
        <v>56</v>
      </c>
      <c r="AD4" t="s">
        <v>64</v>
      </c>
      <c r="AE4">
        <f t="shared" si="0"/>
        <v>7</v>
      </c>
      <c r="AF4" t="str">
        <f t="shared" si="1"/>
        <v>July</v>
      </c>
    </row>
    <row r="5" spans="1:32">
      <c r="A5" s="1">
        <v>45502</v>
      </c>
      <c r="B5" t="s">
        <v>65</v>
      </c>
      <c r="C5" t="s">
        <v>47</v>
      </c>
      <c r="D5" t="s">
        <v>48</v>
      </c>
      <c r="E5" t="s">
        <v>66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15</v>
      </c>
      <c r="O5" t="s">
        <v>57</v>
      </c>
      <c r="P5">
        <v>277480</v>
      </c>
      <c r="Q5" t="s">
        <v>58</v>
      </c>
      <c r="R5" t="s">
        <v>59</v>
      </c>
      <c r="S5" t="s">
        <v>60</v>
      </c>
      <c r="T5">
        <v>0</v>
      </c>
      <c r="U5">
        <v>1</v>
      </c>
      <c r="V5" s="2">
        <v>4.1666666666666664E-2</v>
      </c>
      <c r="W5">
        <v>0</v>
      </c>
      <c r="AA5" t="s">
        <v>61</v>
      </c>
      <c r="AB5" t="s">
        <v>62</v>
      </c>
      <c r="AC5" t="s">
        <v>56</v>
      </c>
      <c r="AD5" t="s">
        <v>64</v>
      </c>
      <c r="AE5">
        <f t="shared" si="0"/>
        <v>7</v>
      </c>
      <c r="AF5" t="str">
        <f t="shared" si="1"/>
        <v>July</v>
      </c>
    </row>
    <row r="6" spans="1:32">
      <c r="A6" s="1">
        <v>45503</v>
      </c>
      <c r="B6" t="s">
        <v>65</v>
      </c>
      <c r="C6" t="s">
        <v>47</v>
      </c>
      <c r="D6" t="s">
        <v>48</v>
      </c>
      <c r="E6" t="s">
        <v>66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15</v>
      </c>
      <c r="O6" t="s">
        <v>57</v>
      </c>
      <c r="P6">
        <v>279016</v>
      </c>
      <c r="Q6" t="s">
        <v>58</v>
      </c>
      <c r="R6" t="s">
        <v>59</v>
      </c>
      <c r="S6" t="s">
        <v>60</v>
      </c>
      <c r="T6">
        <v>0</v>
      </c>
      <c r="U6">
        <v>1</v>
      </c>
      <c r="V6" s="2">
        <v>4.1666666666666664E-2</v>
      </c>
      <c r="W6">
        <v>0</v>
      </c>
      <c r="AA6" t="s">
        <v>61</v>
      </c>
      <c r="AB6" t="s">
        <v>62</v>
      </c>
      <c r="AC6" t="s">
        <v>56</v>
      </c>
      <c r="AD6" t="s">
        <v>64</v>
      </c>
      <c r="AE6">
        <f t="shared" si="0"/>
        <v>7</v>
      </c>
      <c r="AF6" t="str">
        <f t="shared" si="1"/>
        <v>July</v>
      </c>
    </row>
    <row r="7" spans="1:32">
      <c r="A7" s="1">
        <v>45488</v>
      </c>
      <c r="B7" t="s">
        <v>16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67</v>
      </c>
      <c r="O7" t="s">
        <v>57</v>
      </c>
      <c r="P7">
        <v>271389</v>
      </c>
      <c r="Q7" t="s">
        <v>13</v>
      </c>
      <c r="R7" t="s">
        <v>7</v>
      </c>
      <c r="S7" t="s">
        <v>60</v>
      </c>
      <c r="T7">
        <v>90</v>
      </c>
      <c r="U7">
        <v>1</v>
      </c>
      <c r="V7" s="2">
        <v>4.1666666666666664E-2</v>
      </c>
      <c r="W7">
        <v>90</v>
      </c>
      <c r="X7">
        <v>120</v>
      </c>
      <c r="Y7">
        <v>30</v>
      </c>
      <c r="Z7" t="s">
        <v>68</v>
      </c>
      <c r="AA7" t="s">
        <v>61</v>
      </c>
      <c r="AB7" t="s">
        <v>62</v>
      </c>
      <c r="AC7" t="s">
        <v>56</v>
      </c>
      <c r="AD7" t="s">
        <v>64</v>
      </c>
      <c r="AE7">
        <f t="shared" si="0"/>
        <v>7</v>
      </c>
      <c r="AF7" t="str">
        <f t="shared" si="1"/>
        <v>July</v>
      </c>
    </row>
    <row r="8" spans="1:32">
      <c r="A8" s="1">
        <v>45490</v>
      </c>
      <c r="B8" t="s">
        <v>16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67</v>
      </c>
      <c r="O8" t="s">
        <v>57</v>
      </c>
      <c r="P8">
        <v>272303</v>
      </c>
      <c r="Q8" t="s">
        <v>13</v>
      </c>
      <c r="R8" t="s">
        <v>7</v>
      </c>
      <c r="S8" t="s">
        <v>60</v>
      </c>
      <c r="T8">
        <v>90</v>
      </c>
      <c r="U8">
        <v>2</v>
      </c>
      <c r="V8" s="2">
        <v>8.3333333333333329E-2</v>
      </c>
      <c r="W8">
        <v>180</v>
      </c>
      <c r="X8">
        <v>240</v>
      </c>
      <c r="Y8">
        <v>60</v>
      </c>
      <c r="Z8" t="s">
        <v>68</v>
      </c>
      <c r="AA8" t="s">
        <v>61</v>
      </c>
      <c r="AB8" t="s">
        <v>62</v>
      </c>
      <c r="AC8" t="s">
        <v>56</v>
      </c>
      <c r="AD8" t="s">
        <v>64</v>
      </c>
      <c r="AE8">
        <f t="shared" si="0"/>
        <v>7</v>
      </c>
      <c r="AF8" t="str">
        <f t="shared" si="1"/>
        <v>July</v>
      </c>
    </row>
    <row r="9" spans="1:32">
      <c r="A9" s="1">
        <v>45492</v>
      </c>
      <c r="B9" t="s">
        <v>16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67</v>
      </c>
      <c r="O9" t="s">
        <v>57</v>
      </c>
      <c r="P9">
        <v>273578</v>
      </c>
      <c r="Q9" t="s">
        <v>13</v>
      </c>
      <c r="R9" t="s">
        <v>7</v>
      </c>
      <c r="S9" t="s">
        <v>60</v>
      </c>
      <c r="T9">
        <v>90</v>
      </c>
      <c r="U9">
        <v>2.5</v>
      </c>
      <c r="V9" s="2">
        <v>0.10416666666666667</v>
      </c>
      <c r="W9">
        <v>225</v>
      </c>
      <c r="X9">
        <v>300</v>
      </c>
      <c r="Y9">
        <v>75</v>
      </c>
      <c r="Z9" t="s">
        <v>68</v>
      </c>
      <c r="AA9" t="s">
        <v>61</v>
      </c>
      <c r="AB9" t="s">
        <v>62</v>
      </c>
      <c r="AC9" t="s">
        <v>56</v>
      </c>
      <c r="AD9" t="s">
        <v>64</v>
      </c>
      <c r="AE9">
        <f t="shared" si="0"/>
        <v>7</v>
      </c>
      <c r="AF9" t="str">
        <f t="shared" si="1"/>
        <v>July</v>
      </c>
    </row>
    <row r="10" spans="1:32">
      <c r="A10" s="1">
        <v>45495</v>
      </c>
      <c r="B10" t="s">
        <v>16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67</v>
      </c>
      <c r="O10" t="s">
        <v>57</v>
      </c>
      <c r="P10">
        <v>274383</v>
      </c>
      <c r="Q10" t="s">
        <v>13</v>
      </c>
      <c r="R10" t="s">
        <v>7</v>
      </c>
      <c r="S10" t="s">
        <v>60</v>
      </c>
      <c r="T10">
        <v>90</v>
      </c>
      <c r="U10">
        <v>1.75</v>
      </c>
      <c r="V10" s="2">
        <v>7.2916666666666671E-2</v>
      </c>
      <c r="W10">
        <v>157.5</v>
      </c>
      <c r="X10">
        <v>210</v>
      </c>
      <c r="Y10">
        <v>52.5</v>
      </c>
      <c r="Z10" t="s">
        <v>68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7</v>
      </c>
      <c r="AF10" t="str">
        <f t="shared" si="1"/>
        <v>July</v>
      </c>
    </row>
    <row r="11" spans="1:32">
      <c r="A11" s="1">
        <v>45496</v>
      </c>
      <c r="B11" t="s">
        <v>16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67</v>
      </c>
      <c r="O11" t="s">
        <v>57</v>
      </c>
      <c r="P11">
        <v>274985</v>
      </c>
      <c r="Q11" t="s">
        <v>13</v>
      </c>
      <c r="R11" t="s">
        <v>7</v>
      </c>
      <c r="S11" t="s">
        <v>60</v>
      </c>
      <c r="T11">
        <v>90</v>
      </c>
      <c r="U11">
        <v>5.5</v>
      </c>
      <c r="V11" s="2">
        <v>0.22916666666666666</v>
      </c>
      <c r="W11">
        <v>495</v>
      </c>
      <c r="X11">
        <v>660</v>
      </c>
      <c r="Y11">
        <v>165</v>
      </c>
      <c r="Z11" t="s">
        <v>68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7</v>
      </c>
      <c r="AF11" t="str">
        <f t="shared" si="1"/>
        <v>July</v>
      </c>
    </row>
    <row r="12" spans="1:32">
      <c r="A12" s="1">
        <v>45497</v>
      </c>
      <c r="B12" t="s">
        <v>16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67</v>
      </c>
      <c r="O12" t="s">
        <v>57</v>
      </c>
      <c r="P12">
        <v>275607</v>
      </c>
      <c r="Q12" t="s">
        <v>13</v>
      </c>
      <c r="R12" t="s">
        <v>7</v>
      </c>
      <c r="S12" t="s">
        <v>60</v>
      </c>
      <c r="T12">
        <v>90</v>
      </c>
      <c r="U12">
        <v>6.5</v>
      </c>
      <c r="V12" s="2">
        <v>0.27083333333333331</v>
      </c>
      <c r="W12">
        <v>585</v>
      </c>
      <c r="X12">
        <v>780</v>
      </c>
      <c r="Y12">
        <v>195</v>
      </c>
      <c r="Z12" t="s">
        <v>68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7</v>
      </c>
      <c r="AF12" t="str">
        <f t="shared" si="1"/>
        <v>July</v>
      </c>
    </row>
    <row r="13" spans="1:32">
      <c r="A13" s="1">
        <v>45498</v>
      </c>
      <c r="B13" t="s">
        <v>16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67</v>
      </c>
      <c r="O13" t="s">
        <v>57</v>
      </c>
      <c r="P13">
        <v>276158</v>
      </c>
      <c r="Q13" t="s">
        <v>13</v>
      </c>
      <c r="R13" t="s">
        <v>7</v>
      </c>
      <c r="S13" t="s">
        <v>60</v>
      </c>
      <c r="T13">
        <v>90</v>
      </c>
      <c r="U13">
        <v>5.75</v>
      </c>
      <c r="V13" s="2">
        <v>0.23958333333333334</v>
      </c>
      <c r="W13">
        <v>517.5</v>
      </c>
      <c r="X13">
        <v>690</v>
      </c>
      <c r="Y13">
        <v>172.5</v>
      </c>
      <c r="Z13" t="s">
        <v>68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7</v>
      </c>
      <c r="AF13" t="str">
        <f t="shared" si="1"/>
        <v>July</v>
      </c>
    </row>
    <row r="14" spans="1:32">
      <c r="A14" s="1">
        <v>45499</v>
      </c>
      <c r="B14" t="s">
        <v>16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67</v>
      </c>
      <c r="O14" t="s">
        <v>57</v>
      </c>
      <c r="P14">
        <v>276159</v>
      </c>
      <c r="Q14" t="s">
        <v>13</v>
      </c>
      <c r="R14" t="s">
        <v>7</v>
      </c>
      <c r="S14" t="s">
        <v>60</v>
      </c>
      <c r="T14">
        <v>90</v>
      </c>
      <c r="U14">
        <v>1</v>
      </c>
      <c r="V14" s="2">
        <v>4.1666666666666664E-2</v>
      </c>
      <c r="W14">
        <v>90</v>
      </c>
      <c r="X14">
        <v>120</v>
      </c>
      <c r="Y14">
        <v>30</v>
      </c>
      <c r="Z14" t="s">
        <v>68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7</v>
      </c>
      <c r="AF14" t="str">
        <f t="shared" si="1"/>
        <v>July</v>
      </c>
    </row>
    <row r="15" spans="1:32">
      <c r="A15" s="1">
        <v>45502</v>
      </c>
      <c r="B15" t="s">
        <v>16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67</v>
      </c>
      <c r="O15" t="s">
        <v>57</v>
      </c>
      <c r="P15">
        <v>277686</v>
      </c>
      <c r="Q15" t="s">
        <v>13</v>
      </c>
      <c r="R15" t="s">
        <v>7</v>
      </c>
      <c r="S15" t="s">
        <v>60</v>
      </c>
      <c r="T15">
        <v>90</v>
      </c>
      <c r="U15">
        <v>3.5</v>
      </c>
      <c r="V15" s="2">
        <v>0.14583333333333334</v>
      </c>
      <c r="W15">
        <v>315</v>
      </c>
      <c r="X15">
        <v>420</v>
      </c>
      <c r="Y15">
        <v>105</v>
      </c>
      <c r="Z15" t="s">
        <v>68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7</v>
      </c>
      <c r="AF15" t="str">
        <f t="shared" si="1"/>
        <v>July</v>
      </c>
    </row>
    <row r="16" spans="1:32">
      <c r="A16" s="1">
        <v>45503</v>
      </c>
      <c r="B16" t="s">
        <v>16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67</v>
      </c>
      <c r="O16" t="s">
        <v>57</v>
      </c>
      <c r="P16">
        <v>278267</v>
      </c>
      <c r="Q16" t="s">
        <v>13</v>
      </c>
      <c r="R16" t="s">
        <v>7</v>
      </c>
      <c r="S16" t="s">
        <v>60</v>
      </c>
      <c r="T16">
        <v>90</v>
      </c>
      <c r="U16">
        <v>6</v>
      </c>
      <c r="V16" s="2">
        <v>0.25</v>
      </c>
      <c r="W16">
        <v>540</v>
      </c>
      <c r="X16">
        <v>720</v>
      </c>
      <c r="Y16">
        <v>180</v>
      </c>
      <c r="Z16" t="s">
        <v>68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7</v>
      </c>
      <c r="AF16" t="str">
        <f t="shared" si="1"/>
        <v>July</v>
      </c>
    </row>
    <row r="17" spans="1:32">
      <c r="A17" s="1">
        <v>45504</v>
      </c>
      <c r="B17" t="s">
        <v>16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67</v>
      </c>
      <c r="O17" t="s">
        <v>57</v>
      </c>
      <c r="P17">
        <v>279226</v>
      </c>
      <c r="Q17" t="s">
        <v>13</v>
      </c>
      <c r="R17" t="s">
        <v>7</v>
      </c>
      <c r="S17" t="s">
        <v>60</v>
      </c>
      <c r="T17">
        <v>90</v>
      </c>
      <c r="U17">
        <v>1.75</v>
      </c>
      <c r="V17" s="2">
        <v>7.2916666666666671E-2</v>
      </c>
      <c r="W17">
        <v>157.5</v>
      </c>
      <c r="X17">
        <v>210</v>
      </c>
      <c r="Y17">
        <v>52.5</v>
      </c>
      <c r="Z17" t="s">
        <v>68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7</v>
      </c>
      <c r="AF17" t="str">
        <f t="shared" si="1"/>
        <v>July</v>
      </c>
    </row>
    <row r="18" spans="1:32">
      <c r="A18" s="1">
        <v>45505</v>
      </c>
      <c r="B18" t="s">
        <v>16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67</v>
      </c>
      <c r="O18" t="s">
        <v>57</v>
      </c>
      <c r="P18">
        <v>280641</v>
      </c>
      <c r="Q18" t="s">
        <v>13</v>
      </c>
      <c r="R18" t="s">
        <v>7</v>
      </c>
      <c r="S18" t="s">
        <v>60</v>
      </c>
      <c r="T18">
        <v>90</v>
      </c>
      <c r="U18">
        <v>3.25</v>
      </c>
      <c r="V18" s="2">
        <v>0.13541666666666666</v>
      </c>
      <c r="W18">
        <v>292.5</v>
      </c>
      <c r="AA18" t="s">
        <v>61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45483</v>
      </c>
      <c r="B19" t="s">
        <v>15</v>
      </c>
      <c r="C19" t="s">
        <v>47</v>
      </c>
      <c r="D19" t="s">
        <v>48</v>
      </c>
      <c r="E19" t="s">
        <v>66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56</v>
      </c>
      <c r="O19" t="s">
        <v>57</v>
      </c>
      <c r="P19">
        <v>270729</v>
      </c>
      <c r="Q19" t="s">
        <v>13</v>
      </c>
      <c r="R19" t="s">
        <v>7</v>
      </c>
      <c r="S19" t="s">
        <v>60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68</v>
      </c>
      <c r="AA19" t="s">
        <v>61</v>
      </c>
      <c r="AB19" t="s">
        <v>62</v>
      </c>
      <c r="AC19" t="s">
        <v>69</v>
      </c>
      <c r="AD19" t="s">
        <v>64</v>
      </c>
      <c r="AE19">
        <f t="shared" si="0"/>
        <v>7</v>
      </c>
      <c r="AF19" t="str">
        <f t="shared" si="1"/>
        <v>July</v>
      </c>
    </row>
    <row r="20" spans="1:32">
      <c r="A20" s="1">
        <v>45495</v>
      </c>
      <c r="B20" t="s">
        <v>15</v>
      </c>
      <c r="C20" t="s">
        <v>47</v>
      </c>
      <c r="D20" t="s">
        <v>48</v>
      </c>
      <c r="E20" t="s">
        <v>66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56</v>
      </c>
      <c r="O20" t="s">
        <v>57</v>
      </c>
      <c r="P20">
        <v>277287</v>
      </c>
      <c r="Q20" t="s">
        <v>13</v>
      </c>
      <c r="R20" t="s">
        <v>7</v>
      </c>
      <c r="S20" t="s">
        <v>60</v>
      </c>
      <c r="T20">
        <v>90</v>
      </c>
      <c r="U20">
        <v>1</v>
      </c>
      <c r="V20" s="2">
        <v>4.1666666666666664E-2</v>
      </c>
      <c r="W20">
        <v>90</v>
      </c>
      <c r="X20">
        <v>120</v>
      </c>
      <c r="Y20">
        <v>30</v>
      </c>
      <c r="Z20" t="s">
        <v>68</v>
      </c>
      <c r="AA20" t="s">
        <v>61</v>
      </c>
      <c r="AB20" t="s">
        <v>62</v>
      </c>
      <c r="AC20" t="s">
        <v>70</v>
      </c>
      <c r="AD20" t="s">
        <v>64</v>
      </c>
      <c r="AE20">
        <f t="shared" si="0"/>
        <v>7</v>
      </c>
      <c r="AF20" t="str">
        <f t="shared" si="1"/>
        <v>July</v>
      </c>
    </row>
    <row r="21" spans="1:32">
      <c r="A21" s="1">
        <v>45502</v>
      </c>
      <c r="B21" t="s">
        <v>15</v>
      </c>
      <c r="C21" t="s">
        <v>47</v>
      </c>
      <c r="D21" t="s">
        <v>48</v>
      </c>
      <c r="E21" t="s">
        <v>66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56</v>
      </c>
      <c r="O21" t="s">
        <v>57</v>
      </c>
      <c r="P21">
        <v>278847</v>
      </c>
      <c r="Q21" t="s">
        <v>13</v>
      </c>
      <c r="R21" t="s">
        <v>7</v>
      </c>
      <c r="S21" t="s">
        <v>60</v>
      </c>
      <c r="T21">
        <v>90</v>
      </c>
      <c r="U21">
        <v>1</v>
      </c>
      <c r="V21" s="2">
        <v>4.1666666666666664E-2</v>
      </c>
      <c r="W21">
        <v>90</v>
      </c>
      <c r="X21">
        <v>120</v>
      </c>
      <c r="Y21">
        <v>30</v>
      </c>
      <c r="Z21" t="s">
        <v>68</v>
      </c>
      <c r="AA21" t="s">
        <v>61</v>
      </c>
      <c r="AB21" t="s">
        <v>62</v>
      </c>
      <c r="AC21" t="s">
        <v>71</v>
      </c>
      <c r="AD21" t="s">
        <v>64</v>
      </c>
      <c r="AE21">
        <f t="shared" si="0"/>
        <v>7</v>
      </c>
      <c r="AF21" t="str">
        <f t="shared" si="1"/>
        <v>July</v>
      </c>
    </row>
    <row r="22" spans="1:32">
      <c r="A22" s="1">
        <v>45503</v>
      </c>
      <c r="B22" t="s">
        <v>15</v>
      </c>
      <c r="C22" t="s">
        <v>47</v>
      </c>
      <c r="D22" t="s">
        <v>48</v>
      </c>
      <c r="E22" t="s">
        <v>66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56</v>
      </c>
      <c r="O22" t="s">
        <v>57</v>
      </c>
      <c r="P22">
        <v>278848</v>
      </c>
      <c r="Q22" t="s">
        <v>13</v>
      </c>
      <c r="R22" t="s">
        <v>7</v>
      </c>
      <c r="S22" t="s">
        <v>60</v>
      </c>
      <c r="T22">
        <v>90</v>
      </c>
      <c r="U22">
        <v>1</v>
      </c>
      <c r="V22" s="2">
        <v>4.1666666666666664E-2</v>
      </c>
      <c r="W22">
        <v>90</v>
      </c>
      <c r="X22">
        <v>120</v>
      </c>
      <c r="Y22">
        <v>30</v>
      </c>
      <c r="Z22" t="s">
        <v>68</v>
      </c>
      <c r="AA22" t="s">
        <v>61</v>
      </c>
      <c r="AB22" t="s">
        <v>62</v>
      </c>
      <c r="AC22" t="s">
        <v>72</v>
      </c>
      <c r="AD22" t="s">
        <v>64</v>
      </c>
      <c r="AE22">
        <f t="shared" ref="AE22:AE29" si="2">MONTH(A22)</f>
        <v>7</v>
      </c>
      <c r="AF22" t="str">
        <f t="shared" ref="AF22:AF29" si="3">IF(AE22=7,"July",IF(AE22=8,"August",IF(AE22=9,"September",IF(AE22=10,"October",IF(AE22=11,"November")))))</f>
        <v>July</v>
      </c>
    </row>
    <row r="23" spans="1:32">
      <c r="A23" s="1">
        <v>45504</v>
      </c>
      <c r="B23" t="s">
        <v>15</v>
      </c>
      <c r="C23" t="s">
        <v>47</v>
      </c>
      <c r="D23" t="s">
        <v>48</v>
      </c>
      <c r="E23" t="s">
        <v>66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56</v>
      </c>
      <c r="O23" t="s">
        <v>57</v>
      </c>
      <c r="P23">
        <v>278849</v>
      </c>
      <c r="Q23" t="s">
        <v>13</v>
      </c>
      <c r="R23" t="s">
        <v>7</v>
      </c>
      <c r="S23" t="s">
        <v>60</v>
      </c>
      <c r="T23">
        <v>90</v>
      </c>
      <c r="U23">
        <v>1</v>
      </c>
      <c r="V23" s="2">
        <v>4.1666666666666664E-2</v>
      </c>
      <c r="W23">
        <v>90</v>
      </c>
      <c r="X23">
        <v>120</v>
      </c>
      <c r="Y23">
        <v>30</v>
      </c>
      <c r="Z23" t="s">
        <v>68</v>
      </c>
      <c r="AA23" t="s">
        <v>61</v>
      </c>
      <c r="AB23" t="s">
        <v>62</v>
      </c>
      <c r="AC23" t="s">
        <v>73</v>
      </c>
      <c r="AD23" t="s">
        <v>64</v>
      </c>
      <c r="AE23">
        <f t="shared" si="2"/>
        <v>7</v>
      </c>
      <c r="AF23" t="str">
        <f t="shared" si="3"/>
        <v>July</v>
      </c>
    </row>
    <row r="24" spans="1:32">
      <c r="A24" s="1">
        <v>45488</v>
      </c>
      <c r="B24" t="s">
        <v>55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56</v>
      </c>
      <c r="O24" t="s">
        <v>57</v>
      </c>
      <c r="P24">
        <v>271457</v>
      </c>
      <c r="Q24" t="s">
        <v>58</v>
      </c>
      <c r="R24" t="s">
        <v>59</v>
      </c>
      <c r="S24" t="s">
        <v>60</v>
      </c>
      <c r="T24">
        <v>0</v>
      </c>
      <c r="U24">
        <v>1</v>
      </c>
      <c r="V24" s="2">
        <v>4.1666666666666664E-2</v>
      </c>
      <c r="W24">
        <v>0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7</v>
      </c>
      <c r="AF24" t="str">
        <f t="shared" si="3"/>
        <v>July</v>
      </c>
    </row>
    <row r="25" spans="1:32">
      <c r="A25" s="1">
        <v>45489</v>
      </c>
      <c r="B25" t="s">
        <v>55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56</v>
      </c>
      <c r="O25" t="s">
        <v>57</v>
      </c>
      <c r="P25">
        <v>271998</v>
      </c>
      <c r="Q25" t="s">
        <v>58</v>
      </c>
      <c r="R25" t="s">
        <v>59</v>
      </c>
      <c r="S25" t="s">
        <v>60</v>
      </c>
      <c r="T25">
        <v>0</v>
      </c>
      <c r="U25">
        <v>0.75</v>
      </c>
      <c r="V25" s="2">
        <v>3.125E-2</v>
      </c>
      <c r="W25">
        <v>0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7</v>
      </c>
      <c r="AF25" t="str">
        <f t="shared" si="3"/>
        <v>July</v>
      </c>
    </row>
    <row r="26" spans="1:32">
      <c r="A26" s="1">
        <v>45490</v>
      </c>
      <c r="B26" t="s">
        <v>55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56</v>
      </c>
      <c r="O26" t="s">
        <v>57</v>
      </c>
      <c r="P26">
        <v>272503</v>
      </c>
      <c r="Q26" t="s">
        <v>58</v>
      </c>
      <c r="R26" t="s">
        <v>59</v>
      </c>
      <c r="S26" t="s">
        <v>60</v>
      </c>
      <c r="T26">
        <v>0</v>
      </c>
      <c r="U26">
        <v>0.75</v>
      </c>
      <c r="V26" s="2">
        <v>3.125E-2</v>
      </c>
      <c r="W26">
        <v>0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45491</v>
      </c>
      <c r="B27" t="s">
        <v>55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56</v>
      </c>
      <c r="O27" t="s">
        <v>57</v>
      </c>
      <c r="P27">
        <v>273045</v>
      </c>
      <c r="Q27" t="s">
        <v>58</v>
      </c>
      <c r="R27" t="s">
        <v>59</v>
      </c>
      <c r="S27" t="s">
        <v>60</v>
      </c>
      <c r="T27">
        <v>0</v>
      </c>
      <c r="U27">
        <v>1</v>
      </c>
      <c r="V27" s="2">
        <v>4.1666666666666664E-2</v>
      </c>
      <c r="W27">
        <v>0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45495</v>
      </c>
      <c r="B28" t="s">
        <v>55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56</v>
      </c>
      <c r="O28" t="s">
        <v>57</v>
      </c>
      <c r="P28">
        <v>274620</v>
      </c>
      <c r="Q28" t="s">
        <v>58</v>
      </c>
      <c r="R28" t="s">
        <v>59</v>
      </c>
      <c r="S28" t="s">
        <v>60</v>
      </c>
      <c r="T28">
        <v>0</v>
      </c>
      <c r="U28">
        <v>1</v>
      </c>
      <c r="V28" s="2">
        <v>4.1666666666666664E-2</v>
      </c>
      <c r="W28">
        <v>0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45496</v>
      </c>
      <c r="B29" t="s">
        <v>55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56</v>
      </c>
      <c r="O29" t="s">
        <v>57</v>
      </c>
      <c r="P29">
        <v>274612</v>
      </c>
      <c r="Q29" t="s">
        <v>58</v>
      </c>
      <c r="R29" t="s">
        <v>59</v>
      </c>
      <c r="S29" t="s">
        <v>60</v>
      </c>
      <c r="T29">
        <v>0</v>
      </c>
      <c r="U29">
        <v>0.25</v>
      </c>
      <c r="V29" s="2">
        <v>1.0416666666666666E-2</v>
      </c>
      <c r="W29">
        <v>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/>
      <c r="V30" s="2"/>
    </row>
    <row r="31" spans="1:32">
      <c r="A31" s="1"/>
      <c r="V31" s="2"/>
    </row>
    <row r="32" spans="1:3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U72" s="10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E4155-FFEA-4E61-86E1-BAFD04489987}"/>
</file>

<file path=customXml/itemProps2.xml><?xml version="1.0" encoding="utf-8"?>
<ds:datastoreItem xmlns:ds="http://schemas.openxmlformats.org/officeDocument/2006/customXml" ds:itemID="{EE41C047-98C6-4B93-A6A6-FFF3CEE6908E}"/>
</file>

<file path=customXml/itemProps3.xml><?xml version="1.0" encoding="utf-8"?>
<ds:datastoreItem xmlns:ds="http://schemas.openxmlformats.org/officeDocument/2006/customXml" ds:itemID="{00E9D91E-E50C-47D3-917A-5BAD591A9F70}"/>
</file>

<file path=customXml/itemProps4.xml><?xml version="1.0" encoding="utf-8"?>
<ds:datastoreItem xmlns:ds="http://schemas.openxmlformats.org/officeDocument/2006/customXml" ds:itemID="{FCEBF949-E128-47C5-A3DC-8570C8A43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2024-08-05T13:01:00Z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