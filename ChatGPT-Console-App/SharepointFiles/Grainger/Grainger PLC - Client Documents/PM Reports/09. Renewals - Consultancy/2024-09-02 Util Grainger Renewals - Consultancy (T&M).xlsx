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76" documentId="13_ncr:40009_{BBCEBA60-E38F-4EE1-BDB9-DA93CE793831}" xr6:coauthVersionLast="47" xr6:coauthVersionMax="47" xr10:uidLastSave="{CB7A206B-B270-47EF-AE8E-DEF98AE9729F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14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0" i="1" l="1"/>
  <c r="AF70" i="1"/>
  <c r="AE71" i="1"/>
  <c r="AF71" i="1"/>
  <c r="AE72" i="1"/>
  <c r="AF72" i="1" s="1"/>
  <c r="AE73" i="1"/>
  <c r="AF73" i="1"/>
  <c r="AE74" i="1"/>
  <c r="AF74" i="1"/>
  <c r="AE75" i="1"/>
  <c r="AF75" i="1"/>
  <c r="AE76" i="1"/>
  <c r="AF76" i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/>
  <c r="AE36" i="1"/>
  <c r="AF36" i="1" s="1"/>
  <c r="AE37" i="1"/>
  <c r="AF37" i="1" s="1"/>
  <c r="AE38" i="1"/>
  <c r="AF38" i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<sst xmlns="http://schemas.openxmlformats.org/spreadsheetml/2006/main" count="1668" uniqueCount="82">
  <si>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</si>
  <si>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</si>
  <si>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</si>
  <si>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</si>
  <si>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</si>
  <si>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</si>
  <si>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</si>
  <si>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</si>
  <si>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</si>
  <si>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</si>
  <si>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</si>
  <si>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</si>
  <si>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</si>
  <si>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</si>
  <si>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</si>
  <si>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</si>
  <si>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</si>
  <si>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</si>
  <si>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</si>
  <si>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</si>
  <si>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</si>
  <si>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</si>
  <si>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</si>
  <si>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</si>
  <si>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</si>
  <si>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</si>
  <si>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</si>
  <si>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</si>
  <si>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</si>
  <si>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</si>
  <si>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</si>
  <si>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</si>
  <si>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</si>
  <si>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</si>
  <si>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</si>
  <si>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</si>
  <si>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</si>
  <si>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</si>
  <si>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</si>
  <si>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</si>
  <si>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</si>
  <si>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</si>
  <si>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</si>
  <si>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</si>
  <si>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</si>
  <si>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</si>
  <si>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</si>
  <si>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</si>
  <si>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</si>
  <si>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</si>
  <si>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</si>
  <si>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</si>
  <si>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</si>
  <si>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</si>
  <si>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</si>
  <si>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</si>
  <si>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</si>
  <si>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</si>
  <si>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</si>
  <si>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</si>
  <si>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</si>
  <si>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</si>
  <si>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</si>
  <si>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</si>
  <si>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</si>
  <si>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</si>
  <si>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Jacob Smycz</t>
  </si>
  <si>
    <t>Salesforce</t>
  </si>
  <si>
    <t>Andrew Pollock</t>
  </si>
  <si>
    <t>IN08372</t>
  </si>
  <si>
    <t>IN08465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</si>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</sst>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37.502405208332" createdVersion="8" refreshedVersion="8" minRefreshableVersion="3" recordCount="75" xr:uid="{98EBFAB7-E180-46FA-9105-4985FA597D34}">
  <cacheSource type="worksheet">
    <worksheetSource ref="A1:AF76" sheet="Project Timesheets"/>
  </cacheSource>
  <cacheFields count="32">
    <cacheField name="Date" numFmtId="15">
      <sharedItems containsSemiMixedTypes="0" containsNonDate="0" containsDate="1" containsString="0" minDate="2024-07-10T00:00:00" maxDate="2024-08-31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92128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0" maxValue="780"/>
    </cacheField>
    <cacheField name="Invoiced Delta" numFmtId="0">
      <sharedItems containsString="0" containsBlank="1" containsNumber="1" minValue="0" maxValue="19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8"/>
    </cacheField>
    <cacheField name="Month" numFmtId="0">
      <sharedItems count="2"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0"/>
    <n v="0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0"/>
    <n v="0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0"/>
    <n v="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0"/>
    <n v="0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0"/>
    <n v="0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0"/>
    <n v="0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0"/>
    <n v="0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0"/>
    <n v="0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0"/>
    <n v="0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0"/>
    <n v="0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0"/>
    <n v="0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0"/>
    <n v="0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0"/>
    <n v="0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0"/>
    <n v="0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0"/>
    <n v="0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0"/>
    <n v="0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0"/>
    <n v="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0"/>
    <n v="0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0"/>
    <n v="0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0"/>
    <n v="0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0"/>
    <n v="0"/>
    <s v="IN08465"/>
    <s v="GBP"/>
    <s v="Reviewed"/>
    <s v=" "/>
    <s v="Not submitted"/>
    <n v="8"/>
    <x v="1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0"/>
    <n v="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0"/>
    <n v="0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0"/>
    <n v="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0"/>
    <n v="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0"/>
    <n v="0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0"/>
    <n v="0"/>
    <s v="IN08465"/>
    <s v="GBP"/>
    <s v="Reviewed"/>
    <s v="Review revenue cloud demo update hypothesis (30 mins)"/>
    <s v="Not submitted"/>
    <n v="8"/>
    <x v="1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48110-2D5E-408D-89AA-8E7A19FE21D6}" name="PivotTable1" cacheId="14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9</v>
      </c>
      <c r="C6" s="9">
        <v>9</v>
      </c>
    </row>
    <row r="7" spans="1:10">
      <c r="A7" s="5" t="s">
        <v>16</v>
      </c>
      <c r="B7" s="9">
        <v>122.75</v>
      </c>
      <c r="C7" s="9">
        <v>122.75</v>
      </c>
    </row>
    <row r="8" spans="1:10">
      <c r="A8" s="5" t="s">
        <v>14</v>
      </c>
      <c r="B8" s="9">
        <v>131.75</v>
      </c>
      <c r="C8" s="9">
        <v>131.75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40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45495</v>
      </c>
      <c r="B7" t="s">
        <v>66</v>
      </c>
      <c r="C7" t="s">
        <v>47</v>
      </c>
      <c r="D7" t="s">
        <v>48</v>
      </c>
      <c r="E7" t="s">
        <v>67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15</v>
      </c>
      <c r="O7" t="s">
        <v>57</v>
      </c>
      <c r="P7">
        <v>274226</v>
      </c>
      <c r="Q7" t="s">
        <v>58</v>
      </c>
      <c r="R7" t="s">
        <v>59</v>
      </c>
      <c r="S7" t="s">
        <v>60</v>
      </c>
      <c r="T7">
        <v>0</v>
      </c>
      <c r="U7">
        <v>1</v>
      </c>
      <c r="V7" s="2">
        <v>4.1666666666666664E-2</v>
      </c>
      <c r="W7">
        <v>0</v>
      </c>
      <c r="AA7" t="s">
        <v>61</v>
      </c>
      <c r="AB7" t="s">
        <v>62</v>
      </c>
      <c r="AC7" t="s">
        <v>56</v>
      </c>
      <c r="AD7" t="s">
        <v>64</v>
      </c>
      <c r="AE7">
        <f t="shared" si="0"/>
        <v>7</v>
      </c>
      <c r="AF7" t="str">
        <f t="shared" si="1"/>
        <v>July</v>
      </c>
    </row>
    <row r="8" spans="1:32">
      <c r="A8" s="1">
        <v>45497</v>
      </c>
      <c r="B8" t="s">
        <v>66</v>
      </c>
      <c r="C8" t="s">
        <v>47</v>
      </c>
      <c r="D8" t="s">
        <v>48</v>
      </c>
      <c r="E8" t="s">
        <v>67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15</v>
      </c>
      <c r="O8" t="s">
        <v>57</v>
      </c>
      <c r="P8">
        <v>275372</v>
      </c>
      <c r="Q8" t="s">
        <v>58</v>
      </c>
      <c r="R8" t="s">
        <v>59</v>
      </c>
      <c r="S8" t="s">
        <v>60</v>
      </c>
      <c r="T8">
        <v>0</v>
      </c>
      <c r="U8">
        <v>1</v>
      </c>
      <c r="V8" s="2">
        <v>4.1666666666666664E-2</v>
      </c>
      <c r="W8">
        <v>0</v>
      </c>
      <c r="AA8" t="s">
        <v>61</v>
      </c>
      <c r="AB8" t="s">
        <v>62</v>
      </c>
      <c r="AC8" t="s">
        <v>56</v>
      </c>
      <c r="AD8" t="s">
        <v>64</v>
      </c>
      <c r="AE8">
        <f t="shared" si="0"/>
        <v>7</v>
      </c>
      <c r="AF8" t="str">
        <f t="shared" si="1"/>
        <v>July</v>
      </c>
    </row>
    <row r="9" spans="1:32">
      <c r="A9" s="1">
        <v>45502</v>
      </c>
      <c r="B9" t="s">
        <v>66</v>
      </c>
      <c r="C9" t="s">
        <v>47</v>
      </c>
      <c r="D9" t="s">
        <v>48</v>
      </c>
      <c r="E9" t="s">
        <v>67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15</v>
      </c>
      <c r="O9" t="s">
        <v>57</v>
      </c>
      <c r="P9">
        <v>277480</v>
      </c>
      <c r="Q9" t="s">
        <v>58</v>
      </c>
      <c r="R9" t="s">
        <v>59</v>
      </c>
      <c r="S9" t="s">
        <v>60</v>
      </c>
      <c r="T9">
        <v>0</v>
      </c>
      <c r="U9">
        <v>1</v>
      </c>
      <c r="V9" s="2">
        <v>4.1666666666666664E-2</v>
      </c>
      <c r="W9">
        <v>0</v>
      </c>
      <c r="AA9" t="s">
        <v>61</v>
      </c>
      <c r="AB9" t="s">
        <v>62</v>
      </c>
      <c r="AC9" t="s">
        <v>56</v>
      </c>
      <c r="AD9" t="s">
        <v>64</v>
      </c>
      <c r="AE9">
        <f t="shared" si="0"/>
        <v>7</v>
      </c>
      <c r="AF9" t="str">
        <f t="shared" si="1"/>
        <v>July</v>
      </c>
    </row>
    <row r="10" spans="1:32">
      <c r="A10" s="1">
        <v>45503</v>
      </c>
      <c r="B10" t="s">
        <v>66</v>
      </c>
      <c r="C10" t="s">
        <v>47</v>
      </c>
      <c r="D10" t="s">
        <v>48</v>
      </c>
      <c r="E10" t="s">
        <v>67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15</v>
      </c>
      <c r="O10" t="s">
        <v>57</v>
      </c>
      <c r="P10">
        <v>279016</v>
      </c>
      <c r="Q10" t="s">
        <v>58</v>
      </c>
      <c r="R10" t="s">
        <v>59</v>
      </c>
      <c r="S10" t="s">
        <v>60</v>
      </c>
      <c r="T10">
        <v>0</v>
      </c>
      <c r="U10">
        <v>1</v>
      </c>
      <c r="V10" s="2">
        <v>4.1666666666666664E-2</v>
      </c>
      <c r="W10">
        <v>0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7</v>
      </c>
      <c r="AF10" t="str">
        <f t="shared" si="1"/>
        <v>July</v>
      </c>
    </row>
    <row r="11" spans="1:32">
      <c r="A11" s="1">
        <v>45510</v>
      </c>
      <c r="B11" t="s">
        <v>66</v>
      </c>
      <c r="C11" t="s">
        <v>47</v>
      </c>
      <c r="D11" t="s">
        <v>48</v>
      </c>
      <c r="E11" t="s">
        <v>67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281244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8</v>
      </c>
      <c r="AF11" t="str">
        <f t="shared" si="1"/>
        <v>August</v>
      </c>
    </row>
    <row r="12" spans="1:32">
      <c r="A12" s="1">
        <v>45512</v>
      </c>
      <c r="B12" t="s">
        <v>66</v>
      </c>
      <c r="C12" t="s">
        <v>47</v>
      </c>
      <c r="D12" t="s">
        <v>48</v>
      </c>
      <c r="E12" t="s">
        <v>67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282408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8</v>
      </c>
      <c r="AF12" t="str">
        <f t="shared" si="1"/>
        <v>August</v>
      </c>
    </row>
    <row r="13" spans="1:32">
      <c r="A13" s="1">
        <v>45517</v>
      </c>
      <c r="B13" t="s">
        <v>66</v>
      </c>
      <c r="C13" t="s">
        <v>47</v>
      </c>
      <c r="D13" t="s">
        <v>48</v>
      </c>
      <c r="E13" t="s">
        <v>67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283718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8</v>
      </c>
      <c r="AF13" t="str">
        <f t="shared" si="1"/>
        <v>August</v>
      </c>
    </row>
    <row r="14" spans="1:32">
      <c r="A14" s="1">
        <v>45520</v>
      </c>
      <c r="B14" t="s">
        <v>66</v>
      </c>
      <c r="C14" t="s">
        <v>47</v>
      </c>
      <c r="D14" t="s">
        <v>48</v>
      </c>
      <c r="E14" t="s">
        <v>67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285346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8</v>
      </c>
      <c r="AF14" t="str">
        <f t="shared" si="1"/>
        <v>August</v>
      </c>
    </row>
    <row r="15" spans="1:32">
      <c r="A15" s="1">
        <v>45523</v>
      </c>
      <c r="B15" t="s">
        <v>66</v>
      </c>
      <c r="C15" t="s">
        <v>47</v>
      </c>
      <c r="D15" t="s">
        <v>48</v>
      </c>
      <c r="E15" t="s">
        <v>67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286276</v>
      </c>
      <c r="Q15" t="s">
        <v>58</v>
      </c>
      <c r="R15" t="s">
        <v>59</v>
      </c>
      <c r="S15" t="s">
        <v>60</v>
      </c>
      <c r="T15">
        <v>0</v>
      </c>
      <c r="U15">
        <v>1.5</v>
      </c>
      <c r="V15" s="2">
        <v>6.25E-2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8</v>
      </c>
      <c r="AF15" t="str">
        <f t="shared" si="1"/>
        <v>August</v>
      </c>
    </row>
    <row r="16" spans="1:32">
      <c r="A16" s="1">
        <v>45524</v>
      </c>
      <c r="B16" t="s">
        <v>66</v>
      </c>
      <c r="C16" t="s">
        <v>47</v>
      </c>
      <c r="D16" t="s">
        <v>48</v>
      </c>
      <c r="E16" t="s">
        <v>67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286737</v>
      </c>
      <c r="Q16" t="s">
        <v>58</v>
      </c>
      <c r="R16" t="s">
        <v>59</v>
      </c>
      <c r="S16" t="s">
        <v>60</v>
      </c>
      <c r="T16">
        <v>0</v>
      </c>
      <c r="U16">
        <v>1</v>
      </c>
      <c r="V16" s="2">
        <v>4.1666666666666664E-2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45526</v>
      </c>
      <c r="B17" t="s">
        <v>66</v>
      </c>
      <c r="C17" t="s">
        <v>47</v>
      </c>
      <c r="D17" t="s">
        <v>48</v>
      </c>
      <c r="E17" t="s">
        <v>67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287964</v>
      </c>
      <c r="Q17" t="s">
        <v>58</v>
      </c>
      <c r="R17" t="s">
        <v>59</v>
      </c>
      <c r="S17" t="s">
        <v>60</v>
      </c>
      <c r="T17">
        <v>0</v>
      </c>
      <c r="U17">
        <v>0.25</v>
      </c>
      <c r="V17" s="2">
        <v>1.0416666666666666E-2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45488</v>
      </c>
      <c r="B18" t="s">
        <v>16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68</v>
      </c>
      <c r="O18" t="s">
        <v>57</v>
      </c>
      <c r="P18">
        <v>271389</v>
      </c>
      <c r="Q18" t="s">
        <v>13</v>
      </c>
      <c r="R18" t="s">
        <v>7</v>
      </c>
      <c r="S18" t="s">
        <v>60</v>
      </c>
      <c r="T18">
        <v>90</v>
      </c>
      <c r="U18">
        <v>1</v>
      </c>
      <c r="V18" s="2">
        <v>4.1666666666666664E-2</v>
      </c>
      <c r="W18">
        <v>90</v>
      </c>
      <c r="X18">
        <v>120</v>
      </c>
      <c r="Y18">
        <v>30</v>
      </c>
      <c r="Z18" t="s">
        <v>69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7</v>
      </c>
      <c r="AF18" t="str">
        <f t="shared" si="1"/>
        <v>July</v>
      </c>
    </row>
    <row r="19" spans="1:32">
      <c r="A19" s="1">
        <v>45490</v>
      </c>
      <c r="B19" t="s">
        <v>16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68</v>
      </c>
      <c r="O19" t="s">
        <v>57</v>
      </c>
      <c r="P19">
        <v>272303</v>
      </c>
      <c r="Q19" t="s">
        <v>13</v>
      </c>
      <c r="R19" t="s">
        <v>7</v>
      </c>
      <c r="S19" t="s">
        <v>60</v>
      </c>
      <c r="T19">
        <v>90</v>
      </c>
      <c r="U19">
        <v>2</v>
      </c>
      <c r="V19" s="2">
        <v>8.3333333333333329E-2</v>
      </c>
      <c r="W19">
        <v>180</v>
      </c>
      <c r="X19">
        <v>240</v>
      </c>
      <c r="Y19">
        <v>60</v>
      </c>
      <c r="Z19" t="s">
        <v>69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7</v>
      </c>
      <c r="AF19" t="str">
        <f t="shared" si="1"/>
        <v>July</v>
      </c>
    </row>
    <row r="20" spans="1:32">
      <c r="A20" s="1">
        <v>45492</v>
      </c>
      <c r="B20" t="s">
        <v>16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68</v>
      </c>
      <c r="O20" t="s">
        <v>57</v>
      </c>
      <c r="P20">
        <v>273578</v>
      </c>
      <c r="Q20" t="s">
        <v>13</v>
      </c>
      <c r="R20" t="s">
        <v>7</v>
      </c>
      <c r="S20" t="s">
        <v>60</v>
      </c>
      <c r="T20">
        <v>90</v>
      </c>
      <c r="U20">
        <v>2.5</v>
      </c>
      <c r="V20" s="2">
        <v>0.10416666666666667</v>
      </c>
      <c r="W20">
        <v>225</v>
      </c>
      <c r="X20">
        <v>300</v>
      </c>
      <c r="Y20">
        <v>75</v>
      </c>
      <c r="Z20" t="s">
        <v>69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7</v>
      </c>
      <c r="AF20" t="str">
        <f t="shared" si="1"/>
        <v>July</v>
      </c>
    </row>
    <row r="21" spans="1:32">
      <c r="A21" s="1">
        <v>45495</v>
      </c>
      <c r="B21" t="s">
        <v>16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68</v>
      </c>
      <c r="O21" t="s">
        <v>57</v>
      </c>
      <c r="P21">
        <v>274383</v>
      </c>
      <c r="Q21" t="s">
        <v>13</v>
      </c>
      <c r="R21" t="s">
        <v>7</v>
      </c>
      <c r="S21" t="s">
        <v>60</v>
      </c>
      <c r="T21">
        <v>90</v>
      </c>
      <c r="U21">
        <v>1.75</v>
      </c>
      <c r="V21" s="2">
        <v>7.2916666666666671E-2</v>
      </c>
      <c r="W21">
        <v>157.5</v>
      </c>
      <c r="X21">
        <v>210</v>
      </c>
      <c r="Y21">
        <v>52.5</v>
      </c>
      <c r="Z21" t="s">
        <v>69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7</v>
      </c>
      <c r="AF21" t="str">
        <f t="shared" si="1"/>
        <v>July</v>
      </c>
    </row>
    <row r="22" spans="1:32">
      <c r="A22" s="1">
        <v>45496</v>
      </c>
      <c r="B22" t="s">
        <v>16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68</v>
      </c>
      <c r="O22" t="s">
        <v>57</v>
      </c>
      <c r="P22">
        <v>274985</v>
      </c>
      <c r="Q22" t="s">
        <v>13</v>
      </c>
      <c r="R22" t="s">
        <v>7</v>
      </c>
      <c r="S22" t="s">
        <v>60</v>
      </c>
      <c r="T22">
        <v>90</v>
      </c>
      <c r="U22">
        <v>5.5</v>
      </c>
      <c r="V22" s="2">
        <v>0.22916666666666666</v>
      </c>
      <c r="W22">
        <v>495</v>
      </c>
      <c r="X22">
        <v>660</v>
      </c>
      <c r="Y22">
        <v>165</v>
      </c>
      <c r="Z22" t="s">
        <v>69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7</v>
      </c>
      <c r="AF22" t="str">
        <f t="shared" ref="AF22:AF29" si="3">IF(AE22=7,"July",IF(AE22=8,"August",IF(AE22=9,"September",IF(AE22=10,"October",IF(AE22=11,"November")))))</f>
        <v>July</v>
      </c>
    </row>
    <row r="23" spans="1:32">
      <c r="A23" s="1">
        <v>45497</v>
      </c>
      <c r="B23" t="s">
        <v>16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68</v>
      </c>
      <c r="O23" t="s">
        <v>57</v>
      </c>
      <c r="P23">
        <v>275607</v>
      </c>
      <c r="Q23" t="s">
        <v>13</v>
      </c>
      <c r="R23" t="s">
        <v>7</v>
      </c>
      <c r="S23" t="s">
        <v>60</v>
      </c>
      <c r="T23">
        <v>90</v>
      </c>
      <c r="U23">
        <v>6.5</v>
      </c>
      <c r="V23" s="2">
        <v>0.27083333333333331</v>
      </c>
      <c r="W23">
        <v>585</v>
      </c>
      <c r="X23">
        <v>780</v>
      </c>
      <c r="Y23">
        <v>195</v>
      </c>
      <c r="Z23" t="s">
        <v>69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7</v>
      </c>
      <c r="AF23" t="str">
        <f t="shared" si="3"/>
        <v>July</v>
      </c>
    </row>
    <row r="24" spans="1:32">
      <c r="A24" s="1">
        <v>45498</v>
      </c>
      <c r="B24" t="s">
        <v>16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68</v>
      </c>
      <c r="O24" t="s">
        <v>57</v>
      </c>
      <c r="P24">
        <v>276158</v>
      </c>
      <c r="Q24" t="s">
        <v>13</v>
      </c>
      <c r="R24" t="s">
        <v>7</v>
      </c>
      <c r="S24" t="s">
        <v>60</v>
      </c>
      <c r="T24">
        <v>90</v>
      </c>
      <c r="U24">
        <v>5.75</v>
      </c>
      <c r="V24" s="2">
        <v>0.23958333333333334</v>
      </c>
      <c r="W24">
        <v>517.5</v>
      </c>
      <c r="X24">
        <v>690</v>
      </c>
      <c r="Y24">
        <v>172.5</v>
      </c>
      <c r="Z24" t="s">
        <v>69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7</v>
      </c>
      <c r="AF24" t="str">
        <f t="shared" si="3"/>
        <v>July</v>
      </c>
    </row>
    <row r="25" spans="1:32">
      <c r="A25" s="1">
        <v>45499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68</v>
      </c>
      <c r="O25" t="s">
        <v>57</v>
      </c>
      <c r="P25">
        <v>276159</v>
      </c>
      <c r="Q25" t="s">
        <v>13</v>
      </c>
      <c r="R25" t="s">
        <v>7</v>
      </c>
      <c r="S25" t="s">
        <v>60</v>
      </c>
      <c r="T25">
        <v>90</v>
      </c>
      <c r="U25">
        <v>1</v>
      </c>
      <c r="V25" s="2">
        <v>4.1666666666666664E-2</v>
      </c>
      <c r="W25">
        <v>90</v>
      </c>
      <c r="X25">
        <v>120</v>
      </c>
      <c r="Y25">
        <v>30</v>
      </c>
      <c r="Z25" t="s">
        <v>69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7</v>
      </c>
      <c r="AF25" t="str">
        <f t="shared" si="3"/>
        <v>July</v>
      </c>
    </row>
    <row r="26" spans="1:32">
      <c r="A26" s="1">
        <v>45502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68</v>
      </c>
      <c r="O26" t="s">
        <v>57</v>
      </c>
      <c r="P26">
        <v>277686</v>
      </c>
      <c r="Q26" t="s">
        <v>13</v>
      </c>
      <c r="R26" t="s">
        <v>7</v>
      </c>
      <c r="S26" t="s">
        <v>60</v>
      </c>
      <c r="T26">
        <v>90</v>
      </c>
      <c r="U26">
        <v>3.5</v>
      </c>
      <c r="V26" s="2">
        <v>0.14583333333333334</v>
      </c>
      <c r="W26">
        <v>315</v>
      </c>
      <c r="X26">
        <v>420</v>
      </c>
      <c r="Y26">
        <v>105</v>
      </c>
      <c r="Z26" t="s">
        <v>69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45503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68</v>
      </c>
      <c r="O27" t="s">
        <v>57</v>
      </c>
      <c r="P27">
        <v>278267</v>
      </c>
      <c r="Q27" t="s">
        <v>13</v>
      </c>
      <c r="R27" t="s">
        <v>7</v>
      </c>
      <c r="S27" t="s">
        <v>60</v>
      </c>
      <c r="T27">
        <v>90</v>
      </c>
      <c r="U27">
        <v>6</v>
      </c>
      <c r="V27" s="2">
        <v>0.25</v>
      </c>
      <c r="W27">
        <v>540</v>
      </c>
      <c r="X27">
        <v>720</v>
      </c>
      <c r="Y27">
        <v>180</v>
      </c>
      <c r="Z27" t="s">
        <v>69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45504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68</v>
      </c>
      <c r="O28" t="s">
        <v>57</v>
      </c>
      <c r="P28">
        <v>279226</v>
      </c>
      <c r="Q28" t="s">
        <v>13</v>
      </c>
      <c r="R28" t="s">
        <v>7</v>
      </c>
      <c r="S28" t="s">
        <v>60</v>
      </c>
      <c r="T28">
        <v>90</v>
      </c>
      <c r="U28">
        <v>1.75</v>
      </c>
      <c r="V28" s="2">
        <v>7.2916666666666671E-2</v>
      </c>
      <c r="W28">
        <v>157.5</v>
      </c>
      <c r="X28">
        <v>210</v>
      </c>
      <c r="Y28">
        <v>52.5</v>
      </c>
      <c r="Z28" t="s">
        <v>69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45505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68</v>
      </c>
      <c r="O29" t="s">
        <v>57</v>
      </c>
      <c r="P29">
        <v>280641</v>
      </c>
      <c r="Q29" t="s">
        <v>13</v>
      </c>
      <c r="R29" t="s">
        <v>7</v>
      </c>
      <c r="S29" t="s">
        <v>60</v>
      </c>
      <c r="T29">
        <v>90</v>
      </c>
      <c r="U29">
        <v>3.25</v>
      </c>
      <c r="V29" s="2">
        <v>0.13541666666666666</v>
      </c>
      <c r="W29">
        <v>292.5</v>
      </c>
      <c r="X29">
        <v>0</v>
      </c>
      <c r="Y29">
        <v>0</v>
      </c>
      <c r="Z29" t="s">
        <v>70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8</v>
      </c>
      <c r="AF29" t="str">
        <f t="shared" si="3"/>
        <v>August</v>
      </c>
    </row>
    <row r="30" spans="1:32">
      <c r="A30" s="1">
        <v>45509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68</v>
      </c>
      <c r="O30" t="s">
        <v>57</v>
      </c>
      <c r="P30">
        <v>281211</v>
      </c>
      <c r="Q30" t="s">
        <v>13</v>
      </c>
      <c r="R30" t="s">
        <v>7</v>
      </c>
      <c r="S30" t="s">
        <v>60</v>
      </c>
      <c r="T30">
        <v>90</v>
      </c>
      <c r="U30">
        <v>5.25</v>
      </c>
      <c r="V30" s="2">
        <v>0.21875</v>
      </c>
      <c r="W30">
        <v>472.5</v>
      </c>
      <c r="X30">
        <v>0</v>
      </c>
      <c r="Y30">
        <v>0</v>
      </c>
      <c r="Z30" t="s">
        <v>70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8</v>
      </c>
      <c r="AF30" t="str">
        <f t="shared" ref="AF30:AF42" si="5">IF(AE30=7,"July",IF(AE30=8,"August",IF(AE30=9,"September",IF(AE30=10,"October",IF(AE30=11,"November")))))</f>
        <v>August</v>
      </c>
    </row>
    <row r="31" spans="1:32">
      <c r="A31" s="1">
        <v>45510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68</v>
      </c>
      <c r="O31" t="s">
        <v>57</v>
      </c>
      <c r="P31">
        <v>281202</v>
      </c>
      <c r="Q31" t="s">
        <v>13</v>
      </c>
      <c r="R31" t="s">
        <v>7</v>
      </c>
      <c r="S31" t="s">
        <v>60</v>
      </c>
      <c r="T31">
        <v>90</v>
      </c>
      <c r="U31">
        <v>2</v>
      </c>
      <c r="V31" s="2">
        <v>8.3333333333333329E-2</v>
      </c>
      <c r="W31">
        <v>180</v>
      </c>
      <c r="X31">
        <v>0</v>
      </c>
      <c r="Y31">
        <v>0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8</v>
      </c>
      <c r="AF31" t="str">
        <f t="shared" si="5"/>
        <v>August</v>
      </c>
    </row>
    <row r="32" spans="1:32">
      <c r="A32" s="1">
        <v>45511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68</v>
      </c>
      <c r="O32" t="s">
        <v>57</v>
      </c>
      <c r="P32">
        <v>281207</v>
      </c>
      <c r="Q32" t="s">
        <v>13</v>
      </c>
      <c r="R32" t="s">
        <v>7</v>
      </c>
      <c r="S32" t="s">
        <v>60</v>
      </c>
      <c r="T32">
        <v>90</v>
      </c>
      <c r="U32">
        <v>3.5</v>
      </c>
      <c r="V32" s="2">
        <v>0.14583333333333334</v>
      </c>
      <c r="W32">
        <v>315</v>
      </c>
      <c r="X32">
        <v>0</v>
      </c>
      <c r="Y32">
        <v>0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8</v>
      </c>
      <c r="AF32" t="str">
        <f t="shared" si="5"/>
        <v>August</v>
      </c>
    </row>
    <row r="33" spans="1:32">
      <c r="A33" s="1">
        <v>45512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68</v>
      </c>
      <c r="O33" t="s">
        <v>57</v>
      </c>
      <c r="P33">
        <v>282661</v>
      </c>
      <c r="Q33" t="s">
        <v>13</v>
      </c>
      <c r="R33" t="s">
        <v>7</v>
      </c>
      <c r="S33" t="s">
        <v>60</v>
      </c>
      <c r="T33">
        <v>90</v>
      </c>
      <c r="U33">
        <v>1.5</v>
      </c>
      <c r="V33" s="2">
        <v>6.25E-2</v>
      </c>
      <c r="W33">
        <v>135</v>
      </c>
      <c r="X33">
        <v>0</v>
      </c>
      <c r="Y33">
        <v>0</v>
      </c>
      <c r="Z33" t="s">
        <v>70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8</v>
      </c>
      <c r="AF33" t="str">
        <f t="shared" si="5"/>
        <v>August</v>
      </c>
    </row>
    <row r="34" spans="1:32">
      <c r="A34" s="1">
        <v>45513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68</v>
      </c>
      <c r="O34" t="s">
        <v>57</v>
      </c>
      <c r="P34">
        <v>282916</v>
      </c>
      <c r="Q34" t="s">
        <v>13</v>
      </c>
      <c r="R34" t="s">
        <v>7</v>
      </c>
      <c r="S34" t="s">
        <v>60</v>
      </c>
      <c r="T34">
        <v>90</v>
      </c>
      <c r="U34">
        <v>7.5</v>
      </c>
      <c r="V34" s="2">
        <v>0.3125</v>
      </c>
      <c r="W34">
        <v>675</v>
      </c>
      <c r="X34">
        <v>0</v>
      </c>
      <c r="Y34">
        <v>0</v>
      </c>
      <c r="Z34" t="s">
        <v>70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8</v>
      </c>
      <c r="AF34" t="str">
        <f t="shared" si="5"/>
        <v>August</v>
      </c>
    </row>
    <row r="35" spans="1:32">
      <c r="A35" s="1">
        <v>45516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68</v>
      </c>
      <c r="O35" t="s">
        <v>57</v>
      </c>
      <c r="P35">
        <v>283453</v>
      </c>
      <c r="Q35" t="s">
        <v>13</v>
      </c>
      <c r="R35" t="s">
        <v>7</v>
      </c>
      <c r="S35" t="s">
        <v>60</v>
      </c>
      <c r="T35">
        <v>90</v>
      </c>
      <c r="U35">
        <v>2.5</v>
      </c>
      <c r="V35" s="2">
        <v>0.10416666666666667</v>
      </c>
      <c r="W35">
        <v>225</v>
      </c>
      <c r="X35">
        <v>0</v>
      </c>
      <c r="Y35">
        <v>0</v>
      </c>
      <c r="Z35" t="s">
        <v>70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8</v>
      </c>
      <c r="AF35" t="str">
        <f t="shared" si="5"/>
        <v>August</v>
      </c>
    </row>
    <row r="36" spans="1:32">
      <c r="A36" s="1">
        <v>45517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68</v>
      </c>
      <c r="O36" t="s">
        <v>57</v>
      </c>
      <c r="P36">
        <v>283950</v>
      </c>
      <c r="Q36" t="s">
        <v>13</v>
      </c>
      <c r="R36" t="s">
        <v>7</v>
      </c>
      <c r="S36" t="s">
        <v>60</v>
      </c>
      <c r="T36">
        <v>90</v>
      </c>
      <c r="U36">
        <v>4.25</v>
      </c>
      <c r="V36" s="2">
        <v>0.17708333333333334</v>
      </c>
      <c r="W36">
        <v>382.5</v>
      </c>
      <c r="X36">
        <v>0</v>
      </c>
      <c r="Y36">
        <v>0</v>
      </c>
      <c r="Z36" t="s">
        <v>70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8</v>
      </c>
      <c r="AF36" t="str">
        <f t="shared" si="5"/>
        <v>August</v>
      </c>
    </row>
    <row r="37" spans="1:32">
      <c r="A37" s="1">
        <v>45518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68</v>
      </c>
      <c r="O37" t="s">
        <v>57</v>
      </c>
      <c r="P37">
        <v>284488</v>
      </c>
      <c r="Q37" t="s">
        <v>13</v>
      </c>
      <c r="R37" t="s">
        <v>7</v>
      </c>
      <c r="S37" t="s">
        <v>60</v>
      </c>
      <c r="T37">
        <v>90</v>
      </c>
      <c r="U37">
        <v>4.5</v>
      </c>
      <c r="V37" s="2">
        <v>0.1875</v>
      </c>
      <c r="W37">
        <v>405</v>
      </c>
      <c r="X37">
        <v>0</v>
      </c>
      <c r="Y37">
        <v>0</v>
      </c>
      <c r="Z37" t="s">
        <v>70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8</v>
      </c>
      <c r="AF37" t="str">
        <f t="shared" si="5"/>
        <v>August</v>
      </c>
    </row>
    <row r="38" spans="1:32">
      <c r="A38" s="1">
        <v>45519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68</v>
      </c>
      <c r="O38" t="s">
        <v>57</v>
      </c>
      <c r="P38">
        <v>284984</v>
      </c>
      <c r="Q38" t="s">
        <v>13</v>
      </c>
      <c r="R38" t="s">
        <v>7</v>
      </c>
      <c r="S38" t="s">
        <v>60</v>
      </c>
      <c r="T38">
        <v>90</v>
      </c>
      <c r="U38">
        <v>6.5</v>
      </c>
      <c r="V38" s="2">
        <v>0.27083333333333331</v>
      </c>
      <c r="W38">
        <v>585</v>
      </c>
      <c r="X38">
        <v>0</v>
      </c>
      <c r="Y38">
        <v>0</v>
      </c>
      <c r="Z38" t="s">
        <v>70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8</v>
      </c>
      <c r="AF38" t="str">
        <f t="shared" si="5"/>
        <v>August</v>
      </c>
    </row>
    <row r="39" spans="1:32">
      <c r="A39" s="1">
        <v>45520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68</v>
      </c>
      <c r="O39" t="s">
        <v>57</v>
      </c>
      <c r="P39">
        <v>285665</v>
      </c>
      <c r="Q39" t="s">
        <v>13</v>
      </c>
      <c r="R39" t="s">
        <v>7</v>
      </c>
      <c r="S39" t="s">
        <v>60</v>
      </c>
      <c r="T39">
        <v>90</v>
      </c>
      <c r="U39">
        <v>6.5</v>
      </c>
      <c r="V39" s="2">
        <v>0.27083333333333331</v>
      </c>
      <c r="W39">
        <v>585</v>
      </c>
      <c r="X39">
        <v>0</v>
      </c>
      <c r="Y39">
        <v>0</v>
      </c>
      <c r="Z39" t="s">
        <v>70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45523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68</v>
      </c>
      <c r="O40" t="s">
        <v>57</v>
      </c>
      <c r="P40">
        <v>286972</v>
      </c>
      <c r="Q40" t="s">
        <v>13</v>
      </c>
      <c r="R40" t="s">
        <v>7</v>
      </c>
      <c r="S40" t="s">
        <v>60</v>
      </c>
      <c r="T40">
        <v>90</v>
      </c>
      <c r="U40">
        <v>7.25</v>
      </c>
      <c r="V40" s="2">
        <v>0.30208333333333331</v>
      </c>
      <c r="W40">
        <v>652.5</v>
      </c>
      <c r="X40">
        <v>0</v>
      </c>
      <c r="Y40">
        <v>0</v>
      </c>
      <c r="Z40" t="s">
        <v>70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45524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68</v>
      </c>
      <c r="O41" t="s">
        <v>57</v>
      </c>
      <c r="P41">
        <v>286979</v>
      </c>
      <c r="Q41" t="s">
        <v>13</v>
      </c>
      <c r="R41" t="s">
        <v>7</v>
      </c>
      <c r="S41" t="s">
        <v>60</v>
      </c>
      <c r="T41">
        <v>90</v>
      </c>
      <c r="U41">
        <v>5.25</v>
      </c>
      <c r="V41" s="2">
        <v>0.21875</v>
      </c>
      <c r="W41">
        <v>472.5</v>
      </c>
      <c r="X41">
        <v>0</v>
      </c>
      <c r="Y41">
        <v>0</v>
      </c>
      <c r="Z41" t="s">
        <v>70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45525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68</v>
      </c>
      <c r="O42" t="s">
        <v>57</v>
      </c>
      <c r="P42">
        <v>287571</v>
      </c>
      <c r="Q42" t="s">
        <v>13</v>
      </c>
      <c r="R42" t="s">
        <v>7</v>
      </c>
      <c r="S42" t="s">
        <v>60</v>
      </c>
      <c r="T42">
        <v>90</v>
      </c>
      <c r="U42">
        <v>6.5</v>
      </c>
      <c r="V42" s="2">
        <v>0.27083333333333331</v>
      </c>
      <c r="W42">
        <v>585</v>
      </c>
      <c r="X42">
        <v>0</v>
      </c>
      <c r="Y42">
        <v>0</v>
      </c>
      <c r="Z42" t="s">
        <v>70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45526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68</v>
      </c>
      <c r="O43" t="s">
        <v>57</v>
      </c>
      <c r="P43">
        <v>288084</v>
      </c>
      <c r="Q43" t="s">
        <v>13</v>
      </c>
      <c r="R43" t="s">
        <v>7</v>
      </c>
      <c r="S43" t="s">
        <v>60</v>
      </c>
      <c r="T43">
        <v>90</v>
      </c>
      <c r="U43">
        <v>7.5</v>
      </c>
      <c r="V43" s="2">
        <v>0.3125</v>
      </c>
      <c r="W43">
        <v>675</v>
      </c>
      <c r="X43">
        <v>0</v>
      </c>
      <c r="Y43">
        <v>0</v>
      </c>
      <c r="Z43" t="s">
        <v>70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45527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68</v>
      </c>
      <c r="O44" t="s">
        <v>57</v>
      </c>
      <c r="P44">
        <v>288693</v>
      </c>
      <c r="Q44" t="s">
        <v>13</v>
      </c>
      <c r="R44" t="s">
        <v>7</v>
      </c>
      <c r="S44" t="s">
        <v>60</v>
      </c>
      <c r="T44">
        <v>90</v>
      </c>
      <c r="U44">
        <v>4.5</v>
      </c>
      <c r="V44" s="2">
        <v>0.1875</v>
      </c>
      <c r="W44">
        <v>405</v>
      </c>
      <c r="X44">
        <v>0</v>
      </c>
      <c r="Y44">
        <v>0</v>
      </c>
      <c r="Z44" t="s">
        <v>70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45530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68</v>
      </c>
      <c r="O45" t="s">
        <v>57</v>
      </c>
      <c r="P45">
        <v>289213</v>
      </c>
      <c r="Q45" t="s">
        <v>13</v>
      </c>
      <c r="R45" t="s">
        <v>7</v>
      </c>
      <c r="S45" t="s">
        <v>60</v>
      </c>
      <c r="T45">
        <v>90</v>
      </c>
      <c r="U45">
        <v>3</v>
      </c>
      <c r="V45" s="2">
        <v>0.125</v>
      </c>
      <c r="W45">
        <v>270</v>
      </c>
      <c r="X45">
        <v>0</v>
      </c>
      <c r="Y45">
        <v>0</v>
      </c>
      <c r="Z45" t="s">
        <v>70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45531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68</v>
      </c>
      <c r="O46" t="s">
        <v>57</v>
      </c>
      <c r="P46">
        <v>289844</v>
      </c>
      <c r="Q46" t="s">
        <v>13</v>
      </c>
      <c r="R46" t="s">
        <v>7</v>
      </c>
      <c r="S46" t="s">
        <v>60</v>
      </c>
      <c r="T46">
        <v>90</v>
      </c>
      <c r="U46">
        <v>0.75</v>
      </c>
      <c r="V46" s="2">
        <v>3.125E-2</v>
      </c>
      <c r="W46">
        <v>67.5</v>
      </c>
      <c r="X46">
        <v>0</v>
      </c>
      <c r="Y46">
        <v>0</v>
      </c>
      <c r="Z46" t="s">
        <v>70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45532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68</v>
      </c>
      <c r="O47" t="s">
        <v>57</v>
      </c>
      <c r="P47">
        <v>290443</v>
      </c>
      <c r="Q47" t="s">
        <v>13</v>
      </c>
      <c r="R47" t="s">
        <v>7</v>
      </c>
      <c r="S47" t="s">
        <v>60</v>
      </c>
      <c r="T47">
        <v>90</v>
      </c>
      <c r="U47">
        <v>0.75</v>
      </c>
      <c r="V47" s="2">
        <v>3.125E-2</v>
      </c>
      <c r="W47">
        <v>67.5</v>
      </c>
      <c r="X47">
        <v>0</v>
      </c>
      <c r="Y47">
        <v>0</v>
      </c>
      <c r="Z47" t="s">
        <v>70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45533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68</v>
      </c>
      <c r="O48" t="s">
        <v>57</v>
      </c>
      <c r="P48">
        <v>291118</v>
      </c>
      <c r="Q48" t="s">
        <v>13</v>
      </c>
      <c r="R48" t="s">
        <v>7</v>
      </c>
      <c r="S48" t="s">
        <v>60</v>
      </c>
      <c r="T48">
        <v>90</v>
      </c>
      <c r="U48">
        <v>0.75</v>
      </c>
      <c r="V48" s="2">
        <v>3.125E-2</v>
      </c>
      <c r="W48">
        <v>67.5</v>
      </c>
      <c r="X48">
        <v>0</v>
      </c>
      <c r="Y48">
        <v>0</v>
      </c>
      <c r="Z48" t="s">
        <v>70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45534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68</v>
      </c>
      <c r="O49" t="s">
        <v>57</v>
      </c>
      <c r="P49">
        <v>291480</v>
      </c>
      <c r="Q49" t="s">
        <v>13</v>
      </c>
      <c r="R49" t="s">
        <v>7</v>
      </c>
      <c r="S49" t="s">
        <v>60</v>
      </c>
      <c r="T49">
        <v>90</v>
      </c>
      <c r="U49">
        <v>2</v>
      </c>
      <c r="V49" s="2">
        <v>8.3333333333333329E-2</v>
      </c>
      <c r="W49">
        <v>180</v>
      </c>
      <c r="X49">
        <v>0</v>
      </c>
      <c r="Y49">
        <v>0</v>
      </c>
      <c r="Z49" t="s">
        <v>70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45483</v>
      </c>
      <c r="B50" t="s">
        <v>15</v>
      </c>
      <c r="C50" t="s">
        <v>47</v>
      </c>
      <c r="D50" t="s">
        <v>48</v>
      </c>
      <c r="E50" t="s">
        <v>67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56</v>
      </c>
      <c r="O50" t="s">
        <v>57</v>
      </c>
      <c r="P50">
        <v>270729</v>
      </c>
      <c r="Q50" t="s">
        <v>13</v>
      </c>
      <c r="R50" t="s">
        <v>7</v>
      </c>
      <c r="S50" t="s">
        <v>60</v>
      </c>
      <c r="T50">
        <v>90</v>
      </c>
      <c r="U50">
        <v>0.5</v>
      </c>
      <c r="V50" s="2">
        <v>2.0833333333333332E-2</v>
      </c>
      <c r="W50">
        <v>45</v>
      </c>
      <c r="X50">
        <v>60</v>
      </c>
      <c r="Y50">
        <v>15</v>
      </c>
      <c r="Z50" t="s">
        <v>69</v>
      </c>
      <c r="AA50" t="s">
        <v>61</v>
      </c>
      <c r="AB50" t="s">
        <v>62</v>
      </c>
      <c r="AC50" t="s">
        <v>71</v>
      </c>
      <c r="AD50" t="s">
        <v>64</v>
      </c>
      <c r="AE50">
        <f t="shared" si="6"/>
        <v>7</v>
      </c>
      <c r="AF50" t="str">
        <f t="shared" si="7"/>
        <v>July</v>
      </c>
    </row>
    <row r="51" spans="1:32">
      <c r="A51" s="1">
        <v>45495</v>
      </c>
      <c r="B51" t="s">
        <v>15</v>
      </c>
      <c r="C51" t="s">
        <v>47</v>
      </c>
      <c r="D51" t="s">
        <v>48</v>
      </c>
      <c r="E51" t="s">
        <v>67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56</v>
      </c>
      <c r="O51" t="s">
        <v>57</v>
      </c>
      <c r="P51">
        <v>277287</v>
      </c>
      <c r="Q51" t="s">
        <v>13</v>
      </c>
      <c r="R51" t="s">
        <v>7</v>
      </c>
      <c r="S51" t="s">
        <v>60</v>
      </c>
      <c r="T51">
        <v>90</v>
      </c>
      <c r="U51">
        <v>1</v>
      </c>
      <c r="V51" s="2">
        <v>4.1666666666666664E-2</v>
      </c>
      <c r="W51">
        <v>90</v>
      </c>
      <c r="X51">
        <v>120</v>
      </c>
      <c r="Y51">
        <v>30</v>
      </c>
      <c r="Z51" t="s">
        <v>69</v>
      </c>
      <c r="AA51" t="s">
        <v>61</v>
      </c>
      <c r="AB51" t="s">
        <v>62</v>
      </c>
      <c r="AC51" t="s">
        <v>72</v>
      </c>
      <c r="AD51" t="s">
        <v>64</v>
      </c>
      <c r="AE51">
        <f t="shared" si="6"/>
        <v>7</v>
      </c>
      <c r="AF51" t="str">
        <f t="shared" si="7"/>
        <v>July</v>
      </c>
    </row>
    <row r="52" spans="1:32">
      <c r="A52" s="1">
        <v>45502</v>
      </c>
      <c r="B52" t="s">
        <v>15</v>
      </c>
      <c r="C52" t="s">
        <v>47</v>
      </c>
      <c r="D52" t="s">
        <v>48</v>
      </c>
      <c r="E52" t="s">
        <v>67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56</v>
      </c>
      <c r="O52" t="s">
        <v>57</v>
      </c>
      <c r="P52">
        <v>278847</v>
      </c>
      <c r="Q52" t="s">
        <v>13</v>
      </c>
      <c r="R52" t="s">
        <v>7</v>
      </c>
      <c r="S52" t="s">
        <v>60</v>
      </c>
      <c r="T52">
        <v>90</v>
      </c>
      <c r="U52">
        <v>1</v>
      </c>
      <c r="V52" s="2">
        <v>4.1666666666666664E-2</v>
      </c>
      <c r="W52">
        <v>90</v>
      </c>
      <c r="X52">
        <v>120</v>
      </c>
      <c r="Y52">
        <v>30</v>
      </c>
      <c r="Z52" t="s">
        <v>69</v>
      </c>
      <c r="AA52" t="s">
        <v>61</v>
      </c>
      <c r="AB52" t="s">
        <v>62</v>
      </c>
      <c r="AC52" t="s">
        <v>73</v>
      </c>
      <c r="AD52" t="s">
        <v>64</v>
      </c>
      <c r="AE52">
        <f t="shared" si="6"/>
        <v>7</v>
      </c>
      <c r="AF52" t="str">
        <f t="shared" si="7"/>
        <v>July</v>
      </c>
    </row>
    <row r="53" spans="1:32">
      <c r="A53" s="1">
        <v>45503</v>
      </c>
      <c r="B53" t="s">
        <v>15</v>
      </c>
      <c r="C53" t="s">
        <v>47</v>
      </c>
      <c r="D53" t="s">
        <v>48</v>
      </c>
      <c r="E53" t="s">
        <v>67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56</v>
      </c>
      <c r="O53" t="s">
        <v>57</v>
      </c>
      <c r="P53">
        <v>278848</v>
      </c>
      <c r="Q53" t="s">
        <v>13</v>
      </c>
      <c r="R53" t="s">
        <v>7</v>
      </c>
      <c r="S53" t="s">
        <v>60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69</v>
      </c>
      <c r="AA53" t="s">
        <v>61</v>
      </c>
      <c r="AB53" t="s">
        <v>62</v>
      </c>
      <c r="AC53" t="s">
        <v>74</v>
      </c>
      <c r="AD53" t="s">
        <v>64</v>
      </c>
      <c r="AE53">
        <f t="shared" si="6"/>
        <v>7</v>
      </c>
      <c r="AF53" t="str">
        <f t="shared" si="7"/>
        <v>July</v>
      </c>
    </row>
    <row r="54" spans="1:32">
      <c r="A54" s="1">
        <v>45504</v>
      </c>
      <c r="B54" t="s">
        <v>15</v>
      </c>
      <c r="C54" t="s">
        <v>47</v>
      </c>
      <c r="D54" t="s">
        <v>48</v>
      </c>
      <c r="E54" t="s">
        <v>67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56</v>
      </c>
      <c r="O54" t="s">
        <v>57</v>
      </c>
      <c r="P54">
        <v>278849</v>
      </c>
      <c r="Q54" t="s">
        <v>13</v>
      </c>
      <c r="R54" t="s">
        <v>7</v>
      </c>
      <c r="S54" t="s">
        <v>60</v>
      </c>
      <c r="T54">
        <v>90</v>
      </c>
      <c r="U54">
        <v>1</v>
      </c>
      <c r="V54" s="2">
        <v>4.1666666666666664E-2</v>
      </c>
      <c r="W54">
        <v>90</v>
      </c>
      <c r="X54">
        <v>120</v>
      </c>
      <c r="Y54">
        <v>30</v>
      </c>
      <c r="Z54" t="s">
        <v>69</v>
      </c>
      <c r="AA54" t="s">
        <v>61</v>
      </c>
      <c r="AB54" t="s">
        <v>62</v>
      </c>
      <c r="AC54" t="s">
        <v>75</v>
      </c>
      <c r="AD54" t="s">
        <v>64</v>
      </c>
      <c r="AE54">
        <f t="shared" si="6"/>
        <v>7</v>
      </c>
      <c r="AF54" t="str">
        <f t="shared" si="7"/>
        <v>July</v>
      </c>
    </row>
    <row r="55" spans="1:32">
      <c r="A55" s="1">
        <v>45512</v>
      </c>
      <c r="B55" t="s">
        <v>15</v>
      </c>
      <c r="C55" t="s">
        <v>47</v>
      </c>
      <c r="D55" t="s">
        <v>48</v>
      </c>
      <c r="E55" t="s">
        <v>67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56</v>
      </c>
      <c r="O55" t="s">
        <v>57</v>
      </c>
      <c r="P55">
        <v>282977</v>
      </c>
      <c r="Q55" t="s">
        <v>13</v>
      </c>
      <c r="R55" t="s">
        <v>7</v>
      </c>
      <c r="S55" t="s">
        <v>60</v>
      </c>
      <c r="T55">
        <v>90</v>
      </c>
      <c r="U55">
        <v>1</v>
      </c>
      <c r="V55" s="2">
        <v>4.1666666666666664E-2</v>
      </c>
      <c r="W55">
        <v>90</v>
      </c>
      <c r="X55">
        <v>0</v>
      </c>
      <c r="Y55">
        <v>0</v>
      </c>
      <c r="Z55" t="s">
        <v>70</v>
      </c>
      <c r="AA55" t="s">
        <v>61</v>
      </c>
      <c r="AB55" t="s">
        <v>62</v>
      </c>
      <c r="AC55" t="s">
        <v>76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45517</v>
      </c>
      <c r="B56" t="s">
        <v>15</v>
      </c>
      <c r="C56" t="s">
        <v>47</v>
      </c>
      <c r="D56" t="s">
        <v>48</v>
      </c>
      <c r="E56" t="s">
        <v>67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56</v>
      </c>
      <c r="O56" t="s">
        <v>57</v>
      </c>
      <c r="P56">
        <v>286511</v>
      </c>
      <c r="Q56" t="s">
        <v>13</v>
      </c>
      <c r="R56" t="s">
        <v>7</v>
      </c>
      <c r="S56" t="s">
        <v>60</v>
      </c>
      <c r="T56">
        <v>90</v>
      </c>
      <c r="U56">
        <v>0.5</v>
      </c>
      <c r="V56" s="2">
        <v>2.0833333333333332E-2</v>
      </c>
      <c r="W56">
        <v>45</v>
      </c>
      <c r="X56">
        <v>0</v>
      </c>
      <c r="Y56">
        <v>0</v>
      </c>
      <c r="Z56" t="s">
        <v>70</v>
      </c>
      <c r="AA56" t="s">
        <v>61</v>
      </c>
      <c r="AB56" t="s">
        <v>62</v>
      </c>
      <c r="AC56" t="s">
        <v>77</v>
      </c>
      <c r="AD56" t="s">
        <v>64</v>
      </c>
      <c r="AE56">
        <f t="shared" si="6"/>
        <v>8</v>
      </c>
      <c r="AF56" t="str">
        <f t="shared" si="7"/>
        <v>August</v>
      </c>
    </row>
    <row r="57" spans="1:32">
      <c r="A57" s="1">
        <v>45520</v>
      </c>
      <c r="B57" t="s">
        <v>15</v>
      </c>
      <c r="C57" t="s">
        <v>47</v>
      </c>
      <c r="D57" t="s">
        <v>48</v>
      </c>
      <c r="E57" t="s">
        <v>67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56</v>
      </c>
      <c r="O57" t="s">
        <v>57</v>
      </c>
      <c r="P57">
        <v>286523</v>
      </c>
      <c r="Q57" t="s">
        <v>13</v>
      </c>
      <c r="R57" t="s">
        <v>7</v>
      </c>
      <c r="S57" t="s">
        <v>60</v>
      </c>
      <c r="T57">
        <v>90</v>
      </c>
      <c r="U57">
        <v>1</v>
      </c>
      <c r="V57" s="2">
        <v>4.1666666666666664E-2</v>
      </c>
      <c r="W57">
        <v>90</v>
      </c>
      <c r="X57">
        <v>0</v>
      </c>
      <c r="Y57">
        <v>0</v>
      </c>
      <c r="Z57" t="s">
        <v>70</v>
      </c>
      <c r="AA57" t="s">
        <v>61</v>
      </c>
      <c r="AB57" t="s">
        <v>62</v>
      </c>
      <c r="AC57" t="s">
        <v>78</v>
      </c>
      <c r="AD57" t="s">
        <v>64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>
      <c r="A58" s="1">
        <v>45523</v>
      </c>
      <c r="B58" t="s">
        <v>15</v>
      </c>
      <c r="C58" t="s">
        <v>47</v>
      </c>
      <c r="D58" t="s">
        <v>48</v>
      </c>
      <c r="E58" t="s">
        <v>67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56</v>
      </c>
      <c r="O58" t="s">
        <v>57</v>
      </c>
      <c r="P58">
        <v>289012</v>
      </c>
      <c r="Q58" t="s">
        <v>13</v>
      </c>
      <c r="R58" t="s">
        <v>7</v>
      </c>
      <c r="S58" t="s">
        <v>60</v>
      </c>
      <c r="T58">
        <v>90</v>
      </c>
      <c r="U58">
        <v>1</v>
      </c>
      <c r="V58" s="2">
        <v>4.1666666666666664E-2</v>
      </c>
      <c r="W58">
        <v>90</v>
      </c>
      <c r="X58">
        <v>0</v>
      </c>
      <c r="Y58">
        <v>0</v>
      </c>
      <c r="Z58" t="s">
        <v>70</v>
      </c>
      <c r="AA58" t="s">
        <v>61</v>
      </c>
      <c r="AB58" t="s">
        <v>62</v>
      </c>
      <c r="AC58" t="s">
        <v>79</v>
      </c>
      <c r="AD58" t="s">
        <v>64</v>
      </c>
      <c r="AE58">
        <f t="shared" si="8"/>
        <v>8</v>
      </c>
      <c r="AF58" t="str">
        <f t="shared" si="9"/>
        <v>August</v>
      </c>
    </row>
    <row r="59" spans="1:32">
      <c r="A59" s="1">
        <v>45524</v>
      </c>
      <c r="B59" t="s">
        <v>15</v>
      </c>
      <c r="C59" t="s">
        <v>47</v>
      </c>
      <c r="D59" t="s">
        <v>48</v>
      </c>
      <c r="E59" t="s">
        <v>67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56</v>
      </c>
      <c r="O59" t="s">
        <v>57</v>
      </c>
      <c r="P59">
        <v>289028</v>
      </c>
      <c r="Q59" t="s">
        <v>13</v>
      </c>
      <c r="R59" t="s">
        <v>7</v>
      </c>
      <c r="S59" t="s">
        <v>60</v>
      </c>
      <c r="T59">
        <v>90</v>
      </c>
      <c r="U59">
        <v>0.5</v>
      </c>
      <c r="V59" s="2">
        <v>2.0833333333333332E-2</v>
      </c>
      <c r="W59">
        <v>45</v>
      </c>
      <c r="X59">
        <v>0</v>
      </c>
      <c r="Y59">
        <v>0</v>
      </c>
      <c r="Z59" t="s">
        <v>70</v>
      </c>
      <c r="AA59" t="s">
        <v>61</v>
      </c>
      <c r="AB59" t="s">
        <v>62</v>
      </c>
      <c r="AC59" t="s">
        <v>80</v>
      </c>
      <c r="AD59" t="s">
        <v>64</v>
      </c>
      <c r="AE59">
        <f t="shared" si="8"/>
        <v>8</v>
      </c>
      <c r="AF59" t="str">
        <f t="shared" si="9"/>
        <v>August</v>
      </c>
    </row>
    <row r="60" spans="1:32">
      <c r="A60" s="1">
        <v>45526</v>
      </c>
      <c r="B60" t="s">
        <v>15</v>
      </c>
      <c r="C60" t="s">
        <v>47</v>
      </c>
      <c r="D60" t="s">
        <v>48</v>
      </c>
      <c r="E60" t="s">
        <v>67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56</v>
      </c>
      <c r="O60" t="s">
        <v>57</v>
      </c>
      <c r="P60">
        <v>289258</v>
      </c>
      <c r="Q60" t="s">
        <v>13</v>
      </c>
      <c r="R60" t="s">
        <v>7</v>
      </c>
      <c r="S60" t="s">
        <v>60</v>
      </c>
      <c r="T60">
        <v>90</v>
      </c>
      <c r="U60">
        <v>0.5</v>
      </c>
      <c r="V60" s="2">
        <v>2.0833333333333332E-2</v>
      </c>
      <c r="W60">
        <v>45</v>
      </c>
      <c r="X60">
        <v>0</v>
      </c>
      <c r="Y60">
        <v>0</v>
      </c>
      <c r="Z60" t="s">
        <v>70</v>
      </c>
      <c r="AA60" t="s">
        <v>61</v>
      </c>
      <c r="AB60" t="s">
        <v>62</v>
      </c>
      <c r="AC60" t="s">
        <v>81</v>
      </c>
      <c r="AD60" t="s">
        <v>64</v>
      </c>
      <c r="AE60">
        <f t="shared" si="8"/>
        <v>8</v>
      </c>
      <c r="AF60" t="str">
        <f t="shared" si="9"/>
        <v>August</v>
      </c>
    </row>
    <row r="61" spans="1:32">
      <c r="A61" s="1">
        <v>45488</v>
      </c>
      <c r="B61" t="s">
        <v>55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56</v>
      </c>
      <c r="O61" t="s">
        <v>57</v>
      </c>
      <c r="P61">
        <v>271457</v>
      </c>
      <c r="Q61" t="s">
        <v>58</v>
      </c>
      <c r="R61" t="s">
        <v>59</v>
      </c>
      <c r="S61" t="s">
        <v>60</v>
      </c>
      <c r="T61">
        <v>0</v>
      </c>
      <c r="U61">
        <v>1</v>
      </c>
      <c r="V61" s="2">
        <v>4.1666666666666664E-2</v>
      </c>
      <c r="W61">
        <v>0</v>
      </c>
      <c r="AA61" t="s">
        <v>61</v>
      </c>
      <c r="AB61" t="s">
        <v>62</v>
      </c>
      <c r="AC61" t="s">
        <v>56</v>
      </c>
      <c r="AD61" t="s">
        <v>64</v>
      </c>
      <c r="AE61">
        <f t="shared" si="8"/>
        <v>7</v>
      </c>
      <c r="AF61" t="str">
        <f t="shared" si="9"/>
        <v>July</v>
      </c>
    </row>
    <row r="62" spans="1:32">
      <c r="A62" s="1">
        <v>45489</v>
      </c>
      <c r="B62" t="s">
        <v>55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56</v>
      </c>
      <c r="O62" t="s">
        <v>57</v>
      </c>
      <c r="P62">
        <v>271998</v>
      </c>
      <c r="Q62" t="s">
        <v>58</v>
      </c>
      <c r="R62" t="s">
        <v>59</v>
      </c>
      <c r="S62" t="s">
        <v>60</v>
      </c>
      <c r="T62">
        <v>0</v>
      </c>
      <c r="U62">
        <v>0.75</v>
      </c>
      <c r="V62" s="2">
        <v>3.125E-2</v>
      </c>
      <c r="W62">
        <v>0</v>
      </c>
      <c r="AA62" t="s">
        <v>61</v>
      </c>
      <c r="AB62" t="s">
        <v>62</v>
      </c>
      <c r="AC62" t="s">
        <v>56</v>
      </c>
      <c r="AD62" t="s">
        <v>64</v>
      </c>
      <c r="AE62">
        <f t="shared" si="8"/>
        <v>7</v>
      </c>
      <c r="AF62" t="str">
        <f t="shared" si="9"/>
        <v>July</v>
      </c>
    </row>
    <row r="63" spans="1:32">
      <c r="A63" s="1">
        <v>45490</v>
      </c>
      <c r="B63" t="s">
        <v>55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56</v>
      </c>
      <c r="O63" t="s">
        <v>57</v>
      </c>
      <c r="P63">
        <v>272503</v>
      </c>
      <c r="Q63" t="s">
        <v>58</v>
      </c>
      <c r="R63" t="s">
        <v>59</v>
      </c>
      <c r="S63" t="s">
        <v>60</v>
      </c>
      <c r="T63">
        <v>0</v>
      </c>
      <c r="U63">
        <v>0.75</v>
      </c>
      <c r="V63" s="2">
        <v>3.125E-2</v>
      </c>
      <c r="W63">
        <v>0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7</v>
      </c>
      <c r="AF63" t="str">
        <f t="shared" si="9"/>
        <v>July</v>
      </c>
    </row>
    <row r="64" spans="1:32">
      <c r="A64" s="1">
        <v>45491</v>
      </c>
      <c r="B64" t="s">
        <v>55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56</v>
      </c>
      <c r="O64" t="s">
        <v>57</v>
      </c>
      <c r="P64">
        <v>273045</v>
      </c>
      <c r="Q64" t="s">
        <v>58</v>
      </c>
      <c r="R64" t="s">
        <v>59</v>
      </c>
      <c r="S64" t="s">
        <v>60</v>
      </c>
      <c r="T64">
        <v>0</v>
      </c>
      <c r="U64">
        <v>1</v>
      </c>
      <c r="V64" s="2">
        <v>4.1666666666666664E-2</v>
      </c>
      <c r="W64">
        <v>0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7</v>
      </c>
      <c r="AF64" t="str">
        <f t="shared" si="9"/>
        <v>July</v>
      </c>
    </row>
    <row r="65" spans="1:32">
      <c r="A65" s="1">
        <v>45495</v>
      </c>
      <c r="B65" t="s">
        <v>55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56</v>
      </c>
      <c r="O65" t="s">
        <v>57</v>
      </c>
      <c r="P65">
        <v>274620</v>
      </c>
      <c r="Q65" t="s">
        <v>58</v>
      </c>
      <c r="R65" t="s">
        <v>59</v>
      </c>
      <c r="S65" t="s">
        <v>60</v>
      </c>
      <c r="T65">
        <v>0</v>
      </c>
      <c r="U65">
        <v>1</v>
      </c>
      <c r="V65" s="2">
        <v>4.1666666666666664E-2</v>
      </c>
      <c r="W65">
        <v>0</v>
      </c>
      <c r="AA65" t="s">
        <v>61</v>
      </c>
      <c r="AB65" t="s">
        <v>62</v>
      </c>
      <c r="AC65" t="s">
        <v>56</v>
      </c>
      <c r="AD65" t="s">
        <v>64</v>
      </c>
      <c r="AE65">
        <f t="shared" si="8"/>
        <v>7</v>
      </c>
      <c r="AF65" t="str">
        <f t="shared" si="9"/>
        <v>July</v>
      </c>
    </row>
    <row r="66" spans="1:32">
      <c r="A66" s="1">
        <v>45496</v>
      </c>
      <c r="B66" t="s">
        <v>55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56</v>
      </c>
      <c r="O66" t="s">
        <v>57</v>
      </c>
      <c r="P66">
        <v>274612</v>
      </c>
      <c r="Q66" t="s">
        <v>58</v>
      </c>
      <c r="R66" t="s">
        <v>59</v>
      </c>
      <c r="S66" t="s">
        <v>60</v>
      </c>
      <c r="T66">
        <v>0</v>
      </c>
      <c r="U66">
        <v>0.25</v>
      </c>
      <c r="V66" s="2">
        <v>1.0416666666666666E-2</v>
      </c>
      <c r="W66">
        <v>0</v>
      </c>
      <c r="AA66" t="s">
        <v>61</v>
      </c>
      <c r="AB66" t="s">
        <v>62</v>
      </c>
      <c r="AC66" t="s">
        <v>56</v>
      </c>
      <c r="AD66" t="s">
        <v>64</v>
      </c>
      <c r="AE66">
        <f t="shared" si="8"/>
        <v>7</v>
      </c>
      <c r="AF66" t="str">
        <f t="shared" si="9"/>
        <v>July</v>
      </c>
    </row>
    <row r="67" spans="1:32">
      <c r="A67" s="1">
        <v>45509</v>
      </c>
      <c r="B67" t="s">
        <v>55</v>
      </c>
      <c r="C67" t="s">
        <v>47</v>
      </c>
      <c r="D67" t="s">
        <v>48</v>
      </c>
      <c r="E67" t="s">
        <v>67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56</v>
      </c>
      <c r="O67" t="s">
        <v>57</v>
      </c>
      <c r="P67">
        <v>281279</v>
      </c>
      <c r="Q67" t="s">
        <v>58</v>
      </c>
      <c r="R67" t="s">
        <v>59</v>
      </c>
      <c r="S67" t="s">
        <v>60</v>
      </c>
      <c r="T67">
        <v>0</v>
      </c>
      <c r="U67">
        <v>0.25</v>
      </c>
      <c r="V67" s="2">
        <v>1.0416666666666666E-2</v>
      </c>
      <c r="W67">
        <v>0</v>
      </c>
      <c r="AA67" t="s">
        <v>61</v>
      </c>
      <c r="AB67" t="s">
        <v>62</v>
      </c>
      <c r="AC67" t="s">
        <v>56</v>
      </c>
      <c r="AD67" t="s">
        <v>64</v>
      </c>
      <c r="AE67">
        <f t="shared" si="8"/>
        <v>8</v>
      </c>
      <c r="AF67" t="str">
        <f t="shared" si="9"/>
        <v>August</v>
      </c>
    </row>
    <row r="68" spans="1:32">
      <c r="A68" s="1">
        <v>45510</v>
      </c>
      <c r="B68" t="s">
        <v>55</v>
      </c>
      <c r="C68" t="s">
        <v>47</v>
      </c>
      <c r="D68" t="s">
        <v>48</v>
      </c>
      <c r="E68" t="s">
        <v>67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56</v>
      </c>
      <c r="O68" t="s">
        <v>57</v>
      </c>
      <c r="P68">
        <v>281586</v>
      </c>
      <c r="Q68" t="s">
        <v>58</v>
      </c>
      <c r="R68" t="s">
        <v>59</v>
      </c>
      <c r="S68" t="s">
        <v>60</v>
      </c>
      <c r="T68">
        <v>0</v>
      </c>
      <c r="U68">
        <v>0.5</v>
      </c>
      <c r="V68" s="2">
        <v>2.0833333333333332E-2</v>
      </c>
      <c r="W68">
        <v>0</v>
      </c>
      <c r="AA68" t="s">
        <v>61</v>
      </c>
      <c r="AB68" t="s">
        <v>62</v>
      </c>
      <c r="AC68" t="s">
        <v>56</v>
      </c>
      <c r="AD68" t="s">
        <v>64</v>
      </c>
      <c r="AE68">
        <f t="shared" si="8"/>
        <v>8</v>
      </c>
      <c r="AF68" t="str">
        <f t="shared" si="9"/>
        <v>August</v>
      </c>
    </row>
    <row r="69" spans="1:32">
      <c r="A69" s="1">
        <v>45511</v>
      </c>
      <c r="B69" t="s">
        <v>55</v>
      </c>
      <c r="C69" t="s">
        <v>47</v>
      </c>
      <c r="D69" t="s">
        <v>48</v>
      </c>
      <c r="E69" t="s">
        <v>67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56</v>
      </c>
      <c r="O69" t="s">
        <v>57</v>
      </c>
      <c r="P69">
        <v>282186</v>
      </c>
      <c r="Q69" t="s">
        <v>58</v>
      </c>
      <c r="R69" t="s">
        <v>59</v>
      </c>
      <c r="S69" t="s">
        <v>60</v>
      </c>
      <c r="T69">
        <v>0</v>
      </c>
      <c r="U69">
        <v>0.5</v>
      </c>
      <c r="V69" s="2">
        <v>2.0833333333333332E-2</v>
      </c>
      <c r="W69">
        <v>0</v>
      </c>
      <c r="AA69" t="s">
        <v>61</v>
      </c>
      <c r="AB69" t="s">
        <v>62</v>
      </c>
      <c r="AC69" t="s">
        <v>56</v>
      </c>
      <c r="AD69" t="s">
        <v>64</v>
      </c>
      <c r="AE69">
        <f t="shared" si="8"/>
        <v>8</v>
      </c>
      <c r="AF69" t="str">
        <f t="shared" si="9"/>
        <v>August</v>
      </c>
    </row>
    <row r="70" spans="1:32">
      <c r="A70" s="1">
        <v>45512</v>
      </c>
      <c r="B70" t="s">
        <v>55</v>
      </c>
      <c r="C70" t="s">
        <v>47</v>
      </c>
      <c r="D70" t="s">
        <v>48</v>
      </c>
      <c r="E70" t="s">
        <v>67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56</v>
      </c>
      <c r="O70" t="s">
        <v>57</v>
      </c>
      <c r="P70">
        <v>282606</v>
      </c>
      <c r="Q70" t="s">
        <v>58</v>
      </c>
      <c r="R70" t="s">
        <v>59</v>
      </c>
      <c r="S70" t="s">
        <v>60</v>
      </c>
      <c r="T70">
        <v>0</v>
      </c>
      <c r="U70">
        <v>0.5</v>
      </c>
      <c r="V70" s="2">
        <v>2.0833333333333332E-2</v>
      </c>
      <c r="W70">
        <v>0</v>
      </c>
      <c r="AA70" t="s">
        <v>61</v>
      </c>
      <c r="AB70" t="s">
        <v>62</v>
      </c>
      <c r="AC70" t="s">
        <v>56</v>
      </c>
      <c r="AD70" t="s">
        <v>64</v>
      </c>
      <c r="AE70">
        <f t="shared" ref="AE70:AE76" si="10">MONTH(A70)</f>
        <v>8</v>
      </c>
      <c r="AF70" t="str">
        <f t="shared" ref="AF70:AF76" si="11">IF(AE70=7,"July",IF(AE70=8,"August",IF(AE70=9,"September",IF(AE70=10,"October",IF(AE70=11,"November")))))</f>
        <v>August</v>
      </c>
    </row>
    <row r="71" spans="1:32">
      <c r="A71" s="1">
        <v>45518</v>
      </c>
      <c r="B71" t="s">
        <v>55</v>
      </c>
      <c r="C71" t="s">
        <v>47</v>
      </c>
      <c r="D71" t="s">
        <v>48</v>
      </c>
      <c r="E71" t="s">
        <v>67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56</v>
      </c>
      <c r="O71" t="s">
        <v>57</v>
      </c>
      <c r="P71">
        <v>284650</v>
      </c>
      <c r="Q71" t="s">
        <v>58</v>
      </c>
      <c r="R71" t="s">
        <v>59</v>
      </c>
      <c r="S71" t="s">
        <v>60</v>
      </c>
      <c r="T71">
        <v>0</v>
      </c>
      <c r="U71">
        <v>0.5</v>
      </c>
      <c r="V71" s="2">
        <v>2.0833333333333332E-2</v>
      </c>
      <c r="W71">
        <v>0</v>
      </c>
      <c r="AA71" t="s">
        <v>61</v>
      </c>
      <c r="AB71" t="s">
        <v>62</v>
      </c>
      <c r="AC71" t="s">
        <v>56</v>
      </c>
      <c r="AD71" t="s">
        <v>64</v>
      </c>
      <c r="AE71">
        <f t="shared" si="10"/>
        <v>8</v>
      </c>
      <c r="AF71" t="str">
        <f t="shared" si="11"/>
        <v>August</v>
      </c>
    </row>
    <row r="72" spans="1:32">
      <c r="A72" s="1">
        <v>45519</v>
      </c>
      <c r="B72" t="s">
        <v>55</v>
      </c>
      <c r="C72" t="s">
        <v>47</v>
      </c>
      <c r="D72" t="s">
        <v>48</v>
      </c>
      <c r="E72" t="s">
        <v>67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56</v>
      </c>
      <c r="O72" t="s">
        <v>57</v>
      </c>
      <c r="P72">
        <v>285226</v>
      </c>
      <c r="Q72" t="s">
        <v>58</v>
      </c>
      <c r="R72" t="s">
        <v>59</v>
      </c>
      <c r="S72" t="s">
        <v>60</v>
      </c>
      <c r="T72">
        <v>0</v>
      </c>
      <c r="U72">
        <v>0.5</v>
      </c>
      <c r="V72" s="2">
        <v>2.0833333333333332E-2</v>
      </c>
      <c r="W72">
        <v>0</v>
      </c>
      <c r="AA72" t="s">
        <v>61</v>
      </c>
      <c r="AB72" t="s">
        <v>62</v>
      </c>
      <c r="AC72" t="s">
        <v>56</v>
      </c>
      <c r="AD72" t="s">
        <v>64</v>
      </c>
      <c r="AE72">
        <f t="shared" si="10"/>
        <v>8</v>
      </c>
      <c r="AF72" t="str">
        <f t="shared" si="11"/>
        <v>August</v>
      </c>
    </row>
    <row r="73" spans="1:32">
      <c r="A73" s="1">
        <v>45520</v>
      </c>
      <c r="B73" t="s">
        <v>55</v>
      </c>
      <c r="C73" t="s">
        <v>47</v>
      </c>
      <c r="D73" t="s">
        <v>48</v>
      </c>
      <c r="E73" t="s">
        <v>67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56</v>
      </c>
      <c r="O73" t="s">
        <v>57</v>
      </c>
      <c r="P73">
        <v>285648</v>
      </c>
      <c r="Q73" t="s">
        <v>58</v>
      </c>
      <c r="R73" t="s">
        <v>59</v>
      </c>
      <c r="S73" t="s">
        <v>60</v>
      </c>
      <c r="T73">
        <v>0</v>
      </c>
      <c r="U73">
        <v>0.25</v>
      </c>
      <c r="V73" s="2">
        <v>1.0416666666666666E-2</v>
      </c>
      <c r="W73">
        <v>0</v>
      </c>
      <c r="AA73" t="s">
        <v>61</v>
      </c>
      <c r="AB73" t="s">
        <v>62</v>
      </c>
      <c r="AC73" t="s">
        <v>56</v>
      </c>
      <c r="AD73" t="s">
        <v>64</v>
      </c>
      <c r="AE73">
        <f t="shared" si="10"/>
        <v>8</v>
      </c>
      <c r="AF73" t="str">
        <f t="shared" si="11"/>
        <v>August</v>
      </c>
    </row>
    <row r="74" spans="1:32">
      <c r="A74" s="1">
        <v>45526</v>
      </c>
      <c r="B74" t="s">
        <v>55</v>
      </c>
      <c r="C74" t="s">
        <v>47</v>
      </c>
      <c r="D74" t="s">
        <v>48</v>
      </c>
      <c r="E74" t="s">
        <v>67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56</v>
      </c>
      <c r="O74" t="s">
        <v>57</v>
      </c>
      <c r="P74">
        <v>288141</v>
      </c>
      <c r="Q74" t="s">
        <v>58</v>
      </c>
      <c r="R74" t="s">
        <v>59</v>
      </c>
      <c r="S74" t="s">
        <v>60</v>
      </c>
      <c r="T74">
        <v>0</v>
      </c>
      <c r="U74">
        <v>0.5</v>
      </c>
      <c r="V74" s="2">
        <v>2.0833333333333332E-2</v>
      </c>
      <c r="W74">
        <v>0</v>
      </c>
      <c r="AA74" t="s">
        <v>61</v>
      </c>
      <c r="AB74" t="s">
        <v>62</v>
      </c>
      <c r="AC74" t="s">
        <v>56</v>
      </c>
      <c r="AD74" t="s">
        <v>64</v>
      </c>
      <c r="AE74">
        <f t="shared" si="10"/>
        <v>8</v>
      </c>
      <c r="AF74" t="str">
        <f t="shared" si="11"/>
        <v>August</v>
      </c>
    </row>
    <row r="75" spans="1:32">
      <c r="A75" s="1">
        <v>45533</v>
      </c>
      <c r="B75" t="s">
        <v>55</v>
      </c>
      <c r="C75" t="s">
        <v>47</v>
      </c>
      <c r="D75" t="s">
        <v>48</v>
      </c>
      <c r="E75" t="s">
        <v>67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56</v>
      </c>
      <c r="O75" t="s">
        <v>57</v>
      </c>
      <c r="P75">
        <v>291443</v>
      </c>
      <c r="Q75" t="s">
        <v>58</v>
      </c>
      <c r="R75" t="s">
        <v>59</v>
      </c>
      <c r="S75" t="s">
        <v>60</v>
      </c>
      <c r="T75">
        <v>0</v>
      </c>
      <c r="U75">
        <v>0.5</v>
      </c>
      <c r="V75" s="2">
        <v>2.0833333333333332E-2</v>
      </c>
      <c r="W75">
        <v>0</v>
      </c>
      <c r="AA75" t="s">
        <v>61</v>
      </c>
      <c r="AB75" t="s">
        <v>62</v>
      </c>
      <c r="AC75" t="s">
        <v>56</v>
      </c>
      <c r="AD75" t="s">
        <v>64</v>
      </c>
      <c r="AE75">
        <f t="shared" si="10"/>
        <v>8</v>
      </c>
      <c r="AF75" t="str">
        <f t="shared" si="11"/>
        <v>August</v>
      </c>
    </row>
    <row r="76" spans="1:32">
      <c r="A76" s="1">
        <v>45534</v>
      </c>
      <c r="B76" t="s">
        <v>55</v>
      </c>
      <c r="C76" t="s">
        <v>47</v>
      </c>
      <c r="D76" t="s">
        <v>48</v>
      </c>
      <c r="E76" t="s">
        <v>67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56</v>
      </c>
      <c r="O76" t="s">
        <v>57</v>
      </c>
      <c r="P76">
        <v>292128</v>
      </c>
      <c r="Q76" t="s">
        <v>58</v>
      </c>
      <c r="R76" t="s">
        <v>59</v>
      </c>
      <c r="S76" t="s">
        <v>60</v>
      </c>
      <c r="T76">
        <v>0</v>
      </c>
      <c r="U76">
        <v>0.75</v>
      </c>
      <c r="V76" s="2">
        <v>3.125E-2</v>
      </c>
      <c r="W76">
        <v>0</v>
      </c>
      <c r="AA76" t="s">
        <v>61</v>
      </c>
      <c r="AB76" t="s">
        <v>62</v>
      </c>
      <c r="AC76" t="s">
        <v>56</v>
      </c>
      <c r="AD76" t="s">
        <v>64</v>
      </c>
      <c r="AE76">
        <f t="shared" si="10"/>
        <v>8</v>
      </c>
      <c r="AF76" t="str">
        <f t="shared" si="11"/>
        <v>August</v>
      </c>
    </row>
    <row r="77" spans="1:32">
      <c r="A77" s="1"/>
      <c r="V77" s="2"/>
    </row>
    <row r="78" spans="1:32">
      <c r="A78" s="1"/>
      <c r="V78" s="2"/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BA4712-2272-48AE-A6FC-8B4EA651F611}"/>
</file>

<file path=customXml/itemProps2.xml><?xml version="1.0" encoding="utf-8"?>
<ds:datastoreItem xmlns:ds="http://schemas.openxmlformats.org/officeDocument/2006/customXml" ds:itemID="{095B0DC1-3B7E-46FB-B5D6-9DD9C1EED7BA}"/>
</file>

<file path=customXml/itemProps3.xml><?xml version="1.0" encoding="utf-8"?>
<ds:datastoreItem xmlns:ds="http://schemas.openxmlformats.org/officeDocument/2006/customXml" ds:itemID="{B3D86B7E-B0E2-4E14-A52D-E3DE060D6C6C}"/>
</file>

<file path=customXml/itemProps4.xml><?xml version="1.0" encoding="utf-8"?>
<ds:datastoreItem xmlns:ds="http://schemas.openxmlformats.org/officeDocument/2006/customXml" ds:itemID="{C5883A17-112B-4A2C-BC6F-C77DB9791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2024-09-02T15:03:02Z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