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8. UAT Refresh/"/>
    </mc:Choice>
  </mc:AlternateContent>
  <xr:revisionPtr revIDLastSave="117" documentId="13_ncr:40009_{BBCEBA60-E38F-4EE1-BDB9-DA93CE793831}" xr6:coauthVersionLast="47" xr6:coauthVersionMax="47" xr10:uidLastSave="{100921DE-BF6F-444B-9E61-88304983678C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50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F4" i="1"/>
  <c r="AE5" i="1"/>
  <c r="AF5" i="1"/>
  <c r="AE6" i="1"/>
  <c r="AF6" i="1" s="1"/>
  <c r="AE7" i="1"/>
  <c r="AF7" i="1" s="1"/>
  <c r="AE8" i="1"/>
  <c r="AF8" i="1"/>
  <c r="AE9" i="1"/>
  <c r="AF9" i="1"/>
  <c r="AE10" i="1"/>
  <c r="AF10" i="1"/>
  <c r="AE11" i="1"/>
  <c r="AF11" i="1"/>
  <c r="AE12" i="1"/>
  <c r="AF12" i="1" s="1"/>
  <c r="AE13" i="1"/>
  <c r="AF13" i="1" s="1"/>
  <c r="AE14" i="1"/>
  <c r="AF14" i="1"/>
  <c r="AE15" i="1"/>
  <c r="AF15" i="1"/>
  <c r="AE16" i="1"/>
  <c r="AF16" i="1"/>
  <c r="AE17" i="1"/>
  <c r="AF17" i="1"/>
  <c r="AE18" i="1"/>
  <c r="AF18" i="1" s="1"/>
  <c r="AE19" i="1"/>
  <c r="AF19" i="1" s="1"/>
  <c r="AE20" i="1"/>
  <c r="AF20" i="1"/>
  <c r="AC13" i="1"/>
  <c r="AC12" i="1"/>
  <c r="AC11" i="1"/>
  <c r="AC10" i="1"/>
  <c r="AC9" i="1"/>
  <c r="AC8" i="1"/>
  <c r="AC7" i="1"/>
  <c r="AC6" i="1"/>
  <c r="AC5" i="1"/>
  <c r="AC4" i="1"/>
  <c r="AE3" i="1"/>
  <c r="AF3" i="1" s="1"/>
  <c r="AE2" i="1" l="1"/>
  <c r="AF2" i="1" s="1"/>
</calcChain>
</file>

<file path=xl/sharedStrings.xml><?xml version="1.0" encoding="utf-8"?>
<sst xmlns="http://schemas.openxmlformats.org/spreadsheetml/2006/main" count="451" uniqueCount="79">
  <si>
    <t>Month</t>
  </si>
  <si>
    <t>(All)</t>
  </si>
  <si>
    <t>&lt;- Filter By Month</t>
  </si>
  <si>
    <t>Phase</t>
  </si>
  <si>
    <t>Hours</t>
  </si>
  <si>
    <t>Lower Bound</t>
  </si>
  <si>
    <t>Upper Bound</t>
  </si>
  <si>
    <t>Billable Timecode</t>
  </si>
  <si>
    <t>Billable timecode</t>
  </si>
  <si>
    <t>Pre-Refresh Analysis</t>
  </si>
  <si>
    <t>20-22</t>
  </si>
  <si>
    <t>Refresh</t>
  </si>
  <si>
    <t>2-3</t>
  </si>
  <si>
    <t>Sum of Hours</t>
  </si>
  <si>
    <t>Column Labels</t>
  </si>
  <si>
    <t>Post-refresh updates</t>
  </si>
  <si>
    <t>10-12</t>
  </si>
  <si>
    <t>Row Labels</t>
  </si>
  <si>
    <t>Planning and Executing Refresh Activities</t>
  </si>
  <si>
    <t>Grand Total</t>
  </si>
  <si>
    <t>End-to-end testing</t>
  </si>
  <si>
    <t>Sam Duncan</t>
  </si>
  <si>
    <t>Project management</t>
  </si>
  <si>
    <t>Anjali Salecha</t>
  </si>
  <si>
    <t>Total</t>
  </si>
  <si>
    <t>44 - 52</t>
  </si>
  <si>
    <t xml:space="preserve">Sachin  Deshmukh </t>
  </si>
  <si>
    <t>Shaun Barrett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</si>
  <si>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</si>
  <si>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</si>
  <si>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</si>
  <si>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</si>
  <si>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</si>
  <si>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</si>
  <si>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</si>
  <si>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</si>
  <si>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</si>
  <si>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</si>
  <si>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</si>
  <si>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</si>
  <si>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</si>
  <si>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</si>
  <si>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</si>
  <si>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</si>
  <si>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</si>
  <si>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</si>
  <si>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</si>
  <si>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</si>
  <si>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</si>
  <si>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</si>
  <si>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</si>
  <si>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</si>
  <si>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</si>
  <si>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</si>
  <si>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</si>
  <si>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</si>
  <si>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</si>
  <si>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</si>
  <si>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</si>
  <si>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</si>
  <si>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</si>
  <si>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</si>
  <si>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OB-000660</t>
  </si>
  <si>
    <t>Salesforce UAT Refresh (T&amp;M)</t>
  </si>
  <si>
    <t>Billable</t>
  </si>
  <si>
    <t>Analysis and Delivery</t>
  </si>
  <si>
    <t>Standard Timecode</t>
  </si>
  <si>
    <t>GBP</t>
  </si>
  <si>
    <t>spreadsheet steps review and daily standup.</t>
  </si>
  <si>
    <t>Not submitted</t>
  </si>
  <si>
    <t>Salesforce UAT Refresh Planning #4</t>
  </si>
  <si>
    <t>IN08219</t>
  </si>
  <si>
    <t>Reviewed</t>
  </si>
  <si>
    <t>Salaried / Fixed</t>
  </si>
  <si>
    <t xml:space="preserve"> </t>
  </si>
  <si>
    <t>Initial analysis session</t>
  </si>
  <si>
    <t>Planning call</t>
  </si>
  <si>
    <t>Planning</t>
  </si>
  <si>
    <t>Custom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</si>
</sst>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_-;\-[$£-809]* #,##0_-;_-[$£-809]* &quot;-&quot;??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164" fontId="0" fillId="0" borderId="0" xfId="0" applyNumberFormat="1"/>
    <xf numFmtId="0" fontId="20" fillId="34" borderId="10" xfId="0" applyFont="1" applyFill="1" applyBorder="1" applyAlignment="1">
      <alignment horizontal="justify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49" fontId="21" fillId="0" borderId="13" xfId="0" applyNumberFormat="1" applyFont="1" applyBorder="1" applyAlignment="1">
      <alignment horizontal="center" vertical="center"/>
    </xf>
    <xf numFmtId="165" fontId="21" fillId="0" borderId="13" xfId="0" applyNumberFormat="1" applyFont="1" applyBorder="1" applyAlignment="1">
      <alignment horizontal="right" vertical="center"/>
    </xf>
    <xf numFmtId="0" fontId="20" fillId="35" borderId="14" xfId="0" applyFont="1" applyFill="1" applyBorder="1" applyAlignment="1">
      <alignment horizontal="justify" vertical="center"/>
    </xf>
    <xf numFmtId="0" fontId="20" fillId="35" borderId="15" xfId="0" applyFont="1" applyFill="1" applyBorder="1" applyAlignment="1">
      <alignment horizontal="center" vertical="center"/>
    </xf>
    <xf numFmtId="165" fontId="20" fillId="35" borderId="15" xfId="0" applyNumberFormat="1" applyFont="1" applyFill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53.854839467589" createdVersion="8" refreshedVersion="8" minRefreshableVersion="3" recordCount="19" xr:uid="{61BE6FBF-198A-44AE-9FDD-9C56E53F32F1}">
  <cacheSource type="worksheet">
    <worksheetSource ref="A1:AF20" sheet="Project Timesheets"/>
  </cacheSource>
  <cacheFields count="32">
    <cacheField name="Date" numFmtId="15">
      <sharedItems containsSemiMixedTypes="0" containsNonDate="0" containsDate="1" containsString="0" minDate="2024-05-22T00:00:00" maxDate="2024-06-15T00:00:00"/>
    </cacheField>
    <cacheField name="Person" numFmtId="0">
      <sharedItems count="4">
        <s v="Anjali Salecha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51771" maxValue="257249"/>
    </cacheField>
    <cacheField name="Timecode Name" numFmtId="0">
      <sharedItems count="1">
        <s v="Planning and Executing Refresh Activities"/>
      </sharedItems>
    </cacheField>
    <cacheField name="Billable Timecode" numFmtId="0">
      <sharedItems count="1"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22.5" maxValue="675"/>
    </cacheField>
    <cacheField name="Invoiced Amount" numFmtId="0">
      <sharedItems containsString="0" containsBlank="1" containsNumber="1" containsInteger="1" minValue="90" maxValue="390"/>
    </cacheField>
    <cacheField name="Invoiced Delta" numFmtId="0">
      <sharedItems containsString="0" containsBlank="1" containsNumber="1" minValue="22.5" maxValue="97.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6"/>
    </cacheField>
    <cacheField name="Month" numFmtId="0">
      <sharedItems containsBlank="1" count="3">
        <s v="June"/>
        <s v="May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d v="2024-06-05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598"/>
    <x v="0"/>
    <x v="0"/>
    <s v="Standard Timecode"/>
    <n v="90"/>
    <n v="1"/>
    <d v="1899-12-30T01:00:00"/>
    <n v="90"/>
    <m/>
    <m/>
    <m/>
    <s v="GBP"/>
    <m/>
    <s v="spreadsheet steps review and daily standup."/>
    <s v="Not submitted"/>
    <n v="6"/>
    <x v="0"/>
  </r>
  <r>
    <d v="2024-06-07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6523"/>
    <x v="0"/>
    <x v="0"/>
    <s v="Standard Timecode"/>
    <n v="90"/>
    <n v="1"/>
    <d v="1899-12-30T01:00:00"/>
    <n v="90"/>
    <m/>
    <m/>
    <m/>
    <s v="GBP"/>
    <m/>
    <s v="Salesforce UAT Refresh Planning #4"/>
    <s v="Not submitted"/>
    <n v="6"/>
    <x v="0"/>
  </r>
  <r>
    <d v="2024-05-23T00:00:00"/>
    <x v="1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0"/>
    <x v="0"/>
    <x v="0"/>
    <s v="Standard Timecode"/>
    <n v="90"/>
    <n v="3"/>
    <d v="1899-12-30T03:00:00"/>
    <n v="270"/>
    <n v="360"/>
    <n v="90"/>
    <s v="IN08219"/>
    <s v="GBP"/>
    <s v="Reviewed"/>
    <e v="#NAME?"/>
    <s v="Not submitted"/>
    <n v="5"/>
    <x v="1"/>
  </r>
  <r>
    <d v="2024-05-24T00:00:00"/>
    <x v="1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1"/>
    <x v="0"/>
    <x v="0"/>
    <s v="Standard Timecode"/>
    <n v="90"/>
    <n v="3"/>
    <d v="1899-12-30T03:00:00"/>
    <n v="270"/>
    <n v="360"/>
    <n v="90"/>
    <s v="IN08219"/>
    <s v="GBP"/>
    <s v="Reviewed"/>
    <e v="#NAME?"/>
    <s v="Not submitted"/>
    <n v="5"/>
    <x v="1"/>
  </r>
  <r>
    <d v="2024-05-27T00:00:00"/>
    <x v="1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4"/>
    <x v="0"/>
    <x v="0"/>
    <s v="Standard Timecode"/>
    <n v="90"/>
    <n v="2"/>
    <d v="1899-12-30T02:00:00"/>
    <n v="180"/>
    <n v="240"/>
    <n v="60"/>
    <s v="IN08219"/>
    <s v="GBP"/>
    <s v="Reviewed"/>
    <e v="#NAME?"/>
    <s v="Not submitted"/>
    <n v="5"/>
    <x v="1"/>
  </r>
  <r>
    <d v="2024-05-28T00:00:00"/>
    <x v="1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5"/>
    <x v="0"/>
    <x v="0"/>
    <s v="Standard Timecode"/>
    <n v="90"/>
    <n v="3"/>
    <d v="1899-12-30T03:00:00"/>
    <n v="270"/>
    <n v="360"/>
    <n v="90"/>
    <s v="IN08219"/>
    <s v="GBP"/>
    <s v="Reviewed"/>
    <e v="#NAME?"/>
    <s v="Not submitted"/>
    <n v="5"/>
    <x v="1"/>
  </r>
  <r>
    <d v="2024-05-29T00:00:00"/>
    <x v="1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6"/>
    <x v="0"/>
    <x v="0"/>
    <s v="Standard Timecode"/>
    <n v="90"/>
    <n v="3"/>
    <d v="1899-12-30T03:00:00"/>
    <n v="270"/>
    <n v="360"/>
    <n v="90"/>
    <s v="IN08219"/>
    <s v="GBP"/>
    <s v="Reviewed"/>
    <e v="#NAME?"/>
    <s v="Not submitted"/>
    <n v="5"/>
    <x v="1"/>
  </r>
  <r>
    <d v="2024-05-30T00:00:00"/>
    <x v="1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50"/>
    <x v="0"/>
    <x v="0"/>
    <s v="Standard Timecode"/>
    <n v="90"/>
    <n v="3"/>
    <d v="1899-12-30T03:00:00"/>
    <n v="270"/>
    <n v="360"/>
    <n v="90"/>
    <s v="IN08219"/>
    <s v="GBP"/>
    <s v="Reviewed"/>
    <e v="#NAME?"/>
    <s v="Not submitted"/>
    <n v="5"/>
    <x v="1"/>
  </r>
  <r>
    <d v="2024-05-31T00:00:00"/>
    <x v="1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54"/>
    <x v="0"/>
    <x v="0"/>
    <s v="Standard Timecode"/>
    <n v="90"/>
    <n v="3.25"/>
    <d v="1899-12-30T03:15:00"/>
    <n v="292.5"/>
    <n v="390"/>
    <n v="97.5"/>
    <s v="IN08219"/>
    <s v="GBP"/>
    <s v="Reviewed"/>
    <e v="#NAME?"/>
    <s v="Not submitted"/>
    <n v="5"/>
    <x v="1"/>
  </r>
  <r>
    <d v="2024-06-04T00:00:00"/>
    <x v="1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6890"/>
    <x v="0"/>
    <x v="0"/>
    <s v="Standard Timecode"/>
    <n v="90"/>
    <n v="1"/>
    <d v="1899-12-30T01:00:00"/>
    <n v="90"/>
    <m/>
    <m/>
    <m/>
    <s v="GBP"/>
    <m/>
    <e v="#NAME?"/>
    <s v="Not submitted"/>
    <n v="6"/>
    <x v="0"/>
  </r>
  <r>
    <d v="2024-06-06T00:00:00"/>
    <x v="1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6895"/>
    <x v="0"/>
    <x v="0"/>
    <s v="Standard Timecode"/>
    <n v="90"/>
    <n v="4.5"/>
    <d v="1899-12-30T04:30:00"/>
    <n v="405"/>
    <m/>
    <m/>
    <m/>
    <s v="GBP"/>
    <m/>
    <e v="#NAME?"/>
    <s v="Not submitted"/>
    <n v="6"/>
    <x v="0"/>
  </r>
  <r>
    <d v="2024-06-07T00:00:00"/>
    <x v="1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6896"/>
    <x v="0"/>
    <x v="0"/>
    <s v="Standard Timecode"/>
    <n v="90"/>
    <n v="7.5"/>
    <d v="1899-12-30T07:30:00"/>
    <n v="675"/>
    <m/>
    <m/>
    <m/>
    <s v="GBP"/>
    <m/>
    <e v="#NAME?"/>
    <s v="Not submitted"/>
    <n v="6"/>
    <x v="0"/>
  </r>
  <r>
    <d v="2024-05-22T00:00:00"/>
    <x v="2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1771"/>
    <x v="0"/>
    <x v="0"/>
    <s v="Standard Timecode"/>
    <n v="90"/>
    <n v="0.75"/>
    <d v="1899-12-30T00:45:00"/>
    <n v="67.5"/>
    <n v="90"/>
    <n v="22.5"/>
    <s v="IN08219"/>
    <s v="GBP"/>
    <s v="Reviewed"/>
    <s v="Initial analysis session"/>
    <s v="Not submitted"/>
    <n v="5"/>
    <x v="1"/>
  </r>
  <r>
    <d v="2024-05-27T00:00:00"/>
    <x v="2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3291"/>
    <x v="0"/>
    <x v="0"/>
    <s v="Standard Timecode"/>
    <n v="90"/>
    <n v="1"/>
    <d v="1899-12-30T01:00:00"/>
    <n v="90"/>
    <n v="120"/>
    <n v="30"/>
    <s v="IN08219"/>
    <s v="GBP"/>
    <s v="Reviewed"/>
    <s v=" "/>
    <s v="Not submitted"/>
    <n v="5"/>
    <x v="1"/>
  </r>
  <r>
    <d v="2024-06-03T00:00:00"/>
    <x v="2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7243"/>
    <x v="0"/>
    <x v="0"/>
    <s v="Standard Timecode"/>
    <n v="90"/>
    <n v="1"/>
    <d v="1899-12-30T01:00:00"/>
    <n v="90"/>
    <m/>
    <m/>
    <m/>
    <s v="GBP"/>
    <m/>
    <s v="Planning call"/>
    <s v="Not submitted"/>
    <n v="6"/>
    <x v="0"/>
  </r>
  <r>
    <d v="2024-06-07T00:00:00"/>
    <x v="2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7249"/>
    <x v="0"/>
    <x v="0"/>
    <s v="Standard Timecode"/>
    <n v="90"/>
    <n v="0.5"/>
    <d v="1899-12-30T00:30:00"/>
    <n v="45"/>
    <m/>
    <m/>
    <m/>
    <s v="GBP"/>
    <m/>
    <s v="Planning"/>
    <s v="Not submitted"/>
    <n v="6"/>
    <x v="0"/>
  </r>
  <r>
    <d v="2024-06-14T00:00:00"/>
    <x v="2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7192"/>
    <x v="0"/>
    <x v="0"/>
    <s v="Standard Timecode"/>
    <n v="90"/>
    <n v="1"/>
    <d v="1899-12-30T01:00:00"/>
    <n v="90"/>
    <m/>
    <m/>
    <m/>
    <s v="GBP"/>
    <m/>
    <s v="Planning call"/>
    <s v="Not submitted"/>
    <n v="6"/>
    <x v="0"/>
  </r>
  <r>
    <d v="2024-06-04T00:00:00"/>
    <x v="3"/>
    <s v="Salaried / Fixed"/>
    <s v="Open Box Software (Pty) Ltd (Open Box SA)"/>
    <s v="Custom Softwar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4877"/>
    <x v="0"/>
    <x v="0"/>
    <s v="Standard Timecode"/>
    <n v="90"/>
    <n v="0.5"/>
    <d v="1899-12-30T00:30:00"/>
    <n v="45"/>
    <m/>
    <m/>
    <m/>
    <s v="GBP"/>
    <m/>
    <s v=" "/>
    <s v="Not submitted"/>
    <n v="6"/>
    <x v="0"/>
  </r>
  <r>
    <d v="2024-06-05T00:00:00"/>
    <x v="3"/>
    <s v="Salaried / Fixed"/>
    <s v="Open Box Software (Pty) Ltd (Open Box SA)"/>
    <s v="Custom Softwar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6516"/>
    <x v="0"/>
    <x v="0"/>
    <s v="Standard Timecode"/>
    <n v="90"/>
    <n v="0.25"/>
    <d v="1899-12-30T00:15:00"/>
    <n v="22.5"/>
    <m/>
    <m/>
    <m/>
    <s v="GBP"/>
    <m/>
    <s v=" "/>
    <s v="Not submitted"/>
    <n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9F4D5-A30A-4796-AB08-08049B87CD35}" name="PivotTable1" cacheId="50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1" firstDataRow="2" firstDataCol="1" rowPageCount="2" colPageCount="1"/>
  <pivotFields count="32">
    <pivotField numFmtId="15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m="1" x="2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6.140625" bestFit="1" customWidth="1"/>
    <col min="2" max="2" width="35.28515625" bestFit="1" customWidth="1"/>
    <col min="3" max="3" width="10.5703125" style="7" bestFit="1" customWidth="1"/>
    <col min="4" max="4" width="16.28515625" bestFit="1" customWidth="1"/>
    <col min="5" max="6" width="10.5703125" bestFit="1" customWidth="1"/>
    <col min="7" max="7" width="24.42578125" customWidth="1"/>
    <col min="8" max="8" width="8.5703125" bestFit="1" customWidth="1"/>
    <col min="9" max="10" width="19" customWidth="1"/>
  </cols>
  <sheetData>
    <row r="1" spans="1:10" ht="15" thickBot="1">
      <c r="A1" s="4" t="s">
        <v>0</v>
      </c>
      <c r="B1" t="s">
        <v>1</v>
      </c>
      <c r="D1" s="6" t="s">
        <v>2</v>
      </c>
      <c r="G1" s="9" t="s">
        <v>3</v>
      </c>
      <c r="H1" s="10" t="s">
        <v>4</v>
      </c>
      <c r="I1" s="11" t="s">
        <v>5</v>
      </c>
      <c r="J1" s="11" t="s">
        <v>6</v>
      </c>
    </row>
    <row r="2" spans="1:10" ht="15" thickBot="1">
      <c r="A2" s="4" t="s">
        <v>7</v>
      </c>
      <c r="B2" t="s">
        <v>8</v>
      </c>
      <c r="G2" s="12" t="s">
        <v>9</v>
      </c>
      <c r="H2" s="13" t="s">
        <v>10</v>
      </c>
      <c r="I2" s="14">
        <v>2400</v>
      </c>
      <c r="J2" s="14">
        <v>2640</v>
      </c>
    </row>
    <row r="3" spans="1:10" ht="15" thickBot="1">
      <c r="C3"/>
      <c r="G3" s="12" t="s">
        <v>11</v>
      </c>
      <c r="H3" s="13" t="s">
        <v>12</v>
      </c>
      <c r="I3" s="14">
        <v>240</v>
      </c>
      <c r="J3" s="14">
        <v>360</v>
      </c>
    </row>
    <row r="4" spans="1:10" ht="15" thickBot="1">
      <c r="A4" s="4" t="s">
        <v>13</v>
      </c>
      <c r="B4" s="4" t="s">
        <v>14</v>
      </c>
      <c r="G4" s="12" t="s">
        <v>15</v>
      </c>
      <c r="H4" s="13" t="s">
        <v>16</v>
      </c>
      <c r="I4" s="14">
        <v>1200</v>
      </c>
      <c r="J4" s="14">
        <v>1440</v>
      </c>
    </row>
    <row r="5" spans="1:10" ht="15" thickBot="1">
      <c r="A5" s="4" t="s">
        <v>17</v>
      </c>
      <c r="B5" t="s">
        <v>18</v>
      </c>
      <c r="C5" t="s">
        <v>19</v>
      </c>
      <c r="G5" s="12" t="s">
        <v>20</v>
      </c>
      <c r="H5" s="13" t="s">
        <v>16</v>
      </c>
      <c r="I5" s="14">
        <v>1200</v>
      </c>
      <c r="J5" s="14">
        <v>1440</v>
      </c>
    </row>
    <row r="6" spans="1:10" ht="15" thickBot="1">
      <c r="A6" s="5" t="s">
        <v>21</v>
      </c>
      <c r="B6" s="8">
        <v>4.25</v>
      </c>
      <c r="C6" s="8">
        <v>4.25</v>
      </c>
      <c r="G6" s="12" t="s">
        <v>22</v>
      </c>
      <c r="H6" s="13" t="s">
        <v>12</v>
      </c>
      <c r="I6" s="14">
        <v>240</v>
      </c>
      <c r="J6" s="14">
        <v>360</v>
      </c>
    </row>
    <row r="7" spans="1:10" ht="15" thickBot="1">
      <c r="A7" s="5" t="s">
        <v>23</v>
      </c>
      <c r="B7" s="8">
        <v>2</v>
      </c>
      <c r="C7" s="8">
        <v>2</v>
      </c>
      <c r="G7" s="15" t="s">
        <v>24</v>
      </c>
      <c r="H7" s="16" t="s">
        <v>25</v>
      </c>
      <c r="I7" s="17">
        <v>5280</v>
      </c>
      <c r="J7" s="17">
        <v>6240</v>
      </c>
    </row>
    <row r="8" spans="1:10" ht="15" thickTop="1">
      <c r="A8" s="5" t="s">
        <v>26</v>
      </c>
      <c r="B8" s="8">
        <v>33.25</v>
      </c>
      <c r="C8" s="8">
        <v>33.25</v>
      </c>
    </row>
    <row r="9" spans="1:10">
      <c r="A9" s="5" t="s">
        <v>27</v>
      </c>
      <c r="B9" s="8">
        <v>0.75</v>
      </c>
      <c r="C9" s="8">
        <v>0.75</v>
      </c>
    </row>
    <row r="10" spans="1:10">
      <c r="A10" s="5" t="s">
        <v>19</v>
      </c>
      <c r="B10" s="8">
        <v>40.25</v>
      </c>
      <c r="C10" s="8">
        <v>40.25</v>
      </c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J1" workbookViewId="0">
      <pane ySplit="1" topLeftCell="A2" activePane="bottomLeft" state="frozen"/>
      <selection pane="bottomLeft"/>
    </sheetView>
  </sheetViews>
  <sheetFormatPr defaultRowHeight="14.45"/>
  <sheetData>
    <row r="1" spans="1:3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7</v>
      </c>
      <c r="S1" t="s">
        <v>45</v>
      </c>
      <c r="T1" t="s">
        <v>46</v>
      </c>
      <c r="U1" t="s">
        <v>4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s="3" t="s">
        <v>56</v>
      </c>
      <c r="AF1" s="3" t="s">
        <v>0</v>
      </c>
    </row>
    <row r="2" spans="1:32">
      <c r="A2" s="1">
        <v>45448</v>
      </c>
      <c r="B2" t="s">
        <v>23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58</v>
      </c>
      <c r="L2" t="s">
        <v>27</v>
      </c>
      <c r="M2" t="s">
        <v>21</v>
      </c>
      <c r="N2" t="s">
        <v>21</v>
      </c>
      <c r="O2" t="s">
        <v>65</v>
      </c>
      <c r="P2">
        <v>255598</v>
      </c>
      <c r="Q2" t="s">
        <v>18</v>
      </c>
      <c r="R2" t="s">
        <v>8</v>
      </c>
      <c r="S2" t="s">
        <v>66</v>
      </c>
      <c r="T2">
        <v>90</v>
      </c>
      <c r="U2">
        <v>1</v>
      </c>
      <c r="V2" s="2">
        <v>4.1666666666666664E-2</v>
      </c>
      <c r="W2">
        <v>90</v>
      </c>
      <c r="AA2" t="s">
        <v>67</v>
      </c>
      <c r="AC2" t="s">
        <v>68</v>
      </c>
      <c r="AD2" t="s">
        <v>69</v>
      </c>
      <c r="AE2">
        <f>MONTH(A2)</f>
        <v>6</v>
      </c>
      <c r="AF2" t="str">
        <f>IF(AE2=5,"May",IF(AE2=6,"June",IF(AE2=7,"July",IF(AE2=8,"August",IF(AE2=9,"September")))))</f>
        <v>June</v>
      </c>
    </row>
    <row r="3" spans="1:32">
      <c r="A3" s="1">
        <v>45450</v>
      </c>
      <c r="B3" t="s">
        <v>23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58</v>
      </c>
      <c r="L3" t="s">
        <v>27</v>
      </c>
      <c r="M3" t="s">
        <v>21</v>
      </c>
      <c r="N3" t="s">
        <v>21</v>
      </c>
      <c r="O3" t="s">
        <v>65</v>
      </c>
      <c r="P3">
        <v>256523</v>
      </c>
      <c r="Q3" t="s">
        <v>18</v>
      </c>
      <c r="R3" t="s">
        <v>8</v>
      </c>
      <c r="S3" t="s">
        <v>66</v>
      </c>
      <c r="T3">
        <v>90</v>
      </c>
      <c r="U3">
        <v>1</v>
      </c>
      <c r="V3" s="2">
        <v>4.1666666666666664E-2</v>
      </c>
      <c r="W3">
        <v>90</v>
      </c>
      <c r="AA3" t="s">
        <v>67</v>
      </c>
      <c r="AC3" t="s">
        <v>70</v>
      </c>
      <c r="AD3" t="s">
        <v>69</v>
      </c>
      <c r="AE3">
        <f t="shared" ref="AE3" si="0">MONTH(A3)</f>
        <v>6</v>
      </c>
      <c r="AF3" t="str">
        <f t="shared" ref="AF3" si="1">IF(AE3=5,"May",IF(AE3=6,"June",IF(AE3=7,"July",IF(AE3=8,"August",IF(AE3=9,"September")))))</f>
        <v>June</v>
      </c>
    </row>
    <row r="4" spans="1:32">
      <c r="A4" s="1">
        <v>45435</v>
      </c>
      <c r="B4" t="s">
        <v>26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58</v>
      </c>
      <c r="L4" t="s">
        <v>27</v>
      </c>
      <c r="M4" t="s">
        <v>21</v>
      </c>
      <c r="N4" t="s">
        <v>21</v>
      </c>
      <c r="O4" t="s">
        <v>65</v>
      </c>
      <c r="P4">
        <v>255040</v>
      </c>
      <c r="Q4" t="s">
        <v>18</v>
      </c>
      <c r="R4" t="s">
        <v>8</v>
      </c>
      <c r="S4" t="s">
        <v>66</v>
      </c>
      <c r="T4">
        <v>90</v>
      </c>
      <c r="U4">
        <v>3</v>
      </c>
      <c r="V4" s="2">
        <v>0.125</v>
      </c>
      <c r="W4">
        <v>270</v>
      </c>
      <c r="X4">
        <v>360</v>
      </c>
      <c r="Y4">
        <v>90</v>
      </c>
      <c r="Z4" t="s">
        <v>71</v>
      </c>
      <c r="AA4" t="s">
        <v>67</v>
      </c>
      <c r="AB4" t="s">
        <v>72</v>
      </c>
      <c r="AC4" t="e">
        <f ca="1">-- Grainger UAT refresh action items planning -- worked on UAT refresh workbook</f>
        <v>#NAME?</v>
      </c>
      <c r="AD4" t="s">
        <v>69</v>
      </c>
      <c r="AE4">
        <f t="shared" ref="AE4:AE20" si="2">MONTH(A4)</f>
        <v>5</v>
      </c>
      <c r="AF4" t="str">
        <f t="shared" ref="AF4:AF20" si="3">IF(AE4=5,"May",IF(AE4=6,"June",IF(AE4=7,"July",IF(AE4=8,"August",IF(AE4=9,"September")))))</f>
        <v>May</v>
      </c>
    </row>
    <row r="5" spans="1:32">
      <c r="A5" s="1">
        <v>45436</v>
      </c>
      <c r="B5" t="s">
        <v>26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58</v>
      </c>
      <c r="L5" t="s">
        <v>27</v>
      </c>
      <c r="M5" t="s">
        <v>21</v>
      </c>
      <c r="N5" t="s">
        <v>21</v>
      </c>
      <c r="O5" t="s">
        <v>65</v>
      </c>
      <c r="P5">
        <v>255041</v>
      </c>
      <c r="Q5" t="s">
        <v>18</v>
      </c>
      <c r="R5" t="s">
        <v>8</v>
      </c>
      <c r="S5" t="s">
        <v>66</v>
      </c>
      <c r="T5">
        <v>90</v>
      </c>
      <c r="U5">
        <v>3</v>
      </c>
      <c r="V5" s="2">
        <v>0.125</v>
      </c>
      <c r="W5">
        <v>270</v>
      </c>
      <c r="X5">
        <v>360</v>
      </c>
      <c r="Y5">
        <v>90</v>
      </c>
      <c r="Z5" t="s">
        <v>71</v>
      </c>
      <c r="AA5" t="s">
        <v>67</v>
      </c>
      <c r="AB5" t="s">
        <v>72</v>
      </c>
      <c r="AC5" t="e">
        <f ca="1">-- Grainger UAT refresh action items</f>
        <v>#NAME?</v>
      </c>
      <c r="AD5" t="s">
        <v>69</v>
      </c>
      <c r="AE5">
        <f t="shared" si="2"/>
        <v>5</v>
      </c>
      <c r="AF5" t="str">
        <f t="shared" si="3"/>
        <v>May</v>
      </c>
    </row>
    <row r="6" spans="1:32">
      <c r="A6" s="1">
        <v>45439</v>
      </c>
      <c r="B6" t="s">
        <v>26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58</v>
      </c>
      <c r="L6" t="s">
        <v>27</v>
      </c>
      <c r="M6" t="s">
        <v>21</v>
      </c>
      <c r="N6" t="s">
        <v>21</v>
      </c>
      <c r="O6" t="s">
        <v>65</v>
      </c>
      <c r="P6">
        <v>255044</v>
      </c>
      <c r="Q6" t="s">
        <v>18</v>
      </c>
      <c r="R6" t="s">
        <v>8</v>
      </c>
      <c r="S6" t="s">
        <v>66</v>
      </c>
      <c r="T6">
        <v>90</v>
      </c>
      <c r="U6">
        <v>2</v>
      </c>
      <c r="V6" s="2">
        <v>8.3333333333333329E-2</v>
      </c>
      <c r="W6">
        <v>180</v>
      </c>
      <c r="X6">
        <v>240</v>
      </c>
      <c r="Y6">
        <v>60</v>
      </c>
      <c r="Z6" t="s">
        <v>71</v>
      </c>
      <c r="AA6" t="s">
        <v>67</v>
      </c>
      <c r="AB6" t="s">
        <v>72</v>
      </c>
      <c r="AC6" t="e">
        <f ca="1">-- UAT refresh workbook -- UAT refresh meeting</f>
        <v>#NAME?</v>
      </c>
      <c r="AD6" t="s">
        <v>69</v>
      </c>
      <c r="AE6">
        <f t="shared" si="2"/>
        <v>5</v>
      </c>
      <c r="AF6" t="str">
        <f t="shared" si="3"/>
        <v>May</v>
      </c>
    </row>
    <row r="7" spans="1:32">
      <c r="A7" s="1">
        <v>45440</v>
      </c>
      <c r="B7" t="s">
        <v>26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58</v>
      </c>
      <c r="L7" t="s">
        <v>27</v>
      </c>
      <c r="M7" t="s">
        <v>21</v>
      </c>
      <c r="N7" t="s">
        <v>21</v>
      </c>
      <c r="O7" t="s">
        <v>65</v>
      </c>
      <c r="P7">
        <v>255045</v>
      </c>
      <c r="Q7" t="s">
        <v>18</v>
      </c>
      <c r="R7" t="s">
        <v>8</v>
      </c>
      <c r="S7" t="s">
        <v>66</v>
      </c>
      <c r="T7">
        <v>90</v>
      </c>
      <c r="U7">
        <v>3</v>
      </c>
      <c r="V7" s="2">
        <v>0.125</v>
      </c>
      <c r="W7">
        <v>270</v>
      </c>
      <c r="X7">
        <v>360</v>
      </c>
      <c r="Y7">
        <v>90</v>
      </c>
      <c r="Z7" t="s">
        <v>71</v>
      </c>
      <c r="AA7" t="s">
        <v>67</v>
      </c>
      <c r="AB7" t="s">
        <v>72</v>
      </c>
      <c r="AC7" t="e">
        <f ca="1">-- UAT refresh meeting -- worked on UAT refresh workbook</f>
        <v>#NAME?</v>
      </c>
      <c r="AD7" t="s">
        <v>69</v>
      </c>
      <c r="AE7">
        <f t="shared" si="2"/>
        <v>5</v>
      </c>
      <c r="AF7" t="str">
        <f t="shared" si="3"/>
        <v>May</v>
      </c>
    </row>
    <row r="8" spans="1:32">
      <c r="A8" s="1">
        <v>45441</v>
      </c>
      <c r="B8" t="s">
        <v>26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58</v>
      </c>
      <c r="L8" t="s">
        <v>27</v>
      </c>
      <c r="M8" t="s">
        <v>21</v>
      </c>
      <c r="N8" t="s">
        <v>21</v>
      </c>
      <c r="O8" t="s">
        <v>65</v>
      </c>
      <c r="P8">
        <v>255046</v>
      </c>
      <c r="Q8" t="s">
        <v>18</v>
      </c>
      <c r="R8" t="s">
        <v>8</v>
      </c>
      <c r="S8" t="s">
        <v>66</v>
      </c>
      <c r="T8">
        <v>90</v>
      </c>
      <c r="U8">
        <v>3</v>
      </c>
      <c r="V8" s="2">
        <v>0.125</v>
      </c>
      <c r="W8">
        <v>270</v>
      </c>
      <c r="X8">
        <v>360</v>
      </c>
      <c r="Y8">
        <v>90</v>
      </c>
      <c r="Z8" t="s">
        <v>71</v>
      </c>
      <c r="AA8" t="s">
        <v>67</v>
      </c>
      <c r="AB8" t="s">
        <v>72</v>
      </c>
      <c r="AC8" t="e">
        <f ca="1">-- UAT refresh meeting -- worked on UAT refresh workbook</f>
        <v>#NAME?</v>
      </c>
      <c r="AD8" t="s">
        <v>69</v>
      </c>
      <c r="AE8">
        <f t="shared" si="2"/>
        <v>5</v>
      </c>
      <c r="AF8" t="str">
        <f t="shared" si="3"/>
        <v>May</v>
      </c>
    </row>
    <row r="9" spans="1:32">
      <c r="A9" s="1">
        <v>45442</v>
      </c>
      <c r="B9" t="s">
        <v>26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58</v>
      </c>
      <c r="L9" t="s">
        <v>27</v>
      </c>
      <c r="M9" t="s">
        <v>21</v>
      </c>
      <c r="N9" t="s">
        <v>21</v>
      </c>
      <c r="O9" t="s">
        <v>65</v>
      </c>
      <c r="P9">
        <v>255050</v>
      </c>
      <c r="Q9" t="s">
        <v>18</v>
      </c>
      <c r="R9" t="s">
        <v>8</v>
      </c>
      <c r="S9" t="s">
        <v>66</v>
      </c>
      <c r="T9">
        <v>90</v>
      </c>
      <c r="U9">
        <v>3</v>
      </c>
      <c r="V9" s="2">
        <v>0.125</v>
      </c>
      <c r="W9">
        <v>270</v>
      </c>
      <c r="X9">
        <v>360</v>
      </c>
      <c r="Y9">
        <v>90</v>
      </c>
      <c r="Z9" t="s">
        <v>71</v>
      </c>
      <c r="AA9" t="s">
        <v>67</v>
      </c>
      <c r="AB9" t="s">
        <v>72</v>
      </c>
      <c r="AC9" t="e">
        <f ca="1">-- UAT refresh meeting -- worked on UAT refresh workbook</f>
        <v>#NAME?</v>
      </c>
      <c r="AD9" t="s">
        <v>69</v>
      </c>
      <c r="AE9">
        <f t="shared" si="2"/>
        <v>5</v>
      </c>
      <c r="AF9" t="str">
        <f t="shared" si="3"/>
        <v>May</v>
      </c>
    </row>
    <row r="10" spans="1:32">
      <c r="A10" s="1">
        <v>45443</v>
      </c>
      <c r="B10" t="s">
        <v>26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58</v>
      </c>
      <c r="L10" t="s">
        <v>27</v>
      </c>
      <c r="M10" t="s">
        <v>21</v>
      </c>
      <c r="N10" t="s">
        <v>21</v>
      </c>
      <c r="O10" t="s">
        <v>65</v>
      </c>
      <c r="P10">
        <v>255054</v>
      </c>
      <c r="Q10" t="s">
        <v>18</v>
      </c>
      <c r="R10" t="s">
        <v>8</v>
      </c>
      <c r="S10" t="s">
        <v>66</v>
      </c>
      <c r="T10">
        <v>90</v>
      </c>
      <c r="U10">
        <v>3.25</v>
      </c>
      <c r="V10" s="2">
        <v>0.13541666666666666</v>
      </c>
      <c r="W10">
        <v>292.5</v>
      </c>
      <c r="X10">
        <v>390</v>
      </c>
      <c r="Y10">
        <v>97.5</v>
      </c>
      <c r="Z10" t="s">
        <v>71</v>
      </c>
      <c r="AA10" t="s">
        <v>67</v>
      </c>
      <c r="AB10" t="s">
        <v>72</v>
      </c>
      <c r="AC10" t="e">
        <f ca="1">-- UAT refresh meeting -- worked on UAT refresh workbook</f>
        <v>#NAME?</v>
      </c>
      <c r="AD10" t="s">
        <v>69</v>
      </c>
      <c r="AE10">
        <f t="shared" si="2"/>
        <v>5</v>
      </c>
      <c r="AF10" t="str">
        <f t="shared" si="3"/>
        <v>May</v>
      </c>
    </row>
    <row r="11" spans="1:32">
      <c r="A11" s="1">
        <v>45447</v>
      </c>
      <c r="B11" t="s">
        <v>26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58</v>
      </c>
      <c r="L11" t="s">
        <v>27</v>
      </c>
      <c r="M11" t="s">
        <v>21</v>
      </c>
      <c r="N11" t="s">
        <v>21</v>
      </c>
      <c r="O11" t="s">
        <v>65</v>
      </c>
      <c r="P11">
        <v>256890</v>
      </c>
      <c r="Q11" t="s">
        <v>18</v>
      </c>
      <c r="R11" t="s">
        <v>8</v>
      </c>
      <c r="S11" t="s">
        <v>66</v>
      </c>
      <c r="T11">
        <v>90</v>
      </c>
      <c r="U11">
        <v>1</v>
      </c>
      <c r="V11" s="2">
        <v>4.1666666666666664E-2</v>
      </c>
      <c r="W11">
        <v>90</v>
      </c>
      <c r="AA11" t="s">
        <v>67</v>
      </c>
      <c r="AC11" t="e">
        <f ca="1">-- Playbook _xludf.and org refresh strategy finalized with Anjali</f>
        <v>#NAME?</v>
      </c>
      <c r="AD11" t="s">
        <v>69</v>
      </c>
      <c r="AE11">
        <f t="shared" si="2"/>
        <v>6</v>
      </c>
      <c r="AF11" t="str">
        <f t="shared" si="3"/>
        <v>June</v>
      </c>
    </row>
    <row r="12" spans="1:32">
      <c r="A12" s="1">
        <v>45449</v>
      </c>
      <c r="B12" t="s">
        <v>26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58</v>
      </c>
      <c r="L12" t="s">
        <v>27</v>
      </c>
      <c r="M12" t="s">
        <v>21</v>
      </c>
      <c r="N12" t="s">
        <v>21</v>
      </c>
      <c r="O12" t="s">
        <v>65</v>
      </c>
      <c r="P12">
        <v>256895</v>
      </c>
      <c r="Q12" t="s">
        <v>18</v>
      </c>
      <c r="R12" t="s">
        <v>8</v>
      </c>
      <c r="S12" t="s">
        <v>66</v>
      </c>
      <c r="T12">
        <v>90</v>
      </c>
      <c r="U12">
        <v>4.5</v>
      </c>
      <c r="V12" s="2">
        <v>0.1875</v>
      </c>
      <c r="W12">
        <v>405</v>
      </c>
      <c r="AA12" t="s">
        <v>67</v>
      </c>
      <c r="AC12" t="e">
        <f ca="1">-- Updating the Playbook _xludf.for the meeting -- Connected with Anjali _xludf.for backup of Staging _xludf.and SIT</f>
        <v>#NAME?</v>
      </c>
      <c r="AD12" t="s">
        <v>69</v>
      </c>
      <c r="AE12">
        <f t="shared" si="2"/>
        <v>6</v>
      </c>
      <c r="AF12" t="str">
        <f t="shared" si="3"/>
        <v>June</v>
      </c>
    </row>
    <row r="13" spans="1:32">
      <c r="A13" s="1">
        <v>45450</v>
      </c>
      <c r="B13" t="s">
        <v>26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58</v>
      </c>
      <c r="L13" t="s">
        <v>27</v>
      </c>
      <c r="M13" t="s">
        <v>21</v>
      </c>
      <c r="N13" t="s">
        <v>21</v>
      </c>
      <c r="O13" t="s">
        <v>65</v>
      </c>
      <c r="P13">
        <v>256896</v>
      </c>
      <c r="Q13" t="s">
        <v>18</v>
      </c>
      <c r="R13" t="s">
        <v>8</v>
      </c>
      <c r="S13" t="s">
        <v>66</v>
      </c>
      <c r="T13">
        <v>90</v>
      </c>
      <c r="U13">
        <v>7.5</v>
      </c>
      <c r="V13" s="2">
        <v>0.3125</v>
      </c>
      <c r="W13">
        <v>675</v>
      </c>
      <c r="AA13" t="s">
        <v>67</v>
      </c>
      <c r="AC13" t="e">
        <f ca="1">-- Completed the backup of Staging SIT UAT in Grainger Git Repository -- UAT refresh meeting with Jacob -- Updated the UAT Named Credentials details in the Playbook</f>
        <v>#NAME?</v>
      </c>
      <c r="AD13" t="s">
        <v>69</v>
      </c>
      <c r="AE13">
        <f t="shared" si="2"/>
        <v>6</v>
      </c>
      <c r="AF13" t="str">
        <f t="shared" si="3"/>
        <v>June</v>
      </c>
    </row>
    <row r="14" spans="1:32">
      <c r="A14" s="1">
        <v>45434</v>
      </c>
      <c r="B14" t="s">
        <v>21</v>
      </c>
      <c r="C14" t="s">
        <v>73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64</v>
      </c>
      <c r="K14" t="s">
        <v>58</v>
      </c>
      <c r="L14" t="s">
        <v>27</v>
      </c>
      <c r="M14" t="s">
        <v>21</v>
      </c>
      <c r="N14" t="s">
        <v>74</v>
      </c>
      <c r="O14" t="s">
        <v>65</v>
      </c>
      <c r="P14">
        <v>251771</v>
      </c>
      <c r="Q14" t="s">
        <v>18</v>
      </c>
      <c r="R14" t="s">
        <v>8</v>
      </c>
      <c r="S14" t="s">
        <v>66</v>
      </c>
      <c r="T14">
        <v>90</v>
      </c>
      <c r="U14">
        <v>0.75</v>
      </c>
      <c r="V14" s="2">
        <v>3.125E-2</v>
      </c>
      <c r="W14">
        <v>67.5</v>
      </c>
      <c r="X14">
        <v>90</v>
      </c>
      <c r="Y14">
        <v>22.5</v>
      </c>
      <c r="Z14" t="s">
        <v>71</v>
      </c>
      <c r="AA14" t="s">
        <v>67</v>
      </c>
      <c r="AB14" t="s">
        <v>72</v>
      </c>
      <c r="AC14" t="s">
        <v>75</v>
      </c>
      <c r="AD14" t="s">
        <v>69</v>
      </c>
      <c r="AE14">
        <f t="shared" si="2"/>
        <v>5</v>
      </c>
      <c r="AF14" t="str">
        <f t="shared" si="3"/>
        <v>May</v>
      </c>
    </row>
    <row r="15" spans="1:32">
      <c r="A15" s="1">
        <v>45439</v>
      </c>
      <c r="B15" t="s">
        <v>21</v>
      </c>
      <c r="C15" t="s">
        <v>73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58</v>
      </c>
      <c r="L15" t="s">
        <v>27</v>
      </c>
      <c r="M15" t="s">
        <v>21</v>
      </c>
      <c r="N15" t="s">
        <v>74</v>
      </c>
      <c r="O15" t="s">
        <v>65</v>
      </c>
      <c r="P15">
        <v>253291</v>
      </c>
      <c r="Q15" t="s">
        <v>18</v>
      </c>
      <c r="R15" t="s">
        <v>8</v>
      </c>
      <c r="S15" t="s">
        <v>66</v>
      </c>
      <c r="T15">
        <v>90</v>
      </c>
      <c r="U15">
        <v>1</v>
      </c>
      <c r="V15" s="2">
        <v>4.1666666666666664E-2</v>
      </c>
      <c r="W15">
        <v>90</v>
      </c>
      <c r="X15">
        <v>120</v>
      </c>
      <c r="Y15">
        <v>30</v>
      </c>
      <c r="Z15" t="s">
        <v>71</v>
      </c>
      <c r="AA15" t="s">
        <v>67</v>
      </c>
      <c r="AB15" t="s">
        <v>72</v>
      </c>
      <c r="AC15" t="s">
        <v>74</v>
      </c>
      <c r="AD15" t="s">
        <v>69</v>
      </c>
      <c r="AE15">
        <f t="shared" si="2"/>
        <v>5</v>
      </c>
      <c r="AF15" t="str">
        <f t="shared" si="3"/>
        <v>May</v>
      </c>
    </row>
    <row r="16" spans="1:32">
      <c r="A16" s="1">
        <v>45446</v>
      </c>
      <c r="B16" t="s">
        <v>21</v>
      </c>
      <c r="C16" t="s">
        <v>73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 t="s">
        <v>58</v>
      </c>
      <c r="L16" t="s">
        <v>27</v>
      </c>
      <c r="M16" t="s">
        <v>21</v>
      </c>
      <c r="N16" t="s">
        <v>74</v>
      </c>
      <c r="O16" t="s">
        <v>65</v>
      </c>
      <c r="P16">
        <v>257243</v>
      </c>
      <c r="Q16" t="s">
        <v>18</v>
      </c>
      <c r="R16" t="s">
        <v>8</v>
      </c>
      <c r="S16" t="s">
        <v>66</v>
      </c>
      <c r="T16">
        <v>90</v>
      </c>
      <c r="U16">
        <v>1</v>
      </c>
      <c r="V16" s="2">
        <v>4.1666666666666664E-2</v>
      </c>
      <c r="W16">
        <v>90</v>
      </c>
      <c r="AA16" t="s">
        <v>67</v>
      </c>
      <c r="AC16" t="s">
        <v>76</v>
      </c>
      <c r="AD16" t="s">
        <v>69</v>
      </c>
      <c r="AE16">
        <f t="shared" si="2"/>
        <v>6</v>
      </c>
      <c r="AF16" t="str">
        <f t="shared" si="3"/>
        <v>June</v>
      </c>
    </row>
    <row r="17" spans="1:32">
      <c r="A17" s="1">
        <v>45450</v>
      </c>
      <c r="B17" t="s">
        <v>21</v>
      </c>
      <c r="C17" t="s">
        <v>73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58</v>
      </c>
      <c r="L17" t="s">
        <v>27</v>
      </c>
      <c r="M17" t="s">
        <v>21</v>
      </c>
      <c r="N17" t="s">
        <v>74</v>
      </c>
      <c r="O17" t="s">
        <v>65</v>
      </c>
      <c r="P17">
        <v>257249</v>
      </c>
      <c r="Q17" t="s">
        <v>18</v>
      </c>
      <c r="R17" t="s">
        <v>8</v>
      </c>
      <c r="S17" t="s">
        <v>66</v>
      </c>
      <c r="T17">
        <v>90</v>
      </c>
      <c r="U17">
        <v>0.5</v>
      </c>
      <c r="V17" s="2">
        <v>2.0833333333333332E-2</v>
      </c>
      <c r="W17">
        <v>45</v>
      </c>
      <c r="AA17" t="s">
        <v>67</v>
      </c>
      <c r="AC17" t="s">
        <v>77</v>
      </c>
      <c r="AD17" t="s">
        <v>69</v>
      </c>
      <c r="AE17">
        <f t="shared" si="2"/>
        <v>6</v>
      </c>
      <c r="AF17" t="str">
        <f t="shared" si="3"/>
        <v>June</v>
      </c>
    </row>
    <row r="18" spans="1:32">
      <c r="A18" s="1">
        <v>45457</v>
      </c>
      <c r="B18" t="s">
        <v>21</v>
      </c>
      <c r="C18" t="s">
        <v>73</v>
      </c>
      <c r="D18" t="s">
        <v>58</v>
      </c>
      <c r="E18" t="s">
        <v>59</v>
      </c>
      <c r="F18" t="s">
        <v>60</v>
      </c>
      <c r="G18" t="s">
        <v>61</v>
      </c>
      <c r="H18" t="s">
        <v>62</v>
      </c>
      <c r="I18" t="s">
        <v>63</v>
      </c>
      <c r="J18" t="s">
        <v>64</v>
      </c>
      <c r="K18" t="s">
        <v>58</v>
      </c>
      <c r="L18" t="s">
        <v>27</v>
      </c>
      <c r="M18" t="s">
        <v>21</v>
      </c>
      <c r="N18" t="s">
        <v>74</v>
      </c>
      <c r="O18" t="s">
        <v>65</v>
      </c>
      <c r="P18">
        <v>257192</v>
      </c>
      <c r="Q18" t="s">
        <v>18</v>
      </c>
      <c r="R18" t="s">
        <v>8</v>
      </c>
      <c r="S18" t="s">
        <v>66</v>
      </c>
      <c r="T18">
        <v>90</v>
      </c>
      <c r="U18">
        <v>1</v>
      </c>
      <c r="V18" s="2">
        <v>4.1666666666666664E-2</v>
      </c>
      <c r="W18">
        <v>90</v>
      </c>
      <c r="AA18" t="s">
        <v>67</v>
      </c>
      <c r="AC18" t="s">
        <v>76</v>
      </c>
      <c r="AD18" t="s">
        <v>69</v>
      </c>
      <c r="AE18">
        <f t="shared" si="2"/>
        <v>6</v>
      </c>
      <c r="AF18" t="str">
        <f t="shared" si="3"/>
        <v>June</v>
      </c>
    </row>
    <row r="19" spans="1:32">
      <c r="A19" s="1">
        <v>45447</v>
      </c>
      <c r="B19" t="s">
        <v>27</v>
      </c>
      <c r="C19" t="s">
        <v>73</v>
      </c>
      <c r="D19" t="s">
        <v>58</v>
      </c>
      <c r="E19" t="s">
        <v>78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58</v>
      </c>
      <c r="L19" t="s">
        <v>27</v>
      </c>
      <c r="M19" t="s">
        <v>21</v>
      </c>
      <c r="N19" t="s">
        <v>74</v>
      </c>
      <c r="O19" t="s">
        <v>65</v>
      </c>
      <c r="P19">
        <v>254877</v>
      </c>
      <c r="Q19" t="s">
        <v>18</v>
      </c>
      <c r="R19" t="s">
        <v>8</v>
      </c>
      <c r="S19" t="s">
        <v>66</v>
      </c>
      <c r="T19">
        <v>90</v>
      </c>
      <c r="U19">
        <v>0.5</v>
      </c>
      <c r="V19" s="2">
        <v>2.0833333333333332E-2</v>
      </c>
      <c r="W19">
        <v>45</v>
      </c>
      <c r="AA19" t="s">
        <v>67</v>
      </c>
      <c r="AC19" t="s">
        <v>74</v>
      </c>
      <c r="AD19" t="s">
        <v>69</v>
      </c>
      <c r="AE19">
        <f t="shared" si="2"/>
        <v>6</v>
      </c>
      <c r="AF19" t="str">
        <f t="shared" si="3"/>
        <v>June</v>
      </c>
    </row>
    <row r="20" spans="1:32">
      <c r="A20" s="1">
        <v>45448</v>
      </c>
      <c r="B20" t="s">
        <v>27</v>
      </c>
      <c r="C20" t="s">
        <v>73</v>
      </c>
      <c r="D20" t="s">
        <v>58</v>
      </c>
      <c r="E20" t="s">
        <v>78</v>
      </c>
      <c r="F20" t="s">
        <v>60</v>
      </c>
      <c r="G20" t="s">
        <v>61</v>
      </c>
      <c r="H20" t="s">
        <v>62</v>
      </c>
      <c r="I20" t="s">
        <v>63</v>
      </c>
      <c r="J20" t="s">
        <v>64</v>
      </c>
      <c r="K20" t="s">
        <v>58</v>
      </c>
      <c r="L20" t="s">
        <v>27</v>
      </c>
      <c r="M20" t="s">
        <v>21</v>
      </c>
      <c r="N20" t="s">
        <v>74</v>
      </c>
      <c r="O20" t="s">
        <v>65</v>
      </c>
      <c r="P20">
        <v>256516</v>
      </c>
      <c r="Q20" t="s">
        <v>18</v>
      </c>
      <c r="R20" t="s">
        <v>8</v>
      </c>
      <c r="S20" t="s">
        <v>66</v>
      </c>
      <c r="T20">
        <v>90</v>
      </c>
      <c r="U20">
        <v>0.25</v>
      </c>
      <c r="V20" s="2">
        <v>1.0416666666666666E-2</v>
      </c>
      <c r="W20">
        <v>22.5</v>
      </c>
      <c r="AA20" t="s">
        <v>67</v>
      </c>
      <c r="AC20" t="s">
        <v>74</v>
      </c>
      <c r="AD20" t="s">
        <v>69</v>
      </c>
      <c r="AE20">
        <f t="shared" si="2"/>
        <v>6</v>
      </c>
      <c r="AF20" t="str">
        <f t="shared" si="3"/>
        <v>June</v>
      </c>
    </row>
    <row r="21" spans="1:32">
      <c r="A21" s="1"/>
      <c r="V21" s="2"/>
    </row>
    <row r="22" spans="1:32">
      <c r="A22" s="1"/>
      <c r="V22" s="2"/>
    </row>
    <row r="23" spans="1:32">
      <c r="A23" s="1"/>
      <c r="V23" s="2"/>
    </row>
    <row r="24" spans="1:32">
      <c r="A24" s="1"/>
      <c r="V24" s="2"/>
    </row>
    <row r="25" spans="1:32">
      <c r="A25" s="1"/>
      <c r="V25" s="2"/>
    </row>
    <row r="26" spans="1:32">
      <c r="A26" s="1"/>
      <c r="V26" s="2"/>
    </row>
    <row r="27" spans="1:32">
      <c r="A27" s="1"/>
      <c r="V27" s="2"/>
    </row>
    <row r="28" spans="1:32">
      <c r="A28" s="1"/>
      <c r="V28" s="2"/>
    </row>
    <row r="29" spans="1:32">
      <c r="A29" s="1"/>
      <c r="V29" s="2"/>
    </row>
    <row r="30" spans="1:32">
      <c r="A30" s="1"/>
      <c r="V30" s="2"/>
    </row>
    <row r="31" spans="1:32">
      <c r="A31" s="1"/>
      <c r="V31" s="2"/>
    </row>
    <row r="32" spans="1:32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F13517-71B2-432F-AEF2-112664258E77}"/>
</file>

<file path=customXml/itemProps2.xml><?xml version="1.0" encoding="utf-8"?>
<ds:datastoreItem xmlns:ds="http://schemas.openxmlformats.org/officeDocument/2006/customXml" ds:itemID="{EF4BB0B6-C3C6-4F4C-B172-B4056D511213}"/>
</file>

<file path=customXml/itemProps3.xml><?xml version="1.0" encoding="utf-8"?>
<ds:datastoreItem xmlns:ds="http://schemas.openxmlformats.org/officeDocument/2006/customXml" ds:itemID="{F16C84F4-AB22-4990-A0CA-A064DA64DAF1}"/>
</file>

<file path=customXml/itemProps4.xml><?xml version="1.0" encoding="utf-8"?>
<ds:datastoreItem xmlns:ds="http://schemas.openxmlformats.org/officeDocument/2006/customXml" ds:itemID="{9342FE0E-B3B3-43B0-B263-74A8DFEE6A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2024-06-10T18:31:50Z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