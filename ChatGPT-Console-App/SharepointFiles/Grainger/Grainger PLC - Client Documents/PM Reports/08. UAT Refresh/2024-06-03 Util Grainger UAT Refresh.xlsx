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4"/>
  <workbookPr hidePivotFieldList="1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8. UAT Refresh/"/>
    </mc:Choice>
  </mc:AlternateContent>
  <xr:revisionPtr revIDLastSave="122" documentId="13_ncr:40009_{BBCEBA60-E38F-4EE1-BDB9-DA93CE793831}" xr6:coauthVersionLast="47" xr6:coauthVersionMax="47" xr10:uidLastSave="{41C88105-F020-4FED-8825-FD4F34ACE52F}"/>
  <bookViews>
    <workbookView xWindow="57480" yWindow="-2160" windowWidth="29040" windowHeight="15720" xr2:uid="{00000000-000D-0000-FFFF-FFFF00000000}"/>
  </bookViews>
  <sheets>
    <sheet name="Pivot" sheetId="2" r:id="rId1"/>
    <sheet name="Project Timesheets" sheetId="1" r:id="rId2"/>
  </sheets>
  <calcPr calcId="191028" concurrentCalc="0"/>
  <pivotCaches>
    <pivotCache cacheId="593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" i="1" l="1"/>
  <c r="AF4" i="1"/>
  <c r="AE5" i="1"/>
  <c r="AF5" i="1"/>
  <c r="AE6" i="1"/>
  <c r="AF6" i="1"/>
  <c r="AE7" i="1"/>
  <c r="AF7" i="1"/>
  <c r="AE8" i="1"/>
  <c r="AF8" i="1"/>
  <c r="AE9" i="1"/>
  <c r="AF9" i="1"/>
  <c r="AE10" i="1"/>
  <c r="AF10" i="1"/>
  <c r="AC8" i="1"/>
  <c r="AC7" i="1"/>
  <c r="AC6" i="1"/>
  <c r="AC5" i="1"/>
  <c r="AC4" i="1"/>
  <c r="AC3" i="1"/>
  <c r="AC2" i="1"/>
  <c r="AE2" i="1"/>
  <c r="AE3" i="1"/>
  <c r="AF3" i="1"/>
  <c r="AF2" i="1"/>
</calcChain>
</file>

<file path=xl/sharedStrings.xml><?xml version="1.0" encoding="utf-8"?>
<sst xmlns="http://schemas.openxmlformats.org/spreadsheetml/2006/main" count="243" uniqueCount="72">
  <si>
    <t>Month</t>
  </si>
  <si>
    <t>(All)</t>
  </si>
  <si>
    <t>&lt;- Filter By Month</t>
  </si>
  <si>
    <t>Phase</t>
  </si>
  <si>
    <t>Hours</t>
  </si>
  <si>
    <t>Lower Bound</t>
  </si>
  <si>
    <t>Upper Bound</t>
  </si>
  <si>
    <t>Billable Timecode</t>
  </si>
  <si>
    <t>Billable timecode</t>
  </si>
  <si>
    <t>Pre-Refresh Analysis</t>
  </si>
  <si>
    <t>20-22</t>
  </si>
  <si>
    <t>Refresh</t>
  </si>
  <si>
    <t>2-3</t>
  </si>
  <si>
    <t>Sum of Hours</t>
  </si>
  <si>
    <t>Column Labels</t>
  </si>
  <si>
    <t>Post-refresh updates</t>
  </si>
  <si>
    <t>10-12</t>
  </si>
  <si>
    <t>Row Labels</t>
  </si>
  <si>
    <t>Planning and Executing Refresh Activities</t>
  </si>
  <si>
    <t>Grand Total</t>
  </si>
  <si>
    <t>End-to-end testing</t>
  </si>
  <si>
    <t>Sam Duncan</t>
  </si>
  <si>
    <t>Project management</t>
  </si>
  <si>
    <t xml:space="preserve">Sachin  Deshmukh </t>
  </si>
  <si>
    <t>Total</t>
  </si>
  <si>
    <t>44 - 52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</si>
  <si>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</si>
  <si>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</si>
  <si>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</si>
  <si>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</si>
  <si>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</si>
  <si>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</si>
  <si>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</si>
  <si>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</si>
  <si>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</si>
  <si>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</si>
  <si>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</si>
  <si>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</si>
  <si>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</si>
  <si>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</si>
  <si>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</si>
  <si>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</si>
  <si>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</si>
  <si>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</si>
  <si>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</si>
  <si>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</si>
  <si>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</si>
  <si>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</si>
  <si>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</si>
  <si>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</si>
  <si>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</si>
  <si>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</si>
  <si>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</si>
  <si>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</si>
  <si>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</si>
  <si>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</si>
  <si>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</si>
  <si>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</si>
  <si>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</si>
  <si>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Grainger PLC</t>
  </si>
  <si>
    <t>OB-000660</t>
  </si>
  <si>
    <t>Salesforce UAT Refresh (T&amp;M)</t>
  </si>
  <si>
    <t>Billable</t>
  </si>
  <si>
    <t>Shaun Barrett</t>
  </si>
  <si>
    <t>Analysis and Delivery</t>
  </si>
  <si>
    <t>Standard Timecode</t>
  </si>
  <si>
    <t>GBP</t>
  </si>
  <si>
    <t>Reviewed</t>
  </si>
  <si>
    <t>Not submitted</t>
  </si>
  <si>
    <t>Salaried / Fixed</t>
  </si>
  <si>
    <t xml:space="preserve"> </t>
  </si>
  <si>
    <t>Initial analysis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</si>
</sst>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[$£-809]* #,##0_-;\-[$£-809]* #,##0_-;_-[$£-809]* &quot;-&quot;??_-;_-@_-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theme="1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9" fillId="0" borderId="0" xfId="0" applyFont="1"/>
    <xf numFmtId="164" fontId="0" fillId="0" borderId="0" xfId="0" applyNumberFormat="1"/>
    <xf numFmtId="0" fontId="20" fillId="34" borderId="10" xfId="0" applyFont="1" applyFill="1" applyBorder="1" applyAlignment="1">
      <alignment horizontal="justify" vertical="center"/>
    </xf>
    <xf numFmtId="0" fontId="20" fillId="34" borderId="11" xfId="0" applyFont="1" applyFill="1" applyBorder="1" applyAlignment="1">
      <alignment horizontal="center" vertical="center"/>
    </xf>
    <xf numFmtId="0" fontId="20" fillId="34" borderId="11" xfId="0" applyFont="1" applyFill="1" applyBorder="1" applyAlignment="1">
      <alignment horizontal="justify" vertical="center"/>
    </xf>
    <xf numFmtId="0" fontId="21" fillId="0" borderId="12" xfId="0" applyFont="1" applyBorder="1" applyAlignment="1">
      <alignment horizontal="justify" vertical="center"/>
    </xf>
    <xf numFmtId="49" fontId="21" fillId="0" borderId="13" xfId="0" applyNumberFormat="1" applyFont="1" applyBorder="1" applyAlignment="1">
      <alignment horizontal="center" vertical="center"/>
    </xf>
    <xf numFmtId="165" fontId="21" fillId="0" borderId="13" xfId="0" applyNumberFormat="1" applyFont="1" applyBorder="1" applyAlignment="1">
      <alignment horizontal="right" vertical="center"/>
    </xf>
    <xf numFmtId="0" fontId="20" fillId="35" borderId="14" xfId="0" applyFont="1" applyFill="1" applyBorder="1" applyAlignment="1">
      <alignment horizontal="justify" vertical="center"/>
    </xf>
    <xf numFmtId="0" fontId="20" fillId="35" borderId="15" xfId="0" applyFont="1" applyFill="1" applyBorder="1" applyAlignment="1">
      <alignment horizontal="center" vertical="center"/>
    </xf>
    <xf numFmtId="165" fontId="20" fillId="35" borderId="15" xfId="0" applyNumberFormat="1" applyFont="1" applyFill="1" applyBorder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47.651596412034" createdVersion="8" refreshedVersion="8" minRefreshableVersion="3" recordCount="9" xr:uid="{EB362A1B-6351-420B-A0A4-2315AE897A59}">
  <cacheSource type="worksheet">
    <worksheetSource ref="A1:AF10" sheet="Project Timesheets"/>
  </cacheSource>
  <cacheFields count="32">
    <cacheField name="Date" numFmtId="15">
      <sharedItems containsSemiMixedTypes="0" containsNonDate="0" containsDate="1" containsString="0" minDate="2024-05-22T00:00:00" maxDate="2024-06-01T00:00:00"/>
    </cacheField>
    <cacheField name="Person" numFmtId="0">
      <sharedItems count="2">
        <s v="Sachin  Deshmukh "/>
        <s v="Sam Duncan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51771" maxValue="255054"/>
    </cacheField>
    <cacheField name="Timecode Name" numFmtId="0">
      <sharedItems count="1">
        <s v="Planning and Executing Refresh Activities"/>
      </sharedItems>
    </cacheField>
    <cacheField name="Billable Timecode" numFmtId="0">
      <sharedItems count="1"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90" maxValue="90"/>
    </cacheField>
    <cacheField name="Hours" numFmtId="0">
      <sharedItems containsSemiMixedTypes="0" containsString="0" containsNumber="1" minValue="0.75" maxValue="3.25"/>
    </cacheField>
    <cacheField name="Time" numFmtId="20">
      <sharedItems containsSemiMixedTypes="0" containsNonDate="0" containsDate="1" containsString="0" minDate="1899-12-30T00:45:00" maxDate="1899-12-30T03:15:00"/>
    </cacheField>
    <cacheField name="Worked Amount" numFmtId="0">
      <sharedItems containsSemiMixedTypes="0" containsString="0" containsNumber="1" minValue="67.5" maxValue="292.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5" maxValue="5"/>
    </cacheField>
    <cacheField name="Month" numFmtId="0">
      <sharedItems count="1">
        <s v="M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d v="2024-05-23T00:00:00"/>
    <x v="0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5040"/>
    <x v="0"/>
    <x v="0"/>
    <s v="Standard Timecode"/>
    <n v="90"/>
    <n v="3"/>
    <d v="1899-12-30T03:00:00"/>
    <n v="270"/>
    <m/>
    <m/>
    <m/>
    <s v="GBP"/>
    <s v="Reviewed"/>
    <e v="#NAME?"/>
    <s v="Not submitted"/>
    <n v="5"/>
    <x v="0"/>
  </r>
  <r>
    <d v="2024-05-24T00:00:00"/>
    <x v="0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5041"/>
    <x v="0"/>
    <x v="0"/>
    <s v="Standard Timecode"/>
    <n v="90"/>
    <n v="3"/>
    <d v="1899-12-30T03:00:00"/>
    <n v="270"/>
    <m/>
    <m/>
    <m/>
    <s v="GBP"/>
    <s v="Reviewed"/>
    <e v="#NAME?"/>
    <s v="Not submitted"/>
    <n v="5"/>
    <x v="0"/>
  </r>
  <r>
    <d v="2024-05-27T00:00:00"/>
    <x v="0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5044"/>
    <x v="0"/>
    <x v="0"/>
    <s v="Standard Timecode"/>
    <n v="90"/>
    <n v="2"/>
    <d v="1899-12-30T02:00:00"/>
    <n v="180"/>
    <m/>
    <m/>
    <m/>
    <s v="GBP"/>
    <s v="Reviewed"/>
    <e v="#NAME?"/>
    <s v="Not submitted"/>
    <n v="5"/>
    <x v="0"/>
  </r>
  <r>
    <d v="2024-05-28T00:00:00"/>
    <x v="0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5045"/>
    <x v="0"/>
    <x v="0"/>
    <s v="Standard Timecode"/>
    <n v="90"/>
    <n v="3"/>
    <d v="1899-12-30T03:00:00"/>
    <n v="270"/>
    <m/>
    <m/>
    <m/>
    <s v="GBP"/>
    <s v="Reviewed"/>
    <e v="#NAME?"/>
    <s v="Not submitted"/>
    <n v="5"/>
    <x v="0"/>
  </r>
  <r>
    <d v="2024-05-29T00:00:00"/>
    <x v="0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5046"/>
    <x v="0"/>
    <x v="0"/>
    <s v="Standard Timecode"/>
    <n v="90"/>
    <n v="3"/>
    <d v="1899-12-30T03:00:00"/>
    <n v="270"/>
    <m/>
    <m/>
    <m/>
    <s v="GBP"/>
    <s v="Reviewed"/>
    <e v="#NAME?"/>
    <s v="Not submitted"/>
    <n v="5"/>
    <x v="0"/>
  </r>
  <r>
    <d v="2024-05-30T00:00:00"/>
    <x v="0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5050"/>
    <x v="0"/>
    <x v="0"/>
    <s v="Standard Timecode"/>
    <n v="90"/>
    <n v="3"/>
    <d v="1899-12-30T03:00:00"/>
    <n v="270"/>
    <m/>
    <m/>
    <m/>
    <s v="GBP"/>
    <s v="Reviewed"/>
    <e v="#NAME?"/>
    <s v="Not submitted"/>
    <n v="5"/>
    <x v="0"/>
  </r>
  <r>
    <d v="2024-05-31T00:00:00"/>
    <x v="0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5054"/>
    <x v="0"/>
    <x v="0"/>
    <s v="Standard Timecode"/>
    <n v="90"/>
    <n v="3.25"/>
    <d v="1899-12-30T03:15:00"/>
    <n v="292.5"/>
    <m/>
    <m/>
    <m/>
    <s v="GBP"/>
    <s v="Reviewed"/>
    <e v="#NAME?"/>
    <s v="Not submitted"/>
    <n v="5"/>
    <x v="0"/>
  </r>
  <r>
    <d v="2024-05-22T00:00:00"/>
    <x v="1"/>
    <s v="Salaried / Fixed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 "/>
    <s v="Analysis and Delivery"/>
    <n v="251771"/>
    <x v="0"/>
    <x v="0"/>
    <s v="Standard Timecode"/>
    <n v="90"/>
    <n v="0.75"/>
    <d v="1899-12-30T00:45:00"/>
    <n v="67.5"/>
    <m/>
    <m/>
    <m/>
    <s v="GBP"/>
    <s v="Reviewed"/>
    <s v="Initial analysis session"/>
    <s v="Not submitted"/>
    <n v="5"/>
    <x v="0"/>
  </r>
  <r>
    <d v="2024-05-27T00:00:00"/>
    <x v="1"/>
    <s v="Salaried / Fixed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 "/>
    <s v="Analysis and Delivery"/>
    <n v="253291"/>
    <x v="0"/>
    <x v="0"/>
    <s v="Standard Timecode"/>
    <n v="90"/>
    <n v="1"/>
    <d v="1899-12-30T01:00:00"/>
    <n v="90"/>
    <m/>
    <m/>
    <m/>
    <s v="GBP"/>
    <s v="Reviewed"/>
    <s v=" "/>
    <s v="Not submitted"/>
    <n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E6A722-3449-444D-8ED1-19AE624D1CFB}" name="PivotTable1" cacheId="59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8" firstHeaderRow="1" firstDataRow="2" firstDataCol="1" rowPageCount="2" colPageCount="1"/>
  <pivotFields count="32">
    <pivotField numFmtId="15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16"/>
  </colFields>
  <colItems count="2">
    <i>
      <x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/>
  </sheetViews>
  <sheetFormatPr defaultRowHeight="14.45"/>
  <cols>
    <col min="1" max="1" width="17.42578125" bestFit="1" customWidth="1"/>
    <col min="2" max="2" width="38" bestFit="1" customWidth="1"/>
    <col min="3" max="3" width="11" style="7" bestFit="1" customWidth="1"/>
    <col min="4" max="4" width="16.28515625" bestFit="1" customWidth="1"/>
    <col min="5" max="6" width="10.5703125" bestFit="1" customWidth="1"/>
    <col min="7" max="7" width="25.140625" customWidth="1"/>
    <col min="8" max="10" width="18.28515625" customWidth="1"/>
  </cols>
  <sheetData>
    <row r="1" spans="1:10">
      <c r="A1" s="4" t="s">
        <v>0</v>
      </c>
      <c r="B1" t="s">
        <v>1</v>
      </c>
      <c r="D1" s="6" t="s">
        <v>2</v>
      </c>
      <c r="G1" s="9" t="s">
        <v>3</v>
      </c>
      <c r="H1" s="10" t="s">
        <v>4</v>
      </c>
      <c r="I1" s="11" t="s">
        <v>5</v>
      </c>
      <c r="J1" s="11" t="s">
        <v>6</v>
      </c>
    </row>
    <row r="2" spans="1:10">
      <c r="A2" s="4" t="s">
        <v>7</v>
      </c>
      <c r="B2" t="s">
        <v>8</v>
      </c>
      <c r="G2" s="12" t="s">
        <v>9</v>
      </c>
      <c r="H2" s="13" t="s">
        <v>10</v>
      </c>
      <c r="I2" s="14">
        <v>2400</v>
      </c>
      <c r="J2" s="14">
        <v>2640</v>
      </c>
    </row>
    <row r="3" spans="1:10">
      <c r="C3"/>
      <c r="G3" s="12" t="s">
        <v>11</v>
      </c>
      <c r="H3" s="13" t="s">
        <v>12</v>
      </c>
      <c r="I3" s="14">
        <v>240</v>
      </c>
      <c r="J3" s="14">
        <v>360</v>
      </c>
    </row>
    <row r="4" spans="1:10">
      <c r="A4" s="4" t="s">
        <v>13</v>
      </c>
      <c r="B4" s="4" t="s">
        <v>14</v>
      </c>
      <c r="G4" s="12" t="s">
        <v>15</v>
      </c>
      <c r="H4" s="13" t="s">
        <v>16</v>
      </c>
      <c r="I4" s="14">
        <v>1200</v>
      </c>
      <c r="J4" s="14">
        <v>1440</v>
      </c>
    </row>
    <row r="5" spans="1:10">
      <c r="A5" s="4" t="s">
        <v>17</v>
      </c>
      <c r="B5" t="s">
        <v>18</v>
      </c>
      <c r="C5" t="s">
        <v>19</v>
      </c>
      <c r="G5" s="12" t="s">
        <v>20</v>
      </c>
      <c r="H5" s="13" t="s">
        <v>16</v>
      </c>
      <c r="I5" s="14">
        <v>1200</v>
      </c>
      <c r="J5" s="14">
        <v>1440</v>
      </c>
    </row>
    <row r="6" spans="1:10">
      <c r="A6" s="5" t="s">
        <v>21</v>
      </c>
      <c r="B6" s="8">
        <v>1.75</v>
      </c>
      <c r="C6" s="8">
        <v>1.75</v>
      </c>
      <c r="G6" s="12" t="s">
        <v>22</v>
      </c>
      <c r="H6" s="13" t="s">
        <v>12</v>
      </c>
      <c r="I6" s="14">
        <v>240</v>
      </c>
      <c r="J6" s="14">
        <v>360</v>
      </c>
    </row>
    <row r="7" spans="1:10">
      <c r="A7" s="5" t="s">
        <v>23</v>
      </c>
      <c r="B7" s="8">
        <v>20.25</v>
      </c>
      <c r="C7" s="8">
        <v>20.25</v>
      </c>
      <c r="G7" s="15" t="s">
        <v>24</v>
      </c>
      <c r="H7" s="16" t="s">
        <v>25</v>
      </c>
      <c r="I7" s="17">
        <v>5280</v>
      </c>
      <c r="J7" s="17">
        <v>6240</v>
      </c>
    </row>
    <row r="8" spans="1:10">
      <c r="A8" s="5" t="s">
        <v>19</v>
      </c>
      <c r="B8" s="8">
        <v>22</v>
      </c>
      <c r="C8" s="8">
        <v>22</v>
      </c>
    </row>
    <row r="9" spans="1:10">
      <c r="C9"/>
    </row>
    <row r="10" spans="1:10">
      <c r="C10"/>
    </row>
    <row r="11" spans="1:10">
      <c r="C11"/>
    </row>
    <row r="12" spans="1:10">
      <c r="C12"/>
    </row>
    <row r="13" spans="1:10">
      <c r="C13"/>
    </row>
    <row r="14" spans="1:10">
      <c r="C14"/>
    </row>
    <row r="15" spans="1:10">
      <c r="C15"/>
    </row>
    <row r="16" spans="1:10">
      <c r="C16"/>
    </row>
    <row r="17" spans="3:3">
      <c r="C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D1"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</cols>
  <sheetData>
    <row r="1" spans="1:32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7</v>
      </c>
      <c r="S1" t="s">
        <v>43</v>
      </c>
      <c r="T1" t="s">
        <v>44</v>
      </c>
      <c r="U1" t="s">
        <v>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s="3" t="s">
        <v>54</v>
      </c>
      <c r="AF1" s="3" t="s">
        <v>0</v>
      </c>
    </row>
    <row r="2" spans="1:32">
      <c r="A2" s="1">
        <v>45435</v>
      </c>
      <c r="B2" t="s">
        <v>23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56</v>
      </c>
      <c r="L2" t="s">
        <v>63</v>
      </c>
      <c r="M2" t="s">
        <v>21</v>
      </c>
      <c r="N2" t="s">
        <v>21</v>
      </c>
      <c r="O2" t="s">
        <v>64</v>
      </c>
      <c r="P2">
        <v>255040</v>
      </c>
      <c r="Q2" t="s">
        <v>18</v>
      </c>
      <c r="R2" t="s">
        <v>8</v>
      </c>
      <c r="S2" t="s">
        <v>65</v>
      </c>
      <c r="T2">
        <v>90</v>
      </c>
      <c r="U2">
        <v>3</v>
      </c>
      <c r="V2" s="2">
        <v>0.125</v>
      </c>
      <c r="W2">
        <v>270</v>
      </c>
      <c r="AA2" t="s">
        <v>66</v>
      </c>
      <c r="AB2" t="s">
        <v>67</v>
      </c>
      <c r="AC2" t="e">
        <f ca="1">-- Grainger UAT refresh action items planning -- worked on UAT refresh workbook</f>
        <v>#NAME?</v>
      </c>
      <c r="AD2" t="s">
        <v>68</v>
      </c>
      <c r="AE2">
        <f>MONTH(A2)</f>
        <v>5</v>
      </c>
      <c r="AF2" t="str">
        <f>IF(AE2=5,"May",IF(AE2=6,"June",IF(AE2=7,"July",IF(AE2=8,"August",IF(AE2=9,"September")))))</f>
        <v>May</v>
      </c>
    </row>
    <row r="3" spans="1:32">
      <c r="A3" s="1">
        <v>45436</v>
      </c>
      <c r="B3" t="s">
        <v>23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56</v>
      </c>
      <c r="L3" t="s">
        <v>63</v>
      </c>
      <c r="M3" t="s">
        <v>21</v>
      </c>
      <c r="N3" t="s">
        <v>21</v>
      </c>
      <c r="O3" t="s">
        <v>64</v>
      </c>
      <c r="P3">
        <v>255041</v>
      </c>
      <c r="Q3" t="s">
        <v>18</v>
      </c>
      <c r="R3" t="s">
        <v>8</v>
      </c>
      <c r="S3" t="s">
        <v>65</v>
      </c>
      <c r="T3">
        <v>90</v>
      </c>
      <c r="U3">
        <v>3</v>
      </c>
      <c r="V3" s="2">
        <v>0.125</v>
      </c>
      <c r="W3">
        <v>270</v>
      </c>
      <c r="AA3" t="s">
        <v>66</v>
      </c>
      <c r="AB3" t="s">
        <v>67</v>
      </c>
      <c r="AC3" t="e">
        <f ca="1">-- Grainger UAT refresh action items</f>
        <v>#NAME?</v>
      </c>
      <c r="AD3" t="s">
        <v>68</v>
      </c>
      <c r="AE3">
        <f t="shared" ref="AE3" si="0">MONTH(A3)</f>
        <v>5</v>
      </c>
      <c r="AF3" t="str">
        <f t="shared" ref="AF3" si="1">IF(AE3=5,"May",IF(AE3=6,"June",IF(AE3=7,"July",IF(AE3=8,"August",IF(AE3=9,"September")))))</f>
        <v>May</v>
      </c>
    </row>
    <row r="4" spans="1:32">
      <c r="A4" s="1">
        <v>45439</v>
      </c>
      <c r="B4" t="s">
        <v>23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56</v>
      </c>
      <c r="L4" t="s">
        <v>63</v>
      </c>
      <c r="M4" t="s">
        <v>21</v>
      </c>
      <c r="N4" t="s">
        <v>21</v>
      </c>
      <c r="O4" t="s">
        <v>64</v>
      </c>
      <c r="P4">
        <v>255044</v>
      </c>
      <c r="Q4" t="s">
        <v>18</v>
      </c>
      <c r="R4" t="s">
        <v>8</v>
      </c>
      <c r="S4" t="s">
        <v>65</v>
      </c>
      <c r="T4">
        <v>90</v>
      </c>
      <c r="U4">
        <v>2</v>
      </c>
      <c r="V4" s="2">
        <v>8.3333333333333329E-2</v>
      </c>
      <c r="W4">
        <v>180</v>
      </c>
      <c r="AA4" t="s">
        <v>66</v>
      </c>
      <c r="AB4" t="s">
        <v>67</v>
      </c>
      <c r="AC4" t="e">
        <f ca="1">-- UAT refresh workbook -- UAT refresh meeting</f>
        <v>#NAME?</v>
      </c>
      <c r="AD4" t="s">
        <v>68</v>
      </c>
      <c r="AE4">
        <f t="shared" ref="AE4:AE10" si="2">MONTH(A4)</f>
        <v>5</v>
      </c>
      <c r="AF4" t="str">
        <f t="shared" ref="AF4:AF10" si="3">IF(AE4=5,"May",IF(AE4=6,"June",IF(AE4=7,"July",IF(AE4=8,"August",IF(AE4=9,"September")))))</f>
        <v>May</v>
      </c>
    </row>
    <row r="5" spans="1:32">
      <c r="A5" s="1">
        <v>45440</v>
      </c>
      <c r="B5" t="s">
        <v>23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56</v>
      </c>
      <c r="L5" t="s">
        <v>63</v>
      </c>
      <c r="M5" t="s">
        <v>21</v>
      </c>
      <c r="N5" t="s">
        <v>21</v>
      </c>
      <c r="O5" t="s">
        <v>64</v>
      </c>
      <c r="P5">
        <v>255045</v>
      </c>
      <c r="Q5" t="s">
        <v>18</v>
      </c>
      <c r="R5" t="s">
        <v>8</v>
      </c>
      <c r="S5" t="s">
        <v>65</v>
      </c>
      <c r="T5">
        <v>90</v>
      </c>
      <c r="U5">
        <v>3</v>
      </c>
      <c r="V5" s="2">
        <v>0.125</v>
      </c>
      <c r="W5">
        <v>270</v>
      </c>
      <c r="AA5" t="s">
        <v>66</v>
      </c>
      <c r="AB5" t="s">
        <v>67</v>
      </c>
      <c r="AC5" t="e">
        <f ca="1">-- UAT refresh meeting -- worked on UAT refresh workbook</f>
        <v>#NAME?</v>
      </c>
      <c r="AD5" t="s">
        <v>68</v>
      </c>
      <c r="AE5">
        <f t="shared" si="2"/>
        <v>5</v>
      </c>
      <c r="AF5" t="str">
        <f t="shared" si="3"/>
        <v>May</v>
      </c>
    </row>
    <row r="6" spans="1:32">
      <c r="A6" s="1">
        <v>45441</v>
      </c>
      <c r="B6" t="s">
        <v>23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56</v>
      </c>
      <c r="L6" t="s">
        <v>63</v>
      </c>
      <c r="M6" t="s">
        <v>21</v>
      </c>
      <c r="N6" t="s">
        <v>21</v>
      </c>
      <c r="O6" t="s">
        <v>64</v>
      </c>
      <c r="P6">
        <v>255046</v>
      </c>
      <c r="Q6" t="s">
        <v>18</v>
      </c>
      <c r="R6" t="s">
        <v>8</v>
      </c>
      <c r="S6" t="s">
        <v>65</v>
      </c>
      <c r="T6">
        <v>90</v>
      </c>
      <c r="U6">
        <v>3</v>
      </c>
      <c r="V6" s="2">
        <v>0.125</v>
      </c>
      <c r="W6">
        <v>270</v>
      </c>
      <c r="AA6" t="s">
        <v>66</v>
      </c>
      <c r="AB6" t="s">
        <v>67</v>
      </c>
      <c r="AC6" t="e">
        <f ca="1">-- UAT refresh meeting -- worked on UAT refresh workbook</f>
        <v>#NAME?</v>
      </c>
      <c r="AD6" t="s">
        <v>68</v>
      </c>
      <c r="AE6">
        <f t="shared" si="2"/>
        <v>5</v>
      </c>
      <c r="AF6" t="str">
        <f t="shared" si="3"/>
        <v>May</v>
      </c>
    </row>
    <row r="7" spans="1:32">
      <c r="A7" s="1">
        <v>45442</v>
      </c>
      <c r="B7" t="s">
        <v>23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56</v>
      </c>
      <c r="L7" t="s">
        <v>63</v>
      </c>
      <c r="M7" t="s">
        <v>21</v>
      </c>
      <c r="N7" t="s">
        <v>21</v>
      </c>
      <c r="O7" t="s">
        <v>64</v>
      </c>
      <c r="P7">
        <v>255050</v>
      </c>
      <c r="Q7" t="s">
        <v>18</v>
      </c>
      <c r="R7" t="s">
        <v>8</v>
      </c>
      <c r="S7" t="s">
        <v>65</v>
      </c>
      <c r="T7">
        <v>90</v>
      </c>
      <c r="U7">
        <v>3</v>
      </c>
      <c r="V7" s="2">
        <v>0.125</v>
      </c>
      <c r="W7">
        <v>270</v>
      </c>
      <c r="AA7" t="s">
        <v>66</v>
      </c>
      <c r="AB7" t="s">
        <v>67</v>
      </c>
      <c r="AC7" t="e">
        <f ca="1">-- UAT refresh meeting -- worked on UAT refresh workbook</f>
        <v>#NAME?</v>
      </c>
      <c r="AD7" t="s">
        <v>68</v>
      </c>
      <c r="AE7">
        <f t="shared" si="2"/>
        <v>5</v>
      </c>
      <c r="AF7" t="str">
        <f t="shared" si="3"/>
        <v>May</v>
      </c>
    </row>
    <row r="8" spans="1:32">
      <c r="A8" s="1">
        <v>45443</v>
      </c>
      <c r="B8" t="s">
        <v>23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56</v>
      </c>
      <c r="L8" t="s">
        <v>63</v>
      </c>
      <c r="M8" t="s">
        <v>21</v>
      </c>
      <c r="N8" t="s">
        <v>21</v>
      </c>
      <c r="O8" t="s">
        <v>64</v>
      </c>
      <c r="P8">
        <v>255054</v>
      </c>
      <c r="Q8" t="s">
        <v>18</v>
      </c>
      <c r="R8" t="s">
        <v>8</v>
      </c>
      <c r="S8" t="s">
        <v>65</v>
      </c>
      <c r="T8">
        <v>90</v>
      </c>
      <c r="U8">
        <v>3.25</v>
      </c>
      <c r="V8" s="2">
        <v>0.13541666666666666</v>
      </c>
      <c r="W8">
        <v>292.5</v>
      </c>
      <c r="AA8" t="s">
        <v>66</v>
      </c>
      <c r="AB8" t="s">
        <v>67</v>
      </c>
      <c r="AC8" t="e">
        <f ca="1">-- UAT refresh meeting -- worked on UAT refresh workbook</f>
        <v>#NAME?</v>
      </c>
      <c r="AD8" t="s">
        <v>68</v>
      </c>
      <c r="AE8">
        <f t="shared" si="2"/>
        <v>5</v>
      </c>
      <c r="AF8" t="str">
        <f t="shared" si="3"/>
        <v>May</v>
      </c>
    </row>
    <row r="9" spans="1:32">
      <c r="A9" s="1">
        <v>45434</v>
      </c>
      <c r="B9" t="s">
        <v>21</v>
      </c>
      <c r="C9" t="s">
        <v>69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56</v>
      </c>
      <c r="L9" t="s">
        <v>63</v>
      </c>
      <c r="M9" t="s">
        <v>21</v>
      </c>
      <c r="N9" t="s">
        <v>70</v>
      </c>
      <c r="O9" t="s">
        <v>64</v>
      </c>
      <c r="P9">
        <v>251771</v>
      </c>
      <c r="Q9" t="s">
        <v>18</v>
      </c>
      <c r="R9" t="s">
        <v>8</v>
      </c>
      <c r="S9" t="s">
        <v>65</v>
      </c>
      <c r="T9">
        <v>90</v>
      </c>
      <c r="U9">
        <v>0.75</v>
      </c>
      <c r="V9" s="2">
        <v>3.125E-2</v>
      </c>
      <c r="W9">
        <v>67.5</v>
      </c>
      <c r="AA9" t="s">
        <v>66</v>
      </c>
      <c r="AB9" t="s">
        <v>67</v>
      </c>
      <c r="AC9" t="s">
        <v>71</v>
      </c>
      <c r="AD9" t="s">
        <v>68</v>
      </c>
      <c r="AE9">
        <f t="shared" si="2"/>
        <v>5</v>
      </c>
      <c r="AF9" t="str">
        <f t="shared" si="3"/>
        <v>May</v>
      </c>
    </row>
    <row r="10" spans="1:32">
      <c r="A10" s="1">
        <v>45439</v>
      </c>
      <c r="B10" t="s">
        <v>21</v>
      </c>
      <c r="C10" t="s">
        <v>69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56</v>
      </c>
      <c r="L10" t="s">
        <v>63</v>
      </c>
      <c r="M10" t="s">
        <v>21</v>
      </c>
      <c r="N10" t="s">
        <v>70</v>
      </c>
      <c r="O10" t="s">
        <v>64</v>
      </c>
      <c r="P10">
        <v>253291</v>
      </c>
      <c r="Q10" t="s">
        <v>18</v>
      </c>
      <c r="R10" t="s">
        <v>8</v>
      </c>
      <c r="S10" t="s">
        <v>65</v>
      </c>
      <c r="T10">
        <v>90</v>
      </c>
      <c r="U10">
        <v>1</v>
      </c>
      <c r="V10" s="2">
        <v>4.1666666666666664E-2</v>
      </c>
      <c r="W10">
        <v>90</v>
      </c>
      <c r="AA10" t="s">
        <v>66</v>
      </c>
      <c r="AB10" t="s">
        <v>67</v>
      </c>
      <c r="AC10" t="s">
        <v>70</v>
      </c>
      <c r="AD10" t="s">
        <v>68</v>
      </c>
      <c r="AE10">
        <f t="shared" si="2"/>
        <v>5</v>
      </c>
      <c r="AF10" t="str">
        <f t="shared" si="3"/>
        <v>May</v>
      </c>
    </row>
    <row r="11" spans="1:32">
      <c r="A11" s="1"/>
      <c r="V11" s="2"/>
    </row>
    <row r="12" spans="1:32">
      <c r="A12" s="1"/>
      <c r="V12" s="2"/>
    </row>
    <row r="13" spans="1:32">
      <c r="A13" s="1"/>
      <c r="V13" s="2"/>
    </row>
    <row r="14" spans="1:32">
      <c r="A14" s="1"/>
      <c r="V14" s="2"/>
    </row>
    <row r="15" spans="1:32">
      <c r="A15" s="1"/>
      <c r="V15" s="2"/>
    </row>
    <row r="16" spans="1:32">
      <c r="A16" s="1"/>
      <c r="V16" s="2"/>
    </row>
    <row r="17" spans="1:22">
      <c r="A17" s="1"/>
      <c r="V17" s="2"/>
    </row>
    <row r="18" spans="1:22">
      <c r="A18" s="1"/>
      <c r="V18" s="2"/>
    </row>
    <row r="19" spans="1:22">
      <c r="A19" s="1"/>
      <c r="V19" s="2"/>
    </row>
    <row r="20" spans="1:22">
      <c r="A20" s="1"/>
      <c r="V20" s="2"/>
    </row>
    <row r="21" spans="1:22">
      <c r="A21" s="1"/>
      <c r="V21" s="2"/>
    </row>
    <row r="22" spans="1:22">
      <c r="A22" s="1"/>
      <c r="V22" s="2"/>
    </row>
    <row r="23" spans="1:22">
      <c r="A23" s="1"/>
      <c r="V23" s="2"/>
    </row>
    <row r="24" spans="1:22">
      <c r="A24" s="1"/>
      <c r="V24" s="2"/>
    </row>
    <row r="25" spans="1:22">
      <c r="A25" s="1"/>
      <c r="V25" s="2"/>
    </row>
    <row r="26" spans="1:22">
      <c r="A26" s="1"/>
      <c r="V26" s="2"/>
    </row>
    <row r="27" spans="1:22">
      <c r="A27" s="1"/>
      <c r="V27" s="2"/>
    </row>
    <row r="28" spans="1:22">
      <c r="A28" s="1"/>
      <c r="V28" s="2"/>
    </row>
    <row r="29" spans="1:22">
      <c r="A29" s="1"/>
      <c r="V29" s="2"/>
    </row>
    <row r="30" spans="1:22">
      <c r="A30" s="1"/>
      <c r="V30" s="2"/>
    </row>
    <row r="31" spans="1:22">
      <c r="A31" s="1"/>
      <c r="V31" s="2"/>
    </row>
    <row r="32" spans="1:22">
      <c r="A32" s="1"/>
      <c r="V32" s="2"/>
    </row>
    <row r="33" spans="1:22">
      <c r="A33" s="1"/>
      <c r="V33" s="2"/>
    </row>
    <row r="34" spans="1:22">
      <c r="A34" s="1"/>
      <c r="V34" s="2"/>
    </row>
    <row r="35" spans="1:22">
      <c r="A35" s="1"/>
      <c r="V35" s="2"/>
    </row>
    <row r="36" spans="1:22">
      <c r="A36" s="1"/>
      <c r="V36" s="2"/>
    </row>
    <row r="37" spans="1:22">
      <c r="A37" s="1"/>
      <c r="V37" s="2"/>
    </row>
    <row r="38" spans="1:22">
      <c r="A38" s="1"/>
      <c r="V38" s="2"/>
    </row>
    <row r="39" spans="1:22">
      <c r="A39" s="1"/>
      <c r="V39" s="2"/>
    </row>
    <row r="40" spans="1:22">
      <c r="A40" s="1"/>
      <c r="V40" s="2"/>
    </row>
    <row r="41" spans="1:22">
      <c r="A41" s="1"/>
      <c r="V41" s="2"/>
    </row>
    <row r="42" spans="1:22">
      <c r="A42" s="1"/>
      <c r="V42" s="2"/>
    </row>
    <row r="43" spans="1:22">
      <c r="A43" s="1"/>
      <c r="V43" s="2"/>
    </row>
    <row r="44" spans="1:22">
      <c r="A44" s="1"/>
      <c r="V44" s="2"/>
    </row>
    <row r="45" spans="1:22">
      <c r="A45" s="1"/>
      <c r="V45" s="2"/>
    </row>
    <row r="46" spans="1:22">
      <c r="A46" s="1"/>
      <c r="V46" s="2"/>
    </row>
    <row r="47" spans="1:22">
      <c r="A47" s="1"/>
      <c r="V47" s="2"/>
    </row>
    <row r="48" spans="1:22">
      <c r="A48" s="1"/>
      <c r="V48" s="2"/>
    </row>
    <row r="49" spans="1:22">
      <c r="A49" s="1"/>
      <c r="V49" s="2"/>
    </row>
    <row r="50" spans="1:22">
      <c r="A50" s="1"/>
      <c r="V50" s="2"/>
    </row>
    <row r="51" spans="1:22">
      <c r="A51" s="1"/>
      <c r="V51" s="2"/>
    </row>
    <row r="52" spans="1:22">
      <c r="A52" s="1"/>
      <c r="V52" s="2"/>
    </row>
    <row r="53" spans="1:22">
      <c r="A53" s="1"/>
      <c r="V53" s="2"/>
    </row>
    <row r="54" spans="1:22">
      <c r="A54" s="1"/>
      <c r="V54" s="2"/>
    </row>
    <row r="55" spans="1:22">
      <c r="A55" s="1"/>
      <c r="V55" s="2"/>
    </row>
    <row r="56" spans="1:22">
      <c r="A56" s="1"/>
      <c r="V56" s="2"/>
    </row>
    <row r="57" spans="1:22">
      <c r="A57" s="1"/>
      <c r="V57" s="2"/>
    </row>
    <row r="58" spans="1:22">
      <c r="A58" s="1"/>
      <c r="V58" s="2"/>
    </row>
    <row r="59" spans="1:22">
      <c r="A59" s="1"/>
      <c r="V59" s="2"/>
    </row>
    <row r="60" spans="1:22">
      <c r="A60" s="1"/>
      <c r="V60" s="2"/>
    </row>
    <row r="61" spans="1:22">
      <c r="A61" s="1"/>
      <c r="V61" s="2"/>
    </row>
    <row r="62" spans="1:22">
      <c r="A62" s="1"/>
      <c r="V62" s="2"/>
    </row>
    <row r="63" spans="1:22">
      <c r="A63" s="1"/>
      <c r="V63" s="2"/>
    </row>
    <row r="64" spans="1:22">
      <c r="A64" s="1"/>
      <c r="V64" s="2"/>
    </row>
    <row r="65" spans="1:22">
      <c r="A65" s="1"/>
      <c r="V65" s="2"/>
    </row>
    <row r="66" spans="1:22">
      <c r="A66" s="1"/>
      <c r="V66" s="2"/>
    </row>
    <row r="67" spans="1:22">
      <c r="A67" s="1"/>
      <c r="V67" s="2"/>
    </row>
    <row r="68" spans="1:22">
      <c r="A68" s="1"/>
      <c r="V68" s="2"/>
    </row>
    <row r="69" spans="1:22">
      <c r="A69" s="1"/>
      <c r="V69" s="2"/>
    </row>
    <row r="70" spans="1:22">
      <c r="A70" s="1"/>
      <c r="V70" s="2"/>
    </row>
    <row r="71" spans="1:22">
      <c r="A71" s="1"/>
      <c r="V71" s="2"/>
    </row>
    <row r="72" spans="1:22">
      <c r="A72" s="1"/>
      <c r="V72" s="2"/>
    </row>
    <row r="73" spans="1:22">
      <c r="A73" s="1"/>
      <c r="V73" s="2"/>
    </row>
    <row r="74" spans="1:22">
      <c r="A74" s="1"/>
      <c r="V74" s="2"/>
    </row>
    <row r="75" spans="1:22">
      <c r="A75" s="1"/>
      <c r="V75" s="2"/>
    </row>
    <row r="76" spans="1:22">
      <c r="A76" s="1"/>
      <c r="V76" s="2"/>
    </row>
    <row r="77" spans="1:22">
      <c r="A77" s="1"/>
      <c r="V77" s="2"/>
    </row>
    <row r="78" spans="1:22">
      <c r="A78" s="1"/>
      <c r="V78" s="2"/>
    </row>
    <row r="79" spans="1:22">
      <c r="A79" s="1"/>
      <c r="V79" s="2"/>
    </row>
    <row r="80" spans="1:22">
      <c r="A80" s="1"/>
      <c r="V80" s="2"/>
    </row>
    <row r="81" spans="1:22">
      <c r="A81" s="1"/>
      <c r="V81" s="2"/>
    </row>
    <row r="82" spans="1:22">
      <c r="A82" s="1"/>
      <c r="V82" s="2"/>
    </row>
    <row r="83" spans="1:22">
      <c r="A83" s="1"/>
      <c r="V83" s="2"/>
    </row>
    <row r="84" spans="1:22">
      <c r="A84" s="1"/>
      <c r="V84" s="2"/>
    </row>
    <row r="85" spans="1:22">
      <c r="A85" s="1"/>
      <c r="V85" s="2"/>
    </row>
    <row r="86" spans="1:22">
      <c r="A86" s="1"/>
      <c r="V86" s="2"/>
    </row>
    <row r="87" spans="1:22">
      <c r="A87" s="1"/>
      <c r="V87" s="2"/>
    </row>
    <row r="88" spans="1:22">
      <c r="A88" s="1"/>
      <c r="V88" s="2"/>
    </row>
    <row r="89" spans="1:22">
      <c r="A89" s="1"/>
      <c r="V89" s="2"/>
    </row>
    <row r="90" spans="1:22">
      <c r="A90" s="1"/>
      <c r="V90" s="2"/>
    </row>
    <row r="91" spans="1:22">
      <c r="A91" s="1"/>
      <c r="V91" s="2"/>
    </row>
    <row r="92" spans="1:22">
      <c r="A92" s="1"/>
      <c r="V92" s="2"/>
    </row>
    <row r="93" spans="1:22">
      <c r="A93" s="1"/>
      <c r="V93" s="2"/>
    </row>
    <row r="94" spans="1:22">
      <c r="A94" s="1"/>
      <c r="V94" s="2"/>
    </row>
    <row r="95" spans="1:22">
      <c r="A95" s="1"/>
      <c r="V95" s="2"/>
    </row>
    <row r="96" spans="1:2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  <row r="130" spans="1:22">
      <c r="A130" s="1"/>
      <c r="V130" s="2"/>
    </row>
    <row r="131" spans="1:22">
      <c r="A131" s="1"/>
      <c r="V131" s="2"/>
    </row>
    <row r="132" spans="1:22">
      <c r="A132" s="1"/>
      <c r="V132" s="2"/>
    </row>
    <row r="133" spans="1:22">
      <c r="A133" s="1"/>
      <c r="V133" s="2"/>
    </row>
    <row r="134" spans="1:22">
      <c r="A134" s="1"/>
      <c r="V134" s="2"/>
    </row>
    <row r="135" spans="1:22">
      <c r="A135" s="1"/>
      <c r="V135" s="2"/>
    </row>
    <row r="136" spans="1:22">
      <c r="A136" s="1"/>
      <c r="V136" s="2"/>
    </row>
    <row r="137" spans="1:22">
      <c r="A137" s="1"/>
      <c r="V137" s="2"/>
    </row>
    <row r="138" spans="1:22">
      <c r="A138" s="1"/>
      <c r="V138" s="2"/>
    </row>
    <row r="139" spans="1:22">
      <c r="A139" s="1"/>
      <c r="V139" s="2"/>
    </row>
    <row r="140" spans="1:22">
      <c r="A140" s="1"/>
      <c r="V140" s="2"/>
    </row>
    <row r="141" spans="1:22">
      <c r="A141" s="1"/>
      <c r="V141" s="2"/>
    </row>
    <row r="142" spans="1:22">
      <c r="A142" s="1"/>
      <c r="V142" s="2"/>
    </row>
    <row r="143" spans="1:22">
      <c r="A143" s="1"/>
      <c r="V143" s="2"/>
    </row>
    <row r="144" spans="1:2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Props1.xml><?xml version="1.0" encoding="utf-8"?>
<ds:datastoreItem xmlns:ds="http://schemas.openxmlformats.org/officeDocument/2006/customXml" ds:itemID="{7408B54B-4006-4E6B-9B14-C8EA37D0C84B}"/>
</file>

<file path=customXml/itemProps2.xml><?xml version="1.0" encoding="utf-8"?>
<ds:datastoreItem xmlns:ds="http://schemas.openxmlformats.org/officeDocument/2006/customXml" ds:itemID="{00B0D38C-F36C-4382-ABCB-C5E891298BBB}"/>
</file>

<file path=customXml/itemProps3.xml><?xml version="1.0" encoding="utf-8"?>
<ds:datastoreItem xmlns:ds="http://schemas.openxmlformats.org/officeDocument/2006/customXml" ds:itemID="{C0D24085-05CC-4D30-AF2D-59B6BD832000}"/>
</file>

<file path=customXml/itemProps4.xml><?xml version="1.0" encoding="utf-8"?>
<ds:datastoreItem xmlns:ds="http://schemas.openxmlformats.org/officeDocument/2006/customXml" ds:itemID="{9EA4F1A8-5AAF-465C-AC8B-6C7E4E5668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Le Grange</cp:lastModifiedBy>
  <cp:revision/>
  <dcterms:created xsi:type="dcterms:W3CDTF">2024-04-02T08:03:36Z</dcterms:created>
  <dcterms:modified xsi:type="dcterms:W3CDTF">2024-06-10T18:30:57Z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