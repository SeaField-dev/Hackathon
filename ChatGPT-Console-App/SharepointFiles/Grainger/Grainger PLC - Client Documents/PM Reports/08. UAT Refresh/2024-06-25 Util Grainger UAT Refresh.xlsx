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13"/>
  <workbookPr hidePivotFieldList="1"/>
  <mc:AlternateContent xmlns:mc="http://schemas.openxmlformats.org/markup-compatibility/2006">
    <mc:Choice Requires="x15">
      <x15ac:absPath xmlns:x15ac="http://schemas.microsoft.com/office/spreadsheetml/2010/11/ac" url="https://openboxsoftwareweb-my.sharepoint.com/personal/clegrange_openboxsoftware_com/Documents/Documents/Time Reports/"/>
    </mc:Choice>
  </mc:AlternateContent>
  <xr:revisionPtr revIDLastSave="200" documentId="13_ncr:40009_{BBCEBA60-E38F-4EE1-BDB9-DA93CE793831}" xr6:coauthVersionLast="47" xr6:coauthVersionMax="47" xr10:uidLastSave="{A06C5195-96AC-4BAF-979E-F5EB8326AAA0}"/>
  <bookViews>
    <workbookView xWindow="28680" yWindow="-120" windowWidth="29040" windowHeight="15720" xr2:uid="{00000000-000D-0000-FFFF-FFFF00000000}"/>
  </bookViews>
  <sheets>
    <sheet name="Pivot" sheetId="2" r:id="rId1"/>
    <sheet name="Project Timesheets" sheetId="1" r:id="rId2"/>
  </sheets>
  <definedNames>
    <definedName name="_xlnm._FilterDatabase" localSheetId="1" hidden="1">'Project Timesheets'!$A$1:$AF$45</definedName>
  </definedNames>
  <calcPr calcId="191028"/>
  <pivotCaches>
    <pivotCache cacheId="6188"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46" i="1" l="1"/>
  <c r="AF46" i="1" s="1"/>
  <c r="AE47" i="1"/>
  <c r="AF47" i="1" s="1"/>
  <c r="AE48" i="1"/>
  <c r="AF48" i="1" s="1"/>
  <c r="AE49" i="1"/>
  <c r="AF49" i="1" s="1"/>
  <c r="AE50" i="1"/>
  <c r="AF50" i="1" s="1"/>
  <c r="AC35" i="1"/>
  <c r="AC34" i="1"/>
  <c r="AC33" i="1"/>
  <c r="AC32" i="1"/>
  <c r="AC31" i="1"/>
  <c r="AC30" i="1"/>
  <c r="AC29" i="1"/>
  <c r="AC27" i="1"/>
  <c r="AC26" i="1"/>
  <c r="AC25" i="1"/>
  <c r="AC24" i="1"/>
  <c r="AC23" i="1"/>
  <c r="AC22" i="1"/>
  <c r="AC21" i="1"/>
  <c r="AC20" i="1"/>
  <c r="AC19" i="1"/>
  <c r="AC18" i="1"/>
  <c r="AE2" i="1"/>
  <c r="AF2" i="1" s="1"/>
  <c r="AE3" i="1"/>
  <c r="AF3" i="1" s="1"/>
  <c r="AE4" i="1"/>
  <c r="AF4" i="1"/>
  <c r="AE5" i="1"/>
  <c r="AF5" i="1"/>
  <c r="AE6" i="1"/>
  <c r="AF6" i="1" s="1"/>
  <c r="AE7" i="1"/>
  <c r="AF7" i="1" s="1"/>
  <c r="AE8" i="1"/>
  <c r="AF8" i="1" s="1"/>
  <c r="AE9" i="1"/>
  <c r="AF9" i="1"/>
  <c r="AE10" i="1"/>
  <c r="AF10" i="1" s="1"/>
  <c r="AE11" i="1"/>
  <c r="AF11" i="1" s="1"/>
  <c r="AE12" i="1"/>
  <c r="AF12" i="1" s="1"/>
  <c r="AE13" i="1"/>
  <c r="AF13" i="1"/>
  <c r="AE14" i="1"/>
  <c r="AF14" i="1"/>
  <c r="AE15" i="1"/>
  <c r="AF15" i="1"/>
  <c r="AE16" i="1"/>
  <c r="AF16" i="1" s="1"/>
  <c r="AE17" i="1"/>
  <c r="AF17" i="1" s="1"/>
  <c r="AE18" i="1"/>
  <c r="AF18" i="1"/>
  <c r="AE19" i="1"/>
  <c r="AF19" i="1"/>
  <c r="AE20" i="1"/>
  <c r="AF20" i="1" s="1"/>
  <c r="AE21" i="1"/>
  <c r="AF21" i="1" s="1"/>
  <c r="AE22" i="1"/>
  <c r="AF22" i="1" s="1"/>
  <c r="AE23" i="1"/>
  <c r="AF23" i="1"/>
  <c r="AE24" i="1"/>
  <c r="AF24" i="1" s="1"/>
  <c r="AE25" i="1"/>
  <c r="AF25" i="1" s="1"/>
  <c r="AE26" i="1"/>
  <c r="AF26" i="1"/>
  <c r="AE27" i="1"/>
  <c r="AF27" i="1"/>
  <c r="AE28" i="1"/>
  <c r="AF28" i="1" s="1"/>
  <c r="AE29" i="1"/>
  <c r="AF29" i="1"/>
  <c r="AE30" i="1"/>
  <c r="AF30" i="1" s="1"/>
  <c r="AE31" i="1"/>
  <c r="AF31" i="1"/>
  <c r="AE32" i="1"/>
  <c r="AF32" i="1"/>
  <c r="AE33" i="1"/>
  <c r="AF33" i="1" s="1"/>
  <c r="AE34" i="1"/>
  <c r="AF34" i="1" s="1"/>
  <c r="AE35" i="1"/>
  <c r="AF35" i="1"/>
  <c r="AE36" i="1"/>
  <c r="AF36" i="1"/>
  <c r="AE37" i="1"/>
  <c r="AF37" i="1" s="1"/>
  <c r="AE38" i="1"/>
  <c r="AF38" i="1" s="1"/>
  <c r="AE39" i="1"/>
  <c r="AF39" i="1"/>
  <c r="AE40" i="1"/>
  <c r="AF40" i="1" s="1"/>
  <c r="AE41" i="1"/>
  <c r="AF41" i="1"/>
  <c r="AE42" i="1"/>
  <c r="AF42" i="1"/>
  <c r="AE43" i="1"/>
  <c r="AF43" i="1" s="1"/>
  <c r="AE44" i="1"/>
  <c r="AF44" i="1"/>
  <c r="AE45" i="1"/>
  <c r="AF45" i="1"/>
</calcChain>
</file>

<file path=xl/sharedStrings.xml><?xml version="1.0" encoding="utf-8"?>
<sst xmlns="http://schemas.openxmlformats.org/spreadsheetml/2006/main" count="1078" uniqueCount="107">
  <si>
    <t>Month</t>
  </si>
  <si>
    <t>(All)</t>
  </si>
  <si>
    <t>&lt;- Filter By Month</t>
  </si>
  <si>
    <t>Phase</t>
  </si>
  <si>
    <t>Hours Lower Bound</t>
  </si>
  <si>
    <t>Hours Upper Bound</t>
  </si>
  <si>
    <t>Cost Lower Bound</t>
  </si>
  <si>
    <t>Cost Upper Bound</t>
  </si>
  <si>
    <t>Actuals</t>
  </si>
  <si>
    <t>Billable Timecode</t>
  </si>
  <si>
    <t>Billable timecode</t>
  </si>
  <si>
    <t>Pre-Refresh Analysis</t>
  </si>
  <si>
    <t xml:space="preserve">£        3 000,00 </t>
  </si>
  <si>
    <t xml:space="preserve"> £        3 360,00 </t>
  </si>
  <si>
    <t>Refresh</t>
  </si>
  <si>
    <t xml:space="preserve">£            480,00 </t>
  </si>
  <si>
    <t xml:space="preserve"> £            600,00 </t>
  </si>
  <si>
    <t>Sum of Hours</t>
  </si>
  <si>
    <t>Column Labels</t>
  </si>
  <si>
    <t>Project Admin Phase</t>
  </si>
  <si>
    <t xml:space="preserve">£            960,00 </t>
  </si>
  <si>
    <t xml:space="preserve"> £        1 080,00 </t>
  </si>
  <si>
    <t>Row Labels</t>
  </si>
  <si>
    <t>Planning and Executing Refresh Activities</t>
  </si>
  <si>
    <t>Grand Total</t>
  </si>
  <si>
    <t>Post Refresh Updates</t>
  </si>
  <si>
    <t xml:space="preserve">£        1 200,00 </t>
  </si>
  <si>
    <t xml:space="preserve"> £        1 320,00 </t>
  </si>
  <si>
    <t>Sam Duncan</t>
  </si>
  <si>
    <t>End-to-end Testing</t>
  </si>
  <si>
    <t xml:space="preserve">£        1 920,00 </t>
  </si>
  <si>
    <t xml:space="preserve"> £        2 160,00 </t>
  </si>
  <si>
    <t>Anjali Salecha</t>
  </si>
  <si>
    <t>Total</t>
  </si>
  <si>
    <r>
      <t> </t>
    </r>
    <r>
      <rPr>
        <b/>
        <sz val="11"/>
        <color rgb="FF000000"/>
        <rFont val="Aptos Narrow"/>
        <family val="2"/>
      </rPr>
      <t>63</t>
    </r>
  </si>
  <si>
    <r>
      <t> </t>
    </r>
    <r>
      <rPr>
        <b/>
        <sz val="11"/>
        <color rgb="FF000000"/>
        <rFont val="Aptos Narrow"/>
        <family val="2"/>
      </rPr>
      <t>71</t>
    </r>
  </si>
  <si>
    <t xml:space="preserve">£        7 560,00 </t>
  </si>
  <si>
    <t xml:space="preserve"> £        8 520,00 </t>
  </si>
  <si>
    <t xml:space="preserve">Sachin  Deshmukh </t>
  </si>
  <si>
    <t>Khonani Davhana</t>
  </si>
  <si>
    <t>SIT Estimates</t>
  </si>
  <si>
    <t>Post refresh</t>
  </si>
  <si>
    <t>Testing</t>
  </si>
  <si>
    <t>Date</t>
  </si>
  <si>
    <t>Person</t>
  </si>
  <si>
    <t>Agreement Type</t>
  </si>
  <si>
    <t>Person Organisation</t>
  </si>
  <si>
    <t>Person Team</t>
  </si>
  <si>
    <t>Person Location</t>
  </si>
  <si>
    <t>Company Name</t>
  </si>
  <si>
    <t>Project Number</t>
  </si>
  <si>
    <t>Project Name</t>
  </si>
  <si>
    <t>Project Type</t>
  </si>
  <si>
    <t>Project Organisation</t>
  </si>
  <si>
    <t>Project Manager</t>
  </si>
  <si>
    <t>Account Manager</t>
  </si>
  <si>
    <t>Line Manager</t>
  </si>
  <si>
    <t>Budget Name</t>
  </si>
  <si>
    <t>Time Entry ID</t>
  </si>
  <si>
    <t>Timecode Name</t>
  </si>
  <si>
    <t>Timecode Type</t>
  </si>
  <si>
    <t>Timecode Rate</t>
  </si>
  <si>
    <t>Hours</t>
  </si>
  <si>
    <t>Time</t>
  </si>
  <si>
    <t>Worked Amount</t>
  </si>
  <si>
    <t>Invoiced Amount</t>
  </si>
  <si>
    <t>Invoiced Delta</t>
  </si>
  <si>
    <t>Invoice #</t>
  </si>
  <si>
    <t>Currency</t>
  </si>
  <si>
    <t>Reviewed Status</t>
  </si>
  <si>
    <t>Comment</t>
  </si>
  <si>
    <t>Timesheet Status</t>
  </si>
  <si>
    <t>Period</t>
  </si>
  <si>
    <t>Hourly</t>
  </si>
  <si>
    <t>Open Box Software (Pty) Ltd (Open Box SA)</t>
  </si>
  <si>
    <t>Salesforce</t>
  </si>
  <si>
    <t>SA</t>
  </si>
  <si>
    <t>Grainger PLC</t>
  </si>
  <si>
    <t>OB-000660</t>
  </si>
  <si>
    <t>Salesforce UAT Refresh (T&amp;M)</t>
  </si>
  <si>
    <t>Billable</t>
  </si>
  <si>
    <t>Shaun Barrett</t>
  </si>
  <si>
    <t>Analysis and Delivery</t>
  </si>
  <si>
    <t>Delivery (Non-Billable)</t>
  </si>
  <si>
    <t>Non-billable timecode</t>
  </si>
  <si>
    <t>Standard Timecode</t>
  </si>
  <si>
    <t>GBP</t>
  </si>
  <si>
    <t>Reviewed</t>
  </si>
  <si>
    <t>spreadsheet steps review and daily standup.</t>
  </si>
  <si>
    <t>Not submitted</t>
  </si>
  <si>
    <t>Salesforce UAT Refresh Planning #4</t>
  </si>
  <si>
    <t>Daily standup. Discussion with Sachin. Worked on external credential authentication issue.</t>
  </si>
  <si>
    <t>Smoke testing referencing callout and Website publishing functionalities and investigation of issue related to process builder not firing.</t>
  </si>
  <si>
    <t>Daily standup. Discussion with Khonani about issue that Janaki Pankhiyan is not able to to close task. Worked on process builders not firing. Testing Homelet integration for new add and cancel order.</t>
  </si>
  <si>
    <t>Discussion with Khonani and UAT refresh issues.</t>
  </si>
  <si>
    <t>Carami Le Grange</t>
  </si>
  <si>
    <t>Salaried / Fixed</t>
  </si>
  <si>
    <t>Custom Software</t>
  </si>
  <si>
    <t xml:space="preserve"> </t>
  </si>
  <si>
    <t>email thread catchup</t>
  </si>
  <si>
    <t>Time report</t>
  </si>
  <si>
    <t>IN08219</t>
  </si>
  <si>
    <t>Getting required data from SIT before the refresh</t>
  </si>
  <si>
    <t>Initial analysis session</t>
  </si>
  <si>
    <t>Planning call</t>
  </si>
  <si>
    <t>Planning</t>
  </si>
  <si>
    <t>Touchbase on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</si>
</sst>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2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b/>
      <sz val="11"/>
      <color rgb="FF000000"/>
      <name val="Aptos Narrow"/>
      <family val="2"/>
    </font>
    <font>
      <sz val="11"/>
      <color rgb="FF000000"/>
      <name val="Aptos Narrow"/>
      <family val="2"/>
    </font>
    <font>
      <b/>
      <u/>
      <sz val="1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
      <patternFill patternType="solid">
        <fgColor rgb="FFD9D9D9"/>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style="double">
        <color indexed="64"/>
      </bottom>
      <diagonal/>
    </border>
    <border>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0" xfId="0" pivotButton="1"/>
    <xf numFmtId="0" fontId="0" fillId="0" borderId="0" xfId="0" applyAlignment="1">
      <alignment horizontal="left"/>
    </xf>
    <xf numFmtId="0" fontId="16" fillId="33" borderId="0" xfId="0" applyFont="1" applyFill="1"/>
    <xf numFmtId="0" fontId="18" fillId="0" borderId="0" xfId="0" applyFont="1"/>
    <xf numFmtId="164" fontId="0" fillId="0" borderId="0" xfId="0" applyNumberFormat="1"/>
    <xf numFmtId="0" fontId="19" fillId="34" borderId="10" xfId="0" applyFont="1" applyFill="1" applyBorder="1" applyAlignment="1">
      <alignment vertical="center"/>
    </xf>
    <xf numFmtId="0" fontId="19" fillId="34" borderId="11" xfId="0" applyFont="1" applyFill="1" applyBorder="1" applyAlignment="1">
      <alignment horizontal="right" vertical="center"/>
    </xf>
    <xf numFmtId="0" fontId="19" fillId="35" borderId="12" xfId="0" applyFont="1" applyFill="1" applyBorder="1" applyAlignment="1">
      <alignment vertical="center"/>
    </xf>
    <xf numFmtId="0" fontId="20" fillId="0" borderId="13" xfId="0" applyFont="1" applyBorder="1" applyAlignment="1">
      <alignment horizontal="right" vertical="center"/>
    </xf>
    <xf numFmtId="0" fontId="19" fillId="0" borderId="14" xfId="0" applyFont="1" applyBorder="1" applyAlignment="1">
      <alignment horizontal="right" vertical="center"/>
    </xf>
    <xf numFmtId="0" fontId="19" fillId="33" borderId="15" xfId="0" applyFont="1" applyFill="1" applyBorder="1" applyAlignment="1">
      <alignment horizontal="right" vertical="center"/>
    </xf>
    <xf numFmtId="0" fontId="16" fillId="0" borderId="0" xfId="0" applyFont="1"/>
    <xf numFmtId="0" fontId="21" fillId="0" borderId="0" xfId="0" applyFont="1"/>
    <xf numFmtId="15" fontId="18" fillId="0" borderId="0" xfId="0" applyNumberFormat="1" applyFont="1"/>
    <xf numFmtId="20" fontId="18" fillId="0" borderId="0" xfId="0" applyNumberFormat="1" applyFont="1"/>
    <xf numFmtId="15" fontId="0" fillId="0" borderId="0" xfId="0" applyNumberFormat="1"/>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auto="1"/>
      </font>
    </dxf>
    <dxf>
      <numFmt numFmtId="164" formatCode="_-* #,##0.00_-;\-* #,##0.0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ami Le Grange" refreshedDate="45468.598149305559" createdVersion="8" refreshedVersion="8" minRefreshableVersion="3" recordCount="49" xr:uid="{E3BB86F7-0149-41B7-A0CD-A52FC48B746E}">
  <cacheSource type="worksheet">
    <worksheetSource ref="A1:AF50" sheet="Project Timesheets"/>
  </cacheSource>
  <cacheFields count="32">
    <cacheField name="Date" numFmtId="15">
      <sharedItems containsSemiMixedTypes="0" containsNonDate="0" containsDate="1" containsString="0" minDate="2024-05-22T00:00:00" maxDate="2024-06-25T00:00:00"/>
    </cacheField>
    <cacheField name="Person" numFmtId="0">
      <sharedItems count="6">
        <s v="Anjali Salecha"/>
        <s v="Carami Le Grange"/>
        <s v="Khonani Davhana"/>
        <s v="Sachin  Deshmukh "/>
        <s v="Sam Duncan"/>
        <s v="Shaun Barrett"/>
      </sharedItems>
    </cacheField>
    <cacheField name="Agreement Type" numFmtId="0">
      <sharedItems/>
    </cacheField>
    <cacheField name="Person Organisation" numFmtId="0">
      <sharedItems/>
    </cacheField>
    <cacheField name="Person Team" numFmtId="0">
      <sharedItems/>
    </cacheField>
    <cacheField name="Person Location" numFmtId="0">
      <sharedItems/>
    </cacheField>
    <cacheField name="Company Name" numFmtId="0">
      <sharedItems/>
    </cacheField>
    <cacheField name="Project Number" numFmtId="0">
      <sharedItems/>
    </cacheField>
    <cacheField name="Project Name" numFmtId="0">
      <sharedItems/>
    </cacheField>
    <cacheField name="Project Type" numFmtId="0">
      <sharedItems/>
    </cacheField>
    <cacheField name="Project Organisation" numFmtId="0">
      <sharedItems/>
    </cacheField>
    <cacheField name="Project Manager" numFmtId="0">
      <sharedItems/>
    </cacheField>
    <cacheField name="Account Manager" numFmtId="0">
      <sharedItems/>
    </cacheField>
    <cacheField name="Line Manager" numFmtId="0">
      <sharedItems/>
    </cacheField>
    <cacheField name="Budget Name" numFmtId="0">
      <sharedItems/>
    </cacheField>
    <cacheField name="Time Entry ID" numFmtId="0">
      <sharedItems containsSemiMixedTypes="0" containsString="0" containsNumber="1" containsInteger="1" minValue="251771" maxValue="262789"/>
    </cacheField>
    <cacheField name="Timecode Name" numFmtId="0">
      <sharedItems count="2">
        <s v="Delivery (Non-Billable)"/>
        <s v="Planning and Executing Refresh Activities"/>
      </sharedItems>
    </cacheField>
    <cacheField name="Billable Timecode" numFmtId="0">
      <sharedItems count="2">
        <s v="Non-billable timecode"/>
        <s v="Billable timecode"/>
      </sharedItems>
    </cacheField>
    <cacheField name="Timecode Type" numFmtId="0">
      <sharedItems/>
    </cacheField>
    <cacheField name="Timecode Rate" numFmtId="0">
      <sharedItems containsSemiMixedTypes="0" containsString="0" containsNumber="1" containsInteger="1" minValue="0" maxValue="90"/>
    </cacheField>
    <cacheField name="Hours" numFmtId="0">
      <sharedItems containsSemiMixedTypes="0" containsString="0" containsNumber="1" minValue="0.25" maxValue="7.5"/>
    </cacheField>
    <cacheField name="Time" numFmtId="20">
      <sharedItems containsSemiMixedTypes="0" containsNonDate="0" containsDate="1" containsString="0" minDate="1899-12-30T00:15:00" maxDate="1899-12-30T07:30:00"/>
    </cacheField>
    <cacheField name="Worked Amount" numFmtId="0">
      <sharedItems containsSemiMixedTypes="0" containsString="0" containsNumber="1" minValue="0" maxValue="517.5"/>
    </cacheField>
    <cacheField name="Invoiced Amount" numFmtId="0">
      <sharedItems containsString="0" containsBlank="1" containsNumber="1" containsInteger="1" minValue="90" maxValue="390"/>
    </cacheField>
    <cacheField name="Invoiced Delta" numFmtId="0">
      <sharedItems containsString="0" containsBlank="1" containsNumber="1" minValue="22.5" maxValue="97.5"/>
    </cacheField>
    <cacheField name="Invoice #" numFmtId="0">
      <sharedItems containsBlank="1"/>
    </cacheField>
    <cacheField name="Currency" numFmtId="0">
      <sharedItems/>
    </cacheField>
    <cacheField name="Reviewed Status" numFmtId="0">
      <sharedItems containsBlank="1"/>
    </cacheField>
    <cacheField name="Comment" numFmtId="0">
      <sharedItems/>
    </cacheField>
    <cacheField name="Timesheet Status" numFmtId="0">
      <sharedItems/>
    </cacheField>
    <cacheField name="Period" numFmtId="0">
      <sharedItems containsSemiMixedTypes="0" containsString="0" containsNumber="1" containsInteger="1" minValue="5" maxValue="6"/>
    </cacheField>
    <cacheField name="Month" numFmtId="0">
      <sharedItems count="2">
        <s v="June"/>
        <s v="May"/>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d v="2024-06-05T00:00:00"/>
    <x v="0"/>
    <s v="Hourly"/>
    <s v="Open Box Software (Pty) Ltd (Open Box SA)"/>
    <s v="Salesforce"/>
    <s v="SA"/>
    <s v="Grainger PLC"/>
    <s v="OB-000660"/>
    <s v="Salesforce UAT Refresh (T&amp;M)"/>
    <s v="Billable"/>
    <s v="Open Box Software (Pty) Ltd (Open Box SA)"/>
    <s v="Shaun Barrett"/>
    <s v="Sam Duncan"/>
    <s v="Sam Duncan"/>
    <s v="Analysis and Delivery"/>
    <n v="255598"/>
    <x v="0"/>
    <x v="0"/>
    <s v="Standard Timecode"/>
    <n v="0"/>
    <n v="1"/>
    <d v="1899-12-30T01:00:00"/>
    <n v="0"/>
    <m/>
    <m/>
    <m/>
    <s v="GBP"/>
    <s v="Reviewed"/>
    <s v="spreadsheet steps review and daily standup."/>
    <s v="Not submitted"/>
    <n v="6"/>
    <x v="0"/>
  </r>
  <r>
    <d v="2024-06-07T00:00:00"/>
    <x v="0"/>
    <s v="Hourly"/>
    <s v="Open Box Software (Pty) Ltd (Open Box SA)"/>
    <s v="Salesforce"/>
    <s v="SA"/>
    <s v="Grainger PLC"/>
    <s v="OB-000660"/>
    <s v="Salesforce UAT Refresh (T&amp;M)"/>
    <s v="Billable"/>
    <s v="Open Box Software (Pty) Ltd (Open Box SA)"/>
    <s v="Shaun Barrett"/>
    <s v="Sam Duncan"/>
    <s v="Sam Duncan"/>
    <s v="Analysis and Delivery"/>
    <n v="256523"/>
    <x v="0"/>
    <x v="0"/>
    <s v="Standard Timecode"/>
    <n v="0"/>
    <n v="1"/>
    <d v="1899-12-30T01:00:00"/>
    <n v="0"/>
    <m/>
    <m/>
    <m/>
    <s v="GBP"/>
    <s v="Reviewed"/>
    <s v="Salesforce UAT Refresh Planning #4"/>
    <s v="Not submitted"/>
    <n v="6"/>
    <x v="0"/>
  </r>
  <r>
    <d v="2024-06-18T00:00:00"/>
    <x v="0"/>
    <s v="Hourly"/>
    <s v="Open Box Software (Pty) Ltd (Open Box SA)"/>
    <s v="Salesforce"/>
    <s v="SA"/>
    <s v="Grainger PLC"/>
    <s v="OB-000660"/>
    <s v="Salesforce UAT Refresh (T&amp;M)"/>
    <s v="Billable"/>
    <s v="Open Box Software (Pty) Ltd (Open Box SA)"/>
    <s v="Shaun Barrett"/>
    <s v="Sam Duncan"/>
    <s v="Sam Duncan"/>
    <s v="Analysis and Delivery"/>
    <n v="260523"/>
    <x v="1"/>
    <x v="1"/>
    <s v="Standard Timecode"/>
    <n v="90"/>
    <n v="1"/>
    <d v="1899-12-30T01:00:00"/>
    <n v="90"/>
    <m/>
    <m/>
    <m/>
    <s v="GBP"/>
    <m/>
    <s v="Daily standup. Discussion with Sachin. Worked on external credential authentication issue."/>
    <s v="Not submitted"/>
    <n v="6"/>
    <x v="0"/>
  </r>
  <r>
    <d v="2024-06-19T00:00:00"/>
    <x v="0"/>
    <s v="Hourly"/>
    <s v="Open Box Software (Pty) Ltd (Open Box SA)"/>
    <s v="Salesforce"/>
    <s v="SA"/>
    <s v="Grainger PLC"/>
    <s v="OB-000660"/>
    <s v="Salesforce UAT Refresh (T&amp;M)"/>
    <s v="Billable"/>
    <s v="Open Box Software (Pty) Ltd (Open Box SA)"/>
    <s v="Shaun Barrett"/>
    <s v="Sam Duncan"/>
    <s v="Sam Duncan"/>
    <s v="Analysis and Delivery"/>
    <n v="260818"/>
    <x v="1"/>
    <x v="1"/>
    <s v="Standard Timecode"/>
    <n v="90"/>
    <n v="4.5"/>
    <d v="1899-12-30T04:30:00"/>
    <n v="405"/>
    <m/>
    <m/>
    <m/>
    <s v="GBP"/>
    <m/>
    <s v="Smoke testing referencing callout and Website publishing functionalities and investigation of issue related to process builder not firing."/>
    <s v="Not submitted"/>
    <n v="6"/>
    <x v="0"/>
  </r>
  <r>
    <d v="2024-06-19T00:00:00"/>
    <x v="0"/>
    <s v="Hourly"/>
    <s v="Open Box Software (Pty) Ltd (Open Box SA)"/>
    <s v="Salesforce"/>
    <s v="SA"/>
    <s v="Grainger PLC"/>
    <s v="OB-000660"/>
    <s v="Salesforce UAT Refresh (T&amp;M)"/>
    <s v="Billable"/>
    <s v="Open Box Software (Pty) Ltd (Open Box SA)"/>
    <s v="Shaun Barrett"/>
    <s v="Sam Duncan"/>
    <s v="Sam Duncan"/>
    <s v="Analysis and Delivery"/>
    <n v="262789"/>
    <x v="0"/>
    <x v="0"/>
    <s v="Standard Timecode"/>
    <n v="0"/>
    <n v="2"/>
    <d v="1899-12-30T02:00:00"/>
    <n v="0"/>
    <m/>
    <m/>
    <m/>
    <s v="GBP"/>
    <m/>
    <s v="Smoke testing referencing callout and Website publishing functionalities and investigation of issue related to process builder not firing."/>
    <s v="Not submitted"/>
    <n v="6"/>
    <x v="0"/>
  </r>
  <r>
    <d v="2024-06-20T00:00:00"/>
    <x v="0"/>
    <s v="Hourly"/>
    <s v="Open Box Software (Pty) Ltd (Open Box SA)"/>
    <s v="Salesforce"/>
    <s v="SA"/>
    <s v="Grainger PLC"/>
    <s v="OB-000660"/>
    <s v="Salesforce UAT Refresh (T&amp;M)"/>
    <s v="Billable"/>
    <s v="Open Box Software (Pty) Ltd (Open Box SA)"/>
    <s v="Shaun Barrett"/>
    <s v="Sam Duncan"/>
    <s v="Sam Duncan"/>
    <s v="Analysis and Delivery"/>
    <n v="262788"/>
    <x v="0"/>
    <x v="0"/>
    <s v="Standard Timecode"/>
    <n v="0"/>
    <n v="6"/>
    <d v="1899-12-30T06:00:00"/>
    <n v="0"/>
    <m/>
    <m/>
    <m/>
    <s v="GBP"/>
    <m/>
    <s v="Daily standup. Discussion with Khonani about issue that Janaki Pankhiyan is not able to to close task. Worked on process builders not firing. Testing Homelet integration for new add and cancel order."/>
    <s v="Not submitted"/>
    <n v="6"/>
    <x v="0"/>
  </r>
  <r>
    <d v="2024-06-21T00:00:00"/>
    <x v="0"/>
    <s v="Hourly"/>
    <s v="Open Box Software (Pty) Ltd (Open Box SA)"/>
    <s v="Salesforce"/>
    <s v="SA"/>
    <s v="Grainger PLC"/>
    <s v="OB-000660"/>
    <s v="Salesforce UAT Refresh (T&amp;M)"/>
    <s v="Billable"/>
    <s v="Open Box Software (Pty) Ltd (Open Box SA)"/>
    <s v="Shaun Barrett"/>
    <s v="Sam Duncan"/>
    <s v="Sam Duncan"/>
    <s v="Analysis and Delivery"/>
    <n v="261877"/>
    <x v="1"/>
    <x v="1"/>
    <s v="Standard Timecode"/>
    <n v="90"/>
    <n v="1"/>
    <d v="1899-12-30T01:00:00"/>
    <n v="90"/>
    <m/>
    <m/>
    <m/>
    <s v="GBP"/>
    <m/>
    <s v="Discussion with Khonani and UAT refresh issues."/>
    <s v="Not submitted"/>
    <n v="6"/>
    <x v="0"/>
  </r>
  <r>
    <d v="2024-06-19T00:00:00"/>
    <x v="1"/>
    <s v="Salaried / Fixed"/>
    <s v="Open Box Software (Pty) Ltd (Open Box SA)"/>
    <s v="Custom Software"/>
    <s v="SA"/>
    <s v="Grainger PLC"/>
    <s v="OB-000660"/>
    <s v="Salesforce UAT Refresh (T&amp;M)"/>
    <s v="Billable"/>
    <s v="Open Box Software (Pty) Ltd (Open Box SA)"/>
    <s v="Shaun Barrett"/>
    <s v="Sam Duncan"/>
    <s v=" "/>
    <s v="Analysis and Delivery"/>
    <n v="260677"/>
    <x v="0"/>
    <x v="0"/>
    <s v="Standard Timecode"/>
    <n v="0"/>
    <n v="0.5"/>
    <d v="1899-12-30T00:30:00"/>
    <n v="0"/>
    <m/>
    <m/>
    <m/>
    <s v="GBP"/>
    <s v="Reviewed"/>
    <s v="email thread catchup"/>
    <s v="Not submitted"/>
    <n v="6"/>
    <x v="0"/>
  </r>
  <r>
    <d v="2024-06-24T00:00:00"/>
    <x v="1"/>
    <s v="Salaried / Fixed"/>
    <s v="Open Box Software (Pty) Ltd (Open Box SA)"/>
    <s v="Custom Software"/>
    <s v="SA"/>
    <s v="Grainger PLC"/>
    <s v="OB-000660"/>
    <s v="Salesforce UAT Refresh (T&amp;M)"/>
    <s v="Billable"/>
    <s v="Open Box Software (Pty) Ltd (Open Box SA)"/>
    <s v="Shaun Barrett"/>
    <s v="Sam Duncan"/>
    <s v=" "/>
    <s v="Analysis and Delivery"/>
    <n v="262555"/>
    <x v="0"/>
    <x v="0"/>
    <s v="Standard Timecode"/>
    <n v="0"/>
    <n v="0.25"/>
    <d v="1899-12-30T00:15:00"/>
    <n v="0"/>
    <m/>
    <m/>
    <m/>
    <s v="GBP"/>
    <m/>
    <s v="Time report"/>
    <s v="Not submitted"/>
    <n v="6"/>
    <x v="0"/>
  </r>
  <r>
    <d v="2024-06-11T00:00:00"/>
    <x v="2"/>
    <s v="Salaried / Fixed"/>
    <s v="Open Box Software (Pty) Ltd (Open Box SA)"/>
    <s v="Salesforce"/>
    <s v="SA"/>
    <s v="Grainger PLC"/>
    <s v="OB-000660"/>
    <s v="Salesforce UAT Refresh (T&amp;M)"/>
    <s v="Billable"/>
    <s v="Open Box Software (Pty) Ltd (Open Box SA)"/>
    <s v="Shaun Barrett"/>
    <s v="Sam Duncan"/>
    <s v=" "/>
    <s v="Analysis and Delivery"/>
    <n v="257774"/>
    <x v="0"/>
    <x v="0"/>
    <s v="Standard Timecode"/>
    <n v="0"/>
    <n v="0.25"/>
    <d v="1899-12-30T00:15:00"/>
    <n v="0"/>
    <m/>
    <m/>
    <m/>
    <s v="GBP"/>
    <s v="Reviewed"/>
    <s v=" "/>
    <s v="Not submitted"/>
    <n v="6"/>
    <x v="0"/>
  </r>
  <r>
    <d v="2024-06-18T00:00:00"/>
    <x v="2"/>
    <s v="Salaried / Fixed"/>
    <s v="Open Box Software (Pty) Ltd (Open Box SA)"/>
    <s v="Salesforce"/>
    <s v="SA"/>
    <s v="Grainger PLC"/>
    <s v="OB-000660"/>
    <s v="Salesforce UAT Refresh (T&amp;M)"/>
    <s v="Billable"/>
    <s v="Open Box Software (Pty) Ltd (Open Box SA)"/>
    <s v="Shaun Barrett"/>
    <s v="Sam Duncan"/>
    <s v=" "/>
    <s v="Analysis and Delivery"/>
    <n v="260226"/>
    <x v="0"/>
    <x v="0"/>
    <s v="Standard Timecode"/>
    <n v="0"/>
    <n v="0.25"/>
    <d v="1899-12-30T00:15:00"/>
    <n v="0"/>
    <m/>
    <m/>
    <m/>
    <s v="GBP"/>
    <s v="Reviewed"/>
    <s v=" "/>
    <s v="Not submitted"/>
    <n v="6"/>
    <x v="0"/>
  </r>
  <r>
    <d v="2024-06-19T00:00:00"/>
    <x v="2"/>
    <s v="Salaried / Fixed"/>
    <s v="Open Box Software (Pty) Ltd (Open Box SA)"/>
    <s v="Salesforce"/>
    <s v="SA"/>
    <s v="Grainger PLC"/>
    <s v="OB-000660"/>
    <s v="Salesforce UAT Refresh (T&amp;M)"/>
    <s v="Billable"/>
    <s v="Open Box Software (Pty) Ltd (Open Box SA)"/>
    <s v="Shaun Barrett"/>
    <s v="Sam Duncan"/>
    <s v=" "/>
    <s v="Analysis and Delivery"/>
    <n v="261135"/>
    <x v="0"/>
    <x v="0"/>
    <s v="Standard Timecode"/>
    <n v="0"/>
    <n v="0.25"/>
    <d v="1899-12-30T00:15:00"/>
    <n v="0"/>
    <m/>
    <m/>
    <m/>
    <s v="GBP"/>
    <s v="Reviewed"/>
    <s v=" "/>
    <s v="Not submitted"/>
    <n v="6"/>
    <x v="0"/>
  </r>
  <r>
    <d v="2024-06-20T00:00:00"/>
    <x v="2"/>
    <s v="Salaried / Fixed"/>
    <s v="Open Box Software (Pty) Ltd (Open Box SA)"/>
    <s v="Salesforce"/>
    <s v="SA"/>
    <s v="Grainger PLC"/>
    <s v="OB-000660"/>
    <s v="Salesforce UAT Refresh (T&amp;M)"/>
    <s v="Billable"/>
    <s v="Open Box Software (Pty) Ltd (Open Box SA)"/>
    <s v="Shaun Barrett"/>
    <s v="Sam Duncan"/>
    <s v=" "/>
    <s v="Analysis and Delivery"/>
    <n v="261161"/>
    <x v="1"/>
    <x v="1"/>
    <s v="Standard Timecode"/>
    <n v="90"/>
    <n v="3.5"/>
    <d v="1899-12-30T03:30:00"/>
    <n v="315"/>
    <m/>
    <m/>
    <m/>
    <s v="GBP"/>
    <m/>
    <s v=" "/>
    <s v="Not submitted"/>
    <n v="6"/>
    <x v="0"/>
  </r>
  <r>
    <d v="2024-06-20T00:00:00"/>
    <x v="2"/>
    <s v="Salaried / Fixed"/>
    <s v="Open Box Software (Pty) Ltd (Open Box SA)"/>
    <s v="Salesforce"/>
    <s v="SA"/>
    <s v="Grainger PLC"/>
    <s v="OB-000660"/>
    <s v="Salesforce UAT Refresh (T&amp;M)"/>
    <s v="Billable"/>
    <s v="Open Box Software (Pty) Ltd (Open Box SA)"/>
    <s v="Shaun Barrett"/>
    <s v="Sam Duncan"/>
    <s v=" "/>
    <s v="Analysis and Delivery"/>
    <n v="261157"/>
    <x v="0"/>
    <x v="0"/>
    <s v="Standard Timecode"/>
    <n v="0"/>
    <n v="2"/>
    <d v="1899-12-30T02:00:00"/>
    <n v="0"/>
    <m/>
    <m/>
    <m/>
    <s v="GBP"/>
    <s v="Reviewed"/>
    <s v=" "/>
    <s v="Not submitted"/>
    <n v="6"/>
    <x v="0"/>
  </r>
  <r>
    <d v="2024-06-21T00:00:00"/>
    <x v="2"/>
    <s v="Salaried / Fixed"/>
    <s v="Open Box Software (Pty) Ltd (Open Box SA)"/>
    <s v="Salesforce"/>
    <s v="SA"/>
    <s v="Grainger PLC"/>
    <s v="OB-000660"/>
    <s v="Salesforce UAT Refresh (T&amp;M)"/>
    <s v="Billable"/>
    <s v="Open Box Software (Pty) Ltd (Open Box SA)"/>
    <s v="Shaun Barrett"/>
    <s v="Sam Duncan"/>
    <s v=" "/>
    <s v="Analysis and Delivery"/>
    <n v="261755"/>
    <x v="1"/>
    <x v="1"/>
    <s v="Standard Timecode"/>
    <n v="90"/>
    <n v="5.75"/>
    <d v="1899-12-30T05:45:00"/>
    <n v="517.5"/>
    <m/>
    <m/>
    <m/>
    <s v="GBP"/>
    <m/>
    <s v=" "/>
    <s v="Not submitted"/>
    <n v="6"/>
    <x v="0"/>
  </r>
  <r>
    <d v="2024-06-24T00:00:00"/>
    <x v="2"/>
    <s v="Salaried / Fixed"/>
    <s v="Open Box Software (Pty) Ltd (Open Box SA)"/>
    <s v="Salesforce"/>
    <s v="SA"/>
    <s v="Grainger PLC"/>
    <s v="OB-000660"/>
    <s v="Salesforce UAT Refresh (T&amp;M)"/>
    <s v="Billable"/>
    <s v="Open Box Software (Pty) Ltd (Open Box SA)"/>
    <s v="Shaun Barrett"/>
    <s v="Sam Duncan"/>
    <s v=" "/>
    <s v="Analysis and Delivery"/>
    <n v="262434"/>
    <x v="0"/>
    <x v="0"/>
    <s v="Standard Timecode"/>
    <n v="0"/>
    <n v="1"/>
    <d v="1899-12-30T01:00:00"/>
    <n v="0"/>
    <m/>
    <m/>
    <m/>
    <s v="GBP"/>
    <m/>
    <s v=" "/>
    <s v="Not submitted"/>
    <n v="6"/>
    <x v="0"/>
  </r>
  <r>
    <d v="2024-05-23T00:00:00"/>
    <x v="3"/>
    <s v="Hourly"/>
    <s v="Open Box Software (Pty) Ltd (Open Box SA)"/>
    <s v="Salesforce"/>
    <s v="SA"/>
    <s v="Grainger PLC"/>
    <s v="OB-000660"/>
    <s v="Salesforce UAT Refresh (T&amp;M)"/>
    <s v="Billable"/>
    <s v="Open Box Software (Pty) Ltd (Open Box SA)"/>
    <s v="Shaun Barrett"/>
    <s v="Sam Duncan"/>
    <s v="Sam Duncan"/>
    <s v="Analysis and Delivery"/>
    <n v="255040"/>
    <x v="1"/>
    <x v="1"/>
    <s v="Standard Timecode"/>
    <n v="90"/>
    <n v="3"/>
    <d v="1899-12-30T03:00:00"/>
    <n v="270"/>
    <n v="360"/>
    <n v="90"/>
    <s v="IN08219"/>
    <s v="GBP"/>
    <s v="Reviewed"/>
    <e v="#NAME?"/>
    <s v="Not submitted"/>
    <n v="5"/>
    <x v="1"/>
  </r>
  <r>
    <d v="2024-05-24T00:00:00"/>
    <x v="3"/>
    <s v="Hourly"/>
    <s v="Open Box Software (Pty) Ltd (Open Box SA)"/>
    <s v="Salesforce"/>
    <s v="SA"/>
    <s v="Grainger PLC"/>
    <s v="OB-000660"/>
    <s v="Salesforce UAT Refresh (T&amp;M)"/>
    <s v="Billable"/>
    <s v="Open Box Software (Pty) Ltd (Open Box SA)"/>
    <s v="Shaun Barrett"/>
    <s v="Sam Duncan"/>
    <s v="Sam Duncan"/>
    <s v="Analysis and Delivery"/>
    <n v="255041"/>
    <x v="1"/>
    <x v="1"/>
    <s v="Standard Timecode"/>
    <n v="90"/>
    <n v="3"/>
    <d v="1899-12-30T03:00:00"/>
    <n v="270"/>
    <n v="360"/>
    <n v="90"/>
    <s v="IN08219"/>
    <s v="GBP"/>
    <s v="Reviewed"/>
    <e v="#NAME?"/>
    <s v="Not submitted"/>
    <n v="5"/>
    <x v="1"/>
  </r>
  <r>
    <d v="2024-05-27T00:00:00"/>
    <x v="3"/>
    <s v="Hourly"/>
    <s v="Open Box Software (Pty) Ltd (Open Box SA)"/>
    <s v="Salesforce"/>
    <s v="SA"/>
    <s v="Grainger PLC"/>
    <s v="OB-000660"/>
    <s v="Salesforce UAT Refresh (T&amp;M)"/>
    <s v="Billable"/>
    <s v="Open Box Software (Pty) Ltd (Open Box SA)"/>
    <s v="Shaun Barrett"/>
    <s v="Sam Duncan"/>
    <s v="Sam Duncan"/>
    <s v="Analysis and Delivery"/>
    <n v="255044"/>
    <x v="1"/>
    <x v="1"/>
    <s v="Standard Timecode"/>
    <n v="90"/>
    <n v="2"/>
    <d v="1899-12-30T02:00:00"/>
    <n v="180"/>
    <n v="240"/>
    <n v="60"/>
    <s v="IN08219"/>
    <s v="GBP"/>
    <s v="Reviewed"/>
    <e v="#NAME?"/>
    <s v="Not submitted"/>
    <n v="5"/>
    <x v="1"/>
  </r>
  <r>
    <d v="2024-05-28T00:00:00"/>
    <x v="3"/>
    <s v="Hourly"/>
    <s v="Open Box Software (Pty) Ltd (Open Box SA)"/>
    <s v="Salesforce"/>
    <s v="SA"/>
    <s v="Grainger PLC"/>
    <s v="OB-000660"/>
    <s v="Salesforce UAT Refresh (T&amp;M)"/>
    <s v="Billable"/>
    <s v="Open Box Software (Pty) Ltd (Open Box SA)"/>
    <s v="Shaun Barrett"/>
    <s v="Sam Duncan"/>
    <s v="Sam Duncan"/>
    <s v="Analysis and Delivery"/>
    <n v="255045"/>
    <x v="1"/>
    <x v="1"/>
    <s v="Standard Timecode"/>
    <n v="90"/>
    <n v="3"/>
    <d v="1899-12-30T03:00:00"/>
    <n v="270"/>
    <n v="360"/>
    <n v="90"/>
    <s v="IN08219"/>
    <s v="GBP"/>
    <s v="Reviewed"/>
    <e v="#NAME?"/>
    <s v="Not submitted"/>
    <n v="5"/>
    <x v="1"/>
  </r>
  <r>
    <d v="2024-05-29T00:00:00"/>
    <x v="3"/>
    <s v="Hourly"/>
    <s v="Open Box Software (Pty) Ltd (Open Box SA)"/>
    <s v="Salesforce"/>
    <s v="SA"/>
    <s v="Grainger PLC"/>
    <s v="OB-000660"/>
    <s v="Salesforce UAT Refresh (T&amp;M)"/>
    <s v="Billable"/>
    <s v="Open Box Software (Pty) Ltd (Open Box SA)"/>
    <s v="Shaun Barrett"/>
    <s v="Sam Duncan"/>
    <s v="Sam Duncan"/>
    <s v="Analysis and Delivery"/>
    <n v="255046"/>
    <x v="1"/>
    <x v="1"/>
    <s v="Standard Timecode"/>
    <n v="90"/>
    <n v="3"/>
    <d v="1899-12-30T03:00:00"/>
    <n v="270"/>
    <n v="360"/>
    <n v="90"/>
    <s v="IN08219"/>
    <s v="GBP"/>
    <s v="Reviewed"/>
    <e v="#NAME?"/>
    <s v="Not submitted"/>
    <n v="5"/>
    <x v="1"/>
  </r>
  <r>
    <d v="2024-05-30T00:00:00"/>
    <x v="3"/>
    <s v="Hourly"/>
    <s v="Open Box Software (Pty) Ltd (Open Box SA)"/>
    <s v="Salesforce"/>
    <s v="SA"/>
    <s v="Grainger PLC"/>
    <s v="OB-000660"/>
    <s v="Salesforce UAT Refresh (T&amp;M)"/>
    <s v="Billable"/>
    <s v="Open Box Software (Pty) Ltd (Open Box SA)"/>
    <s v="Shaun Barrett"/>
    <s v="Sam Duncan"/>
    <s v="Sam Duncan"/>
    <s v="Analysis and Delivery"/>
    <n v="255050"/>
    <x v="1"/>
    <x v="1"/>
    <s v="Standard Timecode"/>
    <n v="90"/>
    <n v="3"/>
    <d v="1899-12-30T03:00:00"/>
    <n v="270"/>
    <n v="360"/>
    <n v="90"/>
    <s v="IN08219"/>
    <s v="GBP"/>
    <s v="Reviewed"/>
    <e v="#NAME?"/>
    <s v="Not submitted"/>
    <n v="5"/>
    <x v="1"/>
  </r>
  <r>
    <d v="2024-05-31T00:00:00"/>
    <x v="3"/>
    <s v="Hourly"/>
    <s v="Open Box Software (Pty) Ltd (Open Box SA)"/>
    <s v="Salesforce"/>
    <s v="SA"/>
    <s v="Grainger PLC"/>
    <s v="OB-000660"/>
    <s v="Salesforce UAT Refresh (T&amp;M)"/>
    <s v="Billable"/>
    <s v="Open Box Software (Pty) Ltd (Open Box SA)"/>
    <s v="Shaun Barrett"/>
    <s v="Sam Duncan"/>
    <s v="Sam Duncan"/>
    <s v="Analysis and Delivery"/>
    <n v="255054"/>
    <x v="1"/>
    <x v="1"/>
    <s v="Standard Timecode"/>
    <n v="90"/>
    <n v="3.25"/>
    <d v="1899-12-30T03:15:00"/>
    <n v="292.5"/>
    <n v="390"/>
    <n v="97.5"/>
    <s v="IN08219"/>
    <s v="GBP"/>
    <s v="Reviewed"/>
    <e v="#NAME?"/>
    <s v="Not submitted"/>
    <n v="5"/>
    <x v="1"/>
  </r>
  <r>
    <d v="2024-06-04T00:00:00"/>
    <x v="3"/>
    <s v="Hourly"/>
    <s v="Open Box Software (Pty) Ltd (Open Box SA)"/>
    <s v="Salesforce"/>
    <s v="SA"/>
    <s v="Grainger PLC"/>
    <s v="OB-000660"/>
    <s v="Salesforce UAT Refresh (T&amp;M)"/>
    <s v="Billable"/>
    <s v="Open Box Software (Pty) Ltd (Open Box SA)"/>
    <s v="Shaun Barrett"/>
    <s v="Sam Duncan"/>
    <s v="Sam Duncan"/>
    <s v="Analysis and Delivery"/>
    <n v="256890"/>
    <x v="0"/>
    <x v="0"/>
    <s v="Standard Timecode"/>
    <n v="0"/>
    <n v="1"/>
    <d v="1899-12-30T01:00:00"/>
    <n v="0"/>
    <m/>
    <m/>
    <m/>
    <s v="GBP"/>
    <s v="Reviewed"/>
    <e v="#NAME?"/>
    <s v="Not submitted"/>
    <n v="6"/>
    <x v="0"/>
  </r>
  <r>
    <d v="2024-06-06T00:00:00"/>
    <x v="3"/>
    <s v="Hourly"/>
    <s v="Open Box Software (Pty) Ltd (Open Box SA)"/>
    <s v="Salesforce"/>
    <s v="SA"/>
    <s v="Grainger PLC"/>
    <s v="OB-000660"/>
    <s v="Salesforce UAT Refresh (T&amp;M)"/>
    <s v="Billable"/>
    <s v="Open Box Software (Pty) Ltd (Open Box SA)"/>
    <s v="Shaun Barrett"/>
    <s v="Sam Duncan"/>
    <s v="Sam Duncan"/>
    <s v="Analysis and Delivery"/>
    <n v="256895"/>
    <x v="0"/>
    <x v="0"/>
    <s v="Standard Timecode"/>
    <n v="0"/>
    <n v="4.5"/>
    <d v="1899-12-30T04:30:00"/>
    <n v="0"/>
    <m/>
    <m/>
    <m/>
    <s v="GBP"/>
    <s v="Reviewed"/>
    <e v="#NAME?"/>
    <s v="Not submitted"/>
    <n v="6"/>
    <x v="0"/>
  </r>
  <r>
    <d v="2024-06-07T00:00:00"/>
    <x v="3"/>
    <s v="Hourly"/>
    <s v="Open Box Software (Pty) Ltd (Open Box SA)"/>
    <s v="Salesforce"/>
    <s v="SA"/>
    <s v="Grainger PLC"/>
    <s v="OB-000660"/>
    <s v="Salesforce UAT Refresh (T&amp;M)"/>
    <s v="Billable"/>
    <s v="Open Box Software (Pty) Ltd (Open Box SA)"/>
    <s v="Shaun Barrett"/>
    <s v="Sam Duncan"/>
    <s v="Sam Duncan"/>
    <s v="Analysis and Delivery"/>
    <n v="256896"/>
    <x v="0"/>
    <x v="0"/>
    <s v="Standard Timecode"/>
    <n v="0"/>
    <n v="7.5"/>
    <d v="1899-12-30T07:30:00"/>
    <n v="0"/>
    <m/>
    <m/>
    <m/>
    <s v="GBP"/>
    <s v="Reviewed"/>
    <e v="#NAME?"/>
    <s v="Not submitted"/>
    <n v="6"/>
    <x v="0"/>
  </r>
  <r>
    <d v="2024-06-10T00:00:00"/>
    <x v="3"/>
    <s v="Hourly"/>
    <s v="Open Box Software (Pty) Ltd (Open Box SA)"/>
    <s v="Salesforce"/>
    <s v="SA"/>
    <s v="Grainger PLC"/>
    <s v="OB-000660"/>
    <s v="Salesforce UAT Refresh (T&amp;M)"/>
    <s v="Billable"/>
    <s v="Open Box Software (Pty) Ltd (Open Box SA)"/>
    <s v="Shaun Barrett"/>
    <s v="Sam Duncan"/>
    <s v="Sam Duncan"/>
    <s v="Analysis and Delivery"/>
    <n v="259551"/>
    <x v="1"/>
    <x v="1"/>
    <s v="Standard Timecode"/>
    <n v="90"/>
    <n v="1"/>
    <d v="1899-12-30T01:00:00"/>
    <n v="90"/>
    <m/>
    <m/>
    <m/>
    <s v="GBP"/>
    <s v="Reviewed"/>
    <s v="Getting required data from SIT before the refresh"/>
    <s v="Not submitted"/>
    <n v="6"/>
    <x v="0"/>
  </r>
  <r>
    <d v="2024-06-17T00:00:00"/>
    <x v="3"/>
    <s v="Hourly"/>
    <s v="Open Box Software (Pty) Ltd (Open Box SA)"/>
    <s v="Salesforce"/>
    <s v="SA"/>
    <s v="Grainger PLC"/>
    <s v="OB-000660"/>
    <s v="Salesforce UAT Refresh (T&amp;M)"/>
    <s v="Billable"/>
    <s v="Open Box Software (Pty) Ltd (Open Box SA)"/>
    <s v="Shaun Barrett"/>
    <s v="Sam Duncan"/>
    <s v="Sam Duncan"/>
    <s v="Analysis and Delivery"/>
    <n v="260459"/>
    <x v="1"/>
    <x v="1"/>
    <s v="Standard Timecode"/>
    <n v="90"/>
    <n v="3.25"/>
    <d v="1899-12-30T03:15:00"/>
    <n v="292.5"/>
    <m/>
    <m/>
    <m/>
    <s v="GBP"/>
    <m/>
    <e v="#NAME?"/>
    <s v="Not submitted"/>
    <n v="6"/>
    <x v="0"/>
  </r>
  <r>
    <d v="2024-06-17T00:00:00"/>
    <x v="3"/>
    <s v="Hourly"/>
    <s v="Open Box Software (Pty) Ltd (Open Box SA)"/>
    <s v="Salesforce"/>
    <s v="SA"/>
    <s v="Grainger PLC"/>
    <s v="OB-000660"/>
    <s v="Salesforce UAT Refresh (T&amp;M)"/>
    <s v="Billable"/>
    <s v="Open Box Software (Pty) Ltd (Open Box SA)"/>
    <s v="Shaun Barrett"/>
    <s v="Sam Duncan"/>
    <s v="Sam Duncan"/>
    <s v="Analysis and Delivery"/>
    <n v="262786"/>
    <x v="0"/>
    <x v="0"/>
    <s v="Standard Timecode"/>
    <n v="0"/>
    <n v="5"/>
    <d v="1899-12-30T05:00:00"/>
    <n v="0"/>
    <m/>
    <m/>
    <m/>
    <s v="GBP"/>
    <m/>
    <e v="#NAME?"/>
    <s v="Not submitted"/>
    <n v="6"/>
    <x v="0"/>
  </r>
  <r>
    <d v="2024-06-18T00:00:00"/>
    <x v="3"/>
    <s v="Hourly"/>
    <s v="Open Box Software (Pty) Ltd (Open Box SA)"/>
    <s v="Salesforce"/>
    <s v="SA"/>
    <s v="Grainger PLC"/>
    <s v="OB-000660"/>
    <s v="Salesforce UAT Refresh (T&amp;M)"/>
    <s v="Billable"/>
    <s v="Open Box Software (Pty) Ltd (Open Box SA)"/>
    <s v="Shaun Barrett"/>
    <s v="Sam Duncan"/>
    <s v="Sam Duncan"/>
    <s v="Analysis and Delivery"/>
    <n v="260477"/>
    <x v="1"/>
    <x v="1"/>
    <s v="Standard Timecode"/>
    <n v="90"/>
    <n v="3.25"/>
    <d v="1899-12-30T03:15:00"/>
    <n v="292.5"/>
    <m/>
    <m/>
    <m/>
    <s v="GBP"/>
    <m/>
    <e v="#NAME?"/>
    <s v="Not submitted"/>
    <n v="6"/>
    <x v="0"/>
  </r>
  <r>
    <d v="2024-06-18T00:00:00"/>
    <x v="3"/>
    <s v="Hourly"/>
    <s v="Open Box Software (Pty) Ltd (Open Box SA)"/>
    <s v="Salesforce"/>
    <s v="SA"/>
    <s v="Grainger PLC"/>
    <s v="OB-000660"/>
    <s v="Salesforce UAT Refresh (T&amp;M)"/>
    <s v="Billable"/>
    <s v="Open Box Software (Pty) Ltd (Open Box SA)"/>
    <s v="Shaun Barrett"/>
    <s v="Sam Duncan"/>
    <s v="Sam Duncan"/>
    <s v="Analysis and Delivery"/>
    <n v="262787"/>
    <x v="0"/>
    <x v="0"/>
    <s v="Standard Timecode"/>
    <n v="0"/>
    <n v="5"/>
    <d v="1899-12-30T05:00:00"/>
    <n v="0"/>
    <m/>
    <m/>
    <m/>
    <s v="GBP"/>
    <m/>
    <e v="#NAME?"/>
    <s v="Not submitted"/>
    <n v="6"/>
    <x v="0"/>
  </r>
  <r>
    <d v="2024-06-19T00:00:00"/>
    <x v="3"/>
    <s v="Hourly"/>
    <s v="Open Box Software (Pty) Ltd (Open Box SA)"/>
    <s v="Salesforce"/>
    <s v="SA"/>
    <s v="Grainger PLC"/>
    <s v="OB-000660"/>
    <s v="Salesforce UAT Refresh (T&amp;M)"/>
    <s v="Billable"/>
    <s v="Open Box Software (Pty) Ltd (Open Box SA)"/>
    <s v="Shaun Barrett"/>
    <s v="Sam Duncan"/>
    <s v="Sam Duncan"/>
    <s v="Analysis and Delivery"/>
    <n v="260446"/>
    <x v="1"/>
    <x v="1"/>
    <s v="Standard Timecode"/>
    <n v="90"/>
    <n v="5"/>
    <d v="1899-12-30T05:00:00"/>
    <n v="450"/>
    <m/>
    <m/>
    <m/>
    <s v="GBP"/>
    <m/>
    <e v="#NAME?"/>
    <s v="Not submitted"/>
    <n v="6"/>
    <x v="0"/>
  </r>
  <r>
    <d v="2024-06-20T00:00:00"/>
    <x v="3"/>
    <s v="Hourly"/>
    <s v="Open Box Software (Pty) Ltd (Open Box SA)"/>
    <s v="Salesforce"/>
    <s v="SA"/>
    <s v="Grainger PLC"/>
    <s v="OB-000660"/>
    <s v="Salesforce UAT Refresh (T&amp;M)"/>
    <s v="Billable"/>
    <s v="Open Box Software (Pty) Ltd (Open Box SA)"/>
    <s v="Shaun Barrett"/>
    <s v="Sam Duncan"/>
    <s v="Sam Duncan"/>
    <s v="Analysis and Delivery"/>
    <n v="261339"/>
    <x v="1"/>
    <x v="1"/>
    <s v="Standard Timecode"/>
    <n v="90"/>
    <n v="0.25"/>
    <d v="1899-12-30T00:15:00"/>
    <n v="22.5"/>
    <m/>
    <m/>
    <m/>
    <s v="GBP"/>
    <m/>
    <e v="#NAME?"/>
    <s v="Not submitted"/>
    <n v="6"/>
    <x v="0"/>
  </r>
  <r>
    <d v="2024-06-21T00:00:00"/>
    <x v="3"/>
    <s v="Hourly"/>
    <s v="Open Box Software (Pty) Ltd (Open Box SA)"/>
    <s v="Salesforce"/>
    <s v="SA"/>
    <s v="Grainger PLC"/>
    <s v="OB-000660"/>
    <s v="Salesforce UAT Refresh (T&amp;M)"/>
    <s v="Billable"/>
    <s v="Open Box Software (Pty) Ltd (Open Box SA)"/>
    <s v="Shaun Barrett"/>
    <s v="Sam Duncan"/>
    <s v="Sam Duncan"/>
    <s v="Analysis and Delivery"/>
    <n v="262120"/>
    <x v="1"/>
    <x v="1"/>
    <s v="Standard Timecode"/>
    <n v="90"/>
    <n v="0.25"/>
    <d v="1899-12-30T00:15:00"/>
    <n v="22.5"/>
    <m/>
    <m/>
    <m/>
    <s v="GBP"/>
    <m/>
    <e v="#NAME?"/>
    <s v="Not submitted"/>
    <n v="6"/>
    <x v="0"/>
  </r>
  <r>
    <d v="2024-05-22T00:00:00"/>
    <x v="4"/>
    <s v="Salaried / Fixed"/>
    <s v="Open Box Software (Pty) Ltd (Open Box SA)"/>
    <s v="Salesforce"/>
    <s v="SA"/>
    <s v="Grainger PLC"/>
    <s v="OB-000660"/>
    <s v="Salesforce UAT Refresh (T&amp;M)"/>
    <s v="Billable"/>
    <s v="Open Box Software (Pty) Ltd (Open Box SA)"/>
    <s v="Shaun Barrett"/>
    <s v="Sam Duncan"/>
    <s v=" "/>
    <s v="Analysis and Delivery"/>
    <n v="251771"/>
    <x v="1"/>
    <x v="1"/>
    <s v="Standard Timecode"/>
    <n v="90"/>
    <n v="0.75"/>
    <d v="1899-12-30T00:45:00"/>
    <n v="67.5"/>
    <n v="90"/>
    <n v="22.5"/>
    <s v="IN08219"/>
    <s v="GBP"/>
    <s v="Reviewed"/>
    <s v="Initial analysis session"/>
    <s v="Not submitted"/>
    <n v="5"/>
    <x v="1"/>
  </r>
  <r>
    <d v="2024-05-27T00:00:00"/>
    <x v="4"/>
    <s v="Salaried / Fixed"/>
    <s v="Open Box Software (Pty) Ltd (Open Box SA)"/>
    <s v="Salesforce"/>
    <s v="SA"/>
    <s v="Grainger PLC"/>
    <s v="OB-000660"/>
    <s v="Salesforce UAT Refresh (T&amp;M)"/>
    <s v="Billable"/>
    <s v="Open Box Software (Pty) Ltd (Open Box SA)"/>
    <s v="Shaun Barrett"/>
    <s v="Sam Duncan"/>
    <s v=" "/>
    <s v="Analysis and Delivery"/>
    <n v="253291"/>
    <x v="1"/>
    <x v="1"/>
    <s v="Standard Timecode"/>
    <n v="90"/>
    <n v="1"/>
    <d v="1899-12-30T01:00:00"/>
    <n v="90"/>
    <n v="120"/>
    <n v="30"/>
    <s v="IN08219"/>
    <s v="GBP"/>
    <s v="Reviewed"/>
    <s v=" "/>
    <s v="Not submitted"/>
    <n v="5"/>
    <x v="1"/>
  </r>
  <r>
    <d v="2024-06-03T00:00:00"/>
    <x v="4"/>
    <s v="Salaried / Fixed"/>
    <s v="Open Box Software (Pty) Ltd (Open Box SA)"/>
    <s v="Salesforce"/>
    <s v="SA"/>
    <s v="Grainger PLC"/>
    <s v="OB-000660"/>
    <s v="Salesforce UAT Refresh (T&amp;M)"/>
    <s v="Billable"/>
    <s v="Open Box Software (Pty) Ltd (Open Box SA)"/>
    <s v="Shaun Barrett"/>
    <s v="Sam Duncan"/>
    <s v=" "/>
    <s v="Analysis and Delivery"/>
    <n v="257243"/>
    <x v="1"/>
    <x v="1"/>
    <s v="Standard Timecode"/>
    <n v="90"/>
    <n v="1"/>
    <d v="1899-12-30T01:00:00"/>
    <n v="90"/>
    <m/>
    <m/>
    <m/>
    <s v="GBP"/>
    <s v="Reviewed"/>
    <s v="Planning call"/>
    <s v="Not submitted"/>
    <n v="6"/>
    <x v="0"/>
  </r>
  <r>
    <d v="2024-06-07T00:00:00"/>
    <x v="4"/>
    <s v="Salaried / Fixed"/>
    <s v="Open Box Software (Pty) Ltd (Open Box SA)"/>
    <s v="Salesforce"/>
    <s v="SA"/>
    <s v="Grainger PLC"/>
    <s v="OB-000660"/>
    <s v="Salesforce UAT Refresh (T&amp;M)"/>
    <s v="Billable"/>
    <s v="Open Box Software (Pty) Ltd (Open Box SA)"/>
    <s v="Shaun Barrett"/>
    <s v="Sam Duncan"/>
    <s v=" "/>
    <s v="Analysis and Delivery"/>
    <n v="257249"/>
    <x v="1"/>
    <x v="1"/>
    <s v="Standard Timecode"/>
    <n v="90"/>
    <n v="0.5"/>
    <d v="1899-12-30T00:30:00"/>
    <n v="45"/>
    <m/>
    <m/>
    <m/>
    <s v="GBP"/>
    <s v="Reviewed"/>
    <s v="Planning"/>
    <s v="Not submitted"/>
    <n v="6"/>
    <x v="0"/>
  </r>
  <r>
    <d v="2024-06-14T00:00:00"/>
    <x v="4"/>
    <s v="Salaried / Fixed"/>
    <s v="Open Box Software (Pty) Ltd (Open Box SA)"/>
    <s v="Salesforce"/>
    <s v="SA"/>
    <s v="Grainger PLC"/>
    <s v="OB-000660"/>
    <s v="Salesforce UAT Refresh (T&amp;M)"/>
    <s v="Billable"/>
    <s v="Open Box Software (Pty) Ltd (Open Box SA)"/>
    <s v="Shaun Barrett"/>
    <s v="Sam Duncan"/>
    <s v=" "/>
    <s v="Analysis and Delivery"/>
    <n v="257192"/>
    <x v="1"/>
    <x v="1"/>
    <s v="Standard Timecode"/>
    <n v="90"/>
    <n v="1"/>
    <d v="1899-12-30T01:00:00"/>
    <n v="90"/>
    <m/>
    <m/>
    <m/>
    <s v="GBP"/>
    <s v="Reviewed"/>
    <s v="Planning call"/>
    <s v="Not submitted"/>
    <n v="6"/>
    <x v="0"/>
  </r>
  <r>
    <d v="2024-06-17T00:00:00"/>
    <x v="4"/>
    <s v="Salaried / Fixed"/>
    <s v="Open Box Software (Pty) Ltd (Open Box SA)"/>
    <s v="Salesforce"/>
    <s v="SA"/>
    <s v="Grainger PLC"/>
    <s v="OB-000660"/>
    <s v="Salesforce UAT Refresh (T&amp;M)"/>
    <s v="Billable"/>
    <s v="Open Box Software (Pty) Ltd (Open Box SA)"/>
    <s v="Shaun Barrett"/>
    <s v="Sam Duncan"/>
    <s v=" "/>
    <s v="Analysis and Delivery"/>
    <n v="260173"/>
    <x v="1"/>
    <x v="1"/>
    <s v="Standard Timecode"/>
    <n v="90"/>
    <n v="1"/>
    <d v="1899-12-30T01:00:00"/>
    <n v="90"/>
    <m/>
    <m/>
    <m/>
    <s v="GBP"/>
    <m/>
    <s v=" "/>
    <s v="Not submitted"/>
    <n v="6"/>
    <x v="0"/>
  </r>
  <r>
    <d v="2024-06-18T00:00:00"/>
    <x v="4"/>
    <s v="Salaried / Fixed"/>
    <s v="Open Box Software (Pty) Ltd (Open Box SA)"/>
    <s v="Salesforce"/>
    <s v="SA"/>
    <s v="Grainger PLC"/>
    <s v="OB-000660"/>
    <s v="Salesforce UAT Refresh (T&amp;M)"/>
    <s v="Billable"/>
    <s v="Open Box Software (Pty) Ltd (Open Box SA)"/>
    <s v="Shaun Barrett"/>
    <s v="Sam Duncan"/>
    <s v=" "/>
    <s v="Analysis and Delivery"/>
    <n v="260174"/>
    <x v="1"/>
    <x v="1"/>
    <s v="Standard Timecode"/>
    <n v="90"/>
    <n v="1"/>
    <d v="1899-12-30T01:00:00"/>
    <n v="90"/>
    <m/>
    <m/>
    <m/>
    <s v="GBP"/>
    <m/>
    <s v=" "/>
    <s v="Not submitted"/>
    <n v="6"/>
    <x v="0"/>
  </r>
  <r>
    <d v="2024-06-19T00:00:00"/>
    <x v="4"/>
    <s v="Salaried / Fixed"/>
    <s v="Open Box Software (Pty) Ltd (Open Box SA)"/>
    <s v="Salesforce"/>
    <s v="SA"/>
    <s v="Grainger PLC"/>
    <s v="OB-000660"/>
    <s v="Salesforce UAT Refresh (T&amp;M)"/>
    <s v="Billable"/>
    <s v="Open Box Software (Pty) Ltd (Open Box SA)"/>
    <s v="Shaun Barrett"/>
    <s v="Sam Duncan"/>
    <s v=" "/>
    <s v="Analysis and Delivery"/>
    <n v="262225"/>
    <x v="1"/>
    <x v="1"/>
    <s v="Standard Timecode"/>
    <n v="90"/>
    <n v="0.5"/>
    <d v="1899-12-30T00:30:00"/>
    <n v="45"/>
    <m/>
    <m/>
    <m/>
    <s v="GBP"/>
    <m/>
    <s v="Touchbase on progress"/>
    <s v="Not submitted"/>
    <n v="6"/>
    <x v="0"/>
  </r>
  <r>
    <d v="2024-06-04T00:00:00"/>
    <x v="5"/>
    <s v="Salaried / Fixed"/>
    <s v="Open Box Software (Pty) Ltd (Open Box SA)"/>
    <s v="Custom Software"/>
    <s v="SA"/>
    <s v="Grainger PLC"/>
    <s v="OB-000660"/>
    <s v="Salesforce UAT Refresh (T&amp;M)"/>
    <s v="Billable"/>
    <s v="Open Box Software (Pty) Ltd (Open Box SA)"/>
    <s v="Shaun Barrett"/>
    <s v="Sam Duncan"/>
    <s v=" "/>
    <s v="Analysis and Delivery"/>
    <n v="254877"/>
    <x v="0"/>
    <x v="0"/>
    <s v="Standard Timecode"/>
    <n v="0"/>
    <n v="0.5"/>
    <d v="1899-12-30T00:30:00"/>
    <n v="0"/>
    <m/>
    <m/>
    <m/>
    <s v="GBP"/>
    <s v="Reviewed"/>
    <s v=" "/>
    <s v="Not submitted"/>
    <n v="6"/>
    <x v="0"/>
  </r>
  <r>
    <d v="2024-06-05T00:00:00"/>
    <x v="5"/>
    <s v="Salaried / Fixed"/>
    <s v="Open Box Software (Pty) Ltd (Open Box SA)"/>
    <s v="Custom Software"/>
    <s v="SA"/>
    <s v="Grainger PLC"/>
    <s v="OB-000660"/>
    <s v="Salesforce UAT Refresh (T&amp;M)"/>
    <s v="Billable"/>
    <s v="Open Box Software (Pty) Ltd (Open Box SA)"/>
    <s v="Shaun Barrett"/>
    <s v="Sam Duncan"/>
    <s v=" "/>
    <s v="Analysis and Delivery"/>
    <n v="256516"/>
    <x v="0"/>
    <x v="0"/>
    <s v="Standard Timecode"/>
    <n v="0"/>
    <n v="0.25"/>
    <d v="1899-12-30T00:15:00"/>
    <n v="0"/>
    <m/>
    <m/>
    <m/>
    <s v="GBP"/>
    <s v="Reviewed"/>
    <s v=" "/>
    <s v="Not submitted"/>
    <n v="6"/>
    <x v="0"/>
  </r>
  <r>
    <d v="2024-06-10T00:00:00"/>
    <x v="5"/>
    <s v="Salaried / Fixed"/>
    <s v="Open Box Software (Pty) Ltd (Open Box SA)"/>
    <s v="Custom Software"/>
    <s v="SA"/>
    <s v="Grainger PLC"/>
    <s v="OB-000660"/>
    <s v="Salesforce UAT Refresh (T&amp;M)"/>
    <s v="Billable"/>
    <s v="Open Box Software (Pty) Ltd (Open Box SA)"/>
    <s v="Shaun Barrett"/>
    <s v="Sam Duncan"/>
    <s v=" "/>
    <s v="Analysis and Delivery"/>
    <n v="257356"/>
    <x v="0"/>
    <x v="0"/>
    <s v="Standard Timecode"/>
    <n v="0"/>
    <n v="1"/>
    <d v="1899-12-30T01:00:00"/>
    <n v="0"/>
    <m/>
    <m/>
    <m/>
    <s v="GBP"/>
    <s v="Reviewed"/>
    <s v=" "/>
    <s v="Not submitted"/>
    <n v="6"/>
    <x v="0"/>
  </r>
  <r>
    <d v="2024-06-11T00:00:00"/>
    <x v="5"/>
    <s v="Salaried / Fixed"/>
    <s v="Open Box Software (Pty) Ltd (Open Box SA)"/>
    <s v="Custom Software"/>
    <s v="SA"/>
    <s v="Grainger PLC"/>
    <s v="OB-000660"/>
    <s v="Salesforce UAT Refresh (T&amp;M)"/>
    <s v="Billable"/>
    <s v="Open Box Software (Pty) Ltd (Open Box SA)"/>
    <s v="Shaun Barrett"/>
    <s v="Sam Duncan"/>
    <s v=" "/>
    <s v="Analysis and Delivery"/>
    <n v="257355"/>
    <x v="0"/>
    <x v="0"/>
    <s v="Standard Timecode"/>
    <n v="0"/>
    <n v="0.5"/>
    <d v="1899-12-30T00:30:00"/>
    <n v="0"/>
    <m/>
    <m/>
    <m/>
    <s v="GBP"/>
    <s v="Reviewed"/>
    <s v=" "/>
    <s v="Not submitted"/>
    <n v="6"/>
    <x v="0"/>
  </r>
  <r>
    <d v="2024-06-12T00:00:00"/>
    <x v="5"/>
    <s v="Salaried / Fixed"/>
    <s v="Open Box Software (Pty) Ltd (Open Box SA)"/>
    <s v="Custom Software"/>
    <s v="SA"/>
    <s v="Grainger PLC"/>
    <s v="OB-000660"/>
    <s v="Salesforce UAT Refresh (T&amp;M)"/>
    <s v="Billable"/>
    <s v="Open Box Software (Pty) Ltd (Open Box SA)"/>
    <s v="Shaun Barrett"/>
    <s v="Sam Duncan"/>
    <s v=" "/>
    <s v="Analysis and Delivery"/>
    <n v="258630"/>
    <x v="0"/>
    <x v="0"/>
    <s v="Standard Timecode"/>
    <n v="0"/>
    <n v="0.25"/>
    <d v="1899-12-30T00:15:00"/>
    <n v="0"/>
    <m/>
    <m/>
    <m/>
    <s v="GBP"/>
    <s v="Reviewed"/>
    <s v=" "/>
    <s v="Not submitted"/>
    <n v="6"/>
    <x v="0"/>
  </r>
  <r>
    <d v="2024-06-13T00:00:00"/>
    <x v="5"/>
    <s v="Salaried / Fixed"/>
    <s v="Open Box Software (Pty) Ltd (Open Box SA)"/>
    <s v="Custom Software"/>
    <s v="SA"/>
    <s v="Grainger PLC"/>
    <s v="OB-000660"/>
    <s v="Salesforce UAT Refresh (T&amp;M)"/>
    <s v="Billable"/>
    <s v="Open Box Software (Pty) Ltd (Open Box SA)"/>
    <s v="Shaun Barrett"/>
    <s v="Sam Duncan"/>
    <s v=" "/>
    <s v="Analysis and Delivery"/>
    <n v="258999"/>
    <x v="0"/>
    <x v="0"/>
    <s v="Standard Timecode"/>
    <n v="0"/>
    <n v="0.25"/>
    <d v="1899-12-30T00:15:00"/>
    <n v="0"/>
    <m/>
    <m/>
    <m/>
    <s v="GBP"/>
    <s v="Reviewed"/>
    <s v=" "/>
    <s v="Not submitted"/>
    <n v="6"/>
    <x v="0"/>
  </r>
  <r>
    <d v="2024-06-14T00:00:00"/>
    <x v="5"/>
    <s v="Salaried / Fixed"/>
    <s v="Open Box Software (Pty) Ltd (Open Box SA)"/>
    <s v="Custom Software"/>
    <s v="SA"/>
    <s v="Grainger PLC"/>
    <s v="OB-000660"/>
    <s v="Salesforce UAT Refresh (T&amp;M)"/>
    <s v="Billable"/>
    <s v="Open Box Software (Pty) Ltd (Open Box SA)"/>
    <s v="Shaun Barrett"/>
    <s v="Sam Duncan"/>
    <s v=" "/>
    <s v="Analysis and Delivery"/>
    <n v="259542"/>
    <x v="0"/>
    <x v="0"/>
    <s v="Standard Timecode"/>
    <n v="0"/>
    <n v="0.75"/>
    <d v="1899-12-30T00:45:00"/>
    <n v="0"/>
    <m/>
    <m/>
    <m/>
    <s v="GBP"/>
    <s v="Reviewed"/>
    <s v=" "/>
    <s v="Not submitted"/>
    <n v="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DD41D8-5538-480A-B7DD-8E7B6CEBB02B}" name="PivotTable1" cacheId="6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10" firstHeaderRow="1" firstDataRow="2" firstDataCol="1" rowPageCount="2" colPageCount="1"/>
  <pivotFields count="32">
    <pivotField numFmtId="15" showAll="0"/>
    <pivotField axis="axisRow" showAll="0">
      <items count="7">
        <item x="4"/>
        <item x="0"/>
        <item x="3"/>
        <item x="5"/>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 axis="axisPage" showAll="0">
      <items count="3">
        <item x="1"/>
        <item x="0"/>
        <item t="default"/>
      </items>
    </pivotField>
    <pivotField showAll="0"/>
    <pivotField showAll="0"/>
    <pivotField dataField="1" showAll="0"/>
    <pivotField numFmtId="20"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s>
  <rowFields count="1">
    <field x="1"/>
  </rowFields>
  <rowItems count="5">
    <i>
      <x/>
    </i>
    <i>
      <x v="1"/>
    </i>
    <i>
      <x v="2"/>
    </i>
    <i>
      <x v="4"/>
    </i>
    <i t="grand">
      <x/>
    </i>
  </rowItems>
  <colFields count="1">
    <field x="16"/>
  </colFields>
  <colItems count="2">
    <i>
      <x/>
    </i>
    <i t="grand">
      <x/>
    </i>
  </colItems>
  <pageFields count="2">
    <pageField fld="31" hier="-1"/>
    <pageField fld="17" item="0" hier="-1"/>
  </pageFields>
  <dataFields count="1">
    <dataField name="Sum of Hours" fld="20" baseField="0" baseItem="0" numFmtId="164"/>
  </dataFields>
  <formats count="2">
    <format dxfId="0">
      <pivotArea type="topRight" dataOnly="0" labelOnly="1" outline="0" fieldPosition="0"/>
    </format>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tabSelected="1" workbookViewId="0"/>
  </sheetViews>
  <sheetFormatPr defaultRowHeight="14.45"/>
  <cols>
    <col min="1" max="1" width="17.42578125" bestFit="1" customWidth="1"/>
    <col min="2" max="2" width="38" bestFit="1" customWidth="1"/>
    <col min="3" max="3" width="11" style="4" bestFit="1" customWidth="1"/>
    <col min="4" max="4" width="16.28515625" bestFit="1" customWidth="1"/>
    <col min="5" max="6" width="10.5703125" bestFit="1" customWidth="1"/>
    <col min="7" max="7" width="24.42578125" customWidth="1"/>
    <col min="8" max="8" width="18.85546875" customWidth="1"/>
    <col min="9" max="10" width="19" customWidth="1"/>
    <col min="11" max="11" width="16.5703125" customWidth="1"/>
  </cols>
  <sheetData>
    <row r="1" spans="1:12" ht="15" thickBot="1">
      <c r="A1" s="1" t="s">
        <v>0</v>
      </c>
      <c r="B1" t="s">
        <v>1</v>
      </c>
      <c r="D1" s="3" t="s">
        <v>2</v>
      </c>
      <c r="G1" s="6" t="s">
        <v>3</v>
      </c>
      <c r="H1" s="7" t="s">
        <v>4</v>
      </c>
      <c r="I1" s="7" t="s">
        <v>5</v>
      </c>
      <c r="J1" s="7" t="s">
        <v>6</v>
      </c>
      <c r="K1" s="7" t="s">
        <v>7</v>
      </c>
      <c r="L1" s="11" t="s">
        <v>8</v>
      </c>
    </row>
    <row r="2" spans="1:12" ht="15" thickBot="1">
      <c r="A2" s="1" t="s">
        <v>9</v>
      </c>
      <c r="B2" t="s">
        <v>10</v>
      </c>
      <c r="G2" s="8" t="s">
        <v>11</v>
      </c>
      <c r="H2" s="9">
        <v>25</v>
      </c>
      <c r="I2" s="9">
        <v>28</v>
      </c>
      <c r="J2" s="9" t="s">
        <v>12</v>
      </c>
      <c r="K2" s="9" t="s">
        <v>13</v>
      </c>
    </row>
    <row r="3" spans="1:12" ht="15" thickBot="1">
      <c r="C3"/>
      <c r="G3" s="8" t="s">
        <v>14</v>
      </c>
      <c r="H3" s="9">
        <v>4</v>
      </c>
      <c r="I3" s="9">
        <v>5</v>
      </c>
      <c r="J3" s="9" t="s">
        <v>15</v>
      </c>
      <c r="K3" s="9" t="s">
        <v>16</v>
      </c>
    </row>
    <row r="4" spans="1:12" ht="15" thickBot="1">
      <c r="A4" s="1" t="s">
        <v>17</v>
      </c>
      <c r="B4" s="1" t="s">
        <v>18</v>
      </c>
      <c r="G4" s="8" t="s">
        <v>19</v>
      </c>
      <c r="H4" s="9">
        <v>8</v>
      </c>
      <c r="I4" s="9">
        <v>9</v>
      </c>
      <c r="J4" s="9" t="s">
        <v>20</v>
      </c>
      <c r="K4" s="9" t="s">
        <v>21</v>
      </c>
    </row>
    <row r="5" spans="1:12" ht="15" thickBot="1">
      <c r="A5" s="1" t="s">
        <v>22</v>
      </c>
      <c r="B5" t="s">
        <v>23</v>
      </c>
      <c r="C5" t="s">
        <v>24</v>
      </c>
      <c r="G5" s="8" t="s">
        <v>25</v>
      </c>
      <c r="H5" s="9">
        <v>10</v>
      </c>
      <c r="I5" s="9">
        <v>11</v>
      </c>
      <c r="J5" s="9" t="s">
        <v>26</v>
      </c>
      <c r="K5" s="9" t="s">
        <v>27</v>
      </c>
    </row>
    <row r="6" spans="1:12" ht="15" thickBot="1">
      <c r="A6" s="2" t="s">
        <v>28</v>
      </c>
      <c r="B6" s="5">
        <v>6.75</v>
      </c>
      <c r="C6" s="5">
        <v>6.75</v>
      </c>
      <c r="G6" s="8" t="s">
        <v>29</v>
      </c>
      <c r="H6" s="9">
        <v>16</v>
      </c>
      <c r="I6" s="9">
        <v>18</v>
      </c>
      <c r="J6" s="9" t="s">
        <v>30</v>
      </c>
      <c r="K6" s="9" t="s">
        <v>31</v>
      </c>
    </row>
    <row r="7" spans="1:12" ht="15" thickBot="1">
      <c r="A7" s="2" t="s">
        <v>32</v>
      </c>
      <c r="B7" s="5">
        <v>6.5</v>
      </c>
      <c r="C7" s="5">
        <v>6.5</v>
      </c>
      <c r="G7" s="8" t="s">
        <v>33</v>
      </c>
      <c r="H7" s="9" t="s">
        <v>34</v>
      </c>
      <c r="I7" s="9" t="s">
        <v>35</v>
      </c>
      <c r="J7" s="10" t="s">
        <v>36</v>
      </c>
      <c r="K7" s="10" t="s">
        <v>37</v>
      </c>
    </row>
    <row r="8" spans="1:12">
      <c r="A8" s="2" t="s">
        <v>38</v>
      </c>
      <c r="B8" s="5">
        <v>33.25</v>
      </c>
      <c r="C8" s="5">
        <v>33.25</v>
      </c>
    </row>
    <row r="9" spans="1:12">
      <c r="A9" s="2" t="s">
        <v>39</v>
      </c>
      <c r="B9" s="5">
        <v>9.25</v>
      </c>
      <c r="C9" s="5">
        <v>9.25</v>
      </c>
    </row>
    <row r="10" spans="1:12">
      <c r="A10" s="2" t="s">
        <v>24</v>
      </c>
      <c r="B10" s="5">
        <v>55.75</v>
      </c>
      <c r="C10" s="5">
        <v>55.75</v>
      </c>
    </row>
    <row r="11" spans="1:12">
      <c r="C11"/>
    </row>
    <row r="12" spans="1:12">
      <c r="C12"/>
      <c r="G12" s="12" t="s">
        <v>40</v>
      </c>
    </row>
    <row r="13" spans="1:12">
      <c r="C13"/>
      <c r="G13" t="s">
        <v>41</v>
      </c>
      <c r="H13">
        <v>5</v>
      </c>
    </row>
    <row r="14" spans="1:12">
      <c r="C14"/>
      <c r="G14" t="s">
        <v>42</v>
      </c>
      <c r="H14">
        <v>5</v>
      </c>
    </row>
    <row r="15" spans="1:12">
      <c r="C15"/>
    </row>
    <row r="16" spans="1:12">
      <c r="C16"/>
    </row>
    <row r="17" spans="3:3">
      <c r="C1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287"/>
  <sheetViews>
    <sheetView topLeftCell="W1" workbookViewId="0">
      <pane ySplit="1" topLeftCell="A16" activePane="bottomLeft" state="frozen"/>
      <selection pane="bottomLeft"/>
    </sheetView>
  </sheetViews>
  <sheetFormatPr defaultColWidth="8.85546875" defaultRowHeight="14.45"/>
  <cols>
    <col min="1" max="1" width="9.7109375" style="4" customWidth="1"/>
    <col min="2" max="28" width="8.85546875" style="4"/>
    <col min="29" max="29" width="175.7109375" style="4" bestFit="1" customWidth="1"/>
    <col min="30" max="16384" width="8.85546875" style="4"/>
  </cols>
  <sheetData>
    <row r="1" spans="1:32">
      <c r="A1" s="4" t="s">
        <v>43</v>
      </c>
      <c r="B1" s="4" t="s">
        <v>44</v>
      </c>
      <c r="C1" s="4" t="s">
        <v>45</v>
      </c>
      <c r="D1" s="4" t="s">
        <v>46</v>
      </c>
      <c r="E1" s="4" t="s">
        <v>47</v>
      </c>
      <c r="F1" s="4" t="s">
        <v>48</v>
      </c>
      <c r="G1" s="4" t="s">
        <v>49</v>
      </c>
      <c r="H1" s="4" t="s">
        <v>50</v>
      </c>
      <c r="I1" s="4" t="s">
        <v>51</v>
      </c>
      <c r="J1" s="4" t="s">
        <v>52</v>
      </c>
      <c r="K1" s="4" t="s">
        <v>53</v>
      </c>
      <c r="L1" s="4" t="s">
        <v>54</v>
      </c>
      <c r="M1" s="4" t="s">
        <v>55</v>
      </c>
      <c r="N1" s="4" t="s">
        <v>56</v>
      </c>
      <c r="O1" s="4" t="s">
        <v>57</v>
      </c>
      <c r="P1" s="4" t="s">
        <v>58</v>
      </c>
      <c r="Q1" s="4" t="s">
        <v>59</v>
      </c>
      <c r="R1" s="4" t="s">
        <v>9</v>
      </c>
      <c r="S1" s="4" t="s">
        <v>60</v>
      </c>
      <c r="T1" s="4" t="s">
        <v>61</v>
      </c>
      <c r="U1" s="4" t="s">
        <v>62</v>
      </c>
      <c r="V1" s="4" t="s">
        <v>63</v>
      </c>
      <c r="W1" s="4" t="s">
        <v>64</v>
      </c>
      <c r="X1" s="4" t="s">
        <v>65</v>
      </c>
      <c r="Y1" s="4" t="s">
        <v>66</v>
      </c>
      <c r="Z1" s="4" t="s">
        <v>67</v>
      </c>
      <c r="AA1" s="4" t="s">
        <v>68</v>
      </c>
      <c r="AB1" s="4" t="s">
        <v>69</v>
      </c>
      <c r="AC1" s="4" t="s">
        <v>70</v>
      </c>
      <c r="AD1" s="4" t="s">
        <v>71</v>
      </c>
      <c r="AE1" s="13" t="s">
        <v>72</v>
      </c>
      <c r="AF1" s="13" t="s">
        <v>0</v>
      </c>
    </row>
    <row r="2" spans="1:32">
      <c r="A2" s="16">
        <v>45448</v>
      </c>
      <c r="B2" t="s">
        <v>32</v>
      </c>
      <c r="C2" t="s">
        <v>73</v>
      </c>
      <c r="D2" t="s">
        <v>74</v>
      </c>
      <c r="E2" t="s">
        <v>75</v>
      </c>
      <c r="F2" t="s">
        <v>76</v>
      </c>
      <c r="G2" t="s">
        <v>77</v>
      </c>
      <c r="H2" t="s">
        <v>78</v>
      </c>
      <c r="I2" t="s">
        <v>79</v>
      </c>
      <c r="J2" t="s">
        <v>80</v>
      </c>
      <c r="K2" t="s">
        <v>74</v>
      </c>
      <c r="L2" t="s">
        <v>81</v>
      </c>
      <c r="M2" t="s">
        <v>28</v>
      </c>
      <c r="N2" t="s">
        <v>28</v>
      </c>
      <c r="O2" t="s">
        <v>82</v>
      </c>
      <c r="P2">
        <v>255598</v>
      </c>
      <c r="Q2" t="s">
        <v>83</v>
      </c>
      <c r="R2" t="s">
        <v>84</v>
      </c>
      <c r="S2" t="s">
        <v>85</v>
      </c>
      <c r="T2">
        <v>0</v>
      </c>
      <c r="U2">
        <v>1</v>
      </c>
      <c r="V2" s="17">
        <v>4.1666666666666664E-2</v>
      </c>
      <c r="W2">
        <v>0</v>
      </c>
      <c r="X2"/>
      <c r="Y2"/>
      <c r="Z2"/>
      <c r="AA2" t="s">
        <v>86</v>
      </c>
      <c r="AB2" t="s">
        <v>87</v>
      </c>
      <c r="AC2" t="s">
        <v>88</v>
      </c>
      <c r="AD2" t="s">
        <v>89</v>
      </c>
      <c r="AE2" s="4">
        <f t="shared" ref="AE2:AE45" si="0">MONTH(A2)</f>
        <v>6</v>
      </c>
      <c r="AF2" s="4" t="str">
        <f t="shared" ref="AF2:AF50" si="1">IF(AE2=5,"May",IF(AE2=6,"June",IF(AE2=7,"July",IF(AE2=8,"August",IF(AE2=9,"September")))))</f>
        <v>June</v>
      </c>
    </row>
    <row r="3" spans="1:32">
      <c r="A3" s="16">
        <v>45450</v>
      </c>
      <c r="B3" t="s">
        <v>32</v>
      </c>
      <c r="C3" t="s">
        <v>73</v>
      </c>
      <c r="D3" t="s">
        <v>74</v>
      </c>
      <c r="E3" t="s">
        <v>75</v>
      </c>
      <c r="F3" t="s">
        <v>76</v>
      </c>
      <c r="G3" t="s">
        <v>77</v>
      </c>
      <c r="H3" t="s">
        <v>78</v>
      </c>
      <c r="I3" t="s">
        <v>79</v>
      </c>
      <c r="J3" t="s">
        <v>80</v>
      </c>
      <c r="K3" t="s">
        <v>74</v>
      </c>
      <c r="L3" t="s">
        <v>81</v>
      </c>
      <c r="M3" t="s">
        <v>28</v>
      </c>
      <c r="N3" t="s">
        <v>28</v>
      </c>
      <c r="O3" t="s">
        <v>82</v>
      </c>
      <c r="P3">
        <v>256523</v>
      </c>
      <c r="Q3" t="s">
        <v>83</v>
      </c>
      <c r="R3" t="s">
        <v>84</v>
      </c>
      <c r="S3" t="s">
        <v>85</v>
      </c>
      <c r="T3">
        <v>0</v>
      </c>
      <c r="U3">
        <v>1</v>
      </c>
      <c r="V3" s="17">
        <v>4.1666666666666664E-2</v>
      </c>
      <c r="W3">
        <v>0</v>
      </c>
      <c r="X3"/>
      <c r="Y3"/>
      <c r="Z3"/>
      <c r="AA3" t="s">
        <v>86</v>
      </c>
      <c r="AB3" t="s">
        <v>87</v>
      </c>
      <c r="AC3" t="s">
        <v>90</v>
      </c>
      <c r="AD3" t="s">
        <v>89</v>
      </c>
      <c r="AE3" s="4">
        <f t="shared" si="0"/>
        <v>6</v>
      </c>
      <c r="AF3" s="4" t="str">
        <f t="shared" si="1"/>
        <v>June</v>
      </c>
    </row>
    <row r="4" spans="1:32">
      <c r="A4" s="16">
        <v>45461</v>
      </c>
      <c r="B4" t="s">
        <v>32</v>
      </c>
      <c r="C4" t="s">
        <v>73</v>
      </c>
      <c r="D4" t="s">
        <v>74</v>
      </c>
      <c r="E4" t="s">
        <v>75</v>
      </c>
      <c r="F4" t="s">
        <v>76</v>
      </c>
      <c r="G4" t="s">
        <v>77</v>
      </c>
      <c r="H4" t="s">
        <v>78</v>
      </c>
      <c r="I4" t="s">
        <v>79</v>
      </c>
      <c r="J4" t="s">
        <v>80</v>
      </c>
      <c r="K4" t="s">
        <v>74</v>
      </c>
      <c r="L4" t="s">
        <v>81</v>
      </c>
      <c r="M4" t="s">
        <v>28</v>
      </c>
      <c r="N4" t="s">
        <v>28</v>
      </c>
      <c r="O4" t="s">
        <v>82</v>
      </c>
      <c r="P4">
        <v>260523</v>
      </c>
      <c r="Q4" t="s">
        <v>23</v>
      </c>
      <c r="R4" t="s">
        <v>10</v>
      </c>
      <c r="S4" t="s">
        <v>85</v>
      </c>
      <c r="T4">
        <v>90</v>
      </c>
      <c r="U4">
        <v>1</v>
      </c>
      <c r="V4" s="17">
        <v>4.1666666666666664E-2</v>
      </c>
      <c r="W4">
        <v>90</v>
      </c>
      <c r="X4"/>
      <c r="Y4"/>
      <c r="Z4"/>
      <c r="AA4" t="s">
        <v>86</v>
      </c>
      <c r="AB4"/>
      <c r="AC4" t="s">
        <v>91</v>
      </c>
      <c r="AD4" t="s">
        <v>89</v>
      </c>
      <c r="AE4" s="4">
        <f t="shared" si="0"/>
        <v>6</v>
      </c>
      <c r="AF4" s="4" t="str">
        <f t="shared" si="1"/>
        <v>June</v>
      </c>
    </row>
    <row r="5" spans="1:32">
      <c r="A5" s="16">
        <v>45462</v>
      </c>
      <c r="B5" t="s">
        <v>32</v>
      </c>
      <c r="C5" t="s">
        <v>73</v>
      </c>
      <c r="D5" t="s">
        <v>74</v>
      </c>
      <c r="E5" t="s">
        <v>75</v>
      </c>
      <c r="F5" t="s">
        <v>76</v>
      </c>
      <c r="G5" t="s">
        <v>77</v>
      </c>
      <c r="H5" t="s">
        <v>78</v>
      </c>
      <c r="I5" t="s">
        <v>79</v>
      </c>
      <c r="J5" t="s">
        <v>80</v>
      </c>
      <c r="K5" t="s">
        <v>74</v>
      </c>
      <c r="L5" t="s">
        <v>81</v>
      </c>
      <c r="M5" t="s">
        <v>28</v>
      </c>
      <c r="N5" t="s">
        <v>28</v>
      </c>
      <c r="O5" t="s">
        <v>82</v>
      </c>
      <c r="P5">
        <v>260818</v>
      </c>
      <c r="Q5" t="s">
        <v>23</v>
      </c>
      <c r="R5" t="s">
        <v>10</v>
      </c>
      <c r="S5" t="s">
        <v>85</v>
      </c>
      <c r="T5">
        <v>90</v>
      </c>
      <c r="U5">
        <v>4.5</v>
      </c>
      <c r="V5" s="17">
        <v>0.1875</v>
      </c>
      <c r="W5">
        <v>405</v>
      </c>
      <c r="X5"/>
      <c r="Y5"/>
      <c r="Z5"/>
      <c r="AA5" t="s">
        <v>86</v>
      </c>
      <c r="AB5"/>
      <c r="AC5" t="s">
        <v>92</v>
      </c>
      <c r="AD5" t="s">
        <v>89</v>
      </c>
      <c r="AE5" s="4">
        <f t="shared" si="0"/>
        <v>6</v>
      </c>
      <c r="AF5" s="4" t="str">
        <f t="shared" si="1"/>
        <v>June</v>
      </c>
    </row>
    <row r="6" spans="1:32">
      <c r="A6" s="16">
        <v>45462</v>
      </c>
      <c r="B6" t="s">
        <v>32</v>
      </c>
      <c r="C6" t="s">
        <v>73</v>
      </c>
      <c r="D6" t="s">
        <v>74</v>
      </c>
      <c r="E6" t="s">
        <v>75</v>
      </c>
      <c r="F6" t="s">
        <v>76</v>
      </c>
      <c r="G6" t="s">
        <v>77</v>
      </c>
      <c r="H6" t="s">
        <v>78</v>
      </c>
      <c r="I6" t="s">
        <v>79</v>
      </c>
      <c r="J6" t="s">
        <v>80</v>
      </c>
      <c r="K6" t="s">
        <v>74</v>
      </c>
      <c r="L6" t="s">
        <v>81</v>
      </c>
      <c r="M6" t="s">
        <v>28</v>
      </c>
      <c r="N6" t="s">
        <v>28</v>
      </c>
      <c r="O6" t="s">
        <v>82</v>
      </c>
      <c r="P6">
        <v>262789</v>
      </c>
      <c r="Q6" t="s">
        <v>83</v>
      </c>
      <c r="R6" t="s">
        <v>84</v>
      </c>
      <c r="S6" t="s">
        <v>85</v>
      </c>
      <c r="T6">
        <v>0</v>
      </c>
      <c r="U6">
        <v>2</v>
      </c>
      <c r="V6" s="17">
        <v>8.3333333333333329E-2</v>
      </c>
      <c r="W6">
        <v>0</v>
      </c>
      <c r="X6"/>
      <c r="Y6"/>
      <c r="Z6"/>
      <c r="AA6" t="s">
        <v>86</v>
      </c>
      <c r="AB6"/>
      <c r="AC6" t="s">
        <v>92</v>
      </c>
      <c r="AD6" t="s">
        <v>89</v>
      </c>
      <c r="AE6" s="4">
        <f t="shared" si="0"/>
        <v>6</v>
      </c>
      <c r="AF6" s="4" t="str">
        <f t="shared" si="1"/>
        <v>June</v>
      </c>
    </row>
    <row r="7" spans="1:32">
      <c r="A7" s="16">
        <v>45463</v>
      </c>
      <c r="B7" t="s">
        <v>32</v>
      </c>
      <c r="C7" t="s">
        <v>73</v>
      </c>
      <c r="D7" t="s">
        <v>74</v>
      </c>
      <c r="E7" t="s">
        <v>75</v>
      </c>
      <c r="F7" t="s">
        <v>76</v>
      </c>
      <c r="G7" t="s">
        <v>77</v>
      </c>
      <c r="H7" t="s">
        <v>78</v>
      </c>
      <c r="I7" t="s">
        <v>79</v>
      </c>
      <c r="J7" t="s">
        <v>80</v>
      </c>
      <c r="K7" t="s">
        <v>74</v>
      </c>
      <c r="L7" t="s">
        <v>81</v>
      </c>
      <c r="M7" t="s">
        <v>28</v>
      </c>
      <c r="N7" t="s">
        <v>28</v>
      </c>
      <c r="O7" t="s">
        <v>82</v>
      </c>
      <c r="P7">
        <v>262788</v>
      </c>
      <c r="Q7" t="s">
        <v>83</v>
      </c>
      <c r="R7" t="s">
        <v>84</v>
      </c>
      <c r="S7" t="s">
        <v>85</v>
      </c>
      <c r="T7">
        <v>0</v>
      </c>
      <c r="U7">
        <v>6</v>
      </c>
      <c r="V7" s="17">
        <v>0.25</v>
      </c>
      <c r="W7">
        <v>0</v>
      </c>
      <c r="X7"/>
      <c r="Y7"/>
      <c r="Z7"/>
      <c r="AA7" t="s">
        <v>86</v>
      </c>
      <c r="AB7"/>
      <c r="AC7" t="s">
        <v>93</v>
      </c>
      <c r="AD7" t="s">
        <v>89</v>
      </c>
      <c r="AE7" s="4">
        <f t="shared" si="0"/>
        <v>6</v>
      </c>
      <c r="AF7" s="4" t="str">
        <f t="shared" si="1"/>
        <v>June</v>
      </c>
    </row>
    <row r="8" spans="1:32">
      <c r="A8" s="16">
        <v>45464</v>
      </c>
      <c r="B8" t="s">
        <v>32</v>
      </c>
      <c r="C8" t="s">
        <v>73</v>
      </c>
      <c r="D8" t="s">
        <v>74</v>
      </c>
      <c r="E8" t="s">
        <v>75</v>
      </c>
      <c r="F8" t="s">
        <v>76</v>
      </c>
      <c r="G8" t="s">
        <v>77</v>
      </c>
      <c r="H8" t="s">
        <v>78</v>
      </c>
      <c r="I8" t="s">
        <v>79</v>
      </c>
      <c r="J8" t="s">
        <v>80</v>
      </c>
      <c r="K8" t="s">
        <v>74</v>
      </c>
      <c r="L8" t="s">
        <v>81</v>
      </c>
      <c r="M8" t="s">
        <v>28</v>
      </c>
      <c r="N8" t="s">
        <v>28</v>
      </c>
      <c r="O8" t="s">
        <v>82</v>
      </c>
      <c r="P8">
        <v>261877</v>
      </c>
      <c r="Q8" t="s">
        <v>23</v>
      </c>
      <c r="R8" t="s">
        <v>10</v>
      </c>
      <c r="S8" t="s">
        <v>85</v>
      </c>
      <c r="T8">
        <v>90</v>
      </c>
      <c r="U8">
        <v>1</v>
      </c>
      <c r="V8" s="17">
        <v>4.1666666666666664E-2</v>
      </c>
      <c r="W8">
        <v>90</v>
      </c>
      <c r="X8"/>
      <c r="Y8"/>
      <c r="Z8"/>
      <c r="AA8" t="s">
        <v>86</v>
      </c>
      <c r="AB8"/>
      <c r="AC8" t="s">
        <v>94</v>
      </c>
      <c r="AD8" t="s">
        <v>89</v>
      </c>
      <c r="AE8" s="4">
        <f t="shared" si="0"/>
        <v>6</v>
      </c>
      <c r="AF8" s="4" t="str">
        <f t="shared" si="1"/>
        <v>June</v>
      </c>
    </row>
    <row r="9" spans="1:32">
      <c r="A9" s="16">
        <v>45462</v>
      </c>
      <c r="B9" t="s">
        <v>95</v>
      </c>
      <c r="C9" t="s">
        <v>96</v>
      </c>
      <c r="D9" t="s">
        <v>74</v>
      </c>
      <c r="E9" t="s">
        <v>97</v>
      </c>
      <c r="F9" t="s">
        <v>76</v>
      </c>
      <c r="G9" t="s">
        <v>77</v>
      </c>
      <c r="H9" t="s">
        <v>78</v>
      </c>
      <c r="I9" t="s">
        <v>79</v>
      </c>
      <c r="J9" t="s">
        <v>80</v>
      </c>
      <c r="K9" t="s">
        <v>74</v>
      </c>
      <c r="L9" t="s">
        <v>81</v>
      </c>
      <c r="M9" t="s">
        <v>28</v>
      </c>
      <c r="N9" t="s">
        <v>98</v>
      </c>
      <c r="O9" t="s">
        <v>82</v>
      </c>
      <c r="P9">
        <v>260677</v>
      </c>
      <c r="Q9" t="s">
        <v>83</v>
      </c>
      <c r="R9" t="s">
        <v>84</v>
      </c>
      <c r="S9" t="s">
        <v>85</v>
      </c>
      <c r="T9">
        <v>0</v>
      </c>
      <c r="U9">
        <v>0.5</v>
      </c>
      <c r="V9" s="17">
        <v>2.0833333333333332E-2</v>
      </c>
      <c r="W9">
        <v>0</v>
      </c>
      <c r="X9"/>
      <c r="Y9"/>
      <c r="Z9"/>
      <c r="AA9" t="s">
        <v>86</v>
      </c>
      <c r="AB9" t="s">
        <v>87</v>
      </c>
      <c r="AC9" t="s">
        <v>99</v>
      </c>
      <c r="AD9" t="s">
        <v>89</v>
      </c>
      <c r="AE9" s="4">
        <f t="shared" si="0"/>
        <v>6</v>
      </c>
      <c r="AF9" s="4" t="str">
        <f t="shared" si="1"/>
        <v>June</v>
      </c>
    </row>
    <row r="10" spans="1:32">
      <c r="A10" s="16">
        <v>45467</v>
      </c>
      <c r="B10" t="s">
        <v>95</v>
      </c>
      <c r="C10" t="s">
        <v>96</v>
      </c>
      <c r="D10" t="s">
        <v>74</v>
      </c>
      <c r="E10" t="s">
        <v>97</v>
      </c>
      <c r="F10" t="s">
        <v>76</v>
      </c>
      <c r="G10" t="s">
        <v>77</v>
      </c>
      <c r="H10" t="s">
        <v>78</v>
      </c>
      <c r="I10" t="s">
        <v>79</v>
      </c>
      <c r="J10" t="s">
        <v>80</v>
      </c>
      <c r="K10" t="s">
        <v>74</v>
      </c>
      <c r="L10" t="s">
        <v>81</v>
      </c>
      <c r="M10" t="s">
        <v>28</v>
      </c>
      <c r="N10" t="s">
        <v>98</v>
      </c>
      <c r="O10" t="s">
        <v>82</v>
      </c>
      <c r="P10">
        <v>262555</v>
      </c>
      <c r="Q10" t="s">
        <v>83</v>
      </c>
      <c r="R10" t="s">
        <v>84</v>
      </c>
      <c r="S10" t="s">
        <v>85</v>
      </c>
      <c r="T10">
        <v>0</v>
      </c>
      <c r="U10">
        <v>0.25</v>
      </c>
      <c r="V10" s="17">
        <v>1.0416666666666666E-2</v>
      </c>
      <c r="W10">
        <v>0</v>
      </c>
      <c r="X10"/>
      <c r="Y10"/>
      <c r="Z10"/>
      <c r="AA10" t="s">
        <v>86</v>
      </c>
      <c r="AB10"/>
      <c r="AC10" t="s">
        <v>100</v>
      </c>
      <c r="AD10" t="s">
        <v>89</v>
      </c>
      <c r="AE10" s="4">
        <f t="shared" si="0"/>
        <v>6</v>
      </c>
      <c r="AF10" s="4" t="str">
        <f t="shared" si="1"/>
        <v>June</v>
      </c>
    </row>
    <row r="11" spans="1:32">
      <c r="A11" s="16">
        <v>45454</v>
      </c>
      <c r="B11" t="s">
        <v>39</v>
      </c>
      <c r="C11" t="s">
        <v>96</v>
      </c>
      <c r="D11" t="s">
        <v>74</v>
      </c>
      <c r="E11" t="s">
        <v>75</v>
      </c>
      <c r="F11" t="s">
        <v>76</v>
      </c>
      <c r="G11" t="s">
        <v>77</v>
      </c>
      <c r="H11" t="s">
        <v>78</v>
      </c>
      <c r="I11" t="s">
        <v>79</v>
      </c>
      <c r="J11" t="s">
        <v>80</v>
      </c>
      <c r="K11" t="s">
        <v>74</v>
      </c>
      <c r="L11" t="s">
        <v>81</v>
      </c>
      <c r="M11" t="s">
        <v>28</v>
      </c>
      <c r="N11" t="s">
        <v>98</v>
      </c>
      <c r="O11" t="s">
        <v>82</v>
      </c>
      <c r="P11">
        <v>257774</v>
      </c>
      <c r="Q11" t="s">
        <v>83</v>
      </c>
      <c r="R11" t="s">
        <v>84</v>
      </c>
      <c r="S11" t="s">
        <v>85</v>
      </c>
      <c r="T11">
        <v>0</v>
      </c>
      <c r="U11">
        <v>0.25</v>
      </c>
      <c r="V11" s="17">
        <v>1.0416666666666666E-2</v>
      </c>
      <c r="W11">
        <v>0</v>
      </c>
      <c r="X11"/>
      <c r="Y11"/>
      <c r="Z11"/>
      <c r="AA11" t="s">
        <v>86</v>
      </c>
      <c r="AB11" t="s">
        <v>87</v>
      </c>
      <c r="AC11" t="s">
        <v>98</v>
      </c>
      <c r="AD11" t="s">
        <v>89</v>
      </c>
      <c r="AE11" s="4">
        <f t="shared" si="0"/>
        <v>6</v>
      </c>
      <c r="AF11" s="4" t="str">
        <f t="shared" si="1"/>
        <v>June</v>
      </c>
    </row>
    <row r="12" spans="1:32">
      <c r="A12" s="16">
        <v>45461</v>
      </c>
      <c r="B12" t="s">
        <v>39</v>
      </c>
      <c r="C12" t="s">
        <v>96</v>
      </c>
      <c r="D12" t="s">
        <v>74</v>
      </c>
      <c r="E12" t="s">
        <v>75</v>
      </c>
      <c r="F12" t="s">
        <v>76</v>
      </c>
      <c r="G12" t="s">
        <v>77</v>
      </c>
      <c r="H12" t="s">
        <v>78</v>
      </c>
      <c r="I12" t="s">
        <v>79</v>
      </c>
      <c r="J12" t="s">
        <v>80</v>
      </c>
      <c r="K12" t="s">
        <v>74</v>
      </c>
      <c r="L12" t="s">
        <v>81</v>
      </c>
      <c r="M12" t="s">
        <v>28</v>
      </c>
      <c r="N12" t="s">
        <v>98</v>
      </c>
      <c r="O12" t="s">
        <v>82</v>
      </c>
      <c r="P12">
        <v>260226</v>
      </c>
      <c r="Q12" t="s">
        <v>83</v>
      </c>
      <c r="R12" t="s">
        <v>84</v>
      </c>
      <c r="S12" t="s">
        <v>85</v>
      </c>
      <c r="T12">
        <v>0</v>
      </c>
      <c r="U12">
        <v>0.25</v>
      </c>
      <c r="V12" s="17">
        <v>1.0416666666666666E-2</v>
      </c>
      <c r="W12">
        <v>0</v>
      </c>
      <c r="X12"/>
      <c r="Y12"/>
      <c r="Z12"/>
      <c r="AA12" t="s">
        <v>86</v>
      </c>
      <c r="AB12" t="s">
        <v>87</v>
      </c>
      <c r="AC12" t="s">
        <v>98</v>
      </c>
      <c r="AD12" t="s">
        <v>89</v>
      </c>
      <c r="AE12" s="4">
        <f t="shared" si="0"/>
        <v>6</v>
      </c>
      <c r="AF12" s="4" t="str">
        <f t="shared" si="1"/>
        <v>June</v>
      </c>
    </row>
    <row r="13" spans="1:32">
      <c r="A13" s="16">
        <v>45462</v>
      </c>
      <c r="B13" t="s">
        <v>39</v>
      </c>
      <c r="C13" t="s">
        <v>96</v>
      </c>
      <c r="D13" t="s">
        <v>74</v>
      </c>
      <c r="E13" t="s">
        <v>75</v>
      </c>
      <c r="F13" t="s">
        <v>76</v>
      </c>
      <c r="G13" t="s">
        <v>77</v>
      </c>
      <c r="H13" t="s">
        <v>78</v>
      </c>
      <c r="I13" t="s">
        <v>79</v>
      </c>
      <c r="J13" t="s">
        <v>80</v>
      </c>
      <c r="K13" t="s">
        <v>74</v>
      </c>
      <c r="L13" t="s">
        <v>81</v>
      </c>
      <c r="M13" t="s">
        <v>28</v>
      </c>
      <c r="N13" t="s">
        <v>98</v>
      </c>
      <c r="O13" t="s">
        <v>82</v>
      </c>
      <c r="P13">
        <v>261135</v>
      </c>
      <c r="Q13" t="s">
        <v>83</v>
      </c>
      <c r="R13" t="s">
        <v>84</v>
      </c>
      <c r="S13" t="s">
        <v>85</v>
      </c>
      <c r="T13">
        <v>0</v>
      </c>
      <c r="U13">
        <v>0.25</v>
      </c>
      <c r="V13" s="17">
        <v>1.0416666666666666E-2</v>
      </c>
      <c r="W13">
        <v>0</v>
      </c>
      <c r="X13"/>
      <c r="Y13"/>
      <c r="Z13"/>
      <c r="AA13" t="s">
        <v>86</v>
      </c>
      <c r="AB13" t="s">
        <v>87</v>
      </c>
      <c r="AC13" t="s">
        <v>98</v>
      </c>
      <c r="AD13" t="s">
        <v>89</v>
      </c>
      <c r="AE13" s="4">
        <f t="shared" si="0"/>
        <v>6</v>
      </c>
      <c r="AF13" s="4" t="str">
        <f t="shared" si="1"/>
        <v>June</v>
      </c>
    </row>
    <row r="14" spans="1:32">
      <c r="A14" s="16">
        <v>45463</v>
      </c>
      <c r="B14" t="s">
        <v>39</v>
      </c>
      <c r="C14" t="s">
        <v>96</v>
      </c>
      <c r="D14" t="s">
        <v>74</v>
      </c>
      <c r="E14" t="s">
        <v>75</v>
      </c>
      <c r="F14" t="s">
        <v>76</v>
      </c>
      <c r="G14" t="s">
        <v>77</v>
      </c>
      <c r="H14" t="s">
        <v>78</v>
      </c>
      <c r="I14" t="s">
        <v>79</v>
      </c>
      <c r="J14" t="s">
        <v>80</v>
      </c>
      <c r="K14" t="s">
        <v>74</v>
      </c>
      <c r="L14" t="s">
        <v>81</v>
      </c>
      <c r="M14" t="s">
        <v>28</v>
      </c>
      <c r="N14" t="s">
        <v>98</v>
      </c>
      <c r="O14" t="s">
        <v>82</v>
      </c>
      <c r="P14">
        <v>261161</v>
      </c>
      <c r="Q14" t="s">
        <v>23</v>
      </c>
      <c r="R14" t="s">
        <v>10</v>
      </c>
      <c r="S14" t="s">
        <v>85</v>
      </c>
      <c r="T14">
        <v>90</v>
      </c>
      <c r="U14">
        <v>3.5</v>
      </c>
      <c r="V14" s="17">
        <v>0.14583333333333334</v>
      </c>
      <c r="W14">
        <v>315</v>
      </c>
      <c r="X14"/>
      <c r="Y14"/>
      <c r="Z14"/>
      <c r="AA14" t="s">
        <v>86</v>
      </c>
      <c r="AB14"/>
      <c r="AC14" t="s">
        <v>98</v>
      </c>
      <c r="AD14" t="s">
        <v>89</v>
      </c>
      <c r="AE14" s="4">
        <f t="shared" si="0"/>
        <v>6</v>
      </c>
      <c r="AF14" s="4" t="str">
        <f t="shared" si="1"/>
        <v>June</v>
      </c>
    </row>
    <row r="15" spans="1:32">
      <c r="A15" s="16">
        <v>45463</v>
      </c>
      <c r="B15" t="s">
        <v>39</v>
      </c>
      <c r="C15" t="s">
        <v>96</v>
      </c>
      <c r="D15" t="s">
        <v>74</v>
      </c>
      <c r="E15" t="s">
        <v>75</v>
      </c>
      <c r="F15" t="s">
        <v>76</v>
      </c>
      <c r="G15" t="s">
        <v>77</v>
      </c>
      <c r="H15" t="s">
        <v>78</v>
      </c>
      <c r="I15" t="s">
        <v>79</v>
      </c>
      <c r="J15" t="s">
        <v>80</v>
      </c>
      <c r="K15" t="s">
        <v>74</v>
      </c>
      <c r="L15" t="s">
        <v>81</v>
      </c>
      <c r="M15" t="s">
        <v>28</v>
      </c>
      <c r="N15" t="s">
        <v>98</v>
      </c>
      <c r="O15" t="s">
        <v>82</v>
      </c>
      <c r="P15">
        <v>261157</v>
      </c>
      <c r="Q15" t="s">
        <v>83</v>
      </c>
      <c r="R15" t="s">
        <v>84</v>
      </c>
      <c r="S15" t="s">
        <v>85</v>
      </c>
      <c r="T15">
        <v>0</v>
      </c>
      <c r="U15">
        <v>2</v>
      </c>
      <c r="V15" s="17">
        <v>8.3333333333333329E-2</v>
      </c>
      <c r="W15">
        <v>0</v>
      </c>
      <c r="X15"/>
      <c r="Y15"/>
      <c r="Z15"/>
      <c r="AA15" t="s">
        <v>86</v>
      </c>
      <c r="AB15" t="s">
        <v>87</v>
      </c>
      <c r="AC15" t="s">
        <v>98</v>
      </c>
      <c r="AD15" t="s">
        <v>89</v>
      </c>
      <c r="AE15" s="4">
        <f t="shared" si="0"/>
        <v>6</v>
      </c>
      <c r="AF15" s="4" t="str">
        <f t="shared" si="1"/>
        <v>June</v>
      </c>
    </row>
    <row r="16" spans="1:32">
      <c r="A16" s="16">
        <v>45464</v>
      </c>
      <c r="B16" t="s">
        <v>39</v>
      </c>
      <c r="C16" t="s">
        <v>96</v>
      </c>
      <c r="D16" t="s">
        <v>74</v>
      </c>
      <c r="E16" t="s">
        <v>75</v>
      </c>
      <c r="F16" t="s">
        <v>76</v>
      </c>
      <c r="G16" t="s">
        <v>77</v>
      </c>
      <c r="H16" t="s">
        <v>78</v>
      </c>
      <c r="I16" t="s">
        <v>79</v>
      </c>
      <c r="J16" t="s">
        <v>80</v>
      </c>
      <c r="K16" t="s">
        <v>74</v>
      </c>
      <c r="L16" t="s">
        <v>81</v>
      </c>
      <c r="M16" t="s">
        <v>28</v>
      </c>
      <c r="N16" t="s">
        <v>98</v>
      </c>
      <c r="O16" t="s">
        <v>82</v>
      </c>
      <c r="P16">
        <v>261755</v>
      </c>
      <c r="Q16" t="s">
        <v>23</v>
      </c>
      <c r="R16" t="s">
        <v>10</v>
      </c>
      <c r="S16" t="s">
        <v>85</v>
      </c>
      <c r="T16">
        <v>90</v>
      </c>
      <c r="U16">
        <v>5.75</v>
      </c>
      <c r="V16" s="17">
        <v>0.23958333333333334</v>
      </c>
      <c r="W16">
        <v>517.5</v>
      </c>
      <c r="X16"/>
      <c r="Y16"/>
      <c r="Z16"/>
      <c r="AA16" t="s">
        <v>86</v>
      </c>
      <c r="AB16"/>
      <c r="AC16" t="s">
        <v>98</v>
      </c>
      <c r="AD16" t="s">
        <v>89</v>
      </c>
      <c r="AE16" s="4">
        <f t="shared" si="0"/>
        <v>6</v>
      </c>
      <c r="AF16" s="4" t="str">
        <f t="shared" si="1"/>
        <v>June</v>
      </c>
    </row>
    <row r="17" spans="1:32">
      <c r="A17" s="16">
        <v>45467</v>
      </c>
      <c r="B17" t="s">
        <v>39</v>
      </c>
      <c r="C17" t="s">
        <v>96</v>
      </c>
      <c r="D17" t="s">
        <v>74</v>
      </c>
      <c r="E17" t="s">
        <v>75</v>
      </c>
      <c r="F17" t="s">
        <v>76</v>
      </c>
      <c r="G17" t="s">
        <v>77</v>
      </c>
      <c r="H17" t="s">
        <v>78</v>
      </c>
      <c r="I17" t="s">
        <v>79</v>
      </c>
      <c r="J17" t="s">
        <v>80</v>
      </c>
      <c r="K17" t="s">
        <v>74</v>
      </c>
      <c r="L17" t="s">
        <v>81</v>
      </c>
      <c r="M17" t="s">
        <v>28</v>
      </c>
      <c r="N17" t="s">
        <v>98</v>
      </c>
      <c r="O17" t="s">
        <v>82</v>
      </c>
      <c r="P17">
        <v>262434</v>
      </c>
      <c r="Q17" t="s">
        <v>83</v>
      </c>
      <c r="R17" t="s">
        <v>84</v>
      </c>
      <c r="S17" t="s">
        <v>85</v>
      </c>
      <c r="T17">
        <v>0</v>
      </c>
      <c r="U17">
        <v>1</v>
      </c>
      <c r="V17" s="17">
        <v>4.1666666666666664E-2</v>
      </c>
      <c r="W17">
        <v>0</v>
      </c>
      <c r="X17"/>
      <c r="Y17"/>
      <c r="Z17"/>
      <c r="AA17" t="s">
        <v>86</v>
      </c>
      <c r="AB17"/>
      <c r="AC17" t="s">
        <v>98</v>
      </c>
      <c r="AD17" t="s">
        <v>89</v>
      </c>
      <c r="AE17" s="4">
        <f t="shared" si="0"/>
        <v>6</v>
      </c>
      <c r="AF17" s="4" t="str">
        <f t="shared" si="1"/>
        <v>June</v>
      </c>
    </row>
    <row r="18" spans="1:32">
      <c r="A18" s="16">
        <v>45435</v>
      </c>
      <c r="B18" t="s">
        <v>38</v>
      </c>
      <c r="C18" t="s">
        <v>73</v>
      </c>
      <c r="D18" t="s">
        <v>74</v>
      </c>
      <c r="E18" t="s">
        <v>75</v>
      </c>
      <c r="F18" t="s">
        <v>76</v>
      </c>
      <c r="G18" t="s">
        <v>77</v>
      </c>
      <c r="H18" t="s">
        <v>78</v>
      </c>
      <c r="I18" t="s">
        <v>79</v>
      </c>
      <c r="J18" t="s">
        <v>80</v>
      </c>
      <c r="K18" t="s">
        <v>74</v>
      </c>
      <c r="L18" t="s">
        <v>81</v>
      </c>
      <c r="M18" t="s">
        <v>28</v>
      </c>
      <c r="N18" t="s">
        <v>28</v>
      </c>
      <c r="O18" t="s">
        <v>82</v>
      </c>
      <c r="P18">
        <v>255040</v>
      </c>
      <c r="Q18" t="s">
        <v>23</v>
      </c>
      <c r="R18" t="s">
        <v>10</v>
      </c>
      <c r="S18" t="s">
        <v>85</v>
      </c>
      <c r="T18">
        <v>90</v>
      </c>
      <c r="U18">
        <v>3</v>
      </c>
      <c r="V18" s="17">
        <v>0.125</v>
      </c>
      <c r="W18">
        <v>270</v>
      </c>
      <c r="X18">
        <v>360</v>
      </c>
      <c r="Y18">
        <v>90</v>
      </c>
      <c r="Z18" t="s">
        <v>101</v>
      </c>
      <c r="AA18" t="s">
        <v>86</v>
      </c>
      <c r="AB18" t="s">
        <v>87</v>
      </c>
      <c r="AC18" t="e">
        <f ca="1">-- Grainger UAT refresh action items planning -- worked on UAT refresh workbook</f>
        <v>#NAME?</v>
      </c>
      <c r="AD18" t="s">
        <v>89</v>
      </c>
      <c r="AE18" s="4">
        <f t="shared" si="0"/>
        <v>5</v>
      </c>
      <c r="AF18" s="4" t="str">
        <f t="shared" si="1"/>
        <v>May</v>
      </c>
    </row>
    <row r="19" spans="1:32">
      <c r="A19" s="16">
        <v>45436</v>
      </c>
      <c r="B19" t="s">
        <v>38</v>
      </c>
      <c r="C19" t="s">
        <v>73</v>
      </c>
      <c r="D19" t="s">
        <v>74</v>
      </c>
      <c r="E19" t="s">
        <v>75</v>
      </c>
      <c r="F19" t="s">
        <v>76</v>
      </c>
      <c r="G19" t="s">
        <v>77</v>
      </c>
      <c r="H19" t="s">
        <v>78</v>
      </c>
      <c r="I19" t="s">
        <v>79</v>
      </c>
      <c r="J19" t="s">
        <v>80</v>
      </c>
      <c r="K19" t="s">
        <v>74</v>
      </c>
      <c r="L19" t="s">
        <v>81</v>
      </c>
      <c r="M19" t="s">
        <v>28</v>
      </c>
      <c r="N19" t="s">
        <v>28</v>
      </c>
      <c r="O19" t="s">
        <v>82</v>
      </c>
      <c r="P19">
        <v>255041</v>
      </c>
      <c r="Q19" t="s">
        <v>23</v>
      </c>
      <c r="R19" t="s">
        <v>10</v>
      </c>
      <c r="S19" t="s">
        <v>85</v>
      </c>
      <c r="T19">
        <v>90</v>
      </c>
      <c r="U19">
        <v>3</v>
      </c>
      <c r="V19" s="17">
        <v>0.125</v>
      </c>
      <c r="W19">
        <v>270</v>
      </c>
      <c r="X19">
        <v>360</v>
      </c>
      <c r="Y19">
        <v>90</v>
      </c>
      <c r="Z19" t="s">
        <v>101</v>
      </c>
      <c r="AA19" t="s">
        <v>86</v>
      </c>
      <c r="AB19" t="s">
        <v>87</v>
      </c>
      <c r="AC19" t="e">
        <f ca="1">-- Grainger UAT refresh action items</f>
        <v>#NAME?</v>
      </c>
      <c r="AD19" t="s">
        <v>89</v>
      </c>
      <c r="AE19" s="4">
        <f t="shared" si="0"/>
        <v>5</v>
      </c>
      <c r="AF19" s="4" t="str">
        <f t="shared" si="1"/>
        <v>May</v>
      </c>
    </row>
    <row r="20" spans="1:32">
      <c r="A20" s="16">
        <v>45439</v>
      </c>
      <c r="B20" t="s">
        <v>38</v>
      </c>
      <c r="C20" t="s">
        <v>73</v>
      </c>
      <c r="D20" t="s">
        <v>74</v>
      </c>
      <c r="E20" t="s">
        <v>75</v>
      </c>
      <c r="F20" t="s">
        <v>76</v>
      </c>
      <c r="G20" t="s">
        <v>77</v>
      </c>
      <c r="H20" t="s">
        <v>78</v>
      </c>
      <c r="I20" t="s">
        <v>79</v>
      </c>
      <c r="J20" t="s">
        <v>80</v>
      </c>
      <c r="K20" t="s">
        <v>74</v>
      </c>
      <c r="L20" t="s">
        <v>81</v>
      </c>
      <c r="M20" t="s">
        <v>28</v>
      </c>
      <c r="N20" t="s">
        <v>28</v>
      </c>
      <c r="O20" t="s">
        <v>82</v>
      </c>
      <c r="P20">
        <v>255044</v>
      </c>
      <c r="Q20" t="s">
        <v>23</v>
      </c>
      <c r="R20" t="s">
        <v>10</v>
      </c>
      <c r="S20" t="s">
        <v>85</v>
      </c>
      <c r="T20">
        <v>90</v>
      </c>
      <c r="U20">
        <v>2</v>
      </c>
      <c r="V20" s="17">
        <v>8.3333333333333329E-2</v>
      </c>
      <c r="W20">
        <v>180</v>
      </c>
      <c r="X20">
        <v>240</v>
      </c>
      <c r="Y20">
        <v>60</v>
      </c>
      <c r="Z20" t="s">
        <v>101</v>
      </c>
      <c r="AA20" t="s">
        <v>86</v>
      </c>
      <c r="AB20" t="s">
        <v>87</v>
      </c>
      <c r="AC20" t="e">
        <f ca="1">-- UAT refresh workbook -- UAT refresh meeting</f>
        <v>#NAME?</v>
      </c>
      <c r="AD20" t="s">
        <v>89</v>
      </c>
      <c r="AE20" s="4">
        <f t="shared" si="0"/>
        <v>5</v>
      </c>
      <c r="AF20" s="4" t="str">
        <f t="shared" si="1"/>
        <v>May</v>
      </c>
    </row>
    <row r="21" spans="1:32">
      <c r="A21" s="16">
        <v>45440</v>
      </c>
      <c r="B21" t="s">
        <v>38</v>
      </c>
      <c r="C21" t="s">
        <v>73</v>
      </c>
      <c r="D21" t="s">
        <v>74</v>
      </c>
      <c r="E21" t="s">
        <v>75</v>
      </c>
      <c r="F21" t="s">
        <v>76</v>
      </c>
      <c r="G21" t="s">
        <v>77</v>
      </c>
      <c r="H21" t="s">
        <v>78</v>
      </c>
      <c r="I21" t="s">
        <v>79</v>
      </c>
      <c r="J21" t="s">
        <v>80</v>
      </c>
      <c r="K21" t="s">
        <v>74</v>
      </c>
      <c r="L21" t="s">
        <v>81</v>
      </c>
      <c r="M21" t="s">
        <v>28</v>
      </c>
      <c r="N21" t="s">
        <v>28</v>
      </c>
      <c r="O21" t="s">
        <v>82</v>
      </c>
      <c r="P21">
        <v>255045</v>
      </c>
      <c r="Q21" t="s">
        <v>23</v>
      </c>
      <c r="R21" t="s">
        <v>10</v>
      </c>
      <c r="S21" t="s">
        <v>85</v>
      </c>
      <c r="T21">
        <v>90</v>
      </c>
      <c r="U21">
        <v>3</v>
      </c>
      <c r="V21" s="17">
        <v>0.125</v>
      </c>
      <c r="W21">
        <v>270</v>
      </c>
      <c r="X21">
        <v>360</v>
      </c>
      <c r="Y21">
        <v>90</v>
      </c>
      <c r="Z21" t="s">
        <v>101</v>
      </c>
      <c r="AA21" t="s">
        <v>86</v>
      </c>
      <c r="AB21" t="s">
        <v>87</v>
      </c>
      <c r="AC21" t="e">
        <f ca="1">-- UAT refresh meeting -- worked on UAT refresh workbook</f>
        <v>#NAME?</v>
      </c>
      <c r="AD21" t="s">
        <v>89</v>
      </c>
      <c r="AE21" s="4">
        <f t="shared" si="0"/>
        <v>5</v>
      </c>
      <c r="AF21" s="4" t="str">
        <f t="shared" si="1"/>
        <v>May</v>
      </c>
    </row>
    <row r="22" spans="1:32">
      <c r="A22" s="16">
        <v>45441</v>
      </c>
      <c r="B22" t="s">
        <v>38</v>
      </c>
      <c r="C22" t="s">
        <v>73</v>
      </c>
      <c r="D22" t="s">
        <v>74</v>
      </c>
      <c r="E22" t="s">
        <v>75</v>
      </c>
      <c r="F22" t="s">
        <v>76</v>
      </c>
      <c r="G22" t="s">
        <v>77</v>
      </c>
      <c r="H22" t="s">
        <v>78</v>
      </c>
      <c r="I22" t="s">
        <v>79</v>
      </c>
      <c r="J22" t="s">
        <v>80</v>
      </c>
      <c r="K22" t="s">
        <v>74</v>
      </c>
      <c r="L22" t="s">
        <v>81</v>
      </c>
      <c r="M22" t="s">
        <v>28</v>
      </c>
      <c r="N22" t="s">
        <v>28</v>
      </c>
      <c r="O22" t="s">
        <v>82</v>
      </c>
      <c r="P22">
        <v>255046</v>
      </c>
      <c r="Q22" t="s">
        <v>23</v>
      </c>
      <c r="R22" t="s">
        <v>10</v>
      </c>
      <c r="S22" t="s">
        <v>85</v>
      </c>
      <c r="T22">
        <v>90</v>
      </c>
      <c r="U22">
        <v>3</v>
      </c>
      <c r="V22" s="17">
        <v>0.125</v>
      </c>
      <c r="W22">
        <v>270</v>
      </c>
      <c r="X22">
        <v>360</v>
      </c>
      <c r="Y22">
        <v>90</v>
      </c>
      <c r="Z22" t="s">
        <v>101</v>
      </c>
      <c r="AA22" t="s">
        <v>86</v>
      </c>
      <c r="AB22" t="s">
        <v>87</v>
      </c>
      <c r="AC22" t="e">
        <f ca="1">-- UAT refresh meeting -- worked on UAT refresh workbook</f>
        <v>#NAME?</v>
      </c>
      <c r="AD22" t="s">
        <v>89</v>
      </c>
      <c r="AE22" s="4">
        <f t="shared" si="0"/>
        <v>5</v>
      </c>
      <c r="AF22" s="4" t="str">
        <f t="shared" si="1"/>
        <v>May</v>
      </c>
    </row>
    <row r="23" spans="1:32">
      <c r="A23" s="16">
        <v>45442</v>
      </c>
      <c r="B23" t="s">
        <v>38</v>
      </c>
      <c r="C23" t="s">
        <v>73</v>
      </c>
      <c r="D23" t="s">
        <v>74</v>
      </c>
      <c r="E23" t="s">
        <v>75</v>
      </c>
      <c r="F23" t="s">
        <v>76</v>
      </c>
      <c r="G23" t="s">
        <v>77</v>
      </c>
      <c r="H23" t="s">
        <v>78</v>
      </c>
      <c r="I23" t="s">
        <v>79</v>
      </c>
      <c r="J23" t="s">
        <v>80</v>
      </c>
      <c r="K23" t="s">
        <v>74</v>
      </c>
      <c r="L23" t="s">
        <v>81</v>
      </c>
      <c r="M23" t="s">
        <v>28</v>
      </c>
      <c r="N23" t="s">
        <v>28</v>
      </c>
      <c r="O23" t="s">
        <v>82</v>
      </c>
      <c r="P23">
        <v>255050</v>
      </c>
      <c r="Q23" t="s">
        <v>23</v>
      </c>
      <c r="R23" t="s">
        <v>10</v>
      </c>
      <c r="S23" t="s">
        <v>85</v>
      </c>
      <c r="T23">
        <v>90</v>
      </c>
      <c r="U23">
        <v>3</v>
      </c>
      <c r="V23" s="17">
        <v>0.125</v>
      </c>
      <c r="W23">
        <v>270</v>
      </c>
      <c r="X23">
        <v>360</v>
      </c>
      <c r="Y23">
        <v>90</v>
      </c>
      <c r="Z23" t="s">
        <v>101</v>
      </c>
      <c r="AA23" t="s">
        <v>86</v>
      </c>
      <c r="AB23" t="s">
        <v>87</v>
      </c>
      <c r="AC23" t="e">
        <f ca="1">-- UAT refresh meeting -- worked on UAT refresh workbook</f>
        <v>#NAME?</v>
      </c>
      <c r="AD23" t="s">
        <v>89</v>
      </c>
      <c r="AE23" s="4">
        <f t="shared" si="0"/>
        <v>5</v>
      </c>
      <c r="AF23" s="4" t="str">
        <f t="shared" si="1"/>
        <v>May</v>
      </c>
    </row>
    <row r="24" spans="1:32">
      <c r="A24" s="16">
        <v>45443</v>
      </c>
      <c r="B24" t="s">
        <v>38</v>
      </c>
      <c r="C24" t="s">
        <v>73</v>
      </c>
      <c r="D24" t="s">
        <v>74</v>
      </c>
      <c r="E24" t="s">
        <v>75</v>
      </c>
      <c r="F24" t="s">
        <v>76</v>
      </c>
      <c r="G24" t="s">
        <v>77</v>
      </c>
      <c r="H24" t="s">
        <v>78</v>
      </c>
      <c r="I24" t="s">
        <v>79</v>
      </c>
      <c r="J24" t="s">
        <v>80</v>
      </c>
      <c r="K24" t="s">
        <v>74</v>
      </c>
      <c r="L24" t="s">
        <v>81</v>
      </c>
      <c r="M24" t="s">
        <v>28</v>
      </c>
      <c r="N24" t="s">
        <v>28</v>
      </c>
      <c r="O24" t="s">
        <v>82</v>
      </c>
      <c r="P24">
        <v>255054</v>
      </c>
      <c r="Q24" t="s">
        <v>23</v>
      </c>
      <c r="R24" t="s">
        <v>10</v>
      </c>
      <c r="S24" t="s">
        <v>85</v>
      </c>
      <c r="T24">
        <v>90</v>
      </c>
      <c r="U24">
        <v>3.25</v>
      </c>
      <c r="V24" s="17">
        <v>0.13541666666666666</v>
      </c>
      <c r="W24">
        <v>292.5</v>
      </c>
      <c r="X24">
        <v>390</v>
      </c>
      <c r="Y24">
        <v>97.5</v>
      </c>
      <c r="Z24" t="s">
        <v>101</v>
      </c>
      <c r="AA24" t="s">
        <v>86</v>
      </c>
      <c r="AB24" t="s">
        <v>87</v>
      </c>
      <c r="AC24" t="e">
        <f ca="1">-- UAT refresh meeting -- worked on UAT refresh workbook</f>
        <v>#NAME?</v>
      </c>
      <c r="AD24" t="s">
        <v>89</v>
      </c>
      <c r="AE24" s="4">
        <f t="shared" si="0"/>
        <v>5</v>
      </c>
      <c r="AF24" s="4" t="str">
        <f t="shared" si="1"/>
        <v>May</v>
      </c>
    </row>
    <row r="25" spans="1:32">
      <c r="A25" s="16">
        <v>45447</v>
      </c>
      <c r="B25" t="s">
        <v>38</v>
      </c>
      <c r="C25" t="s">
        <v>73</v>
      </c>
      <c r="D25" t="s">
        <v>74</v>
      </c>
      <c r="E25" t="s">
        <v>75</v>
      </c>
      <c r="F25" t="s">
        <v>76</v>
      </c>
      <c r="G25" t="s">
        <v>77</v>
      </c>
      <c r="H25" t="s">
        <v>78</v>
      </c>
      <c r="I25" t="s">
        <v>79</v>
      </c>
      <c r="J25" t="s">
        <v>80</v>
      </c>
      <c r="K25" t="s">
        <v>74</v>
      </c>
      <c r="L25" t="s">
        <v>81</v>
      </c>
      <c r="M25" t="s">
        <v>28</v>
      </c>
      <c r="N25" t="s">
        <v>28</v>
      </c>
      <c r="O25" t="s">
        <v>82</v>
      </c>
      <c r="P25">
        <v>256890</v>
      </c>
      <c r="Q25" t="s">
        <v>83</v>
      </c>
      <c r="R25" t="s">
        <v>84</v>
      </c>
      <c r="S25" t="s">
        <v>85</v>
      </c>
      <c r="T25">
        <v>0</v>
      </c>
      <c r="U25">
        <v>1</v>
      </c>
      <c r="V25" s="17">
        <v>4.1666666666666664E-2</v>
      </c>
      <c r="W25">
        <v>0</v>
      </c>
      <c r="X25"/>
      <c r="Y25"/>
      <c r="Z25"/>
      <c r="AA25" t="s">
        <v>86</v>
      </c>
      <c r="AB25" t="s">
        <v>87</v>
      </c>
      <c r="AC25" t="e">
        <f ca="1">-- Playbook _xludf.and org refresh strategy finalized with Anjali</f>
        <v>#NAME?</v>
      </c>
      <c r="AD25" t="s">
        <v>89</v>
      </c>
      <c r="AE25" s="4">
        <f t="shared" si="0"/>
        <v>6</v>
      </c>
      <c r="AF25" s="4" t="str">
        <f t="shared" si="1"/>
        <v>June</v>
      </c>
    </row>
    <row r="26" spans="1:32">
      <c r="A26" s="16">
        <v>45449</v>
      </c>
      <c r="B26" t="s">
        <v>38</v>
      </c>
      <c r="C26" t="s">
        <v>73</v>
      </c>
      <c r="D26" t="s">
        <v>74</v>
      </c>
      <c r="E26" t="s">
        <v>75</v>
      </c>
      <c r="F26" t="s">
        <v>76</v>
      </c>
      <c r="G26" t="s">
        <v>77</v>
      </c>
      <c r="H26" t="s">
        <v>78</v>
      </c>
      <c r="I26" t="s">
        <v>79</v>
      </c>
      <c r="J26" t="s">
        <v>80</v>
      </c>
      <c r="K26" t="s">
        <v>74</v>
      </c>
      <c r="L26" t="s">
        <v>81</v>
      </c>
      <c r="M26" t="s">
        <v>28</v>
      </c>
      <c r="N26" t="s">
        <v>28</v>
      </c>
      <c r="O26" t="s">
        <v>82</v>
      </c>
      <c r="P26">
        <v>256895</v>
      </c>
      <c r="Q26" t="s">
        <v>83</v>
      </c>
      <c r="R26" t="s">
        <v>84</v>
      </c>
      <c r="S26" t="s">
        <v>85</v>
      </c>
      <c r="T26">
        <v>0</v>
      </c>
      <c r="U26">
        <v>4.5</v>
      </c>
      <c r="V26" s="17">
        <v>0.1875</v>
      </c>
      <c r="W26">
        <v>0</v>
      </c>
      <c r="X26"/>
      <c r="Y26"/>
      <c r="Z26"/>
      <c r="AA26" t="s">
        <v>86</v>
      </c>
      <c r="AB26" t="s">
        <v>87</v>
      </c>
      <c r="AC26" t="e">
        <f ca="1">-- Updating the Playbook _xludf.for the meeting -- Connected with Anjali _xludf.for backup of Staging _xludf.and SIT</f>
        <v>#NAME?</v>
      </c>
      <c r="AD26" t="s">
        <v>89</v>
      </c>
      <c r="AE26" s="4">
        <f t="shared" si="0"/>
        <v>6</v>
      </c>
      <c r="AF26" s="4" t="str">
        <f t="shared" si="1"/>
        <v>June</v>
      </c>
    </row>
    <row r="27" spans="1:32">
      <c r="A27" s="16">
        <v>45450</v>
      </c>
      <c r="B27" t="s">
        <v>38</v>
      </c>
      <c r="C27" t="s">
        <v>73</v>
      </c>
      <c r="D27" t="s">
        <v>74</v>
      </c>
      <c r="E27" t="s">
        <v>75</v>
      </c>
      <c r="F27" t="s">
        <v>76</v>
      </c>
      <c r="G27" t="s">
        <v>77</v>
      </c>
      <c r="H27" t="s">
        <v>78</v>
      </c>
      <c r="I27" t="s">
        <v>79</v>
      </c>
      <c r="J27" t="s">
        <v>80</v>
      </c>
      <c r="K27" t="s">
        <v>74</v>
      </c>
      <c r="L27" t="s">
        <v>81</v>
      </c>
      <c r="M27" t="s">
        <v>28</v>
      </c>
      <c r="N27" t="s">
        <v>28</v>
      </c>
      <c r="O27" t="s">
        <v>82</v>
      </c>
      <c r="P27">
        <v>256896</v>
      </c>
      <c r="Q27" t="s">
        <v>83</v>
      </c>
      <c r="R27" t="s">
        <v>84</v>
      </c>
      <c r="S27" t="s">
        <v>85</v>
      </c>
      <c r="T27">
        <v>0</v>
      </c>
      <c r="U27">
        <v>7.5</v>
      </c>
      <c r="V27" s="17">
        <v>0.3125</v>
      </c>
      <c r="W27">
        <v>0</v>
      </c>
      <c r="X27"/>
      <c r="Y27"/>
      <c r="Z27"/>
      <c r="AA27" t="s">
        <v>86</v>
      </c>
      <c r="AB27" t="s">
        <v>87</v>
      </c>
      <c r="AC27" t="e">
        <f ca="1">-- Completed the backup of Staging SIT UAT in Grainger Git Repository -- UAT refresh meeting with Jacob -- Updated the UAT Named Credentials details in the Playbook</f>
        <v>#NAME?</v>
      </c>
      <c r="AD27" t="s">
        <v>89</v>
      </c>
      <c r="AE27" s="4">
        <f t="shared" si="0"/>
        <v>6</v>
      </c>
      <c r="AF27" s="4" t="str">
        <f t="shared" si="1"/>
        <v>June</v>
      </c>
    </row>
    <row r="28" spans="1:32">
      <c r="A28" s="16">
        <v>45453</v>
      </c>
      <c r="B28" t="s">
        <v>38</v>
      </c>
      <c r="C28" t="s">
        <v>73</v>
      </c>
      <c r="D28" t="s">
        <v>74</v>
      </c>
      <c r="E28" t="s">
        <v>75</v>
      </c>
      <c r="F28" t="s">
        <v>76</v>
      </c>
      <c r="G28" t="s">
        <v>77</v>
      </c>
      <c r="H28" t="s">
        <v>78</v>
      </c>
      <c r="I28" t="s">
        <v>79</v>
      </c>
      <c r="J28" t="s">
        <v>80</v>
      </c>
      <c r="K28" t="s">
        <v>74</v>
      </c>
      <c r="L28" t="s">
        <v>81</v>
      </c>
      <c r="M28" t="s">
        <v>28</v>
      </c>
      <c r="N28" t="s">
        <v>28</v>
      </c>
      <c r="O28" t="s">
        <v>82</v>
      </c>
      <c r="P28">
        <v>259551</v>
      </c>
      <c r="Q28" t="s">
        <v>23</v>
      </c>
      <c r="R28" t="s">
        <v>10</v>
      </c>
      <c r="S28" t="s">
        <v>85</v>
      </c>
      <c r="T28">
        <v>90</v>
      </c>
      <c r="U28">
        <v>1</v>
      </c>
      <c r="V28" s="17">
        <v>4.1666666666666664E-2</v>
      </c>
      <c r="W28">
        <v>90</v>
      </c>
      <c r="X28"/>
      <c r="Y28"/>
      <c r="Z28"/>
      <c r="AA28" t="s">
        <v>86</v>
      </c>
      <c r="AB28" t="s">
        <v>87</v>
      </c>
      <c r="AC28" t="s">
        <v>102</v>
      </c>
      <c r="AD28" t="s">
        <v>89</v>
      </c>
      <c r="AE28" s="4">
        <f t="shared" si="0"/>
        <v>6</v>
      </c>
      <c r="AF28" s="4" t="str">
        <f t="shared" si="1"/>
        <v>June</v>
      </c>
    </row>
    <row r="29" spans="1:32">
      <c r="A29" s="16">
        <v>45460</v>
      </c>
      <c r="B29" t="s">
        <v>38</v>
      </c>
      <c r="C29" t="s">
        <v>73</v>
      </c>
      <c r="D29" t="s">
        <v>74</v>
      </c>
      <c r="E29" t="s">
        <v>75</v>
      </c>
      <c r="F29" t="s">
        <v>76</v>
      </c>
      <c r="G29" t="s">
        <v>77</v>
      </c>
      <c r="H29" t="s">
        <v>78</v>
      </c>
      <c r="I29" t="s">
        <v>79</v>
      </c>
      <c r="J29" t="s">
        <v>80</v>
      </c>
      <c r="K29" t="s">
        <v>74</v>
      </c>
      <c r="L29" t="s">
        <v>81</v>
      </c>
      <c r="M29" t="s">
        <v>28</v>
      </c>
      <c r="N29" t="s">
        <v>28</v>
      </c>
      <c r="O29" t="s">
        <v>82</v>
      </c>
      <c r="P29">
        <v>260459</v>
      </c>
      <c r="Q29" t="s">
        <v>23</v>
      </c>
      <c r="R29" t="s">
        <v>10</v>
      </c>
      <c r="S29" t="s">
        <v>85</v>
      </c>
      <c r="T29">
        <v>90</v>
      </c>
      <c r="U29">
        <v>3.25</v>
      </c>
      <c r="V29" s="17">
        <v>0.13541666666666666</v>
      </c>
      <c r="W29">
        <v>292.5</v>
      </c>
      <c r="X29"/>
      <c r="Y29"/>
      <c r="Z29"/>
      <c r="AA29" t="s">
        <v>86</v>
      </c>
      <c r="AB29"/>
      <c r="AC29" t="e">
        <f ca="1">-- UAT refresh Stand-up -- Anonymized Lead Contact records in UAT</f>
        <v>#NAME?</v>
      </c>
      <c r="AD29" t="s">
        <v>89</v>
      </c>
      <c r="AE29" s="4">
        <f t="shared" si="0"/>
        <v>6</v>
      </c>
      <c r="AF29" s="4" t="str">
        <f t="shared" si="1"/>
        <v>June</v>
      </c>
    </row>
    <row r="30" spans="1:32">
      <c r="A30" s="16">
        <v>45460</v>
      </c>
      <c r="B30" t="s">
        <v>38</v>
      </c>
      <c r="C30" t="s">
        <v>73</v>
      </c>
      <c r="D30" t="s">
        <v>74</v>
      </c>
      <c r="E30" t="s">
        <v>75</v>
      </c>
      <c r="F30" t="s">
        <v>76</v>
      </c>
      <c r="G30" t="s">
        <v>77</v>
      </c>
      <c r="H30" t="s">
        <v>78</v>
      </c>
      <c r="I30" t="s">
        <v>79</v>
      </c>
      <c r="J30" t="s">
        <v>80</v>
      </c>
      <c r="K30" t="s">
        <v>74</v>
      </c>
      <c r="L30" t="s">
        <v>81</v>
      </c>
      <c r="M30" t="s">
        <v>28</v>
      </c>
      <c r="N30" t="s">
        <v>28</v>
      </c>
      <c r="O30" t="s">
        <v>82</v>
      </c>
      <c r="P30">
        <v>262786</v>
      </c>
      <c r="Q30" t="s">
        <v>83</v>
      </c>
      <c r="R30" t="s">
        <v>84</v>
      </c>
      <c r="S30" t="s">
        <v>85</v>
      </c>
      <c r="T30">
        <v>0</v>
      </c>
      <c r="U30">
        <v>5</v>
      </c>
      <c r="V30" s="17">
        <v>0.20833333333333334</v>
      </c>
      <c r="W30">
        <v>0</v>
      </c>
      <c r="X30"/>
      <c r="Y30"/>
      <c r="Z30"/>
      <c r="AA30" t="s">
        <v>86</v>
      </c>
      <c r="AB30"/>
      <c r="AC30" t="e">
        <f ca="1">-- UAT refresh Stand-up -- Anonymized Lead Contact records in UAT</f>
        <v>#NAME?</v>
      </c>
      <c r="AD30" t="s">
        <v>89</v>
      </c>
      <c r="AE30" s="4">
        <f t="shared" si="0"/>
        <v>6</v>
      </c>
      <c r="AF30" s="4" t="str">
        <f t="shared" si="1"/>
        <v>June</v>
      </c>
    </row>
    <row r="31" spans="1:32">
      <c r="A31" s="16">
        <v>45461</v>
      </c>
      <c r="B31" t="s">
        <v>38</v>
      </c>
      <c r="C31" t="s">
        <v>73</v>
      </c>
      <c r="D31" t="s">
        <v>74</v>
      </c>
      <c r="E31" t="s">
        <v>75</v>
      </c>
      <c r="F31" t="s">
        <v>76</v>
      </c>
      <c r="G31" t="s">
        <v>77</v>
      </c>
      <c r="H31" t="s">
        <v>78</v>
      </c>
      <c r="I31" t="s">
        <v>79</v>
      </c>
      <c r="J31" t="s">
        <v>80</v>
      </c>
      <c r="K31" t="s">
        <v>74</v>
      </c>
      <c r="L31" t="s">
        <v>81</v>
      </c>
      <c r="M31" t="s">
        <v>28</v>
      </c>
      <c r="N31" t="s">
        <v>28</v>
      </c>
      <c r="O31" t="s">
        <v>82</v>
      </c>
      <c r="P31">
        <v>260477</v>
      </c>
      <c r="Q31" t="s">
        <v>23</v>
      </c>
      <c r="R31" t="s">
        <v>10</v>
      </c>
      <c r="S31" t="s">
        <v>85</v>
      </c>
      <c r="T31">
        <v>90</v>
      </c>
      <c r="U31">
        <v>3.25</v>
      </c>
      <c r="V31" s="17">
        <v>0.13541666666666666</v>
      </c>
      <c r="W31">
        <v>292.5</v>
      </c>
      <c r="X31"/>
      <c r="Y31"/>
      <c r="Z31"/>
      <c r="AA31" t="s">
        <v>86</v>
      </c>
      <c r="AB31"/>
      <c r="AC31" t="e">
        <f ca="1">-- UAT refresh Stand-up -- Completed the Post refresh Steps related to HomeLet Grainger Website Integrations _xludf.and troubleshooting -- Activated Admin Users in UAT -- Updated Email User Name of UAT org</f>
        <v>#NAME?</v>
      </c>
      <c r="AD31" t="s">
        <v>89</v>
      </c>
      <c r="AE31" s="4">
        <f t="shared" si="0"/>
        <v>6</v>
      </c>
      <c r="AF31" s="4" t="str">
        <f t="shared" si="1"/>
        <v>June</v>
      </c>
    </row>
    <row r="32" spans="1:32">
      <c r="A32" s="16">
        <v>45461</v>
      </c>
      <c r="B32" t="s">
        <v>38</v>
      </c>
      <c r="C32" t="s">
        <v>73</v>
      </c>
      <c r="D32" t="s">
        <v>74</v>
      </c>
      <c r="E32" t="s">
        <v>75</v>
      </c>
      <c r="F32" t="s">
        <v>76</v>
      </c>
      <c r="G32" t="s">
        <v>77</v>
      </c>
      <c r="H32" t="s">
        <v>78</v>
      </c>
      <c r="I32" t="s">
        <v>79</v>
      </c>
      <c r="J32" t="s">
        <v>80</v>
      </c>
      <c r="K32" t="s">
        <v>74</v>
      </c>
      <c r="L32" t="s">
        <v>81</v>
      </c>
      <c r="M32" t="s">
        <v>28</v>
      </c>
      <c r="N32" t="s">
        <v>28</v>
      </c>
      <c r="O32" t="s">
        <v>82</v>
      </c>
      <c r="P32">
        <v>262787</v>
      </c>
      <c r="Q32" t="s">
        <v>83</v>
      </c>
      <c r="R32" t="s">
        <v>84</v>
      </c>
      <c r="S32" t="s">
        <v>85</v>
      </c>
      <c r="T32">
        <v>0</v>
      </c>
      <c r="U32">
        <v>5</v>
      </c>
      <c r="V32" s="17">
        <v>0.20833333333333334</v>
      </c>
      <c r="W32">
        <v>0</v>
      </c>
      <c r="X32"/>
      <c r="Y32"/>
      <c r="Z32"/>
      <c r="AA32" t="s">
        <v>86</v>
      </c>
      <c r="AB32"/>
      <c r="AC32" t="e">
        <f ca="1">-- UAT refresh Stand-up -- Completed the Post refresh Steps related to HomeLet Grainger Website Integrations _xludf.and troubleshooting -- Activated Admin Users in UAT -- Updated Email User Name of UAT org</f>
        <v>#NAME?</v>
      </c>
      <c r="AD32" t="s">
        <v>89</v>
      </c>
      <c r="AE32" s="4">
        <f t="shared" si="0"/>
        <v>6</v>
      </c>
      <c r="AF32" s="4" t="str">
        <f t="shared" si="1"/>
        <v>June</v>
      </c>
    </row>
    <row r="33" spans="1:32">
      <c r="A33" s="16">
        <v>45462</v>
      </c>
      <c r="B33" t="s">
        <v>38</v>
      </c>
      <c r="C33" t="s">
        <v>73</v>
      </c>
      <c r="D33" t="s">
        <v>74</v>
      </c>
      <c r="E33" t="s">
        <v>75</v>
      </c>
      <c r="F33" t="s">
        <v>76</v>
      </c>
      <c r="G33" t="s">
        <v>77</v>
      </c>
      <c r="H33" t="s">
        <v>78</v>
      </c>
      <c r="I33" t="s">
        <v>79</v>
      </c>
      <c r="J33" t="s">
        <v>80</v>
      </c>
      <c r="K33" t="s">
        <v>74</v>
      </c>
      <c r="L33" t="s">
        <v>81</v>
      </c>
      <c r="M33" t="s">
        <v>28</v>
      </c>
      <c r="N33" t="s">
        <v>28</v>
      </c>
      <c r="O33" t="s">
        <v>82</v>
      </c>
      <c r="P33">
        <v>260446</v>
      </c>
      <c r="Q33" t="s">
        <v>23</v>
      </c>
      <c r="R33" t="s">
        <v>10</v>
      </c>
      <c r="S33" t="s">
        <v>85</v>
      </c>
      <c r="T33">
        <v>90</v>
      </c>
      <c r="U33">
        <v>5</v>
      </c>
      <c r="V33" s="17">
        <v>0.20833333333333334</v>
      </c>
      <c r="W33">
        <v>450</v>
      </c>
      <c r="X33"/>
      <c r="Y33"/>
      <c r="Z33"/>
      <c r="AA33" t="s">
        <v>86</v>
      </c>
      <c r="AB33"/>
      <c r="AC33" t="e">
        <f ca="1">-- Grainger UAT refresh meetup -- worked with Jaic George to troubleshoot integration related issues in the Grainger UAT</f>
        <v>#NAME?</v>
      </c>
      <c r="AD33" t="s">
        <v>89</v>
      </c>
      <c r="AE33" s="4">
        <f t="shared" si="0"/>
        <v>6</v>
      </c>
      <c r="AF33" s="4" t="str">
        <f t="shared" si="1"/>
        <v>June</v>
      </c>
    </row>
    <row r="34" spans="1:32">
      <c r="A34" s="16">
        <v>45463</v>
      </c>
      <c r="B34" t="s">
        <v>38</v>
      </c>
      <c r="C34" t="s">
        <v>73</v>
      </c>
      <c r="D34" t="s">
        <v>74</v>
      </c>
      <c r="E34" t="s">
        <v>75</v>
      </c>
      <c r="F34" t="s">
        <v>76</v>
      </c>
      <c r="G34" t="s">
        <v>77</v>
      </c>
      <c r="H34" t="s">
        <v>78</v>
      </c>
      <c r="I34" t="s">
        <v>79</v>
      </c>
      <c r="J34" t="s">
        <v>80</v>
      </c>
      <c r="K34" t="s">
        <v>74</v>
      </c>
      <c r="L34" t="s">
        <v>81</v>
      </c>
      <c r="M34" t="s">
        <v>28</v>
      </c>
      <c r="N34" t="s">
        <v>28</v>
      </c>
      <c r="O34" t="s">
        <v>82</v>
      </c>
      <c r="P34">
        <v>261339</v>
      </c>
      <c r="Q34" t="s">
        <v>23</v>
      </c>
      <c r="R34" t="s">
        <v>10</v>
      </c>
      <c r="S34" t="s">
        <v>85</v>
      </c>
      <c r="T34">
        <v>90</v>
      </c>
      <c r="U34">
        <v>0.25</v>
      </c>
      <c r="V34" s="17">
        <v>1.0416666666666666E-2</v>
      </c>
      <c r="W34">
        <v>22.5</v>
      </c>
      <c r="X34"/>
      <c r="Y34"/>
      <c r="Z34"/>
      <c r="AA34" t="s">
        <v>86</v>
      </c>
      <c r="AB34"/>
      <c r="AC34" t="e">
        <f ca="1">-- Grainger UAT refresh Stand-up</f>
        <v>#NAME?</v>
      </c>
      <c r="AD34" t="s">
        <v>89</v>
      </c>
      <c r="AE34" s="4">
        <f t="shared" si="0"/>
        <v>6</v>
      </c>
      <c r="AF34" s="4" t="str">
        <f t="shared" si="1"/>
        <v>June</v>
      </c>
    </row>
    <row r="35" spans="1:32">
      <c r="A35" s="16">
        <v>45464</v>
      </c>
      <c r="B35" t="s">
        <v>38</v>
      </c>
      <c r="C35" t="s">
        <v>73</v>
      </c>
      <c r="D35" t="s">
        <v>74</v>
      </c>
      <c r="E35" t="s">
        <v>75</v>
      </c>
      <c r="F35" t="s">
        <v>76</v>
      </c>
      <c r="G35" t="s">
        <v>77</v>
      </c>
      <c r="H35" t="s">
        <v>78</v>
      </c>
      <c r="I35" t="s">
        <v>79</v>
      </c>
      <c r="J35" t="s">
        <v>80</v>
      </c>
      <c r="K35" t="s">
        <v>74</v>
      </c>
      <c r="L35" t="s">
        <v>81</v>
      </c>
      <c r="M35" t="s">
        <v>28</v>
      </c>
      <c r="N35" t="s">
        <v>28</v>
      </c>
      <c r="O35" t="s">
        <v>82</v>
      </c>
      <c r="P35">
        <v>262120</v>
      </c>
      <c r="Q35" t="s">
        <v>23</v>
      </c>
      <c r="R35" t="s">
        <v>10</v>
      </c>
      <c r="S35" t="s">
        <v>85</v>
      </c>
      <c r="T35">
        <v>90</v>
      </c>
      <c r="U35">
        <v>0.25</v>
      </c>
      <c r="V35" s="17">
        <v>1.0416666666666666E-2</v>
      </c>
      <c r="W35">
        <v>22.5</v>
      </c>
      <c r="X35"/>
      <c r="Y35"/>
      <c r="Z35"/>
      <c r="AA35" t="s">
        <v>86</v>
      </c>
      <c r="AB35"/>
      <c r="AC35" t="e">
        <f ca="1">-- Grainger UAT refresh Meet</f>
        <v>#NAME?</v>
      </c>
      <c r="AD35" t="s">
        <v>89</v>
      </c>
      <c r="AE35" s="4">
        <f t="shared" si="0"/>
        <v>6</v>
      </c>
      <c r="AF35" s="4" t="str">
        <f t="shared" si="1"/>
        <v>June</v>
      </c>
    </row>
    <row r="36" spans="1:32">
      <c r="A36" s="16">
        <v>45434</v>
      </c>
      <c r="B36" t="s">
        <v>28</v>
      </c>
      <c r="C36" t="s">
        <v>96</v>
      </c>
      <c r="D36" t="s">
        <v>74</v>
      </c>
      <c r="E36" t="s">
        <v>75</v>
      </c>
      <c r="F36" t="s">
        <v>76</v>
      </c>
      <c r="G36" t="s">
        <v>77</v>
      </c>
      <c r="H36" t="s">
        <v>78</v>
      </c>
      <c r="I36" t="s">
        <v>79</v>
      </c>
      <c r="J36" t="s">
        <v>80</v>
      </c>
      <c r="K36" t="s">
        <v>74</v>
      </c>
      <c r="L36" t="s">
        <v>81</v>
      </c>
      <c r="M36" t="s">
        <v>28</v>
      </c>
      <c r="N36" t="s">
        <v>98</v>
      </c>
      <c r="O36" t="s">
        <v>82</v>
      </c>
      <c r="P36">
        <v>251771</v>
      </c>
      <c r="Q36" t="s">
        <v>23</v>
      </c>
      <c r="R36" t="s">
        <v>10</v>
      </c>
      <c r="S36" t="s">
        <v>85</v>
      </c>
      <c r="T36">
        <v>90</v>
      </c>
      <c r="U36">
        <v>0.75</v>
      </c>
      <c r="V36" s="17">
        <v>3.125E-2</v>
      </c>
      <c r="W36">
        <v>67.5</v>
      </c>
      <c r="X36">
        <v>90</v>
      </c>
      <c r="Y36">
        <v>22.5</v>
      </c>
      <c r="Z36" t="s">
        <v>101</v>
      </c>
      <c r="AA36" t="s">
        <v>86</v>
      </c>
      <c r="AB36" t="s">
        <v>87</v>
      </c>
      <c r="AC36" t="s">
        <v>103</v>
      </c>
      <c r="AD36" t="s">
        <v>89</v>
      </c>
      <c r="AE36" s="4">
        <f t="shared" si="0"/>
        <v>5</v>
      </c>
      <c r="AF36" s="4" t="str">
        <f t="shared" si="1"/>
        <v>May</v>
      </c>
    </row>
    <row r="37" spans="1:32">
      <c r="A37" s="16">
        <v>45439</v>
      </c>
      <c r="B37" t="s">
        <v>28</v>
      </c>
      <c r="C37" t="s">
        <v>96</v>
      </c>
      <c r="D37" t="s">
        <v>74</v>
      </c>
      <c r="E37" t="s">
        <v>75</v>
      </c>
      <c r="F37" t="s">
        <v>76</v>
      </c>
      <c r="G37" t="s">
        <v>77</v>
      </c>
      <c r="H37" t="s">
        <v>78</v>
      </c>
      <c r="I37" t="s">
        <v>79</v>
      </c>
      <c r="J37" t="s">
        <v>80</v>
      </c>
      <c r="K37" t="s">
        <v>74</v>
      </c>
      <c r="L37" t="s">
        <v>81</v>
      </c>
      <c r="M37" t="s">
        <v>28</v>
      </c>
      <c r="N37" t="s">
        <v>98</v>
      </c>
      <c r="O37" t="s">
        <v>82</v>
      </c>
      <c r="P37">
        <v>253291</v>
      </c>
      <c r="Q37" t="s">
        <v>23</v>
      </c>
      <c r="R37" t="s">
        <v>10</v>
      </c>
      <c r="S37" t="s">
        <v>85</v>
      </c>
      <c r="T37">
        <v>90</v>
      </c>
      <c r="U37">
        <v>1</v>
      </c>
      <c r="V37" s="17">
        <v>4.1666666666666664E-2</v>
      </c>
      <c r="W37">
        <v>90</v>
      </c>
      <c r="X37">
        <v>120</v>
      </c>
      <c r="Y37">
        <v>30</v>
      </c>
      <c r="Z37" t="s">
        <v>101</v>
      </c>
      <c r="AA37" t="s">
        <v>86</v>
      </c>
      <c r="AB37" t="s">
        <v>87</v>
      </c>
      <c r="AC37" t="s">
        <v>98</v>
      </c>
      <c r="AD37" t="s">
        <v>89</v>
      </c>
      <c r="AE37" s="4">
        <f t="shared" si="0"/>
        <v>5</v>
      </c>
      <c r="AF37" s="4" t="str">
        <f t="shared" si="1"/>
        <v>May</v>
      </c>
    </row>
    <row r="38" spans="1:32">
      <c r="A38" s="16">
        <v>45446</v>
      </c>
      <c r="B38" t="s">
        <v>28</v>
      </c>
      <c r="C38" t="s">
        <v>96</v>
      </c>
      <c r="D38" t="s">
        <v>74</v>
      </c>
      <c r="E38" t="s">
        <v>75</v>
      </c>
      <c r="F38" t="s">
        <v>76</v>
      </c>
      <c r="G38" t="s">
        <v>77</v>
      </c>
      <c r="H38" t="s">
        <v>78</v>
      </c>
      <c r="I38" t="s">
        <v>79</v>
      </c>
      <c r="J38" t="s">
        <v>80</v>
      </c>
      <c r="K38" t="s">
        <v>74</v>
      </c>
      <c r="L38" t="s">
        <v>81</v>
      </c>
      <c r="M38" t="s">
        <v>28</v>
      </c>
      <c r="N38" t="s">
        <v>98</v>
      </c>
      <c r="O38" t="s">
        <v>82</v>
      </c>
      <c r="P38">
        <v>257243</v>
      </c>
      <c r="Q38" t="s">
        <v>23</v>
      </c>
      <c r="R38" t="s">
        <v>10</v>
      </c>
      <c r="S38" t="s">
        <v>85</v>
      </c>
      <c r="T38">
        <v>90</v>
      </c>
      <c r="U38">
        <v>1</v>
      </c>
      <c r="V38" s="17">
        <v>4.1666666666666664E-2</v>
      </c>
      <c r="W38">
        <v>90</v>
      </c>
      <c r="X38"/>
      <c r="Y38"/>
      <c r="Z38"/>
      <c r="AA38" t="s">
        <v>86</v>
      </c>
      <c r="AB38" t="s">
        <v>87</v>
      </c>
      <c r="AC38" t="s">
        <v>104</v>
      </c>
      <c r="AD38" t="s">
        <v>89</v>
      </c>
      <c r="AE38" s="4">
        <f t="shared" si="0"/>
        <v>6</v>
      </c>
      <c r="AF38" s="4" t="str">
        <f t="shared" si="1"/>
        <v>June</v>
      </c>
    </row>
    <row r="39" spans="1:32">
      <c r="A39" s="16">
        <v>45450</v>
      </c>
      <c r="B39" t="s">
        <v>28</v>
      </c>
      <c r="C39" t="s">
        <v>96</v>
      </c>
      <c r="D39" t="s">
        <v>74</v>
      </c>
      <c r="E39" t="s">
        <v>75</v>
      </c>
      <c r="F39" t="s">
        <v>76</v>
      </c>
      <c r="G39" t="s">
        <v>77</v>
      </c>
      <c r="H39" t="s">
        <v>78</v>
      </c>
      <c r="I39" t="s">
        <v>79</v>
      </c>
      <c r="J39" t="s">
        <v>80</v>
      </c>
      <c r="K39" t="s">
        <v>74</v>
      </c>
      <c r="L39" t="s">
        <v>81</v>
      </c>
      <c r="M39" t="s">
        <v>28</v>
      </c>
      <c r="N39" t="s">
        <v>98</v>
      </c>
      <c r="O39" t="s">
        <v>82</v>
      </c>
      <c r="P39">
        <v>257249</v>
      </c>
      <c r="Q39" t="s">
        <v>23</v>
      </c>
      <c r="R39" t="s">
        <v>10</v>
      </c>
      <c r="S39" t="s">
        <v>85</v>
      </c>
      <c r="T39">
        <v>90</v>
      </c>
      <c r="U39">
        <v>0.5</v>
      </c>
      <c r="V39" s="17">
        <v>2.0833333333333332E-2</v>
      </c>
      <c r="W39">
        <v>45</v>
      </c>
      <c r="X39"/>
      <c r="Y39"/>
      <c r="Z39"/>
      <c r="AA39" t="s">
        <v>86</v>
      </c>
      <c r="AB39" t="s">
        <v>87</v>
      </c>
      <c r="AC39" t="s">
        <v>105</v>
      </c>
      <c r="AD39" t="s">
        <v>89</v>
      </c>
      <c r="AE39" s="4">
        <f t="shared" si="0"/>
        <v>6</v>
      </c>
      <c r="AF39" s="4" t="str">
        <f t="shared" si="1"/>
        <v>June</v>
      </c>
    </row>
    <row r="40" spans="1:32">
      <c r="A40" s="16">
        <v>45457</v>
      </c>
      <c r="B40" t="s">
        <v>28</v>
      </c>
      <c r="C40" t="s">
        <v>96</v>
      </c>
      <c r="D40" t="s">
        <v>74</v>
      </c>
      <c r="E40" t="s">
        <v>75</v>
      </c>
      <c r="F40" t="s">
        <v>76</v>
      </c>
      <c r="G40" t="s">
        <v>77</v>
      </c>
      <c r="H40" t="s">
        <v>78</v>
      </c>
      <c r="I40" t="s">
        <v>79</v>
      </c>
      <c r="J40" t="s">
        <v>80</v>
      </c>
      <c r="K40" t="s">
        <v>74</v>
      </c>
      <c r="L40" t="s">
        <v>81</v>
      </c>
      <c r="M40" t="s">
        <v>28</v>
      </c>
      <c r="N40" t="s">
        <v>98</v>
      </c>
      <c r="O40" t="s">
        <v>82</v>
      </c>
      <c r="P40">
        <v>257192</v>
      </c>
      <c r="Q40" t="s">
        <v>23</v>
      </c>
      <c r="R40" t="s">
        <v>10</v>
      </c>
      <c r="S40" t="s">
        <v>85</v>
      </c>
      <c r="T40">
        <v>90</v>
      </c>
      <c r="U40">
        <v>1</v>
      </c>
      <c r="V40" s="17">
        <v>4.1666666666666664E-2</v>
      </c>
      <c r="W40">
        <v>90</v>
      </c>
      <c r="X40"/>
      <c r="Y40"/>
      <c r="Z40"/>
      <c r="AA40" t="s">
        <v>86</v>
      </c>
      <c r="AB40" t="s">
        <v>87</v>
      </c>
      <c r="AC40" t="s">
        <v>104</v>
      </c>
      <c r="AD40" t="s">
        <v>89</v>
      </c>
      <c r="AE40" s="4">
        <f t="shared" si="0"/>
        <v>6</v>
      </c>
      <c r="AF40" s="4" t="str">
        <f t="shared" si="1"/>
        <v>June</v>
      </c>
    </row>
    <row r="41" spans="1:32">
      <c r="A41" s="16">
        <v>45460</v>
      </c>
      <c r="B41" t="s">
        <v>28</v>
      </c>
      <c r="C41" t="s">
        <v>96</v>
      </c>
      <c r="D41" t="s">
        <v>74</v>
      </c>
      <c r="E41" t="s">
        <v>75</v>
      </c>
      <c r="F41" t="s">
        <v>76</v>
      </c>
      <c r="G41" t="s">
        <v>77</v>
      </c>
      <c r="H41" t="s">
        <v>78</v>
      </c>
      <c r="I41" t="s">
        <v>79</v>
      </c>
      <c r="J41" t="s">
        <v>80</v>
      </c>
      <c r="K41" t="s">
        <v>74</v>
      </c>
      <c r="L41" t="s">
        <v>81</v>
      </c>
      <c r="M41" t="s">
        <v>28</v>
      </c>
      <c r="N41" t="s">
        <v>98</v>
      </c>
      <c r="O41" t="s">
        <v>82</v>
      </c>
      <c r="P41">
        <v>260173</v>
      </c>
      <c r="Q41" t="s">
        <v>23</v>
      </c>
      <c r="R41" t="s">
        <v>10</v>
      </c>
      <c r="S41" t="s">
        <v>85</v>
      </c>
      <c r="T41">
        <v>90</v>
      </c>
      <c r="U41">
        <v>1</v>
      </c>
      <c r="V41" s="17">
        <v>4.1666666666666664E-2</v>
      </c>
      <c r="W41">
        <v>90</v>
      </c>
      <c r="X41"/>
      <c r="Y41"/>
      <c r="Z41"/>
      <c r="AA41" t="s">
        <v>86</v>
      </c>
      <c r="AB41"/>
      <c r="AC41" t="s">
        <v>98</v>
      </c>
      <c r="AD41" t="s">
        <v>89</v>
      </c>
      <c r="AE41" s="4">
        <f t="shared" si="0"/>
        <v>6</v>
      </c>
      <c r="AF41" s="4" t="str">
        <f t="shared" si="1"/>
        <v>June</v>
      </c>
    </row>
    <row r="42" spans="1:32">
      <c r="A42" s="16">
        <v>45461</v>
      </c>
      <c r="B42" t="s">
        <v>28</v>
      </c>
      <c r="C42" t="s">
        <v>96</v>
      </c>
      <c r="D42" t="s">
        <v>74</v>
      </c>
      <c r="E42" t="s">
        <v>75</v>
      </c>
      <c r="F42" t="s">
        <v>76</v>
      </c>
      <c r="G42" t="s">
        <v>77</v>
      </c>
      <c r="H42" t="s">
        <v>78</v>
      </c>
      <c r="I42" t="s">
        <v>79</v>
      </c>
      <c r="J42" t="s">
        <v>80</v>
      </c>
      <c r="K42" t="s">
        <v>74</v>
      </c>
      <c r="L42" t="s">
        <v>81</v>
      </c>
      <c r="M42" t="s">
        <v>28</v>
      </c>
      <c r="N42" t="s">
        <v>98</v>
      </c>
      <c r="O42" t="s">
        <v>82</v>
      </c>
      <c r="P42">
        <v>260174</v>
      </c>
      <c r="Q42" t="s">
        <v>23</v>
      </c>
      <c r="R42" t="s">
        <v>10</v>
      </c>
      <c r="S42" t="s">
        <v>85</v>
      </c>
      <c r="T42">
        <v>90</v>
      </c>
      <c r="U42">
        <v>1</v>
      </c>
      <c r="V42" s="17">
        <v>4.1666666666666664E-2</v>
      </c>
      <c r="W42">
        <v>90</v>
      </c>
      <c r="X42"/>
      <c r="Y42"/>
      <c r="Z42"/>
      <c r="AA42" t="s">
        <v>86</v>
      </c>
      <c r="AB42"/>
      <c r="AC42" t="s">
        <v>98</v>
      </c>
      <c r="AD42" t="s">
        <v>89</v>
      </c>
      <c r="AE42" s="4">
        <f t="shared" si="0"/>
        <v>6</v>
      </c>
      <c r="AF42" s="4" t="str">
        <f t="shared" si="1"/>
        <v>June</v>
      </c>
    </row>
    <row r="43" spans="1:32">
      <c r="A43" s="16">
        <v>45462</v>
      </c>
      <c r="B43" t="s">
        <v>28</v>
      </c>
      <c r="C43" t="s">
        <v>96</v>
      </c>
      <c r="D43" t="s">
        <v>74</v>
      </c>
      <c r="E43" t="s">
        <v>75</v>
      </c>
      <c r="F43" t="s">
        <v>76</v>
      </c>
      <c r="G43" t="s">
        <v>77</v>
      </c>
      <c r="H43" t="s">
        <v>78</v>
      </c>
      <c r="I43" t="s">
        <v>79</v>
      </c>
      <c r="J43" t="s">
        <v>80</v>
      </c>
      <c r="K43" t="s">
        <v>74</v>
      </c>
      <c r="L43" t="s">
        <v>81</v>
      </c>
      <c r="M43" t="s">
        <v>28</v>
      </c>
      <c r="N43" t="s">
        <v>98</v>
      </c>
      <c r="O43" t="s">
        <v>82</v>
      </c>
      <c r="P43">
        <v>262225</v>
      </c>
      <c r="Q43" t="s">
        <v>23</v>
      </c>
      <c r="R43" t="s">
        <v>10</v>
      </c>
      <c r="S43" t="s">
        <v>85</v>
      </c>
      <c r="T43">
        <v>90</v>
      </c>
      <c r="U43">
        <v>0.5</v>
      </c>
      <c r="V43" s="17">
        <v>2.0833333333333332E-2</v>
      </c>
      <c r="W43">
        <v>45</v>
      </c>
      <c r="X43"/>
      <c r="Y43"/>
      <c r="Z43"/>
      <c r="AA43" t="s">
        <v>86</v>
      </c>
      <c r="AB43"/>
      <c r="AC43" t="s">
        <v>106</v>
      </c>
      <c r="AD43" t="s">
        <v>89</v>
      </c>
      <c r="AE43" s="4">
        <f t="shared" si="0"/>
        <v>6</v>
      </c>
      <c r="AF43" s="4" t="str">
        <f t="shared" si="1"/>
        <v>June</v>
      </c>
    </row>
    <row r="44" spans="1:32">
      <c r="A44" s="16">
        <v>45447</v>
      </c>
      <c r="B44" t="s">
        <v>81</v>
      </c>
      <c r="C44" t="s">
        <v>96</v>
      </c>
      <c r="D44" t="s">
        <v>74</v>
      </c>
      <c r="E44" t="s">
        <v>97</v>
      </c>
      <c r="F44" t="s">
        <v>76</v>
      </c>
      <c r="G44" t="s">
        <v>77</v>
      </c>
      <c r="H44" t="s">
        <v>78</v>
      </c>
      <c r="I44" t="s">
        <v>79</v>
      </c>
      <c r="J44" t="s">
        <v>80</v>
      </c>
      <c r="K44" t="s">
        <v>74</v>
      </c>
      <c r="L44" t="s">
        <v>81</v>
      </c>
      <c r="M44" t="s">
        <v>28</v>
      </c>
      <c r="N44" t="s">
        <v>98</v>
      </c>
      <c r="O44" t="s">
        <v>82</v>
      </c>
      <c r="P44">
        <v>254877</v>
      </c>
      <c r="Q44" t="s">
        <v>83</v>
      </c>
      <c r="R44" t="s">
        <v>84</v>
      </c>
      <c r="S44" t="s">
        <v>85</v>
      </c>
      <c r="T44">
        <v>0</v>
      </c>
      <c r="U44">
        <v>0.5</v>
      </c>
      <c r="V44" s="17">
        <v>2.0833333333333332E-2</v>
      </c>
      <c r="W44">
        <v>0</v>
      </c>
      <c r="X44"/>
      <c r="Y44"/>
      <c r="Z44"/>
      <c r="AA44" t="s">
        <v>86</v>
      </c>
      <c r="AB44" t="s">
        <v>87</v>
      </c>
      <c r="AC44" t="s">
        <v>98</v>
      </c>
      <c r="AD44" t="s">
        <v>89</v>
      </c>
      <c r="AE44" s="4">
        <f t="shared" si="0"/>
        <v>6</v>
      </c>
      <c r="AF44" s="4" t="str">
        <f t="shared" si="1"/>
        <v>June</v>
      </c>
    </row>
    <row r="45" spans="1:32">
      <c r="A45" s="16">
        <v>45448</v>
      </c>
      <c r="B45" t="s">
        <v>81</v>
      </c>
      <c r="C45" t="s">
        <v>96</v>
      </c>
      <c r="D45" t="s">
        <v>74</v>
      </c>
      <c r="E45" t="s">
        <v>97</v>
      </c>
      <c r="F45" t="s">
        <v>76</v>
      </c>
      <c r="G45" t="s">
        <v>77</v>
      </c>
      <c r="H45" t="s">
        <v>78</v>
      </c>
      <c r="I45" t="s">
        <v>79</v>
      </c>
      <c r="J45" t="s">
        <v>80</v>
      </c>
      <c r="K45" t="s">
        <v>74</v>
      </c>
      <c r="L45" t="s">
        <v>81</v>
      </c>
      <c r="M45" t="s">
        <v>28</v>
      </c>
      <c r="N45" t="s">
        <v>98</v>
      </c>
      <c r="O45" t="s">
        <v>82</v>
      </c>
      <c r="P45">
        <v>256516</v>
      </c>
      <c r="Q45" t="s">
        <v>83</v>
      </c>
      <c r="R45" t="s">
        <v>84</v>
      </c>
      <c r="S45" t="s">
        <v>85</v>
      </c>
      <c r="T45">
        <v>0</v>
      </c>
      <c r="U45">
        <v>0.25</v>
      </c>
      <c r="V45" s="17">
        <v>1.0416666666666666E-2</v>
      </c>
      <c r="W45">
        <v>0</v>
      </c>
      <c r="X45"/>
      <c r="Y45"/>
      <c r="Z45"/>
      <c r="AA45" t="s">
        <v>86</v>
      </c>
      <c r="AB45" t="s">
        <v>87</v>
      </c>
      <c r="AC45" t="s">
        <v>98</v>
      </c>
      <c r="AD45" t="s">
        <v>89</v>
      </c>
      <c r="AE45" s="4">
        <f t="shared" si="0"/>
        <v>6</v>
      </c>
      <c r="AF45" s="4" t="str">
        <f t="shared" si="1"/>
        <v>June</v>
      </c>
    </row>
    <row r="46" spans="1:32">
      <c r="A46" s="16">
        <v>45453</v>
      </c>
      <c r="B46" t="s">
        <v>81</v>
      </c>
      <c r="C46" t="s">
        <v>96</v>
      </c>
      <c r="D46" t="s">
        <v>74</v>
      </c>
      <c r="E46" t="s">
        <v>97</v>
      </c>
      <c r="F46" t="s">
        <v>76</v>
      </c>
      <c r="G46" t="s">
        <v>77</v>
      </c>
      <c r="H46" t="s">
        <v>78</v>
      </c>
      <c r="I46" t="s">
        <v>79</v>
      </c>
      <c r="J46" t="s">
        <v>80</v>
      </c>
      <c r="K46" t="s">
        <v>74</v>
      </c>
      <c r="L46" t="s">
        <v>81</v>
      </c>
      <c r="M46" t="s">
        <v>28</v>
      </c>
      <c r="N46" t="s">
        <v>98</v>
      </c>
      <c r="O46" t="s">
        <v>82</v>
      </c>
      <c r="P46">
        <v>257356</v>
      </c>
      <c r="Q46" t="s">
        <v>83</v>
      </c>
      <c r="R46" t="s">
        <v>84</v>
      </c>
      <c r="S46" t="s">
        <v>85</v>
      </c>
      <c r="T46">
        <v>0</v>
      </c>
      <c r="U46">
        <v>1</v>
      </c>
      <c r="V46" s="17">
        <v>4.1666666666666664E-2</v>
      </c>
      <c r="W46">
        <v>0</v>
      </c>
      <c r="X46"/>
      <c r="Y46"/>
      <c r="Z46"/>
      <c r="AA46" t="s">
        <v>86</v>
      </c>
      <c r="AB46" t="s">
        <v>87</v>
      </c>
      <c r="AC46" t="s">
        <v>98</v>
      </c>
      <c r="AD46" t="s">
        <v>89</v>
      </c>
      <c r="AE46" s="4">
        <f t="shared" ref="AE46:AE50" si="2">MONTH(A46)</f>
        <v>6</v>
      </c>
      <c r="AF46" s="4" t="str">
        <f t="shared" si="1"/>
        <v>June</v>
      </c>
    </row>
    <row r="47" spans="1:32">
      <c r="A47" s="16">
        <v>45454</v>
      </c>
      <c r="B47" t="s">
        <v>81</v>
      </c>
      <c r="C47" t="s">
        <v>96</v>
      </c>
      <c r="D47" t="s">
        <v>74</v>
      </c>
      <c r="E47" t="s">
        <v>97</v>
      </c>
      <c r="F47" t="s">
        <v>76</v>
      </c>
      <c r="G47" t="s">
        <v>77</v>
      </c>
      <c r="H47" t="s">
        <v>78</v>
      </c>
      <c r="I47" t="s">
        <v>79</v>
      </c>
      <c r="J47" t="s">
        <v>80</v>
      </c>
      <c r="K47" t="s">
        <v>74</v>
      </c>
      <c r="L47" t="s">
        <v>81</v>
      </c>
      <c r="M47" t="s">
        <v>28</v>
      </c>
      <c r="N47" t="s">
        <v>98</v>
      </c>
      <c r="O47" t="s">
        <v>82</v>
      </c>
      <c r="P47">
        <v>257355</v>
      </c>
      <c r="Q47" t="s">
        <v>83</v>
      </c>
      <c r="R47" t="s">
        <v>84</v>
      </c>
      <c r="S47" t="s">
        <v>85</v>
      </c>
      <c r="T47">
        <v>0</v>
      </c>
      <c r="U47">
        <v>0.5</v>
      </c>
      <c r="V47" s="17">
        <v>2.0833333333333332E-2</v>
      </c>
      <c r="W47">
        <v>0</v>
      </c>
      <c r="X47"/>
      <c r="Y47"/>
      <c r="Z47"/>
      <c r="AA47" t="s">
        <v>86</v>
      </c>
      <c r="AB47" t="s">
        <v>87</v>
      </c>
      <c r="AC47" t="s">
        <v>98</v>
      </c>
      <c r="AD47" t="s">
        <v>89</v>
      </c>
      <c r="AE47" s="4">
        <f t="shared" si="2"/>
        <v>6</v>
      </c>
      <c r="AF47" s="4" t="str">
        <f t="shared" si="1"/>
        <v>June</v>
      </c>
    </row>
    <row r="48" spans="1:32">
      <c r="A48" s="16">
        <v>45455</v>
      </c>
      <c r="B48" t="s">
        <v>81</v>
      </c>
      <c r="C48" t="s">
        <v>96</v>
      </c>
      <c r="D48" t="s">
        <v>74</v>
      </c>
      <c r="E48" t="s">
        <v>97</v>
      </c>
      <c r="F48" t="s">
        <v>76</v>
      </c>
      <c r="G48" t="s">
        <v>77</v>
      </c>
      <c r="H48" t="s">
        <v>78</v>
      </c>
      <c r="I48" t="s">
        <v>79</v>
      </c>
      <c r="J48" t="s">
        <v>80</v>
      </c>
      <c r="K48" t="s">
        <v>74</v>
      </c>
      <c r="L48" t="s">
        <v>81</v>
      </c>
      <c r="M48" t="s">
        <v>28</v>
      </c>
      <c r="N48" t="s">
        <v>98</v>
      </c>
      <c r="O48" t="s">
        <v>82</v>
      </c>
      <c r="P48">
        <v>258630</v>
      </c>
      <c r="Q48" t="s">
        <v>83</v>
      </c>
      <c r="R48" t="s">
        <v>84</v>
      </c>
      <c r="S48" t="s">
        <v>85</v>
      </c>
      <c r="T48">
        <v>0</v>
      </c>
      <c r="U48">
        <v>0.25</v>
      </c>
      <c r="V48" s="17">
        <v>1.0416666666666666E-2</v>
      </c>
      <c r="W48">
        <v>0</v>
      </c>
      <c r="X48"/>
      <c r="Y48"/>
      <c r="Z48"/>
      <c r="AA48" t="s">
        <v>86</v>
      </c>
      <c r="AB48" t="s">
        <v>87</v>
      </c>
      <c r="AC48" t="s">
        <v>98</v>
      </c>
      <c r="AD48" t="s">
        <v>89</v>
      </c>
      <c r="AE48" s="4">
        <f t="shared" si="2"/>
        <v>6</v>
      </c>
      <c r="AF48" s="4" t="str">
        <f t="shared" si="1"/>
        <v>June</v>
      </c>
    </row>
    <row r="49" spans="1:32">
      <c r="A49" s="16">
        <v>45456</v>
      </c>
      <c r="B49" t="s">
        <v>81</v>
      </c>
      <c r="C49" t="s">
        <v>96</v>
      </c>
      <c r="D49" t="s">
        <v>74</v>
      </c>
      <c r="E49" t="s">
        <v>97</v>
      </c>
      <c r="F49" t="s">
        <v>76</v>
      </c>
      <c r="G49" t="s">
        <v>77</v>
      </c>
      <c r="H49" t="s">
        <v>78</v>
      </c>
      <c r="I49" t="s">
        <v>79</v>
      </c>
      <c r="J49" t="s">
        <v>80</v>
      </c>
      <c r="K49" t="s">
        <v>74</v>
      </c>
      <c r="L49" t="s">
        <v>81</v>
      </c>
      <c r="M49" t="s">
        <v>28</v>
      </c>
      <c r="N49" t="s">
        <v>98</v>
      </c>
      <c r="O49" t="s">
        <v>82</v>
      </c>
      <c r="P49">
        <v>258999</v>
      </c>
      <c r="Q49" t="s">
        <v>83</v>
      </c>
      <c r="R49" t="s">
        <v>84</v>
      </c>
      <c r="S49" t="s">
        <v>85</v>
      </c>
      <c r="T49">
        <v>0</v>
      </c>
      <c r="U49">
        <v>0.25</v>
      </c>
      <c r="V49" s="17">
        <v>1.0416666666666666E-2</v>
      </c>
      <c r="W49">
        <v>0</v>
      </c>
      <c r="X49"/>
      <c r="Y49"/>
      <c r="Z49"/>
      <c r="AA49" t="s">
        <v>86</v>
      </c>
      <c r="AB49" t="s">
        <v>87</v>
      </c>
      <c r="AC49" t="s">
        <v>98</v>
      </c>
      <c r="AD49" t="s">
        <v>89</v>
      </c>
      <c r="AE49" s="4">
        <f t="shared" si="2"/>
        <v>6</v>
      </c>
      <c r="AF49" s="4" t="str">
        <f t="shared" si="1"/>
        <v>June</v>
      </c>
    </row>
    <row r="50" spans="1:32">
      <c r="A50" s="16">
        <v>45457</v>
      </c>
      <c r="B50" t="s">
        <v>81</v>
      </c>
      <c r="C50" t="s">
        <v>96</v>
      </c>
      <c r="D50" t="s">
        <v>74</v>
      </c>
      <c r="E50" t="s">
        <v>97</v>
      </c>
      <c r="F50" t="s">
        <v>76</v>
      </c>
      <c r="G50" t="s">
        <v>77</v>
      </c>
      <c r="H50" t="s">
        <v>78</v>
      </c>
      <c r="I50" t="s">
        <v>79</v>
      </c>
      <c r="J50" t="s">
        <v>80</v>
      </c>
      <c r="K50" t="s">
        <v>74</v>
      </c>
      <c r="L50" t="s">
        <v>81</v>
      </c>
      <c r="M50" t="s">
        <v>28</v>
      </c>
      <c r="N50" t="s">
        <v>98</v>
      </c>
      <c r="O50" t="s">
        <v>82</v>
      </c>
      <c r="P50">
        <v>259542</v>
      </c>
      <c r="Q50" t="s">
        <v>83</v>
      </c>
      <c r="R50" t="s">
        <v>84</v>
      </c>
      <c r="S50" t="s">
        <v>85</v>
      </c>
      <c r="T50">
        <v>0</v>
      </c>
      <c r="U50">
        <v>0.75</v>
      </c>
      <c r="V50" s="17">
        <v>3.125E-2</v>
      </c>
      <c r="W50">
        <v>0</v>
      </c>
      <c r="X50"/>
      <c r="Y50"/>
      <c r="Z50"/>
      <c r="AA50" t="s">
        <v>86</v>
      </c>
      <c r="AB50" t="s">
        <v>87</v>
      </c>
      <c r="AC50" t="s">
        <v>98</v>
      </c>
      <c r="AD50" t="s">
        <v>89</v>
      </c>
      <c r="AE50" s="4">
        <f t="shared" si="2"/>
        <v>6</v>
      </c>
      <c r="AF50" s="4" t="str">
        <f t="shared" si="1"/>
        <v>June</v>
      </c>
    </row>
    <row r="51" spans="1:32">
      <c r="A51" s="14"/>
      <c r="V51" s="15"/>
    </row>
    <row r="52" spans="1:32">
      <c r="A52" s="14"/>
      <c r="V52" s="15"/>
    </row>
    <row r="53" spans="1:32">
      <c r="A53" s="14"/>
      <c r="V53" s="15"/>
    </row>
    <row r="54" spans="1:32">
      <c r="A54" s="14"/>
      <c r="V54" s="15"/>
    </row>
    <row r="55" spans="1:32">
      <c r="A55" s="14"/>
      <c r="V55" s="15"/>
    </row>
    <row r="56" spans="1:32">
      <c r="A56" s="14"/>
      <c r="V56" s="15"/>
    </row>
    <row r="57" spans="1:32">
      <c r="A57" s="14"/>
      <c r="V57" s="15"/>
    </row>
    <row r="58" spans="1:32">
      <c r="A58" s="14"/>
      <c r="V58" s="15"/>
    </row>
    <row r="59" spans="1:32">
      <c r="A59" s="14"/>
      <c r="V59" s="15"/>
    </row>
    <row r="60" spans="1:32">
      <c r="A60" s="14"/>
      <c r="V60" s="15"/>
    </row>
    <row r="61" spans="1:32">
      <c r="A61" s="14"/>
      <c r="V61" s="15"/>
    </row>
    <row r="62" spans="1:32">
      <c r="A62" s="14"/>
      <c r="V62" s="15"/>
    </row>
    <row r="63" spans="1:32">
      <c r="A63" s="14"/>
      <c r="V63" s="15"/>
    </row>
    <row r="64" spans="1:32">
      <c r="A64" s="14"/>
      <c r="V64" s="15"/>
    </row>
    <row r="65" spans="1:22">
      <c r="A65" s="14"/>
      <c r="V65" s="15"/>
    </row>
    <row r="66" spans="1:22">
      <c r="A66" s="14"/>
      <c r="V66" s="15"/>
    </row>
    <row r="67" spans="1:22">
      <c r="A67" s="14"/>
      <c r="V67" s="15"/>
    </row>
    <row r="68" spans="1:22">
      <c r="A68" s="14"/>
      <c r="V68" s="15"/>
    </row>
    <row r="69" spans="1:22">
      <c r="A69" s="14"/>
      <c r="V69" s="15"/>
    </row>
    <row r="70" spans="1:22">
      <c r="A70" s="14"/>
      <c r="V70" s="15"/>
    </row>
    <row r="71" spans="1:22">
      <c r="A71" s="14"/>
      <c r="V71" s="15"/>
    </row>
    <row r="72" spans="1:22">
      <c r="A72" s="14"/>
      <c r="V72" s="15"/>
    </row>
    <row r="73" spans="1:22">
      <c r="A73" s="14"/>
      <c r="V73" s="15"/>
    </row>
    <row r="74" spans="1:22">
      <c r="A74" s="14"/>
      <c r="V74" s="15"/>
    </row>
    <row r="75" spans="1:22">
      <c r="A75" s="14"/>
      <c r="V75" s="15"/>
    </row>
    <row r="76" spans="1:22">
      <c r="A76" s="14"/>
      <c r="V76" s="15"/>
    </row>
    <row r="77" spans="1:22">
      <c r="A77" s="14"/>
      <c r="V77" s="15"/>
    </row>
    <row r="78" spans="1:22">
      <c r="A78" s="14"/>
      <c r="V78" s="15"/>
    </row>
    <row r="79" spans="1:22">
      <c r="A79" s="14"/>
      <c r="V79" s="15"/>
    </row>
    <row r="80" spans="1:22">
      <c r="A80" s="14"/>
      <c r="V80" s="15"/>
    </row>
    <row r="81" spans="1:22">
      <c r="A81" s="14"/>
      <c r="V81" s="15"/>
    </row>
    <row r="82" spans="1:22">
      <c r="A82" s="14"/>
      <c r="V82" s="15"/>
    </row>
    <row r="83" spans="1:22">
      <c r="A83" s="14"/>
      <c r="V83" s="15"/>
    </row>
    <row r="84" spans="1:22">
      <c r="A84" s="14"/>
      <c r="V84" s="15"/>
    </row>
    <row r="85" spans="1:22">
      <c r="A85" s="14"/>
      <c r="V85" s="15"/>
    </row>
    <row r="86" spans="1:22">
      <c r="A86" s="14"/>
      <c r="V86" s="15"/>
    </row>
    <row r="87" spans="1:22">
      <c r="A87" s="14"/>
      <c r="V87" s="15"/>
    </row>
    <row r="88" spans="1:22">
      <c r="A88" s="14"/>
      <c r="V88" s="15"/>
    </row>
    <row r="89" spans="1:22">
      <c r="A89" s="14"/>
      <c r="V89" s="15"/>
    </row>
    <row r="90" spans="1:22">
      <c r="A90" s="14"/>
      <c r="V90" s="15"/>
    </row>
    <row r="91" spans="1:22">
      <c r="A91" s="14"/>
      <c r="V91" s="15"/>
    </row>
    <row r="92" spans="1:22">
      <c r="A92" s="14"/>
      <c r="V92" s="15"/>
    </row>
    <row r="93" spans="1:22">
      <c r="A93" s="14"/>
      <c r="V93" s="15"/>
    </row>
    <row r="94" spans="1:22">
      <c r="A94" s="14"/>
      <c r="V94" s="15"/>
    </row>
    <row r="95" spans="1:22">
      <c r="A95" s="14"/>
      <c r="V95" s="15"/>
    </row>
    <row r="96" spans="1:22">
      <c r="A96" s="14"/>
      <c r="V96" s="15"/>
    </row>
    <row r="97" spans="1:22">
      <c r="A97" s="14"/>
      <c r="V97" s="15"/>
    </row>
    <row r="98" spans="1:22">
      <c r="A98" s="14"/>
      <c r="V98" s="15"/>
    </row>
    <row r="99" spans="1:22">
      <c r="A99" s="14"/>
      <c r="V99" s="15"/>
    </row>
    <row r="100" spans="1:22">
      <c r="A100" s="14"/>
      <c r="V100" s="15"/>
    </row>
    <row r="101" spans="1:22">
      <c r="A101" s="14"/>
      <c r="V101" s="15"/>
    </row>
    <row r="102" spans="1:22">
      <c r="A102" s="14"/>
      <c r="V102" s="15"/>
    </row>
    <row r="103" spans="1:22">
      <c r="A103" s="14"/>
      <c r="V103" s="15"/>
    </row>
    <row r="104" spans="1:22">
      <c r="A104" s="14"/>
      <c r="V104" s="15"/>
    </row>
    <row r="105" spans="1:22">
      <c r="A105" s="14"/>
      <c r="V105" s="15"/>
    </row>
    <row r="106" spans="1:22">
      <c r="A106" s="14"/>
      <c r="V106" s="15"/>
    </row>
    <row r="107" spans="1:22">
      <c r="A107" s="14"/>
      <c r="V107" s="15"/>
    </row>
    <row r="108" spans="1:22">
      <c r="A108" s="14"/>
      <c r="V108" s="15"/>
    </row>
    <row r="109" spans="1:22">
      <c r="A109" s="14"/>
      <c r="V109" s="15"/>
    </row>
    <row r="110" spans="1:22">
      <c r="A110" s="14"/>
      <c r="V110" s="15"/>
    </row>
    <row r="111" spans="1:22">
      <c r="A111" s="14"/>
      <c r="V111" s="15"/>
    </row>
    <row r="112" spans="1:22">
      <c r="A112" s="14"/>
      <c r="V112" s="15"/>
    </row>
    <row r="113" spans="1:22">
      <c r="A113" s="14"/>
      <c r="V113" s="15"/>
    </row>
    <row r="114" spans="1:22">
      <c r="A114" s="14"/>
      <c r="V114" s="15"/>
    </row>
    <row r="115" spans="1:22">
      <c r="A115" s="14"/>
      <c r="V115" s="15"/>
    </row>
    <row r="116" spans="1:22">
      <c r="A116" s="14"/>
      <c r="V116" s="15"/>
    </row>
    <row r="117" spans="1:22">
      <c r="A117" s="14"/>
      <c r="V117" s="15"/>
    </row>
    <row r="118" spans="1:22">
      <c r="A118" s="14"/>
      <c r="V118" s="15"/>
    </row>
    <row r="119" spans="1:22">
      <c r="A119" s="14"/>
      <c r="V119" s="15"/>
    </row>
    <row r="120" spans="1:22">
      <c r="A120" s="14"/>
      <c r="V120" s="15"/>
    </row>
    <row r="121" spans="1:22">
      <c r="A121" s="14"/>
      <c r="V121" s="15"/>
    </row>
    <row r="122" spans="1:22">
      <c r="A122" s="14"/>
      <c r="V122" s="15"/>
    </row>
    <row r="123" spans="1:22">
      <c r="A123" s="14"/>
      <c r="V123" s="15"/>
    </row>
    <row r="124" spans="1:22">
      <c r="A124" s="14"/>
      <c r="V124" s="15"/>
    </row>
    <row r="125" spans="1:22">
      <c r="A125" s="14"/>
      <c r="V125" s="15"/>
    </row>
    <row r="126" spans="1:22">
      <c r="A126" s="14"/>
      <c r="V126" s="15"/>
    </row>
    <row r="127" spans="1:22">
      <c r="A127" s="14"/>
      <c r="V127" s="15"/>
    </row>
    <row r="128" spans="1:22">
      <c r="A128" s="14"/>
      <c r="V128" s="15"/>
    </row>
    <row r="129" spans="1:22">
      <c r="A129" s="14"/>
      <c r="V129" s="15"/>
    </row>
    <row r="130" spans="1:22">
      <c r="A130" s="14"/>
      <c r="V130" s="15"/>
    </row>
    <row r="131" spans="1:22">
      <c r="A131" s="14"/>
      <c r="V131" s="15"/>
    </row>
    <row r="132" spans="1:22">
      <c r="A132" s="14"/>
      <c r="V132" s="15"/>
    </row>
    <row r="133" spans="1:22">
      <c r="A133" s="14"/>
      <c r="V133" s="15"/>
    </row>
    <row r="134" spans="1:22">
      <c r="A134" s="14"/>
      <c r="V134" s="15"/>
    </row>
    <row r="135" spans="1:22">
      <c r="A135" s="14"/>
      <c r="V135" s="15"/>
    </row>
    <row r="136" spans="1:22">
      <c r="A136" s="14"/>
      <c r="V136" s="15"/>
    </row>
    <row r="137" spans="1:22">
      <c r="A137" s="14"/>
      <c r="V137" s="15"/>
    </row>
    <row r="138" spans="1:22">
      <c r="A138" s="14"/>
      <c r="V138" s="15"/>
    </row>
    <row r="139" spans="1:22">
      <c r="A139" s="14"/>
      <c r="V139" s="15"/>
    </row>
    <row r="140" spans="1:22">
      <c r="A140" s="14"/>
      <c r="V140" s="15"/>
    </row>
    <row r="141" spans="1:22">
      <c r="A141" s="14"/>
      <c r="V141" s="15"/>
    </row>
    <row r="142" spans="1:22">
      <c r="A142" s="14"/>
      <c r="V142" s="15"/>
    </row>
    <row r="143" spans="1:22">
      <c r="A143" s="14"/>
      <c r="V143" s="15"/>
    </row>
    <row r="144" spans="1:22">
      <c r="A144" s="14"/>
      <c r="V144" s="15"/>
    </row>
    <row r="145" spans="1:22">
      <c r="A145" s="14"/>
      <c r="V145" s="15"/>
    </row>
    <row r="146" spans="1:22">
      <c r="A146" s="14"/>
      <c r="V146" s="15"/>
    </row>
    <row r="147" spans="1:22">
      <c r="A147" s="14"/>
      <c r="V147" s="15"/>
    </row>
    <row r="148" spans="1:22">
      <c r="A148" s="14"/>
      <c r="V148" s="15"/>
    </row>
    <row r="149" spans="1:22">
      <c r="A149" s="14"/>
      <c r="V149" s="15"/>
    </row>
    <row r="150" spans="1:22">
      <c r="A150" s="14"/>
      <c r="V150" s="15"/>
    </row>
    <row r="151" spans="1:22">
      <c r="A151" s="14"/>
      <c r="V151" s="15"/>
    </row>
    <row r="152" spans="1:22">
      <c r="A152" s="14"/>
      <c r="V152" s="15"/>
    </row>
    <row r="153" spans="1:22">
      <c r="A153" s="14"/>
      <c r="V153" s="15"/>
    </row>
    <row r="154" spans="1:22">
      <c r="A154" s="14"/>
      <c r="V154" s="15"/>
    </row>
    <row r="155" spans="1:22">
      <c r="A155" s="14"/>
      <c r="V155" s="15"/>
    </row>
    <row r="156" spans="1:22">
      <c r="A156" s="14"/>
      <c r="V156" s="15"/>
    </row>
    <row r="157" spans="1:22">
      <c r="A157" s="14"/>
      <c r="V157" s="15"/>
    </row>
    <row r="158" spans="1:22">
      <c r="A158" s="14"/>
      <c r="V158" s="15"/>
    </row>
    <row r="159" spans="1:22">
      <c r="A159" s="14"/>
      <c r="V159" s="15"/>
    </row>
    <row r="160" spans="1:22">
      <c r="A160" s="14"/>
      <c r="V160" s="15"/>
    </row>
    <row r="161" spans="1:22">
      <c r="A161" s="14"/>
      <c r="V161" s="15"/>
    </row>
    <row r="162" spans="1:22">
      <c r="A162" s="14"/>
      <c r="V162" s="15"/>
    </row>
    <row r="163" spans="1:22">
      <c r="A163" s="14"/>
      <c r="V163" s="15"/>
    </row>
    <row r="164" spans="1:22">
      <c r="A164" s="14"/>
      <c r="V164" s="15"/>
    </row>
    <row r="165" spans="1:22">
      <c r="A165" s="14"/>
      <c r="V165" s="15"/>
    </row>
    <row r="166" spans="1:22">
      <c r="A166" s="14"/>
      <c r="V166" s="15"/>
    </row>
    <row r="167" spans="1:22">
      <c r="A167" s="14"/>
      <c r="V167" s="15"/>
    </row>
    <row r="168" spans="1:22">
      <c r="A168" s="14"/>
      <c r="V168" s="15"/>
    </row>
    <row r="169" spans="1:22">
      <c r="A169" s="14"/>
      <c r="V169" s="15"/>
    </row>
    <row r="170" spans="1:22">
      <c r="A170" s="14"/>
      <c r="V170" s="15"/>
    </row>
    <row r="171" spans="1:22">
      <c r="A171" s="14"/>
      <c r="V171" s="15"/>
    </row>
    <row r="172" spans="1:22">
      <c r="A172" s="14"/>
      <c r="V172" s="15"/>
    </row>
    <row r="173" spans="1:22">
      <c r="A173" s="14"/>
      <c r="V173" s="15"/>
    </row>
    <row r="174" spans="1:22">
      <c r="A174" s="14"/>
      <c r="V174" s="15"/>
    </row>
    <row r="175" spans="1:22">
      <c r="A175" s="14"/>
      <c r="V175" s="15"/>
    </row>
    <row r="176" spans="1:22">
      <c r="A176" s="14"/>
      <c r="V176" s="15"/>
    </row>
    <row r="177" spans="1:22">
      <c r="A177" s="14"/>
      <c r="V177" s="15"/>
    </row>
    <row r="178" spans="1:22">
      <c r="A178" s="14"/>
      <c r="V178" s="15"/>
    </row>
    <row r="179" spans="1:22">
      <c r="A179" s="14"/>
      <c r="V179" s="15"/>
    </row>
    <row r="180" spans="1:22">
      <c r="A180" s="14"/>
      <c r="V180" s="15"/>
    </row>
    <row r="181" spans="1:22">
      <c r="A181" s="14"/>
      <c r="V181" s="15"/>
    </row>
    <row r="182" spans="1:22">
      <c r="A182" s="14"/>
      <c r="V182" s="15"/>
    </row>
    <row r="183" spans="1:22">
      <c r="A183" s="14"/>
      <c r="V183" s="15"/>
    </row>
    <row r="184" spans="1:22">
      <c r="A184" s="14"/>
      <c r="V184" s="15"/>
    </row>
    <row r="185" spans="1:22">
      <c r="A185" s="14"/>
      <c r="V185" s="15"/>
    </row>
    <row r="186" spans="1:22">
      <c r="A186" s="14"/>
      <c r="V186" s="15"/>
    </row>
    <row r="187" spans="1:22">
      <c r="A187" s="14"/>
      <c r="V187" s="15"/>
    </row>
    <row r="188" spans="1:22">
      <c r="A188" s="14"/>
      <c r="V188" s="15"/>
    </row>
    <row r="189" spans="1:22">
      <c r="A189" s="14"/>
      <c r="V189" s="15"/>
    </row>
    <row r="190" spans="1:22">
      <c r="A190" s="14"/>
      <c r="V190" s="15"/>
    </row>
    <row r="191" spans="1:22">
      <c r="A191" s="14"/>
      <c r="V191" s="15"/>
    </row>
    <row r="192" spans="1:22">
      <c r="A192" s="14"/>
      <c r="V192" s="15"/>
    </row>
    <row r="193" spans="1:22">
      <c r="A193" s="14"/>
      <c r="V193" s="15"/>
    </row>
    <row r="194" spans="1:22">
      <c r="A194" s="14"/>
      <c r="V194" s="15"/>
    </row>
    <row r="195" spans="1:22">
      <c r="A195" s="14"/>
      <c r="V195" s="15"/>
    </row>
    <row r="196" spans="1:22">
      <c r="A196" s="14"/>
      <c r="V196" s="15"/>
    </row>
    <row r="197" spans="1:22">
      <c r="A197" s="14"/>
      <c r="V197" s="15"/>
    </row>
    <row r="198" spans="1:22">
      <c r="A198" s="14"/>
      <c r="V198" s="15"/>
    </row>
    <row r="199" spans="1:22">
      <c r="A199" s="14"/>
      <c r="V199" s="15"/>
    </row>
    <row r="200" spans="1:22">
      <c r="A200" s="14"/>
      <c r="V200" s="15"/>
    </row>
    <row r="201" spans="1:22">
      <c r="A201" s="14"/>
      <c r="V201" s="15"/>
    </row>
    <row r="202" spans="1:22">
      <c r="A202" s="14"/>
      <c r="V202" s="15"/>
    </row>
    <row r="203" spans="1:22">
      <c r="A203" s="14"/>
      <c r="V203" s="15"/>
    </row>
    <row r="204" spans="1:22">
      <c r="A204" s="14"/>
      <c r="V204" s="15"/>
    </row>
    <row r="205" spans="1:22">
      <c r="A205" s="14"/>
      <c r="V205" s="15"/>
    </row>
    <row r="206" spans="1:22">
      <c r="A206" s="14"/>
      <c r="V206" s="15"/>
    </row>
    <row r="207" spans="1:22">
      <c r="A207" s="14"/>
      <c r="V207" s="15"/>
    </row>
    <row r="208" spans="1:22">
      <c r="A208" s="14"/>
      <c r="V208" s="15"/>
    </row>
    <row r="209" spans="1:22">
      <c r="A209" s="14"/>
      <c r="V209" s="15"/>
    </row>
    <row r="210" spans="1:22">
      <c r="A210" s="14"/>
      <c r="V210" s="15"/>
    </row>
    <row r="211" spans="1:22">
      <c r="A211" s="14"/>
      <c r="V211" s="15"/>
    </row>
    <row r="212" spans="1:22">
      <c r="A212" s="14"/>
      <c r="V212" s="15"/>
    </row>
    <row r="213" spans="1:22">
      <c r="A213" s="14"/>
      <c r="V213" s="15"/>
    </row>
    <row r="214" spans="1:22">
      <c r="A214" s="14"/>
      <c r="V214" s="15"/>
    </row>
    <row r="215" spans="1:22">
      <c r="A215" s="14"/>
      <c r="V215" s="15"/>
    </row>
    <row r="216" spans="1:22">
      <c r="A216" s="14"/>
      <c r="V216" s="15"/>
    </row>
    <row r="217" spans="1:22">
      <c r="A217" s="14"/>
      <c r="V217" s="15"/>
    </row>
    <row r="218" spans="1:22">
      <c r="A218" s="14"/>
      <c r="V218" s="15"/>
    </row>
    <row r="219" spans="1:22">
      <c r="A219" s="14"/>
      <c r="V219" s="15"/>
    </row>
    <row r="220" spans="1:22">
      <c r="A220" s="14"/>
      <c r="V220" s="15"/>
    </row>
    <row r="221" spans="1:22">
      <c r="A221" s="14"/>
      <c r="V221" s="15"/>
    </row>
    <row r="222" spans="1:22">
      <c r="A222" s="14"/>
      <c r="V222" s="15"/>
    </row>
    <row r="223" spans="1:22">
      <c r="A223" s="14"/>
      <c r="V223" s="15"/>
    </row>
    <row r="224" spans="1:22">
      <c r="A224" s="14"/>
      <c r="V224" s="15"/>
    </row>
    <row r="225" spans="1:22">
      <c r="A225" s="14"/>
      <c r="V225" s="15"/>
    </row>
    <row r="226" spans="1:22">
      <c r="A226" s="14"/>
      <c r="V226" s="15"/>
    </row>
    <row r="227" spans="1:22">
      <c r="A227" s="14"/>
      <c r="V227" s="15"/>
    </row>
    <row r="228" spans="1:22">
      <c r="A228" s="14"/>
      <c r="V228" s="15"/>
    </row>
    <row r="229" spans="1:22">
      <c r="A229" s="14"/>
      <c r="V229" s="15"/>
    </row>
    <row r="230" spans="1:22">
      <c r="A230" s="14"/>
      <c r="V230" s="15"/>
    </row>
    <row r="231" spans="1:22">
      <c r="A231" s="14"/>
      <c r="V231" s="15"/>
    </row>
    <row r="232" spans="1:22">
      <c r="A232" s="14"/>
      <c r="V232" s="15"/>
    </row>
    <row r="233" spans="1:22">
      <c r="A233" s="14"/>
      <c r="V233" s="15"/>
    </row>
    <row r="234" spans="1:22">
      <c r="A234" s="14"/>
      <c r="V234" s="15"/>
    </row>
    <row r="235" spans="1:22">
      <c r="A235" s="14"/>
      <c r="V235" s="15"/>
    </row>
    <row r="236" spans="1:22">
      <c r="A236" s="14"/>
      <c r="V236" s="15"/>
    </row>
    <row r="237" spans="1:22">
      <c r="A237" s="14"/>
      <c r="V237" s="15"/>
    </row>
    <row r="238" spans="1:22">
      <c r="A238" s="14"/>
      <c r="V238" s="15"/>
    </row>
    <row r="239" spans="1:22">
      <c r="A239" s="14"/>
      <c r="V239" s="15"/>
    </row>
    <row r="240" spans="1:22">
      <c r="A240" s="14"/>
      <c r="V240" s="15"/>
    </row>
    <row r="241" spans="1:22">
      <c r="A241" s="14"/>
      <c r="V241" s="15"/>
    </row>
    <row r="242" spans="1:22">
      <c r="A242" s="14"/>
      <c r="V242" s="15"/>
    </row>
    <row r="243" spans="1:22">
      <c r="A243" s="14"/>
      <c r="V243" s="15"/>
    </row>
    <row r="244" spans="1:22">
      <c r="A244" s="14"/>
      <c r="V244" s="15"/>
    </row>
    <row r="245" spans="1:22">
      <c r="A245" s="14"/>
      <c r="V245" s="15"/>
    </row>
    <row r="246" spans="1:22">
      <c r="A246" s="14"/>
      <c r="V246" s="15"/>
    </row>
    <row r="247" spans="1:22">
      <c r="A247" s="14"/>
      <c r="V247" s="15"/>
    </row>
    <row r="248" spans="1:22">
      <c r="A248" s="14"/>
      <c r="V248" s="15"/>
    </row>
    <row r="249" spans="1:22">
      <c r="A249" s="14"/>
      <c r="V249" s="15"/>
    </row>
    <row r="250" spans="1:22">
      <c r="A250" s="14"/>
      <c r="V250" s="15"/>
    </row>
    <row r="251" spans="1:22">
      <c r="A251" s="14"/>
      <c r="V251" s="15"/>
    </row>
    <row r="252" spans="1:22">
      <c r="A252" s="14"/>
      <c r="V252" s="15"/>
    </row>
    <row r="253" spans="1:22">
      <c r="A253" s="14"/>
      <c r="V253" s="15"/>
    </row>
    <row r="254" spans="1:22">
      <c r="A254" s="14"/>
      <c r="V254" s="15"/>
    </row>
    <row r="255" spans="1:22">
      <c r="A255" s="14"/>
      <c r="V255" s="15"/>
    </row>
    <row r="256" spans="1:22">
      <c r="A256" s="14"/>
      <c r="V256" s="15"/>
    </row>
    <row r="257" spans="1:22">
      <c r="A257" s="14"/>
      <c r="V257" s="15"/>
    </row>
    <row r="258" spans="1:22">
      <c r="A258" s="14"/>
      <c r="V258" s="15"/>
    </row>
    <row r="259" spans="1:22">
      <c r="A259" s="14"/>
      <c r="V259" s="15"/>
    </row>
    <row r="260" spans="1:22">
      <c r="A260" s="14"/>
      <c r="V260" s="15"/>
    </row>
    <row r="261" spans="1:22">
      <c r="A261" s="14"/>
      <c r="V261" s="15"/>
    </row>
    <row r="262" spans="1:22">
      <c r="A262" s="14"/>
      <c r="V262" s="15"/>
    </row>
    <row r="263" spans="1:22">
      <c r="A263" s="14"/>
      <c r="V263" s="15"/>
    </row>
    <row r="264" spans="1:22">
      <c r="A264" s="14"/>
      <c r="V264" s="15"/>
    </row>
    <row r="265" spans="1:22">
      <c r="A265" s="14"/>
      <c r="V265" s="15"/>
    </row>
    <row r="266" spans="1:22">
      <c r="A266" s="14"/>
      <c r="V266" s="15"/>
    </row>
    <row r="267" spans="1:22">
      <c r="A267" s="14"/>
      <c r="V267" s="15"/>
    </row>
    <row r="268" spans="1:22">
      <c r="A268" s="14"/>
      <c r="V268" s="15"/>
    </row>
    <row r="269" spans="1:22">
      <c r="A269" s="14"/>
      <c r="V269" s="15"/>
    </row>
    <row r="270" spans="1:22">
      <c r="A270" s="14"/>
      <c r="V270" s="15"/>
    </row>
    <row r="271" spans="1:22">
      <c r="A271" s="14"/>
      <c r="V271" s="15"/>
    </row>
    <row r="272" spans="1:22">
      <c r="A272" s="14"/>
      <c r="V272" s="15"/>
    </row>
    <row r="273" spans="1:22">
      <c r="A273" s="14"/>
      <c r="V273" s="15"/>
    </row>
    <row r="274" spans="1:22">
      <c r="A274" s="14"/>
      <c r="V274" s="15"/>
    </row>
    <row r="275" spans="1:22">
      <c r="A275" s="14"/>
      <c r="V275" s="15"/>
    </row>
    <row r="276" spans="1:22">
      <c r="A276" s="14"/>
      <c r="V276" s="15"/>
    </row>
    <row r="277" spans="1:22">
      <c r="A277" s="14"/>
      <c r="V277" s="15"/>
    </row>
    <row r="278" spans="1:22">
      <c r="A278" s="14"/>
      <c r="V278" s="15"/>
    </row>
    <row r="279" spans="1:22">
      <c r="A279" s="14"/>
      <c r="V279" s="15"/>
    </row>
    <row r="280" spans="1:22">
      <c r="A280" s="14"/>
      <c r="V280" s="15"/>
    </row>
    <row r="281" spans="1:22">
      <c r="A281" s="14"/>
      <c r="V281" s="15"/>
    </row>
    <row r="282" spans="1:22">
      <c r="A282" s="14"/>
      <c r="V282" s="15"/>
    </row>
    <row r="283" spans="1:22">
      <c r="A283" s="14"/>
      <c r="V283" s="15"/>
    </row>
    <row r="284" spans="1:22">
      <c r="A284" s="14"/>
      <c r="V284" s="15"/>
    </row>
    <row r="285" spans="1:22">
      <c r="A285" s="14"/>
      <c r="V285" s="15"/>
    </row>
    <row r="286" spans="1:22">
      <c r="A286" s="14"/>
      <c r="V286" s="15"/>
    </row>
    <row r="287" spans="1:22">
      <c r="A287" s="14"/>
      <c r="V287" s="15"/>
    </row>
  </sheetData>
  <autoFilter ref="A1:AF45" xr:uid="{00000000-0001-0000-0100-000000000000}">
    <sortState xmlns:xlrd2="http://schemas.microsoft.com/office/spreadsheetml/2017/richdata2" ref="A2:AF45">
      <sortCondition ref="A2:A45"/>
    </sortState>
  </autoFilter>
  <sortState xmlns:xlrd2="http://schemas.microsoft.com/office/spreadsheetml/2017/richdata2" ref="A2:AF30">
    <sortCondition ref="A2:A30"/>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5676dd91-060c-4b71-810a-dbdca5582071" ContentTypeId="0x010100B16301FA1C2D5E4DB9305F31D037531D020701" PreviousValue="false"/>
</file>

<file path=customXml/item2.xml><?xml version="1.0" encoding="utf-8"?>
<ct:contentTypeSchema xmlns:ct="http://schemas.microsoft.com/office/2006/metadata/contentType" xmlns:ma="http://schemas.microsoft.com/office/2006/metadata/properties/metaAttributes" ct:_="" ma:_="" ma:contentTypeName="Client Document" ma:contentTypeID="0x010100B16301FA1C2D5E4DB9305F31D037531D02070100EAEC246849C81A4BA7B470C1AFD8AAFF" ma:contentTypeVersion="3" ma:contentTypeDescription="A document associated with a client" ma:contentTypeScope="" ma:versionID="8660e9f4d2495e929d93e8a6616d4a81">
  <xsd:schema xmlns:xsd="http://www.w3.org/2001/XMLSchema" xmlns:xs="http://www.w3.org/2001/XMLSchema" xmlns:p="http://schemas.microsoft.com/office/2006/metadata/properties" xmlns:ns2="1ffbd5dc-7a64-4097-8396-87f6c90b212f" targetNamespace="http://schemas.microsoft.com/office/2006/metadata/properties" ma:root="true" ma:fieldsID="07434d5f9b9ff652931a8c76cfaf3aa4"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ofdb165b7a42400995658a9538ebccb7"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ofdb165b7a42400995658a9538ebccb7" ma:index="14" ma:taxonomy="true" ma:internalName="ofdb165b7a42400995658a9538ebccb7" ma:taxonomyFieldName="Client_x0020_Document_x0020_Type" ma:displayName="Client Document Type" ma:readOnly="false" ma:default="" ma:fieldId="{8fdb165b-7a42-4009-9565-8a9538ebccb7}" ma:sspId="5676dd91-060c-4b71-810a-dbdca5582071" ma:termSetId="87785518-c8fe-4f86-8451-d27d55639c5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TaxCatchAll xmlns="1ffbd5dc-7a64-4097-8396-87f6c90b212f">
      <Value>6</Value>
      <Value>5</Value>
      <Value>20</Value>
    </TaxCatchAll>
    <ofdb165b7a42400995658a9538ebccb7 xmlns="1ffbd5dc-7a64-4097-8396-87f6c90b212f">
      <Terms xmlns="http://schemas.microsoft.com/office/infopath/2007/PartnerControls">
        <TermInfo xmlns="http://schemas.microsoft.com/office/infopath/2007/PartnerControls">
          <TermName xmlns="http://schemas.microsoft.com/office/infopath/2007/PartnerControls">PM Report</TermName>
          <TermId xmlns="http://schemas.microsoft.com/office/infopath/2007/PartnerControls">9d58a819-7b07-406f-ac0f-0f196f5e097b</TermId>
        </TermInfo>
      </Terms>
    </ofdb165b7a42400995658a9538ebccb7>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2BB91E-29DA-471C-BC95-5CBDF8D2D5E5}"/>
</file>

<file path=customXml/itemProps2.xml><?xml version="1.0" encoding="utf-8"?>
<ds:datastoreItem xmlns:ds="http://schemas.openxmlformats.org/officeDocument/2006/customXml" ds:itemID="{27447733-E936-477E-8F07-B3AD18A0877F}"/>
</file>

<file path=customXml/itemProps3.xml><?xml version="1.0" encoding="utf-8"?>
<ds:datastoreItem xmlns:ds="http://schemas.openxmlformats.org/officeDocument/2006/customXml" ds:itemID="{918053AC-BE2C-44A8-859F-B3E11C5EF5BE}"/>
</file>

<file path=customXml/itemProps4.xml><?xml version="1.0" encoding="utf-8"?>
<ds:datastoreItem xmlns:ds="http://schemas.openxmlformats.org/officeDocument/2006/customXml" ds:itemID="{9E842C3D-8039-477F-9C1C-9C0C060010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Carami Le Grange</dc:creator>
  <cp:keywords/>
  <dc:description/>
  <cp:lastModifiedBy>Carami Le Grange</cp:lastModifiedBy>
  <cp:revision/>
  <dcterms:created xsi:type="dcterms:W3CDTF">2024-04-02T08:03:36Z</dcterms:created>
  <dcterms:modified xsi:type="dcterms:W3CDTF">2024-06-25T12:25:52Z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0x010100B16301FA1C2D5E4DB9305F31D037531D02070100EAEC246849C81A4BA7B470C1AFD8AAFF</vt:lpwstr>
  </property>
  <property fmtid="{D5CDD505-2E9C-101B-9397-08002B2CF9AE}" pid="3" name="Client Document Type">
    <vt:lpwstr>20;#PM Report|9d58a819-7b07-406f-ac0f-0f196f5e097b</vt:lpwstr>
  </property>
  <property fmtid="{D5CDD505-2E9C-101B-9397-08002B2CF9AE}" pid="4" name="Division">
    <vt:lpwstr>5;#Enterprise Solutions|08c57b01-67e8-4a4f-abc6-ffb3392ace7f</vt:lpwstr>
  </property>
  <property fmtid="{D5CDD505-2E9C-101B-9397-08002B2CF9AE}" pid="5" name="Client">
    <vt:lpwstr>6;#Grainger PLC|a74f1cb5-e995-4f9e-8521-6d52e2c6bf08</vt:lpwstr>
  </property>
</Properties>
</file>