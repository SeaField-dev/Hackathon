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77" documentId="13_ncr:40009_{BBCEBA60-E38F-4EE1-BDB9-DA93CE793831}" xr6:coauthVersionLast="47" xr6:coauthVersionMax="47" xr10:uidLastSave="{71641438-C330-4A20-81F6-64C0E264A206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95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4" i="1" l="1"/>
  <c r="AF64" i="1" s="1"/>
  <c r="AE65" i="1"/>
  <c r="AF65" i="1"/>
  <c r="AE66" i="1"/>
  <c r="AF66" i="1" s="1"/>
  <c r="AE67" i="1"/>
  <c r="AF67" i="1" s="1"/>
  <c r="AC30" i="1"/>
  <c r="AE44" i="1"/>
  <c r="AF44" i="1" s="1"/>
  <c r="AE45" i="1"/>
  <c r="AF45" i="1" s="1"/>
  <c r="AE46" i="1"/>
  <c r="AF46" i="1" s="1"/>
  <c r="AE47" i="1"/>
  <c r="AF47" i="1" s="1"/>
  <c r="AE48" i="1"/>
  <c r="AF48" i="1"/>
  <c r="AE49" i="1"/>
  <c r="AF49" i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/>
  <c r="AE56" i="1"/>
  <c r="AF56" i="1" s="1"/>
  <c r="AE57" i="1"/>
  <c r="AF57" i="1"/>
  <c r="AE58" i="1"/>
  <c r="AF58" i="1" s="1"/>
  <c r="AE59" i="1"/>
  <c r="AF59" i="1"/>
  <c r="AE60" i="1"/>
  <c r="AF60" i="1" s="1"/>
  <c r="AE61" i="1"/>
  <c r="AF61" i="1" s="1"/>
  <c r="AE62" i="1"/>
  <c r="AF62" i="1" s="1"/>
  <c r="AE63" i="1"/>
  <c r="AF63" i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/>
  <c r="AE21" i="1"/>
  <c r="AF21" i="1" s="1"/>
  <c r="AE22" i="1"/>
  <c r="AF22" i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/>
  <c r="AE31" i="1"/>
  <c r="AF31" i="1" s="1"/>
  <c r="AE32" i="1"/>
  <c r="AF32" i="1" s="1"/>
  <c r="AE33" i="1"/>
  <c r="AF33" i="1"/>
  <c r="AE34" i="1"/>
  <c r="AF34" i="1" s="1"/>
  <c r="AE35" i="1"/>
  <c r="AF35" i="1" s="1"/>
  <c r="AE36" i="1"/>
  <c r="AF36" i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/>
  <c r="AE2" i="1"/>
  <c r="AF2" i="1" s="1"/>
  <c r="K17" i="2" l="1"/>
</calcChain>
</file>

<file path=xl/sharedStrings.xml><?xml version="1.0" encoding="utf-8"?>
<sst xmlns="http://schemas.openxmlformats.org/spreadsheetml/2006/main" count="1468" uniqueCount="129">
  <si>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</si>
  <si>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</si>
  <si>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</si>
  <si>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</si>
  <si>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</si>
  <si>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</si>
  <si>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</si>
  <si>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</si>
  <si>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</si>
  <si>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</si>
  <si>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</si>
  <si>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</si>
  <si>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</si>
  <si>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</si>
  <si>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</si>
  <si>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</si>
  <si>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</si>
  <si>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</si>
  <si>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</si>
  <si>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</si>
  <si>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</si>
  <si>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</si>
  <si>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</si>
  <si>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</si>
  <si>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</si>
  <si>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</si>
  <si>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</si>
  <si>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</si>
  <si>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Dillan Landsberg</t>
  </si>
  <si>
    <t>Production</t>
  </si>
  <si>
    <t>5 - 6.5</t>
  </si>
  <si>
    <t xml:space="preserve">£600 </t>
  </si>
  <si>
    <t xml:space="preserve"> £780 </t>
  </si>
  <si>
    <t>Shaun Barrett</t>
  </si>
  <si>
    <t>Total</t>
  </si>
  <si>
    <t>65 - 80</t>
  </si>
  <si>
    <t xml:space="preserve">£7,800 </t>
  </si>
  <si>
    <t xml:space="preserve"> £9,540 </t>
  </si>
  <si>
    <t>Lower Bound (Hrs)</t>
  </si>
  <si>
    <t>Upper Bound (Hrs)</t>
  </si>
  <si>
    <t>Lower Bound (Cost)</t>
  </si>
  <si>
    <t>Upper Bound (Cost)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</si>
  <si>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</si>
  <si>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</si>
  <si>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</si>
  <si>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</si>
  <si>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</si>
  <si>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</si>
  <si>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</si>
  <si>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</si>
  <si>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</si>
  <si>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</si>
  <si>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</si>
  <si>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</si>
  <si>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</si>
  <si>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</si>
  <si>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</si>
  <si>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</si>
  <si>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</si>
  <si>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</si>
  <si>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</si>
  <si>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</si>
  <si>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</si>
  <si>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</si>
  <si>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</si>
  <si>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</si>
  <si>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</si>
  <si>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</si>
  <si>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</si>
  <si>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</si>
  <si>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</si>
  <si>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</si>
  <si>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</si>
  <si>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</si>
  <si>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</si>
  <si>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</si>
  <si>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</si>
  <si>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</si>
  <si>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</si>
  <si>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</si>
  <si>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</si>
  <si>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</si>
  <si>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</si>
  <si>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</si>
  <si>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</si>
  <si>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</si>
  <si>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</si>
  <si>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</si>
  <si>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</si>
  <si>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</si>
  <si>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</si>
  <si>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</si>
  <si>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</si>
  <si>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</si>
  <si>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</si>
  <si>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</si>
  <si>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</si>
  <si>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</si>
  <si>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</si>
  <si>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</si>
  <si>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</si>
  <si>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</si>
  <si>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</si>
  <si>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</si>
  <si>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</si>
  <si>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</si>
  <si>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</si>
  <si>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</si>
  <si>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</si>
  <si>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</si>
  <si>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</si>
  <si>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</si>
  <si>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</si>
  <si>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</si>
  <si>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</si>
  <si>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</si>
  <si>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</si>
  <si>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</si>
  <si>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</si>
  <si>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</si>
  <si>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</si>
  <si>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</si>
  <si>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</si>
  <si>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</si>
  <si>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Khonani Davhana</t>
  </si>
  <si>
    <t>Implementation approach</t>
  </si>
  <si>
    <t>Refinement session</t>
  </si>
  <si>
    <t>Refinement with Grainger</t>
  </si>
  <si>
    <t>Meeting with Grainger backup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</si>
</sst>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68.465924652781" createdVersion="8" refreshedVersion="8" minRefreshableVersion="3" recordCount="66" xr:uid="{A25EFE4C-6BF0-4C44-BC25-0259407BAD0B}">
  <cacheSource type="worksheet">
    <worksheetSource ref="A1:AF67" sheet="Project Timesheets"/>
  </cacheSource>
  <cacheFields count="32">
    <cacheField name="Date" numFmtId="15">
      <sharedItems containsSemiMixedTypes="0" containsNonDate="0" containsDate="1" containsString="0" minDate="2024-05-20T00:00:00" maxDate="2024-06-20T00:00:00"/>
    </cacheField>
    <cacheField name="Person" numFmtId="0">
      <sharedItems count="6">
        <s v="Anjali Salecha"/>
        <s v="Carami Le Grange"/>
        <s v="Dillan Landsberg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60815"/>
    </cacheField>
    <cacheField name="Timecode Name" numFmtId="0">
      <sharedItems count="2">
        <s v="Build"/>
        <s v="Delivery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containsInteger="1" minValue="30" maxValue="960"/>
    </cacheField>
    <cacheField name="Invoiced Delta" numFmtId="0">
      <sharedItems containsString="0" containsBlank="1" containsNumber="1" minValue="7.5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6"/>
    </cacheField>
    <cacheField name="Month" numFmtId="0">
      <sharedItems count="2">
        <s v="May"/>
        <s v="J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m/>
    <m/>
    <m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m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m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m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m/>
    <s v="Deployment to UAT sandbox and post deployment config."/>
    <s v="Not submitted"/>
    <n v="6"/>
    <x v="1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m/>
    <s v="Time Report"/>
    <s v="Not submitted"/>
    <n v="6"/>
    <x v="1"/>
  </r>
  <r>
    <d v="2024-05-3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m/>
    <m/>
    <m/>
    <s v="GBP"/>
    <m/>
    <s v="Update GA-3 5 16"/>
    <s v="Not submitted"/>
    <n v="6"/>
    <x v="1"/>
  </r>
  <r>
    <d v="2024-05-2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5-20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m/>
    <m/>
    <m/>
    <s v="GBP"/>
    <m/>
    <s v="Meeting with Grainger backup team"/>
    <s v="Not submitted"/>
    <n v="6"/>
    <x v="1"/>
  </r>
  <r>
    <d v="2024-05-3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192DB-B9B0-4725-9001-452E477F78FF}" name="PivotTable1" cacheId="95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17" bestFit="1" customWidth="1"/>
    <col min="4" max="4" width="16.28515625" bestFit="1" customWidth="1"/>
    <col min="5" max="6" width="10.5703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 thickBot="1">
      <c r="A4" s="4" t="s">
        <v>9</v>
      </c>
      <c r="B4" s="4" t="s">
        <v>10</v>
      </c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H5" s="9" t="s">
        <v>16</v>
      </c>
      <c r="I5" s="10" t="s">
        <v>18</v>
      </c>
      <c r="J5" s="11" t="s">
        <v>19</v>
      </c>
      <c r="K5" s="11" t="s">
        <v>20</v>
      </c>
    </row>
    <row r="6" spans="1:13" ht="15" thickBot="1">
      <c r="A6" s="5" t="s">
        <v>21</v>
      </c>
      <c r="B6" s="18">
        <v>3.5</v>
      </c>
      <c r="C6" s="18">
        <v>3.5</v>
      </c>
      <c r="H6" s="9" t="s">
        <v>22</v>
      </c>
      <c r="I6" s="20" t="s">
        <v>23</v>
      </c>
      <c r="J6" s="11" t="s">
        <v>24</v>
      </c>
      <c r="K6" s="11" t="s">
        <v>25</v>
      </c>
    </row>
    <row r="7" spans="1:13" ht="15" thickBot="1">
      <c r="A7" s="5" t="s">
        <v>26</v>
      </c>
      <c r="B7" s="18">
        <v>52</v>
      </c>
      <c r="C7" s="18">
        <v>52</v>
      </c>
      <c r="H7" s="9" t="s">
        <v>27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28</v>
      </c>
      <c r="B8" s="18">
        <v>0.5</v>
      </c>
      <c r="C8" s="18">
        <v>0.5</v>
      </c>
      <c r="H8" s="9" t="s">
        <v>29</v>
      </c>
      <c r="I8" s="10" t="s">
        <v>30</v>
      </c>
      <c r="J8" s="11" t="s">
        <v>31</v>
      </c>
      <c r="K8" s="11" t="s">
        <v>32</v>
      </c>
    </row>
    <row r="9" spans="1:13" ht="15" thickBot="1">
      <c r="A9" s="5" t="s">
        <v>33</v>
      </c>
      <c r="B9" s="18">
        <v>0.5</v>
      </c>
      <c r="C9" s="18">
        <v>0.5</v>
      </c>
      <c r="H9" s="12" t="s">
        <v>34</v>
      </c>
      <c r="I9" s="13" t="s">
        <v>35</v>
      </c>
      <c r="J9" s="14" t="s">
        <v>36</v>
      </c>
      <c r="K9" s="14" t="s">
        <v>37</v>
      </c>
      <c r="M9">
        <v>120</v>
      </c>
    </row>
    <row r="10" spans="1:13" ht="15.6" thickTop="1" thickBot="1">
      <c r="A10" s="5" t="s">
        <v>17</v>
      </c>
      <c r="B10" s="18">
        <v>56.5</v>
      </c>
      <c r="C10" s="18">
        <v>56.5</v>
      </c>
    </row>
    <row r="11" spans="1:13" ht="25.9" thickBot="1">
      <c r="C11"/>
      <c r="H11" s="8" t="s">
        <v>38</v>
      </c>
      <c r="I11" s="8" t="s">
        <v>39</v>
      </c>
      <c r="J11" s="8" t="s">
        <v>40</v>
      </c>
      <c r="K11" s="8" t="s">
        <v>41</v>
      </c>
    </row>
    <row r="12" spans="1:13">
      <c r="C12"/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C13"/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33" activePane="bottomLeft" state="frozen"/>
      <selection pane="bottomLeft"/>
    </sheetView>
  </sheetViews>
  <sheetFormatPr defaultRowHeight="14.45"/>
  <sheetData>
    <row r="1" spans="1:32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3</v>
      </c>
      <c r="S1" t="s">
        <v>59</v>
      </c>
      <c r="T1" t="s">
        <v>60</v>
      </c>
      <c r="U1" t="s">
        <v>6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s="3" t="s">
        <v>70</v>
      </c>
      <c r="AF1" s="3" t="s">
        <v>0</v>
      </c>
    </row>
    <row r="2" spans="1:32">
      <c r="A2" s="1">
        <v>45434</v>
      </c>
      <c r="B2" t="s">
        <v>26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33</v>
      </c>
      <c r="M2" t="s">
        <v>21</v>
      </c>
      <c r="N2" t="s">
        <v>21</v>
      </c>
      <c r="O2" t="s">
        <v>79</v>
      </c>
      <c r="P2">
        <v>250098</v>
      </c>
      <c r="Q2" t="s">
        <v>16</v>
      </c>
      <c r="R2" t="s">
        <v>4</v>
      </c>
      <c r="S2" t="s">
        <v>80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26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72</v>
      </c>
      <c r="L3" t="s">
        <v>33</v>
      </c>
      <c r="M3" t="s">
        <v>21</v>
      </c>
      <c r="N3" t="s">
        <v>21</v>
      </c>
      <c r="O3" t="s">
        <v>79</v>
      </c>
      <c r="P3">
        <v>251587</v>
      </c>
      <c r="Q3" t="s">
        <v>16</v>
      </c>
      <c r="R3" t="s">
        <v>4</v>
      </c>
      <c r="S3" t="s">
        <v>80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81</v>
      </c>
      <c r="AA3" t="s">
        <v>82</v>
      </c>
      <c r="AB3" t="s">
        <v>83</v>
      </c>
      <c r="AC3" t="s">
        <v>86</v>
      </c>
      <c r="AD3" t="s">
        <v>85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26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72</v>
      </c>
      <c r="L4" t="s">
        <v>33</v>
      </c>
      <c r="M4" t="s">
        <v>21</v>
      </c>
      <c r="N4" t="s">
        <v>21</v>
      </c>
      <c r="O4" t="s">
        <v>79</v>
      </c>
      <c r="P4">
        <v>251329</v>
      </c>
      <c r="Q4" t="s">
        <v>87</v>
      </c>
      <c r="R4" t="s">
        <v>88</v>
      </c>
      <c r="S4" t="s">
        <v>80</v>
      </c>
      <c r="T4">
        <v>0</v>
      </c>
      <c r="U4">
        <v>1</v>
      </c>
      <c r="V4" s="2">
        <v>4.1666666666666664E-2</v>
      </c>
      <c r="W4">
        <v>0</v>
      </c>
      <c r="AA4" t="s">
        <v>82</v>
      </c>
      <c r="AB4" t="s">
        <v>83</v>
      </c>
      <c r="AC4" t="s">
        <v>89</v>
      </c>
      <c r="AD4" t="s">
        <v>85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26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72</v>
      </c>
      <c r="L5" t="s">
        <v>33</v>
      </c>
      <c r="M5" t="s">
        <v>21</v>
      </c>
      <c r="N5" t="s">
        <v>21</v>
      </c>
      <c r="O5" t="s">
        <v>79</v>
      </c>
      <c r="P5">
        <v>251984</v>
      </c>
      <c r="Q5" t="s">
        <v>16</v>
      </c>
      <c r="R5" t="s">
        <v>4</v>
      </c>
      <c r="S5" t="s">
        <v>80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81</v>
      </c>
      <c r="AA5" t="s">
        <v>82</v>
      </c>
      <c r="AB5" t="s">
        <v>83</v>
      </c>
      <c r="AC5" t="s">
        <v>90</v>
      </c>
      <c r="AD5" t="s">
        <v>85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26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72</v>
      </c>
      <c r="L6" t="s">
        <v>33</v>
      </c>
      <c r="M6" t="s">
        <v>21</v>
      </c>
      <c r="N6" t="s">
        <v>21</v>
      </c>
      <c r="O6" t="s">
        <v>79</v>
      </c>
      <c r="P6">
        <v>252496</v>
      </c>
      <c r="Q6" t="s">
        <v>16</v>
      </c>
      <c r="R6" t="s">
        <v>4</v>
      </c>
      <c r="S6" t="s">
        <v>80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81</v>
      </c>
      <c r="AA6" t="s">
        <v>82</v>
      </c>
      <c r="AB6" t="s">
        <v>83</v>
      </c>
      <c r="AC6" t="s">
        <v>91</v>
      </c>
      <c r="AD6" t="s">
        <v>85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26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72</v>
      </c>
      <c r="L7" t="s">
        <v>33</v>
      </c>
      <c r="M7" t="s">
        <v>21</v>
      </c>
      <c r="N7" t="s">
        <v>21</v>
      </c>
      <c r="O7" t="s">
        <v>79</v>
      </c>
      <c r="P7">
        <v>252835</v>
      </c>
      <c r="Q7" t="s">
        <v>16</v>
      </c>
      <c r="R7" t="s">
        <v>4</v>
      </c>
      <c r="S7" t="s">
        <v>80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81</v>
      </c>
      <c r="AA7" t="s">
        <v>82</v>
      </c>
      <c r="AB7" t="s">
        <v>83</v>
      </c>
      <c r="AC7" t="s">
        <v>92</v>
      </c>
      <c r="AD7" t="s">
        <v>85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26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72</v>
      </c>
      <c r="L8" t="s">
        <v>33</v>
      </c>
      <c r="M8" t="s">
        <v>21</v>
      </c>
      <c r="N8" t="s">
        <v>21</v>
      </c>
      <c r="O8" t="s">
        <v>79</v>
      </c>
      <c r="P8">
        <v>253547</v>
      </c>
      <c r="Q8" t="s">
        <v>16</v>
      </c>
      <c r="R8" t="s">
        <v>4</v>
      </c>
      <c r="S8" t="s">
        <v>80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81</v>
      </c>
      <c r="AA8" t="s">
        <v>82</v>
      </c>
      <c r="AB8" t="s">
        <v>83</v>
      </c>
      <c r="AC8" t="s">
        <v>93</v>
      </c>
      <c r="AD8" t="s">
        <v>85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26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72</v>
      </c>
      <c r="L9" t="s">
        <v>33</v>
      </c>
      <c r="M9" t="s">
        <v>21</v>
      </c>
      <c r="N9" t="s">
        <v>21</v>
      </c>
      <c r="O9" t="s">
        <v>79</v>
      </c>
      <c r="P9">
        <v>253549</v>
      </c>
      <c r="Q9" t="s">
        <v>16</v>
      </c>
      <c r="R9" t="s">
        <v>4</v>
      </c>
      <c r="S9" t="s">
        <v>80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81</v>
      </c>
      <c r="AA9" t="s">
        <v>82</v>
      </c>
      <c r="AB9" t="s">
        <v>83</v>
      </c>
      <c r="AC9" t="s">
        <v>94</v>
      </c>
      <c r="AD9" t="s">
        <v>85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26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72</v>
      </c>
      <c r="L10" t="s">
        <v>33</v>
      </c>
      <c r="M10" t="s">
        <v>21</v>
      </c>
      <c r="N10" t="s">
        <v>21</v>
      </c>
      <c r="O10" t="s">
        <v>79</v>
      </c>
      <c r="P10">
        <v>254880</v>
      </c>
      <c r="Q10" t="s">
        <v>87</v>
      </c>
      <c r="R10" t="s">
        <v>88</v>
      </c>
      <c r="S10" t="s">
        <v>80</v>
      </c>
      <c r="T10">
        <v>0</v>
      </c>
      <c r="U10">
        <v>8</v>
      </c>
      <c r="V10" s="2">
        <v>0.33333333333333331</v>
      </c>
      <c r="W10">
        <v>0</v>
      </c>
      <c r="AA10" t="s">
        <v>82</v>
      </c>
      <c r="AB10" t="s">
        <v>83</v>
      </c>
      <c r="AC10" t="s">
        <v>95</v>
      </c>
      <c r="AD10" t="s">
        <v>85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26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72</v>
      </c>
      <c r="L11" t="s">
        <v>33</v>
      </c>
      <c r="M11" t="s">
        <v>21</v>
      </c>
      <c r="N11" t="s">
        <v>21</v>
      </c>
      <c r="O11" t="s">
        <v>79</v>
      </c>
      <c r="P11">
        <v>255588</v>
      </c>
      <c r="Q11" t="s">
        <v>16</v>
      </c>
      <c r="R11" t="s">
        <v>4</v>
      </c>
      <c r="S11" t="s">
        <v>80</v>
      </c>
      <c r="T11">
        <v>90</v>
      </c>
      <c r="U11">
        <v>8</v>
      </c>
      <c r="V11" s="2">
        <v>0.33333333333333331</v>
      </c>
      <c r="W11">
        <v>720</v>
      </c>
      <c r="AA11" t="s">
        <v>82</v>
      </c>
      <c r="AB11" t="s">
        <v>83</v>
      </c>
      <c r="AC11" t="s">
        <v>96</v>
      </c>
      <c r="AD11" t="s">
        <v>85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26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72</v>
      </c>
      <c r="L12" t="s">
        <v>33</v>
      </c>
      <c r="M12" t="s">
        <v>21</v>
      </c>
      <c r="N12" t="s">
        <v>21</v>
      </c>
      <c r="O12" t="s">
        <v>79</v>
      </c>
      <c r="P12">
        <v>255599</v>
      </c>
      <c r="Q12" t="s">
        <v>87</v>
      </c>
      <c r="R12" t="s">
        <v>88</v>
      </c>
      <c r="S12" t="s">
        <v>80</v>
      </c>
      <c r="T12">
        <v>0</v>
      </c>
      <c r="U12">
        <v>7</v>
      </c>
      <c r="V12" s="2">
        <v>0.29166666666666669</v>
      </c>
      <c r="W12">
        <v>0</v>
      </c>
      <c r="AA12" t="s">
        <v>82</v>
      </c>
      <c r="AB12" t="s">
        <v>83</v>
      </c>
      <c r="AC12" t="s">
        <v>97</v>
      </c>
      <c r="AD12" t="s">
        <v>85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26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  <c r="K13" t="s">
        <v>72</v>
      </c>
      <c r="L13" t="s">
        <v>33</v>
      </c>
      <c r="M13" t="s">
        <v>21</v>
      </c>
      <c r="N13" t="s">
        <v>21</v>
      </c>
      <c r="O13" t="s">
        <v>79</v>
      </c>
      <c r="P13">
        <v>256084</v>
      </c>
      <c r="Q13" t="s">
        <v>87</v>
      </c>
      <c r="R13" t="s">
        <v>88</v>
      </c>
      <c r="S13" t="s">
        <v>80</v>
      </c>
      <c r="T13">
        <v>0</v>
      </c>
      <c r="U13">
        <v>7</v>
      </c>
      <c r="V13" s="2">
        <v>0.29166666666666669</v>
      </c>
      <c r="W13">
        <v>0</v>
      </c>
      <c r="AA13" t="s">
        <v>82</v>
      </c>
      <c r="AB13" t="s">
        <v>83</v>
      </c>
      <c r="AC13" t="s">
        <v>98</v>
      </c>
      <c r="AD13" t="s">
        <v>85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26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78</v>
      </c>
      <c r="K14" t="s">
        <v>72</v>
      </c>
      <c r="L14" t="s">
        <v>33</v>
      </c>
      <c r="M14" t="s">
        <v>21</v>
      </c>
      <c r="N14" t="s">
        <v>21</v>
      </c>
      <c r="O14" t="s">
        <v>79</v>
      </c>
      <c r="P14">
        <v>256525</v>
      </c>
      <c r="Q14" t="s">
        <v>87</v>
      </c>
      <c r="R14" t="s">
        <v>88</v>
      </c>
      <c r="S14" t="s">
        <v>80</v>
      </c>
      <c r="T14">
        <v>0</v>
      </c>
      <c r="U14">
        <v>5</v>
      </c>
      <c r="V14" s="2">
        <v>0.20833333333333334</v>
      </c>
      <c r="W14">
        <v>0</v>
      </c>
      <c r="AA14" t="s">
        <v>82</v>
      </c>
      <c r="AB14" t="s">
        <v>83</v>
      </c>
      <c r="AC14" t="s">
        <v>99</v>
      </c>
      <c r="AD14" t="s">
        <v>85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26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72</v>
      </c>
      <c r="L15" t="s">
        <v>33</v>
      </c>
      <c r="M15" t="s">
        <v>21</v>
      </c>
      <c r="N15" t="s">
        <v>21</v>
      </c>
      <c r="O15" t="s">
        <v>79</v>
      </c>
      <c r="P15">
        <v>257753</v>
      </c>
      <c r="Q15" t="s">
        <v>87</v>
      </c>
      <c r="R15" t="s">
        <v>88</v>
      </c>
      <c r="S15" t="s">
        <v>80</v>
      </c>
      <c r="T15">
        <v>0</v>
      </c>
      <c r="U15">
        <v>6.5</v>
      </c>
      <c r="V15" s="2">
        <v>0.27083333333333331</v>
      </c>
      <c r="W15">
        <v>0</v>
      </c>
      <c r="AA15" t="s">
        <v>82</v>
      </c>
      <c r="AB15" t="s">
        <v>83</v>
      </c>
      <c r="AC15" t="s">
        <v>100</v>
      </c>
      <c r="AD15" t="s">
        <v>85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26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72</v>
      </c>
      <c r="L16" t="s">
        <v>33</v>
      </c>
      <c r="M16" t="s">
        <v>21</v>
      </c>
      <c r="N16" t="s">
        <v>21</v>
      </c>
      <c r="O16" t="s">
        <v>79</v>
      </c>
      <c r="P16">
        <v>257970</v>
      </c>
      <c r="Q16" t="s">
        <v>87</v>
      </c>
      <c r="R16" t="s">
        <v>88</v>
      </c>
      <c r="S16" t="s">
        <v>80</v>
      </c>
      <c r="T16">
        <v>0</v>
      </c>
      <c r="U16">
        <v>1.5</v>
      </c>
      <c r="V16" s="2">
        <v>6.25E-2</v>
      </c>
      <c r="W16">
        <v>0</v>
      </c>
      <c r="AA16" t="s">
        <v>82</v>
      </c>
      <c r="AB16" t="s">
        <v>83</v>
      </c>
      <c r="AC16" t="s">
        <v>101</v>
      </c>
      <c r="AD16" t="s">
        <v>85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26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72</v>
      </c>
      <c r="L17" t="s">
        <v>33</v>
      </c>
      <c r="M17" t="s">
        <v>21</v>
      </c>
      <c r="N17" t="s">
        <v>21</v>
      </c>
      <c r="O17" t="s">
        <v>79</v>
      </c>
      <c r="P17">
        <v>257752</v>
      </c>
      <c r="Q17" t="s">
        <v>87</v>
      </c>
      <c r="R17" t="s">
        <v>88</v>
      </c>
      <c r="S17" t="s">
        <v>80</v>
      </c>
      <c r="T17">
        <v>0</v>
      </c>
      <c r="U17">
        <v>8</v>
      </c>
      <c r="V17" s="2">
        <v>0.33333333333333331</v>
      </c>
      <c r="W17">
        <v>0</v>
      </c>
      <c r="AA17" t="s">
        <v>82</v>
      </c>
      <c r="AB17" t="s">
        <v>83</v>
      </c>
      <c r="AC17" t="s">
        <v>102</v>
      </c>
      <c r="AD17" t="s">
        <v>85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26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72</v>
      </c>
      <c r="L18" t="s">
        <v>33</v>
      </c>
      <c r="M18" t="s">
        <v>21</v>
      </c>
      <c r="N18" t="s">
        <v>21</v>
      </c>
      <c r="O18" t="s">
        <v>79</v>
      </c>
      <c r="P18">
        <v>258715</v>
      </c>
      <c r="Q18" t="s">
        <v>87</v>
      </c>
      <c r="R18" t="s">
        <v>88</v>
      </c>
      <c r="S18" t="s">
        <v>80</v>
      </c>
      <c r="T18">
        <v>0</v>
      </c>
      <c r="U18">
        <v>3.5</v>
      </c>
      <c r="V18" s="2">
        <v>0.14583333333333334</v>
      </c>
      <c r="W18">
        <v>0</v>
      </c>
      <c r="AA18" t="s">
        <v>82</v>
      </c>
      <c r="AB18" t="s">
        <v>83</v>
      </c>
      <c r="AC18" t="s">
        <v>103</v>
      </c>
      <c r="AD18" t="s">
        <v>85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26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72</v>
      </c>
      <c r="L19" t="s">
        <v>33</v>
      </c>
      <c r="M19" t="s">
        <v>21</v>
      </c>
      <c r="N19" t="s">
        <v>21</v>
      </c>
      <c r="O19" t="s">
        <v>79</v>
      </c>
      <c r="P19">
        <v>258716</v>
      </c>
      <c r="Q19" t="s">
        <v>87</v>
      </c>
      <c r="R19" t="s">
        <v>88</v>
      </c>
      <c r="S19" t="s">
        <v>80</v>
      </c>
      <c r="T19">
        <v>0</v>
      </c>
      <c r="U19">
        <v>1.5</v>
      </c>
      <c r="V19" s="2">
        <v>6.25E-2</v>
      </c>
      <c r="W19">
        <v>0</v>
      </c>
      <c r="AA19" t="s">
        <v>82</v>
      </c>
      <c r="AB19" t="s">
        <v>83</v>
      </c>
      <c r="AC19" t="s">
        <v>104</v>
      </c>
      <c r="AD19" t="s">
        <v>85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26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72</v>
      </c>
      <c r="L20" t="s">
        <v>33</v>
      </c>
      <c r="M20" t="s">
        <v>21</v>
      </c>
      <c r="N20" t="s">
        <v>21</v>
      </c>
      <c r="O20" t="s">
        <v>79</v>
      </c>
      <c r="P20">
        <v>259863</v>
      </c>
      <c r="Q20" t="s">
        <v>87</v>
      </c>
      <c r="R20" t="s">
        <v>88</v>
      </c>
      <c r="S20" t="s">
        <v>80</v>
      </c>
      <c r="T20">
        <v>0</v>
      </c>
      <c r="U20">
        <v>5</v>
      </c>
      <c r="V20" s="2">
        <v>0.20833333333333334</v>
      </c>
      <c r="W20">
        <v>0</v>
      </c>
      <c r="AA20" t="s">
        <v>82</v>
      </c>
      <c r="AC20" t="s">
        <v>105</v>
      </c>
      <c r="AD20" t="s">
        <v>85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26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72</v>
      </c>
      <c r="L21" t="s">
        <v>33</v>
      </c>
      <c r="M21" t="s">
        <v>21</v>
      </c>
      <c r="N21" t="s">
        <v>21</v>
      </c>
      <c r="O21" t="s">
        <v>79</v>
      </c>
      <c r="P21">
        <v>259858</v>
      </c>
      <c r="Q21" t="s">
        <v>87</v>
      </c>
      <c r="R21" t="s">
        <v>88</v>
      </c>
      <c r="S21" t="s">
        <v>80</v>
      </c>
      <c r="T21">
        <v>0</v>
      </c>
      <c r="U21">
        <v>8</v>
      </c>
      <c r="V21" s="2">
        <v>0.33333333333333331</v>
      </c>
      <c r="W21">
        <v>0</v>
      </c>
      <c r="AA21" t="s">
        <v>82</v>
      </c>
      <c r="AC21" t="s">
        <v>106</v>
      </c>
      <c r="AD21" t="s">
        <v>85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26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72</v>
      </c>
      <c r="L22" t="s">
        <v>33</v>
      </c>
      <c r="M22" t="s">
        <v>21</v>
      </c>
      <c r="N22" t="s">
        <v>21</v>
      </c>
      <c r="O22" t="s">
        <v>79</v>
      </c>
      <c r="P22">
        <v>260525</v>
      </c>
      <c r="Q22" t="s">
        <v>87</v>
      </c>
      <c r="R22" t="s">
        <v>88</v>
      </c>
      <c r="S22" t="s">
        <v>80</v>
      </c>
      <c r="T22">
        <v>0</v>
      </c>
      <c r="U22">
        <v>7</v>
      </c>
      <c r="V22" s="2">
        <v>0.29166666666666669</v>
      </c>
      <c r="W22">
        <v>0</v>
      </c>
      <c r="AA22" t="s">
        <v>82</v>
      </c>
      <c r="AC22" t="s">
        <v>107</v>
      </c>
      <c r="AD22" t="s">
        <v>85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26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72</v>
      </c>
      <c r="L23" t="s">
        <v>33</v>
      </c>
      <c r="M23" t="s">
        <v>21</v>
      </c>
      <c r="N23" t="s">
        <v>21</v>
      </c>
      <c r="O23" t="s">
        <v>79</v>
      </c>
      <c r="P23">
        <v>260815</v>
      </c>
      <c r="Q23" t="s">
        <v>87</v>
      </c>
      <c r="R23" t="s">
        <v>88</v>
      </c>
      <c r="S23" t="s">
        <v>80</v>
      </c>
      <c r="T23">
        <v>0</v>
      </c>
      <c r="U23">
        <v>1.5</v>
      </c>
      <c r="V23" s="2">
        <v>6.25E-2</v>
      </c>
      <c r="W23">
        <v>0</v>
      </c>
      <c r="AA23" t="s">
        <v>82</v>
      </c>
      <c r="AC23" t="s">
        <v>108</v>
      </c>
      <c r="AD23" t="s">
        <v>85</v>
      </c>
      <c r="AE23">
        <f t="shared" si="0"/>
        <v>6</v>
      </c>
      <c r="AF23" t="str">
        <f t="shared" si="1"/>
        <v>June</v>
      </c>
    </row>
    <row r="24" spans="1:32">
      <c r="A24" s="1">
        <v>45432</v>
      </c>
      <c r="B24" t="s">
        <v>109</v>
      </c>
      <c r="C24" t="s">
        <v>110</v>
      </c>
      <c r="D24" t="s">
        <v>72</v>
      </c>
      <c r="E24" t="s">
        <v>111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72</v>
      </c>
      <c r="L24" t="s">
        <v>33</v>
      </c>
      <c r="M24" t="s">
        <v>21</v>
      </c>
      <c r="N24" t="s">
        <v>112</v>
      </c>
      <c r="O24" t="s">
        <v>79</v>
      </c>
      <c r="P24">
        <v>249451</v>
      </c>
      <c r="Q24" t="s">
        <v>87</v>
      </c>
      <c r="R24" t="s">
        <v>88</v>
      </c>
      <c r="S24" t="s">
        <v>80</v>
      </c>
      <c r="T24">
        <v>0</v>
      </c>
      <c r="U24">
        <v>0.75</v>
      </c>
      <c r="V24" s="2">
        <v>3.125E-2</v>
      </c>
      <c r="W24">
        <v>0</v>
      </c>
      <c r="AA24" t="s">
        <v>82</v>
      </c>
      <c r="AB24" t="s">
        <v>83</v>
      </c>
      <c r="AC24" t="s">
        <v>113</v>
      </c>
      <c r="AD24" t="s">
        <v>85</v>
      </c>
      <c r="AE24">
        <f t="shared" si="0"/>
        <v>5</v>
      </c>
      <c r="AF24" t="str">
        <f t="shared" si="1"/>
        <v>May</v>
      </c>
    </row>
    <row r="25" spans="1:32">
      <c r="A25" s="1">
        <v>45436</v>
      </c>
      <c r="B25" t="s">
        <v>109</v>
      </c>
      <c r="C25" t="s">
        <v>110</v>
      </c>
      <c r="D25" t="s">
        <v>72</v>
      </c>
      <c r="E25" t="s">
        <v>111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72</v>
      </c>
      <c r="L25" t="s">
        <v>33</v>
      </c>
      <c r="M25" t="s">
        <v>21</v>
      </c>
      <c r="N25" t="s">
        <v>112</v>
      </c>
      <c r="O25" t="s">
        <v>79</v>
      </c>
      <c r="P25">
        <v>251387</v>
      </c>
      <c r="Q25" t="s">
        <v>87</v>
      </c>
      <c r="R25" t="s">
        <v>88</v>
      </c>
      <c r="S25" t="s">
        <v>80</v>
      </c>
      <c r="T25">
        <v>0</v>
      </c>
      <c r="U25">
        <v>1</v>
      </c>
      <c r="V25" s="2">
        <v>4.1666666666666664E-2</v>
      </c>
      <c r="W25">
        <v>0</v>
      </c>
      <c r="AA25" t="s">
        <v>82</v>
      </c>
      <c r="AB25" t="s">
        <v>83</v>
      </c>
      <c r="AC25" t="s">
        <v>114</v>
      </c>
      <c r="AD25" t="s">
        <v>85</v>
      </c>
      <c r="AE25">
        <f t="shared" si="0"/>
        <v>5</v>
      </c>
      <c r="AF25" t="str">
        <f t="shared" si="1"/>
        <v>May</v>
      </c>
    </row>
    <row r="26" spans="1:32">
      <c r="A26" s="1">
        <v>45440</v>
      </c>
      <c r="B26" t="s">
        <v>109</v>
      </c>
      <c r="C26" t="s">
        <v>110</v>
      </c>
      <c r="D26" t="s">
        <v>72</v>
      </c>
      <c r="E26" t="s">
        <v>111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72</v>
      </c>
      <c r="L26" t="s">
        <v>33</v>
      </c>
      <c r="M26" t="s">
        <v>21</v>
      </c>
      <c r="N26" t="s">
        <v>112</v>
      </c>
      <c r="O26" t="s">
        <v>79</v>
      </c>
      <c r="P26">
        <v>252336</v>
      </c>
      <c r="Q26" t="s">
        <v>87</v>
      </c>
      <c r="R26" t="s">
        <v>88</v>
      </c>
      <c r="S26" t="s">
        <v>80</v>
      </c>
      <c r="T26">
        <v>0</v>
      </c>
      <c r="U26">
        <v>0.25</v>
      </c>
      <c r="V26" s="2">
        <v>1.0416666666666666E-2</v>
      </c>
      <c r="W26">
        <v>0</v>
      </c>
      <c r="AA26" t="s">
        <v>82</v>
      </c>
      <c r="AB26" t="s">
        <v>83</v>
      </c>
      <c r="AC26" t="s">
        <v>115</v>
      </c>
      <c r="AD26" t="s">
        <v>85</v>
      </c>
      <c r="AE26">
        <f t="shared" si="0"/>
        <v>5</v>
      </c>
      <c r="AF26" t="str">
        <f t="shared" si="1"/>
        <v>May</v>
      </c>
    </row>
    <row r="27" spans="1:32">
      <c r="A27" s="1">
        <v>45448</v>
      </c>
      <c r="B27" t="s">
        <v>109</v>
      </c>
      <c r="C27" t="s">
        <v>110</v>
      </c>
      <c r="D27" t="s">
        <v>72</v>
      </c>
      <c r="E27" t="s">
        <v>111</v>
      </c>
      <c r="F27" t="s">
        <v>74</v>
      </c>
      <c r="G27" t="s">
        <v>75</v>
      </c>
      <c r="H27" t="s">
        <v>76</v>
      </c>
      <c r="I27" t="s">
        <v>77</v>
      </c>
      <c r="J27" t="s">
        <v>78</v>
      </c>
      <c r="K27" t="s">
        <v>72</v>
      </c>
      <c r="L27" t="s">
        <v>33</v>
      </c>
      <c r="M27" t="s">
        <v>21</v>
      </c>
      <c r="N27" t="s">
        <v>112</v>
      </c>
      <c r="O27" t="s">
        <v>79</v>
      </c>
      <c r="P27">
        <v>255783</v>
      </c>
      <c r="Q27" t="s">
        <v>87</v>
      </c>
      <c r="R27" t="s">
        <v>88</v>
      </c>
      <c r="S27" t="s">
        <v>80</v>
      </c>
      <c r="T27">
        <v>0</v>
      </c>
      <c r="U27">
        <v>0.5</v>
      </c>
      <c r="V27" s="2">
        <v>2.0833333333333332E-2</v>
      </c>
      <c r="W27">
        <v>0</v>
      </c>
      <c r="AA27" t="s">
        <v>82</v>
      </c>
      <c r="AB27" t="s">
        <v>83</v>
      </c>
      <c r="AC27" t="s">
        <v>116</v>
      </c>
      <c r="AD27" t="s">
        <v>85</v>
      </c>
      <c r="AE27">
        <f t="shared" si="0"/>
        <v>6</v>
      </c>
      <c r="AF27" t="str">
        <f t="shared" si="1"/>
        <v>June</v>
      </c>
    </row>
    <row r="28" spans="1:32">
      <c r="A28" s="1">
        <v>45453</v>
      </c>
      <c r="B28" t="s">
        <v>109</v>
      </c>
      <c r="C28" t="s">
        <v>110</v>
      </c>
      <c r="D28" t="s">
        <v>72</v>
      </c>
      <c r="E28" t="s">
        <v>111</v>
      </c>
      <c r="F28" t="s">
        <v>74</v>
      </c>
      <c r="G28" t="s">
        <v>75</v>
      </c>
      <c r="H28" t="s">
        <v>76</v>
      </c>
      <c r="I28" t="s">
        <v>77</v>
      </c>
      <c r="J28" t="s">
        <v>78</v>
      </c>
      <c r="K28" t="s">
        <v>72</v>
      </c>
      <c r="L28" t="s">
        <v>33</v>
      </c>
      <c r="M28" t="s">
        <v>21</v>
      </c>
      <c r="N28" t="s">
        <v>112</v>
      </c>
      <c r="O28" t="s">
        <v>79</v>
      </c>
      <c r="P28">
        <v>257333</v>
      </c>
      <c r="Q28" t="s">
        <v>87</v>
      </c>
      <c r="R28" t="s">
        <v>88</v>
      </c>
      <c r="S28" t="s">
        <v>80</v>
      </c>
      <c r="T28">
        <v>0</v>
      </c>
      <c r="U28">
        <v>0.25</v>
      </c>
      <c r="V28" s="2">
        <v>1.0416666666666666E-2</v>
      </c>
      <c r="W28">
        <v>0</v>
      </c>
      <c r="AA28" t="s">
        <v>82</v>
      </c>
      <c r="AB28" t="s">
        <v>83</v>
      </c>
      <c r="AC28" t="s">
        <v>115</v>
      </c>
      <c r="AD28" t="s">
        <v>85</v>
      </c>
      <c r="AE28">
        <f t="shared" si="0"/>
        <v>6</v>
      </c>
      <c r="AF28" t="str">
        <f t="shared" si="1"/>
        <v>June</v>
      </c>
    </row>
    <row r="29" spans="1:32">
      <c r="A29" s="1">
        <v>45461</v>
      </c>
      <c r="B29" t="s">
        <v>109</v>
      </c>
      <c r="C29" t="s">
        <v>110</v>
      </c>
      <c r="D29" t="s">
        <v>72</v>
      </c>
      <c r="E29" t="s">
        <v>111</v>
      </c>
      <c r="F29" t="s">
        <v>74</v>
      </c>
      <c r="G29" t="s">
        <v>75</v>
      </c>
      <c r="H29" t="s">
        <v>76</v>
      </c>
      <c r="I29" t="s">
        <v>77</v>
      </c>
      <c r="J29" t="s">
        <v>78</v>
      </c>
      <c r="K29" t="s">
        <v>72</v>
      </c>
      <c r="L29" t="s">
        <v>33</v>
      </c>
      <c r="M29" t="s">
        <v>21</v>
      </c>
      <c r="N29" t="s">
        <v>112</v>
      </c>
      <c r="O29" t="s">
        <v>79</v>
      </c>
      <c r="P29">
        <v>260427</v>
      </c>
      <c r="Q29" t="s">
        <v>87</v>
      </c>
      <c r="R29" t="s">
        <v>88</v>
      </c>
      <c r="S29" t="s">
        <v>80</v>
      </c>
      <c r="T29">
        <v>0</v>
      </c>
      <c r="U29">
        <v>0.25</v>
      </c>
      <c r="V29" s="2">
        <v>1.0416666666666666E-2</v>
      </c>
      <c r="W29">
        <v>0</v>
      </c>
      <c r="AA29" t="s">
        <v>82</v>
      </c>
      <c r="AC29" t="s">
        <v>115</v>
      </c>
      <c r="AD29" t="s">
        <v>85</v>
      </c>
      <c r="AE29">
        <f t="shared" si="0"/>
        <v>6</v>
      </c>
      <c r="AF29" t="str">
        <f t="shared" si="1"/>
        <v>June</v>
      </c>
    </row>
    <row r="30" spans="1:32">
      <c r="A30" s="1">
        <v>45443</v>
      </c>
      <c r="B30" t="s">
        <v>28</v>
      </c>
      <c r="C30" t="s">
        <v>110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  <c r="J30" t="s">
        <v>78</v>
      </c>
      <c r="K30" t="s">
        <v>72</v>
      </c>
      <c r="L30" t="s">
        <v>33</v>
      </c>
      <c r="M30" t="s">
        <v>21</v>
      </c>
      <c r="N30" t="s">
        <v>21</v>
      </c>
      <c r="O30" t="s">
        <v>79</v>
      </c>
      <c r="P30">
        <v>253990</v>
      </c>
      <c r="Q30" t="s">
        <v>87</v>
      </c>
      <c r="R30" t="s">
        <v>88</v>
      </c>
      <c r="S30" t="s">
        <v>80</v>
      </c>
      <c r="T30">
        <v>0</v>
      </c>
      <c r="U30">
        <v>1.5</v>
      </c>
      <c r="V30" s="2">
        <v>6.25E-2</v>
      </c>
      <c r="W30">
        <v>0</v>
      </c>
      <c r="AA30" t="s">
        <v>82</v>
      </c>
      <c r="AB30" t="s">
        <v>83</v>
      </c>
      <c r="AC30" t="e">
        <f ca="1">- GDPR session with Anjali _xludf.and Khonani _xludf.for QA - Create test data _xludf.for QA</f>
        <v>#NAME?</v>
      </c>
      <c r="AD30" t="s">
        <v>85</v>
      </c>
      <c r="AE30">
        <f t="shared" si="0"/>
        <v>5</v>
      </c>
      <c r="AF30" t="str">
        <f t="shared" si="1"/>
        <v>May</v>
      </c>
    </row>
    <row r="31" spans="1:32">
      <c r="A31" s="1">
        <v>45446</v>
      </c>
      <c r="B31" t="s">
        <v>28</v>
      </c>
      <c r="C31" t="s">
        <v>110</v>
      </c>
      <c r="D31" t="s">
        <v>72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  <c r="J31" t="s">
        <v>78</v>
      </c>
      <c r="K31" t="s">
        <v>72</v>
      </c>
      <c r="L31" t="s">
        <v>33</v>
      </c>
      <c r="M31" t="s">
        <v>21</v>
      </c>
      <c r="N31" t="s">
        <v>21</v>
      </c>
      <c r="O31" t="s">
        <v>79</v>
      </c>
      <c r="P31">
        <v>254953</v>
      </c>
      <c r="Q31" t="s">
        <v>87</v>
      </c>
      <c r="R31" t="s">
        <v>88</v>
      </c>
      <c r="S31" t="s">
        <v>80</v>
      </c>
      <c r="T31">
        <v>0</v>
      </c>
      <c r="U31">
        <v>0.5</v>
      </c>
      <c r="V31" s="2">
        <v>2.0833333333333332E-2</v>
      </c>
      <c r="W31">
        <v>0</v>
      </c>
      <c r="AA31" t="s">
        <v>82</v>
      </c>
      <c r="AB31" t="s">
        <v>83</v>
      </c>
      <c r="AC31" t="s">
        <v>117</v>
      </c>
      <c r="AD31" t="s">
        <v>85</v>
      </c>
      <c r="AE31">
        <f t="shared" si="0"/>
        <v>6</v>
      </c>
      <c r="AF31" t="str">
        <f t="shared" si="1"/>
        <v>June</v>
      </c>
    </row>
    <row r="32" spans="1:32">
      <c r="A32" s="1">
        <v>45447</v>
      </c>
      <c r="B32" t="s">
        <v>28</v>
      </c>
      <c r="C32" t="s">
        <v>110</v>
      </c>
      <c r="D32" t="s">
        <v>72</v>
      </c>
      <c r="E32" t="s">
        <v>73</v>
      </c>
      <c r="F32" t="s">
        <v>74</v>
      </c>
      <c r="G32" t="s">
        <v>75</v>
      </c>
      <c r="H32" t="s">
        <v>76</v>
      </c>
      <c r="I32" t="s">
        <v>77</v>
      </c>
      <c r="J32" t="s">
        <v>78</v>
      </c>
      <c r="K32" t="s">
        <v>72</v>
      </c>
      <c r="L32" t="s">
        <v>33</v>
      </c>
      <c r="M32" t="s">
        <v>21</v>
      </c>
      <c r="N32" t="s">
        <v>21</v>
      </c>
      <c r="O32" t="s">
        <v>79</v>
      </c>
      <c r="P32">
        <v>254951</v>
      </c>
      <c r="Q32" t="s">
        <v>87</v>
      </c>
      <c r="R32" t="s">
        <v>88</v>
      </c>
      <c r="S32" t="s">
        <v>80</v>
      </c>
      <c r="T32">
        <v>0</v>
      </c>
      <c r="U32">
        <v>0.25</v>
      </c>
      <c r="V32" s="2">
        <v>1.0416666666666666E-2</v>
      </c>
      <c r="W32">
        <v>0</v>
      </c>
      <c r="AA32" t="s">
        <v>82</v>
      </c>
      <c r="AB32" t="s">
        <v>83</v>
      </c>
      <c r="AC32" t="s">
        <v>118</v>
      </c>
      <c r="AD32" t="s">
        <v>85</v>
      </c>
      <c r="AE32">
        <f t="shared" si="0"/>
        <v>6</v>
      </c>
      <c r="AF32" t="str">
        <f t="shared" si="1"/>
        <v>June</v>
      </c>
    </row>
    <row r="33" spans="1:32">
      <c r="A33" s="1">
        <v>45448</v>
      </c>
      <c r="B33" t="s">
        <v>28</v>
      </c>
      <c r="C33" t="s">
        <v>110</v>
      </c>
      <c r="D33" t="s">
        <v>72</v>
      </c>
      <c r="E33" t="s">
        <v>73</v>
      </c>
      <c r="F33" t="s">
        <v>74</v>
      </c>
      <c r="G33" t="s">
        <v>75</v>
      </c>
      <c r="H33" t="s">
        <v>76</v>
      </c>
      <c r="I33" t="s">
        <v>77</v>
      </c>
      <c r="J33" t="s">
        <v>78</v>
      </c>
      <c r="K33" t="s">
        <v>72</v>
      </c>
      <c r="L33" t="s">
        <v>33</v>
      </c>
      <c r="M33" t="s">
        <v>21</v>
      </c>
      <c r="N33" t="s">
        <v>21</v>
      </c>
      <c r="O33" t="s">
        <v>79</v>
      </c>
      <c r="P33">
        <v>255687</v>
      </c>
      <c r="Q33" t="s">
        <v>87</v>
      </c>
      <c r="R33" t="s">
        <v>88</v>
      </c>
      <c r="S33" t="s">
        <v>80</v>
      </c>
      <c r="T33">
        <v>0</v>
      </c>
      <c r="U33">
        <v>0.5</v>
      </c>
      <c r="V33" s="2">
        <v>2.0833333333333332E-2</v>
      </c>
      <c r="W33">
        <v>0</v>
      </c>
      <c r="AA33" t="s">
        <v>82</v>
      </c>
      <c r="AB33" t="s">
        <v>83</v>
      </c>
      <c r="AC33" t="s">
        <v>119</v>
      </c>
      <c r="AD33" t="s">
        <v>85</v>
      </c>
      <c r="AE33">
        <f t="shared" si="0"/>
        <v>6</v>
      </c>
      <c r="AF33" t="str">
        <f t="shared" si="1"/>
        <v>June</v>
      </c>
    </row>
    <row r="34" spans="1:32">
      <c r="A34" s="1">
        <v>45448</v>
      </c>
      <c r="B34" t="s">
        <v>28</v>
      </c>
      <c r="C34" t="s">
        <v>110</v>
      </c>
      <c r="D34" t="s">
        <v>72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  <c r="J34" t="s">
        <v>78</v>
      </c>
      <c r="K34" t="s">
        <v>72</v>
      </c>
      <c r="L34" t="s">
        <v>33</v>
      </c>
      <c r="M34" t="s">
        <v>21</v>
      </c>
      <c r="N34" t="s">
        <v>21</v>
      </c>
      <c r="O34" t="s">
        <v>79</v>
      </c>
      <c r="P34">
        <v>255688</v>
      </c>
      <c r="Q34" t="s">
        <v>87</v>
      </c>
      <c r="R34" t="s">
        <v>88</v>
      </c>
      <c r="S34" t="s">
        <v>80</v>
      </c>
      <c r="T34">
        <v>0</v>
      </c>
      <c r="U34">
        <v>2.5</v>
      </c>
      <c r="V34" s="2">
        <v>0.10416666666666667</v>
      </c>
      <c r="W34">
        <v>0</v>
      </c>
      <c r="AA34" t="s">
        <v>82</v>
      </c>
      <c r="AB34" t="s">
        <v>83</v>
      </c>
      <c r="AC34" t="s">
        <v>120</v>
      </c>
      <c r="AD34" t="s">
        <v>85</v>
      </c>
      <c r="AE34">
        <f t="shared" si="0"/>
        <v>6</v>
      </c>
      <c r="AF34" t="str">
        <f t="shared" si="1"/>
        <v>June</v>
      </c>
    </row>
    <row r="35" spans="1:32">
      <c r="A35" s="1">
        <v>45450</v>
      </c>
      <c r="B35" t="s">
        <v>28</v>
      </c>
      <c r="C35" t="s">
        <v>110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  <c r="J35" t="s">
        <v>78</v>
      </c>
      <c r="K35" t="s">
        <v>72</v>
      </c>
      <c r="L35" t="s">
        <v>33</v>
      </c>
      <c r="M35" t="s">
        <v>21</v>
      </c>
      <c r="N35" t="s">
        <v>21</v>
      </c>
      <c r="O35" t="s">
        <v>79</v>
      </c>
      <c r="P35">
        <v>256845</v>
      </c>
      <c r="Q35" t="s">
        <v>87</v>
      </c>
      <c r="R35" t="s">
        <v>88</v>
      </c>
      <c r="S35" t="s">
        <v>80</v>
      </c>
      <c r="T35">
        <v>0</v>
      </c>
      <c r="U35">
        <v>1</v>
      </c>
      <c r="V35" s="2">
        <v>4.1666666666666664E-2</v>
      </c>
      <c r="W35">
        <v>0</v>
      </c>
      <c r="AA35" t="s">
        <v>82</v>
      </c>
      <c r="AB35" t="s">
        <v>83</v>
      </c>
      <c r="AC35" t="s">
        <v>120</v>
      </c>
      <c r="AD35" t="s">
        <v>85</v>
      </c>
      <c r="AE35">
        <f t="shared" si="0"/>
        <v>6</v>
      </c>
      <c r="AF35" t="str">
        <f t="shared" si="1"/>
        <v>June</v>
      </c>
    </row>
    <row r="36" spans="1:32">
      <c r="A36" s="1">
        <v>45453</v>
      </c>
      <c r="B36" t="s">
        <v>28</v>
      </c>
      <c r="C36" t="s">
        <v>110</v>
      </c>
      <c r="D36" t="s">
        <v>72</v>
      </c>
      <c r="E36" t="s">
        <v>73</v>
      </c>
      <c r="F36" t="s">
        <v>74</v>
      </c>
      <c r="G36" t="s">
        <v>75</v>
      </c>
      <c r="H36" t="s">
        <v>76</v>
      </c>
      <c r="I36" t="s">
        <v>77</v>
      </c>
      <c r="J36" t="s">
        <v>78</v>
      </c>
      <c r="K36" t="s">
        <v>72</v>
      </c>
      <c r="L36" t="s">
        <v>33</v>
      </c>
      <c r="M36" t="s">
        <v>21</v>
      </c>
      <c r="N36" t="s">
        <v>21</v>
      </c>
      <c r="O36" t="s">
        <v>79</v>
      </c>
      <c r="P36">
        <v>257213</v>
      </c>
      <c r="Q36" t="s">
        <v>87</v>
      </c>
      <c r="R36" t="s">
        <v>88</v>
      </c>
      <c r="S36" t="s">
        <v>80</v>
      </c>
      <c r="T36">
        <v>0</v>
      </c>
      <c r="U36">
        <v>2.25</v>
      </c>
      <c r="V36" s="2">
        <v>9.375E-2</v>
      </c>
      <c r="W36">
        <v>0</v>
      </c>
      <c r="AA36" t="s">
        <v>82</v>
      </c>
      <c r="AB36" t="s">
        <v>83</v>
      </c>
      <c r="AC36" t="s">
        <v>121</v>
      </c>
      <c r="AD36" t="s">
        <v>85</v>
      </c>
      <c r="AE36">
        <f t="shared" si="0"/>
        <v>6</v>
      </c>
      <c r="AF36" t="str">
        <f t="shared" si="1"/>
        <v>June</v>
      </c>
    </row>
    <row r="37" spans="1:32">
      <c r="A37" s="1">
        <v>45454</v>
      </c>
      <c r="B37" t="s">
        <v>28</v>
      </c>
      <c r="C37" t="s">
        <v>110</v>
      </c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78</v>
      </c>
      <c r="K37" t="s">
        <v>72</v>
      </c>
      <c r="L37" t="s">
        <v>33</v>
      </c>
      <c r="M37" t="s">
        <v>21</v>
      </c>
      <c r="N37" t="s">
        <v>21</v>
      </c>
      <c r="O37" t="s">
        <v>79</v>
      </c>
      <c r="P37">
        <v>257683</v>
      </c>
      <c r="Q37" t="s">
        <v>87</v>
      </c>
      <c r="R37" t="s">
        <v>88</v>
      </c>
      <c r="S37" t="s">
        <v>80</v>
      </c>
      <c r="T37">
        <v>0</v>
      </c>
      <c r="U37">
        <v>1</v>
      </c>
      <c r="V37" s="2">
        <v>4.1666666666666664E-2</v>
      </c>
      <c r="W37">
        <v>0</v>
      </c>
      <c r="AA37" t="s">
        <v>82</v>
      </c>
      <c r="AB37" t="s">
        <v>83</v>
      </c>
      <c r="AC37" t="s">
        <v>112</v>
      </c>
      <c r="AD37" t="s">
        <v>85</v>
      </c>
      <c r="AE37">
        <f t="shared" si="0"/>
        <v>6</v>
      </c>
      <c r="AF37" t="str">
        <f t="shared" si="1"/>
        <v>June</v>
      </c>
    </row>
    <row r="38" spans="1:32">
      <c r="A38" s="1">
        <v>45455</v>
      </c>
      <c r="B38" t="s">
        <v>28</v>
      </c>
      <c r="C38" t="s">
        <v>110</v>
      </c>
      <c r="D38" t="s">
        <v>72</v>
      </c>
      <c r="E38" t="s">
        <v>73</v>
      </c>
      <c r="F38" t="s">
        <v>74</v>
      </c>
      <c r="G38" t="s">
        <v>75</v>
      </c>
      <c r="H38" t="s">
        <v>76</v>
      </c>
      <c r="I38" t="s">
        <v>77</v>
      </c>
      <c r="J38" t="s">
        <v>78</v>
      </c>
      <c r="K38" t="s">
        <v>72</v>
      </c>
      <c r="L38" t="s">
        <v>33</v>
      </c>
      <c r="M38" t="s">
        <v>21</v>
      </c>
      <c r="N38" t="s">
        <v>21</v>
      </c>
      <c r="O38" t="s">
        <v>79</v>
      </c>
      <c r="P38">
        <v>258329</v>
      </c>
      <c r="Q38" t="s">
        <v>87</v>
      </c>
      <c r="R38" t="s">
        <v>88</v>
      </c>
      <c r="S38" t="s">
        <v>80</v>
      </c>
      <c r="T38">
        <v>0</v>
      </c>
      <c r="U38">
        <v>1.75</v>
      </c>
      <c r="V38" s="2">
        <v>7.2916666666666671E-2</v>
      </c>
      <c r="W38">
        <v>0</v>
      </c>
      <c r="AA38" t="s">
        <v>82</v>
      </c>
      <c r="AB38" t="s">
        <v>83</v>
      </c>
      <c r="AC38" t="s">
        <v>122</v>
      </c>
      <c r="AD38" t="s">
        <v>85</v>
      </c>
      <c r="AE38">
        <f t="shared" si="0"/>
        <v>6</v>
      </c>
      <c r="AF38" t="str">
        <f t="shared" si="1"/>
        <v>June</v>
      </c>
    </row>
    <row r="39" spans="1:32">
      <c r="A39" s="1">
        <v>45461</v>
      </c>
      <c r="B39" t="s">
        <v>28</v>
      </c>
      <c r="C39" t="s">
        <v>110</v>
      </c>
      <c r="D39" t="s">
        <v>72</v>
      </c>
      <c r="E39" t="s">
        <v>73</v>
      </c>
      <c r="F39" t="s">
        <v>74</v>
      </c>
      <c r="G39" t="s">
        <v>75</v>
      </c>
      <c r="H39" t="s">
        <v>76</v>
      </c>
      <c r="I39" t="s">
        <v>77</v>
      </c>
      <c r="J39" t="s">
        <v>78</v>
      </c>
      <c r="K39" t="s">
        <v>72</v>
      </c>
      <c r="L39" t="s">
        <v>33</v>
      </c>
      <c r="M39" t="s">
        <v>21</v>
      </c>
      <c r="N39" t="s">
        <v>21</v>
      </c>
      <c r="O39" t="s">
        <v>79</v>
      </c>
      <c r="P39">
        <v>260522</v>
      </c>
      <c r="Q39" t="s">
        <v>16</v>
      </c>
      <c r="R39" t="s">
        <v>4</v>
      </c>
      <c r="S39" t="s">
        <v>80</v>
      </c>
      <c r="T39">
        <v>90</v>
      </c>
      <c r="U39">
        <v>0.5</v>
      </c>
      <c r="V39" s="2">
        <v>2.0833333333333332E-2</v>
      </c>
      <c r="W39">
        <v>45</v>
      </c>
      <c r="AA39" t="s">
        <v>82</v>
      </c>
      <c r="AC39" t="s">
        <v>123</v>
      </c>
      <c r="AD39" t="s">
        <v>85</v>
      </c>
      <c r="AE39">
        <f t="shared" si="0"/>
        <v>6</v>
      </c>
      <c r="AF39" t="str">
        <f t="shared" si="1"/>
        <v>June</v>
      </c>
    </row>
    <row r="40" spans="1:32">
      <c r="A40" s="1">
        <v>45432</v>
      </c>
      <c r="B40" t="s">
        <v>124</v>
      </c>
      <c r="C40" t="s">
        <v>110</v>
      </c>
      <c r="D40" t="s">
        <v>72</v>
      </c>
      <c r="E40" t="s">
        <v>73</v>
      </c>
      <c r="F40" t="s">
        <v>74</v>
      </c>
      <c r="G40" t="s">
        <v>75</v>
      </c>
      <c r="H40" t="s">
        <v>76</v>
      </c>
      <c r="I40" t="s">
        <v>77</v>
      </c>
      <c r="J40" t="s">
        <v>78</v>
      </c>
      <c r="K40" t="s">
        <v>72</v>
      </c>
      <c r="L40" t="s">
        <v>33</v>
      </c>
      <c r="M40" t="s">
        <v>21</v>
      </c>
      <c r="N40" t="s">
        <v>112</v>
      </c>
      <c r="O40" t="s">
        <v>79</v>
      </c>
      <c r="P40">
        <v>249510</v>
      </c>
      <c r="Q40" t="s">
        <v>87</v>
      </c>
      <c r="R40" t="s">
        <v>88</v>
      </c>
      <c r="S40" t="s">
        <v>80</v>
      </c>
      <c r="T40">
        <v>0</v>
      </c>
      <c r="U40">
        <v>0.5</v>
      </c>
      <c r="V40" s="2">
        <v>2.0833333333333332E-2</v>
      </c>
      <c r="W40">
        <v>0</v>
      </c>
      <c r="AA40" t="s">
        <v>82</v>
      </c>
      <c r="AB40" t="s">
        <v>83</v>
      </c>
      <c r="AC40" t="s">
        <v>112</v>
      </c>
      <c r="AD40" t="s">
        <v>85</v>
      </c>
      <c r="AE40">
        <f t="shared" si="0"/>
        <v>5</v>
      </c>
      <c r="AF40" t="str">
        <f t="shared" si="1"/>
        <v>May</v>
      </c>
    </row>
    <row r="41" spans="1:32">
      <c r="A41" s="1">
        <v>45433</v>
      </c>
      <c r="B41" t="s">
        <v>124</v>
      </c>
      <c r="C41" t="s">
        <v>110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72</v>
      </c>
      <c r="L41" t="s">
        <v>33</v>
      </c>
      <c r="M41" t="s">
        <v>21</v>
      </c>
      <c r="N41" t="s">
        <v>112</v>
      </c>
      <c r="O41" t="s">
        <v>79</v>
      </c>
      <c r="P41">
        <v>249509</v>
      </c>
      <c r="Q41" t="s">
        <v>87</v>
      </c>
      <c r="R41" t="s">
        <v>88</v>
      </c>
      <c r="S41" t="s">
        <v>80</v>
      </c>
      <c r="T41">
        <v>0</v>
      </c>
      <c r="U41">
        <v>0.25</v>
      </c>
      <c r="V41" s="2">
        <v>1.0416666666666666E-2</v>
      </c>
      <c r="W41">
        <v>0</v>
      </c>
      <c r="AA41" t="s">
        <v>82</v>
      </c>
      <c r="AB41" t="s">
        <v>83</v>
      </c>
      <c r="AC41" t="s">
        <v>112</v>
      </c>
      <c r="AD41" t="s">
        <v>85</v>
      </c>
      <c r="AE41">
        <f t="shared" si="0"/>
        <v>5</v>
      </c>
      <c r="AF41" t="str">
        <f t="shared" si="1"/>
        <v>May</v>
      </c>
    </row>
    <row r="42" spans="1:32">
      <c r="A42" s="1">
        <v>45434</v>
      </c>
      <c r="B42" t="s">
        <v>124</v>
      </c>
      <c r="C42" t="s">
        <v>110</v>
      </c>
      <c r="D42" t="s">
        <v>72</v>
      </c>
      <c r="E42" t="s">
        <v>73</v>
      </c>
      <c r="F42" t="s">
        <v>74</v>
      </c>
      <c r="G42" t="s">
        <v>75</v>
      </c>
      <c r="H42" t="s">
        <v>76</v>
      </c>
      <c r="I42" t="s">
        <v>77</v>
      </c>
      <c r="J42" t="s">
        <v>78</v>
      </c>
      <c r="K42" t="s">
        <v>72</v>
      </c>
      <c r="L42" t="s">
        <v>33</v>
      </c>
      <c r="M42" t="s">
        <v>21</v>
      </c>
      <c r="N42" t="s">
        <v>112</v>
      </c>
      <c r="O42" t="s">
        <v>79</v>
      </c>
      <c r="P42">
        <v>250689</v>
      </c>
      <c r="Q42" t="s">
        <v>87</v>
      </c>
      <c r="R42" t="s">
        <v>88</v>
      </c>
      <c r="S42" t="s">
        <v>80</v>
      </c>
      <c r="T42">
        <v>0</v>
      </c>
      <c r="U42">
        <v>0.25</v>
      </c>
      <c r="V42" s="2">
        <v>1.0416666666666666E-2</v>
      </c>
      <c r="W42">
        <v>0</v>
      </c>
      <c r="AA42" t="s">
        <v>82</v>
      </c>
      <c r="AB42" t="s">
        <v>83</v>
      </c>
      <c r="AC42" t="s">
        <v>112</v>
      </c>
      <c r="AD42" t="s">
        <v>85</v>
      </c>
      <c r="AE42">
        <f t="shared" si="0"/>
        <v>5</v>
      </c>
      <c r="AF42" t="str">
        <f t="shared" si="1"/>
        <v>May</v>
      </c>
    </row>
    <row r="43" spans="1:32">
      <c r="A43" s="1">
        <v>45435</v>
      </c>
      <c r="B43" t="s">
        <v>124</v>
      </c>
      <c r="C43" t="s">
        <v>110</v>
      </c>
      <c r="D43" t="s">
        <v>72</v>
      </c>
      <c r="E43" t="s">
        <v>73</v>
      </c>
      <c r="F43" t="s">
        <v>74</v>
      </c>
      <c r="G43" t="s">
        <v>75</v>
      </c>
      <c r="H43" t="s">
        <v>76</v>
      </c>
      <c r="I43" t="s">
        <v>77</v>
      </c>
      <c r="J43" t="s">
        <v>78</v>
      </c>
      <c r="K43" t="s">
        <v>72</v>
      </c>
      <c r="L43" t="s">
        <v>33</v>
      </c>
      <c r="M43" t="s">
        <v>21</v>
      </c>
      <c r="N43" t="s">
        <v>112</v>
      </c>
      <c r="O43" t="s">
        <v>79</v>
      </c>
      <c r="P43">
        <v>250690</v>
      </c>
      <c r="Q43" t="s">
        <v>87</v>
      </c>
      <c r="R43" t="s">
        <v>88</v>
      </c>
      <c r="S43" t="s">
        <v>80</v>
      </c>
      <c r="T43">
        <v>0</v>
      </c>
      <c r="U43">
        <v>0.25</v>
      </c>
      <c r="V43" s="2">
        <v>1.0416666666666666E-2</v>
      </c>
      <c r="W43">
        <v>0</v>
      </c>
      <c r="AA43" t="s">
        <v>82</v>
      </c>
      <c r="AB43" t="s">
        <v>83</v>
      </c>
      <c r="AC43" t="s">
        <v>112</v>
      </c>
      <c r="AD43" t="s">
        <v>85</v>
      </c>
      <c r="AE43">
        <f t="shared" si="0"/>
        <v>5</v>
      </c>
      <c r="AF43" t="str">
        <f t="shared" si="1"/>
        <v>May</v>
      </c>
    </row>
    <row r="44" spans="1:32">
      <c r="A44" s="1">
        <v>45436</v>
      </c>
      <c r="B44" t="s">
        <v>124</v>
      </c>
      <c r="C44" t="s">
        <v>110</v>
      </c>
      <c r="D44" t="s">
        <v>72</v>
      </c>
      <c r="E44" t="s">
        <v>73</v>
      </c>
      <c r="F44" t="s">
        <v>74</v>
      </c>
      <c r="G44" t="s">
        <v>75</v>
      </c>
      <c r="H44" t="s">
        <v>76</v>
      </c>
      <c r="I44" t="s">
        <v>77</v>
      </c>
      <c r="J44" t="s">
        <v>78</v>
      </c>
      <c r="K44" t="s">
        <v>72</v>
      </c>
      <c r="L44" t="s">
        <v>33</v>
      </c>
      <c r="M44" t="s">
        <v>21</v>
      </c>
      <c r="N44" t="s">
        <v>112</v>
      </c>
      <c r="O44" t="s">
        <v>79</v>
      </c>
      <c r="P44">
        <v>251355</v>
      </c>
      <c r="Q44" t="s">
        <v>87</v>
      </c>
      <c r="R44" t="s">
        <v>88</v>
      </c>
      <c r="S44" t="s">
        <v>80</v>
      </c>
      <c r="T44">
        <v>0</v>
      </c>
      <c r="U44">
        <v>1</v>
      </c>
      <c r="V44" s="2">
        <v>4.1666666666666664E-2</v>
      </c>
      <c r="W44">
        <v>0</v>
      </c>
      <c r="AA44" t="s">
        <v>82</v>
      </c>
      <c r="AB44" t="s">
        <v>83</v>
      </c>
      <c r="AC44" t="s">
        <v>112</v>
      </c>
      <c r="AD44" t="s">
        <v>85</v>
      </c>
      <c r="AE44">
        <f t="shared" ref="AE44:AE63" si="2">MONTH(A44)</f>
        <v>5</v>
      </c>
      <c r="AF44" t="str">
        <f t="shared" ref="AF44:AF63" si="3">IF(AE44=5,"May",IF(AE44=6,"June",IF(AE44=7,"July",IF(AE44=8,"August",IF(AE44=9,"September")))))</f>
        <v>May</v>
      </c>
    </row>
    <row r="45" spans="1:32">
      <c r="A45" s="1">
        <v>45443</v>
      </c>
      <c r="B45" t="s">
        <v>124</v>
      </c>
      <c r="C45" t="s">
        <v>110</v>
      </c>
      <c r="D45" t="s">
        <v>72</v>
      </c>
      <c r="E45" t="s">
        <v>73</v>
      </c>
      <c r="F45" t="s">
        <v>74</v>
      </c>
      <c r="G45" t="s">
        <v>75</v>
      </c>
      <c r="H45" t="s">
        <v>76</v>
      </c>
      <c r="I45" t="s">
        <v>77</v>
      </c>
      <c r="J45" t="s">
        <v>78</v>
      </c>
      <c r="K45" t="s">
        <v>72</v>
      </c>
      <c r="L45" t="s">
        <v>33</v>
      </c>
      <c r="M45" t="s">
        <v>21</v>
      </c>
      <c r="N45" t="s">
        <v>112</v>
      </c>
      <c r="O45" t="s">
        <v>79</v>
      </c>
      <c r="P45">
        <v>254226</v>
      </c>
      <c r="Q45" t="s">
        <v>87</v>
      </c>
      <c r="R45" t="s">
        <v>88</v>
      </c>
      <c r="S45" t="s">
        <v>80</v>
      </c>
      <c r="T45">
        <v>0</v>
      </c>
      <c r="U45">
        <v>1</v>
      </c>
      <c r="V45" s="2">
        <v>4.1666666666666664E-2</v>
      </c>
      <c r="W45">
        <v>0</v>
      </c>
      <c r="AA45" t="s">
        <v>82</v>
      </c>
      <c r="AB45" t="s">
        <v>83</v>
      </c>
      <c r="AC45" t="s">
        <v>112</v>
      </c>
      <c r="AD45" t="s">
        <v>85</v>
      </c>
      <c r="AE45">
        <f t="shared" si="2"/>
        <v>5</v>
      </c>
      <c r="AF45" t="str">
        <f t="shared" si="3"/>
        <v>May</v>
      </c>
    </row>
    <row r="46" spans="1:32">
      <c r="A46" s="1">
        <v>45446</v>
      </c>
      <c r="B46" t="s">
        <v>124</v>
      </c>
      <c r="C46" t="s">
        <v>110</v>
      </c>
      <c r="D46" t="s">
        <v>72</v>
      </c>
      <c r="E46" t="s">
        <v>73</v>
      </c>
      <c r="F46" t="s">
        <v>74</v>
      </c>
      <c r="G46" t="s">
        <v>75</v>
      </c>
      <c r="H46" t="s">
        <v>76</v>
      </c>
      <c r="I46" t="s">
        <v>77</v>
      </c>
      <c r="J46" t="s">
        <v>78</v>
      </c>
      <c r="K46" t="s">
        <v>72</v>
      </c>
      <c r="L46" t="s">
        <v>33</v>
      </c>
      <c r="M46" t="s">
        <v>21</v>
      </c>
      <c r="N46" t="s">
        <v>112</v>
      </c>
      <c r="O46" t="s">
        <v>79</v>
      </c>
      <c r="P46">
        <v>255337</v>
      </c>
      <c r="Q46" t="s">
        <v>87</v>
      </c>
      <c r="R46" t="s">
        <v>88</v>
      </c>
      <c r="S46" t="s">
        <v>80</v>
      </c>
      <c r="T46">
        <v>0</v>
      </c>
      <c r="U46">
        <v>0.25</v>
      </c>
      <c r="V46" s="2">
        <v>1.0416666666666666E-2</v>
      </c>
      <c r="W46">
        <v>0</v>
      </c>
      <c r="AA46" t="s">
        <v>82</v>
      </c>
      <c r="AB46" t="s">
        <v>83</v>
      </c>
      <c r="AC46" t="s">
        <v>112</v>
      </c>
      <c r="AD46" t="s">
        <v>85</v>
      </c>
      <c r="AE46">
        <f t="shared" si="2"/>
        <v>6</v>
      </c>
      <c r="AF46" t="str">
        <f t="shared" si="3"/>
        <v>June</v>
      </c>
    </row>
    <row r="47" spans="1:32">
      <c r="A47" s="1">
        <v>45447</v>
      </c>
      <c r="B47" t="s">
        <v>124</v>
      </c>
      <c r="C47" t="s">
        <v>110</v>
      </c>
      <c r="D47" t="s">
        <v>72</v>
      </c>
      <c r="E47" t="s">
        <v>73</v>
      </c>
      <c r="F47" t="s">
        <v>74</v>
      </c>
      <c r="G47" t="s">
        <v>75</v>
      </c>
      <c r="H47" t="s">
        <v>76</v>
      </c>
      <c r="I47" t="s">
        <v>77</v>
      </c>
      <c r="J47" t="s">
        <v>78</v>
      </c>
      <c r="K47" t="s">
        <v>72</v>
      </c>
      <c r="L47" t="s">
        <v>33</v>
      </c>
      <c r="M47" t="s">
        <v>21</v>
      </c>
      <c r="N47" t="s">
        <v>112</v>
      </c>
      <c r="O47" t="s">
        <v>79</v>
      </c>
      <c r="P47">
        <v>255338</v>
      </c>
      <c r="Q47" t="s">
        <v>87</v>
      </c>
      <c r="R47" t="s">
        <v>88</v>
      </c>
      <c r="S47" t="s">
        <v>80</v>
      </c>
      <c r="T47">
        <v>0</v>
      </c>
      <c r="U47">
        <v>0.25</v>
      </c>
      <c r="V47" s="2">
        <v>1.0416666666666666E-2</v>
      </c>
      <c r="W47">
        <v>0</v>
      </c>
      <c r="AA47" t="s">
        <v>82</v>
      </c>
      <c r="AB47" t="s">
        <v>83</v>
      </c>
      <c r="AC47" t="s">
        <v>112</v>
      </c>
      <c r="AD47" t="s">
        <v>85</v>
      </c>
      <c r="AE47">
        <f t="shared" si="2"/>
        <v>6</v>
      </c>
      <c r="AF47" t="str">
        <f t="shared" si="3"/>
        <v>June</v>
      </c>
    </row>
    <row r="48" spans="1:32">
      <c r="A48" s="1">
        <v>45448</v>
      </c>
      <c r="B48" t="s">
        <v>124</v>
      </c>
      <c r="C48" t="s">
        <v>110</v>
      </c>
      <c r="D48" t="s">
        <v>72</v>
      </c>
      <c r="E48" t="s">
        <v>73</v>
      </c>
      <c r="F48" t="s">
        <v>74</v>
      </c>
      <c r="G48" t="s">
        <v>75</v>
      </c>
      <c r="H48" t="s">
        <v>76</v>
      </c>
      <c r="I48" t="s">
        <v>77</v>
      </c>
      <c r="J48" t="s">
        <v>78</v>
      </c>
      <c r="K48" t="s">
        <v>72</v>
      </c>
      <c r="L48" t="s">
        <v>33</v>
      </c>
      <c r="M48" t="s">
        <v>21</v>
      </c>
      <c r="N48" t="s">
        <v>112</v>
      </c>
      <c r="O48" t="s">
        <v>79</v>
      </c>
      <c r="P48">
        <v>255719</v>
      </c>
      <c r="Q48" t="s">
        <v>87</v>
      </c>
      <c r="R48" t="s">
        <v>88</v>
      </c>
      <c r="S48" t="s">
        <v>80</v>
      </c>
      <c r="T48">
        <v>0</v>
      </c>
      <c r="U48">
        <v>0.75</v>
      </c>
      <c r="V48" s="2">
        <v>3.125E-2</v>
      </c>
      <c r="W48">
        <v>0</v>
      </c>
      <c r="AA48" t="s">
        <v>82</v>
      </c>
      <c r="AB48" t="s">
        <v>83</v>
      </c>
      <c r="AC48" t="s">
        <v>112</v>
      </c>
      <c r="AD48" t="s">
        <v>85</v>
      </c>
      <c r="AE48">
        <f t="shared" si="2"/>
        <v>6</v>
      </c>
      <c r="AF48" t="str">
        <f t="shared" si="3"/>
        <v>June</v>
      </c>
    </row>
    <row r="49" spans="1:32">
      <c r="A49" s="1">
        <v>45453</v>
      </c>
      <c r="B49" t="s">
        <v>124</v>
      </c>
      <c r="C49" t="s">
        <v>110</v>
      </c>
      <c r="D49" t="s">
        <v>72</v>
      </c>
      <c r="E49" t="s">
        <v>73</v>
      </c>
      <c r="F49" t="s">
        <v>74</v>
      </c>
      <c r="G49" t="s">
        <v>75</v>
      </c>
      <c r="H49" t="s">
        <v>76</v>
      </c>
      <c r="I49" t="s">
        <v>77</v>
      </c>
      <c r="J49" t="s">
        <v>78</v>
      </c>
      <c r="K49" t="s">
        <v>72</v>
      </c>
      <c r="L49" t="s">
        <v>33</v>
      </c>
      <c r="M49" t="s">
        <v>21</v>
      </c>
      <c r="N49" t="s">
        <v>112</v>
      </c>
      <c r="O49" t="s">
        <v>79</v>
      </c>
      <c r="P49">
        <v>257502</v>
      </c>
      <c r="Q49" t="s">
        <v>87</v>
      </c>
      <c r="R49" t="s">
        <v>88</v>
      </c>
      <c r="S49" t="s">
        <v>80</v>
      </c>
      <c r="T49">
        <v>0</v>
      </c>
      <c r="U49">
        <v>0.25</v>
      </c>
      <c r="V49" s="2">
        <v>1.0416666666666666E-2</v>
      </c>
      <c r="W49">
        <v>0</v>
      </c>
      <c r="AA49" t="s">
        <v>82</v>
      </c>
      <c r="AB49" t="s">
        <v>83</v>
      </c>
      <c r="AC49" t="s">
        <v>112</v>
      </c>
      <c r="AD49" t="s">
        <v>85</v>
      </c>
      <c r="AE49">
        <f t="shared" si="2"/>
        <v>6</v>
      </c>
      <c r="AF49" t="str">
        <f t="shared" si="3"/>
        <v>June</v>
      </c>
    </row>
    <row r="50" spans="1:32">
      <c r="A50" s="1">
        <v>45454</v>
      </c>
      <c r="B50" t="s">
        <v>124</v>
      </c>
      <c r="C50" t="s">
        <v>110</v>
      </c>
      <c r="D50" t="s">
        <v>72</v>
      </c>
      <c r="E50" t="s">
        <v>73</v>
      </c>
      <c r="F50" t="s">
        <v>74</v>
      </c>
      <c r="G50" t="s">
        <v>75</v>
      </c>
      <c r="H50" t="s">
        <v>76</v>
      </c>
      <c r="I50" t="s">
        <v>77</v>
      </c>
      <c r="J50" t="s">
        <v>78</v>
      </c>
      <c r="K50" t="s">
        <v>72</v>
      </c>
      <c r="L50" t="s">
        <v>33</v>
      </c>
      <c r="M50" t="s">
        <v>21</v>
      </c>
      <c r="N50" t="s">
        <v>112</v>
      </c>
      <c r="O50" t="s">
        <v>79</v>
      </c>
      <c r="P50">
        <v>257773</v>
      </c>
      <c r="Q50" t="s">
        <v>87</v>
      </c>
      <c r="R50" t="s">
        <v>88</v>
      </c>
      <c r="S50" t="s">
        <v>80</v>
      </c>
      <c r="T50">
        <v>0</v>
      </c>
      <c r="U50">
        <v>0.25</v>
      </c>
      <c r="V50" s="2">
        <v>1.0416666666666666E-2</v>
      </c>
      <c r="W50">
        <v>0</v>
      </c>
      <c r="AA50" t="s">
        <v>82</v>
      </c>
      <c r="AB50" t="s">
        <v>83</v>
      </c>
      <c r="AC50" t="s">
        <v>112</v>
      </c>
      <c r="AD50" t="s">
        <v>85</v>
      </c>
      <c r="AE50">
        <f t="shared" si="2"/>
        <v>6</v>
      </c>
      <c r="AF50" t="str">
        <f t="shared" si="3"/>
        <v>June</v>
      </c>
    </row>
    <row r="51" spans="1:32">
      <c r="A51" s="1">
        <v>45455</v>
      </c>
      <c r="B51" t="s">
        <v>124</v>
      </c>
      <c r="C51" t="s">
        <v>110</v>
      </c>
      <c r="D51" t="s">
        <v>72</v>
      </c>
      <c r="E51" t="s">
        <v>73</v>
      </c>
      <c r="F51" t="s">
        <v>74</v>
      </c>
      <c r="G51" t="s">
        <v>75</v>
      </c>
      <c r="H51" t="s">
        <v>76</v>
      </c>
      <c r="I51" t="s">
        <v>77</v>
      </c>
      <c r="J51" t="s">
        <v>78</v>
      </c>
      <c r="K51" t="s">
        <v>72</v>
      </c>
      <c r="L51" t="s">
        <v>33</v>
      </c>
      <c r="M51" t="s">
        <v>21</v>
      </c>
      <c r="N51" t="s">
        <v>112</v>
      </c>
      <c r="O51" t="s">
        <v>79</v>
      </c>
      <c r="P51">
        <v>258866</v>
      </c>
      <c r="Q51" t="s">
        <v>87</v>
      </c>
      <c r="R51" t="s">
        <v>88</v>
      </c>
      <c r="S51" t="s">
        <v>80</v>
      </c>
      <c r="T51">
        <v>0</v>
      </c>
      <c r="U51">
        <v>0.25</v>
      </c>
      <c r="V51" s="2">
        <v>1.0416666666666666E-2</v>
      </c>
      <c r="W51">
        <v>0</v>
      </c>
      <c r="AA51" t="s">
        <v>82</v>
      </c>
      <c r="AB51" t="s">
        <v>83</v>
      </c>
      <c r="AC51" t="s">
        <v>112</v>
      </c>
      <c r="AD51" t="s">
        <v>85</v>
      </c>
      <c r="AE51">
        <f t="shared" si="2"/>
        <v>6</v>
      </c>
      <c r="AF51" t="str">
        <f t="shared" si="3"/>
        <v>June</v>
      </c>
    </row>
    <row r="52" spans="1:32">
      <c r="A52" s="1">
        <v>45456</v>
      </c>
      <c r="B52" t="s">
        <v>124</v>
      </c>
      <c r="C52" t="s">
        <v>110</v>
      </c>
      <c r="D52" t="s">
        <v>72</v>
      </c>
      <c r="E52" t="s">
        <v>73</v>
      </c>
      <c r="F52" t="s">
        <v>74</v>
      </c>
      <c r="G52" t="s">
        <v>75</v>
      </c>
      <c r="H52" t="s">
        <v>76</v>
      </c>
      <c r="I52" t="s">
        <v>77</v>
      </c>
      <c r="J52" t="s">
        <v>78</v>
      </c>
      <c r="K52" t="s">
        <v>72</v>
      </c>
      <c r="L52" t="s">
        <v>33</v>
      </c>
      <c r="M52" t="s">
        <v>21</v>
      </c>
      <c r="N52" t="s">
        <v>112</v>
      </c>
      <c r="O52" t="s">
        <v>79</v>
      </c>
      <c r="P52">
        <v>258876</v>
      </c>
      <c r="Q52" t="s">
        <v>87</v>
      </c>
      <c r="R52" t="s">
        <v>88</v>
      </c>
      <c r="S52" t="s">
        <v>80</v>
      </c>
      <c r="T52">
        <v>0</v>
      </c>
      <c r="U52">
        <v>0.25</v>
      </c>
      <c r="V52" s="2">
        <v>1.0416666666666666E-2</v>
      </c>
      <c r="W52">
        <v>0</v>
      </c>
      <c r="AA52" t="s">
        <v>82</v>
      </c>
      <c r="AB52" t="s">
        <v>83</v>
      </c>
      <c r="AC52" t="s">
        <v>112</v>
      </c>
      <c r="AD52" t="s">
        <v>85</v>
      </c>
      <c r="AE52">
        <f t="shared" si="2"/>
        <v>6</v>
      </c>
      <c r="AF52" t="str">
        <f t="shared" si="3"/>
        <v>June</v>
      </c>
    </row>
    <row r="53" spans="1:32">
      <c r="A53" s="1">
        <v>45432</v>
      </c>
      <c r="B53" t="s">
        <v>21</v>
      </c>
      <c r="C53" t="s">
        <v>110</v>
      </c>
      <c r="D53" t="s">
        <v>72</v>
      </c>
      <c r="E53" t="s">
        <v>73</v>
      </c>
      <c r="F53" t="s">
        <v>74</v>
      </c>
      <c r="G53" t="s">
        <v>75</v>
      </c>
      <c r="H53" t="s">
        <v>76</v>
      </c>
      <c r="I53" t="s">
        <v>77</v>
      </c>
      <c r="J53" t="s">
        <v>78</v>
      </c>
      <c r="K53" t="s">
        <v>72</v>
      </c>
      <c r="L53" t="s">
        <v>33</v>
      </c>
      <c r="M53" t="s">
        <v>21</v>
      </c>
      <c r="N53" t="s">
        <v>112</v>
      </c>
      <c r="O53" t="s">
        <v>79</v>
      </c>
      <c r="P53">
        <v>251755</v>
      </c>
      <c r="Q53" t="s">
        <v>16</v>
      </c>
      <c r="R53" t="s">
        <v>4</v>
      </c>
      <c r="S53" t="s">
        <v>80</v>
      </c>
      <c r="T53">
        <v>90</v>
      </c>
      <c r="U53">
        <v>2</v>
      </c>
      <c r="V53" s="2">
        <v>8.3333333333333329E-2</v>
      </c>
      <c r="W53">
        <v>180</v>
      </c>
      <c r="X53">
        <v>240</v>
      </c>
      <c r="Y53">
        <v>60</v>
      </c>
      <c r="Z53" t="s">
        <v>81</v>
      </c>
      <c r="AA53" t="s">
        <v>82</v>
      </c>
      <c r="AB53" t="s">
        <v>83</v>
      </c>
      <c r="AC53" t="s">
        <v>125</v>
      </c>
      <c r="AD53" t="s">
        <v>85</v>
      </c>
      <c r="AE53">
        <f t="shared" si="2"/>
        <v>5</v>
      </c>
      <c r="AF53" t="str">
        <f t="shared" si="3"/>
        <v>May</v>
      </c>
    </row>
    <row r="54" spans="1:32">
      <c r="A54" s="1">
        <v>45436</v>
      </c>
      <c r="B54" t="s">
        <v>21</v>
      </c>
      <c r="C54" t="s">
        <v>110</v>
      </c>
      <c r="D54" t="s">
        <v>72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  <c r="J54" t="s">
        <v>78</v>
      </c>
      <c r="K54" t="s">
        <v>72</v>
      </c>
      <c r="L54" t="s">
        <v>33</v>
      </c>
      <c r="M54" t="s">
        <v>21</v>
      </c>
      <c r="N54" t="s">
        <v>112</v>
      </c>
      <c r="O54" t="s">
        <v>79</v>
      </c>
      <c r="P54">
        <v>251770</v>
      </c>
      <c r="Q54" t="s">
        <v>16</v>
      </c>
      <c r="R54" t="s">
        <v>4</v>
      </c>
      <c r="S54" t="s">
        <v>80</v>
      </c>
      <c r="T54">
        <v>90</v>
      </c>
      <c r="U54">
        <v>1</v>
      </c>
      <c r="V54" s="2">
        <v>4.1666666666666664E-2</v>
      </c>
      <c r="W54">
        <v>90</v>
      </c>
      <c r="X54">
        <v>120</v>
      </c>
      <c r="Y54">
        <v>30</v>
      </c>
      <c r="Z54" t="s">
        <v>81</v>
      </c>
      <c r="AA54" t="s">
        <v>82</v>
      </c>
      <c r="AB54" t="s">
        <v>83</v>
      </c>
      <c r="AC54" t="s">
        <v>126</v>
      </c>
      <c r="AD54" t="s">
        <v>85</v>
      </c>
      <c r="AE54">
        <f t="shared" si="2"/>
        <v>5</v>
      </c>
      <c r="AF54" t="str">
        <f t="shared" si="3"/>
        <v>May</v>
      </c>
    </row>
    <row r="55" spans="1:32">
      <c r="A55" s="1">
        <v>45448</v>
      </c>
      <c r="B55" t="s">
        <v>21</v>
      </c>
      <c r="C55" t="s">
        <v>110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78</v>
      </c>
      <c r="K55" t="s">
        <v>72</v>
      </c>
      <c r="L55" t="s">
        <v>33</v>
      </c>
      <c r="M55" t="s">
        <v>21</v>
      </c>
      <c r="N55" t="s">
        <v>112</v>
      </c>
      <c r="O55" t="s">
        <v>79</v>
      </c>
      <c r="P55">
        <v>257260</v>
      </c>
      <c r="Q55" t="s">
        <v>87</v>
      </c>
      <c r="R55" t="s">
        <v>88</v>
      </c>
      <c r="S55" t="s">
        <v>80</v>
      </c>
      <c r="T55">
        <v>0</v>
      </c>
      <c r="U55">
        <v>0.5</v>
      </c>
      <c r="V55" s="2">
        <v>2.0833333333333332E-2</v>
      </c>
      <c r="W55">
        <v>0</v>
      </c>
      <c r="AA55" t="s">
        <v>82</v>
      </c>
      <c r="AB55" t="s">
        <v>83</v>
      </c>
      <c r="AC55" t="s">
        <v>127</v>
      </c>
      <c r="AD55" t="s">
        <v>85</v>
      </c>
      <c r="AE55">
        <f t="shared" si="2"/>
        <v>6</v>
      </c>
      <c r="AF55" t="str">
        <f t="shared" si="3"/>
        <v>June</v>
      </c>
    </row>
    <row r="56" spans="1:32">
      <c r="A56" s="1">
        <v>45460</v>
      </c>
      <c r="B56" t="s">
        <v>21</v>
      </c>
      <c r="C56" t="s">
        <v>110</v>
      </c>
      <c r="D56" t="s">
        <v>72</v>
      </c>
      <c r="E56" t="s">
        <v>73</v>
      </c>
      <c r="F56" t="s">
        <v>74</v>
      </c>
      <c r="G56" t="s">
        <v>75</v>
      </c>
      <c r="H56" t="s">
        <v>76</v>
      </c>
      <c r="I56" t="s">
        <v>77</v>
      </c>
      <c r="J56" t="s">
        <v>78</v>
      </c>
      <c r="K56" t="s">
        <v>72</v>
      </c>
      <c r="L56" t="s">
        <v>33</v>
      </c>
      <c r="M56" t="s">
        <v>21</v>
      </c>
      <c r="N56" t="s">
        <v>112</v>
      </c>
      <c r="O56" t="s">
        <v>79</v>
      </c>
      <c r="P56">
        <v>260171</v>
      </c>
      <c r="Q56" t="s">
        <v>16</v>
      </c>
      <c r="R56" t="s">
        <v>4</v>
      </c>
      <c r="S56" t="s">
        <v>80</v>
      </c>
      <c r="T56">
        <v>90</v>
      </c>
      <c r="U56">
        <v>0.5</v>
      </c>
      <c r="V56" s="2">
        <v>2.0833333333333332E-2</v>
      </c>
      <c r="W56">
        <v>45</v>
      </c>
      <c r="AA56" t="s">
        <v>82</v>
      </c>
      <c r="AC56" t="s">
        <v>128</v>
      </c>
      <c r="AD56" t="s">
        <v>85</v>
      </c>
      <c r="AE56">
        <f t="shared" si="2"/>
        <v>6</v>
      </c>
      <c r="AF56" t="str">
        <f t="shared" si="3"/>
        <v>June</v>
      </c>
    </row>
    <row r="57" spans="1:32">
      <c r="A57" s="1">
        <v>45442</v>
      </c>
      <c r="B57" t="s">
        <v>33</v>
      </c>
      <c r="C57" t="s">
        <v>110</v>
      </c>
      <c r="D57" t="s">
        <v>72</v>
      </c>
      <c r="E57" t="s">
        <v>111</v>
      </c>
      <c r="F57" t="s">
        <v>74</v>
      </c>
      <c r="G57" t="s">
        <v>75</v>
      </c>
      <c r="H57" t="s">
        <v>76</v>
      </c>
      <c r="I57" t="s">
        <v>77</v>
      </c>
      <c r="J57" t="s">
        <v>78</v>
      </c>
      <c r="K57" t="s">
        <v>72</v>
      </c>
      <c r="L57" t="s">
        <v>33</v>
      </c>
      <c r="M57" t="s">
        <v>21</v>
      </c>
      <c r="N57" t="s">
        <v>112</v>
      </c>
      <c r="O57" t="s">
        <v>79</v>
      </c>
      <c r="P57">
        <v>253324</v>
      </c>
      <c r="Q57" t="s">
        <v>16</v>
      </c>
      <c r="R57" t="s">
        <v>4</v>
      </c>
      <c r="S57" t="s">
        <v>80</v>
      </c>
      <c r="T57">
        <v>90</v>
      </c>
      <c r="U57">
        <v>0.25</v>
      </c>
      <c r="V57" s="2">
        <v>1.0416666666666666E-2</v>
      </c>
      <c r="W57">
        <v>22.5</v>
      </c>
      <c r="X57">
        <v>30</v>
      </c>
      <c r="Y57">
        <v>7.5</v>
      </c>
      <c r="Z57" t="s">
        <v>81</v>
      </c>
      <c r="AA57" t="s">
        <v>82</v>
      </c>
      <c r="AB57" t="s">
        <v>83</v>
      </c>
      <c r="AC57" t="s">
        <v>112</v>
      </c>
      <c r="AD57" t="s">
        <v>85</v>
      </c>
      <c r="AE57">
        <f t="shared" si="2"/>
        <v>5</v>
      </c>
      <c r="AF57" t="str">
        <f t="shared" si="3"/>
        <v>May</v>
      </c>
    </row>
    <row r="58" spans="1:32">
      <c r="A58" s="1">
        <v>45443</v>
      </c>
      <c r="B58" t="s">
        <v>33</v>
      </c>
      <c r="C58" t="s">
        <v>110</v>
      </c>
      <c r="D58" t="s">
        <v>72</v>
      </c>
      <c r="E58" t="s">
        <v>111</v>
      </c>
      <c r="F58" t="s">
        <v>74</v>
      </c>
      <c r="G58" t="s">
        <v>75</v>
      </c>
      <c r="H58" t="s">
        <v>76</v>
      </c>
      <c r="I58" t="s">
        <v>77</v>
      </c>
      <c r="J58" t="s">
        <v>78</v>
      </c>
      <c r="K58" t="s">
        <v>72</v>
      </c>
      <c r="L58" t="s">
        <v>33</v>
      </c>
      <c r="M58" t="s">
        <v>21</v>
      </c>
      <c r="N58" t="s">
        <v>112</v>
      </c>
      <c r="O58" t="s">
        <v>79</v>
      </c>
      <c r="P58">
        <v>253305</v>
      </c>
      <c r="Q58" t="s">
        <v>16</v>
      </c>
      <c r="R58" t="s">
        <v>4</v>
      </c>
      <c r="S58" t="s">
        <v>80</v>
      </c>
      <c r="T58">
        <v>90</v>
      </c>
      <c r="U58">
        <v>0.25</v>
      </c>
      <c r="V58" s="2">
        <v>1.0416666666666666E-2</v>
      </c>
      <c r="W58">
        <v>22.5</v>
      </c>
      <c r="X58">
        <v>30</v>
      </c>
      <c r="Y58">
        <v>7.5</v>
      </c>
      <c r="Z58" t="s">
        <v>81</v>
      </c>
      <c r="AA58" t="s">
        <v>82</v>
      </c>
      <c r="AB58" t="s">
        <v>83</v>
      </c>
      <c r="AC58" t="s">
        <v>112</v>
      </c>
      <c r="AD58" t="s">
        <v>85</v>
      </c>
      <c r="AE58">
        <f t="shared" si="2"/>
        <v>5</v>
      </c>
      <c r="AF58" t="str">
        <f t="shared" si="3"/>
        <v>May</v>
      </c>
    </row>
    <row r="59" spans="1:32">
      <c r="A59" s="1">
        <v>45443</v>
      </c>
      <c r="B59" t="s">
        <v>33</v>
      </c>
      <c r="C59" t="s">
        <v>110</v>
      </c>
      <c r="D59" t="s">
        <v>72</v>
      </c>
      <c r="E59" t="s">
        <v>111</v>
      </c>
      <c r="F59" t="s">
        <v>74</v>
      </c>
      <c r="G59" t="s">
        <v>75</v>
      </c>
      <c r="H59" t="s">
        <v>76</v>
      </c>
      <c r="I59" t="s">
        <v>77</v>
      </c>
      <c r="J59" t="s">
        <v>78</v>
      </c>
      <c r="K59" t="s">
        <v>72</v>
      </c>
      <c r="L59" t="s">
        <v>33</v>
      </c>
      <c r="M59" t="s">
        <v>21</v>
      </c>
      <c r="N59" t="s">
        <v>112</v>
      </c>
      <c r="O59" t="s">
        <v>79</v>
      </c>
      <c r="P59">
        <v>253306</v>
      </c>
      <c r="Q59" t="s">
        <v>87</v>
      </c>
      <c r="R59" t="s">
        <v>88</v>
      </c>
      <c r="S59" t="s">
        <v>80</v>
      </c>
      <c r="T59">
        <v>0</v>
      </c>
      <c r="U59">
        <v>0.25</v>
      </c>
      <c r="V59" s="2">
        <v>1.0416666666666666E-2</v>
      </c>
      <c r="W59">
        <v>0</v>
      </c>
      <c r="AA59" t="s">
        <v>82</v>
      </c>
      <c r="AB59" t="s">
        <v>83</v>
      </c>
      <c r="AC59" t="s">
        <v>112</v>
      </c>
      <c r="AD59" t="s">
        <v>85</v>
      </c>
      <c r="AE59">
        <f t="shared" si="2"/>
        <v>5</v>
      </c>
      <c r="AF59" t="str">
        <f t="shared" si="3"/>
        <v>May</v>
      </c>
    </row>
    <row r="60" spans="1:32">
      <c r="A60" s="1">
        <v>45446</v>
      </c>
      <c r="B60" t="s">
        <v>33</v>
      </c>
      <c r="C60" t="s">
        <v>110</v>
      </c>
      <c r="D60" t="s">
        <v>72</v>
      </c>
      <c r="E60" t="s">
        <v>111</v>
      </c>
      <c r="F60" t="s">
        <v>74</v>
      </c>
      <c r="G60" t="s">
        <v>75</v>
      </c>
      <c r="H60" t="s">
        <v>76</v>
      </c>
      <c r="I60" t="s">
        <v>77</v>
      </c>
      <c r="J60" t="s">
        <v>78</v>
      </c>
      <c r="K60" t="s">
        <v>72</v>
      </c>
      <c r="L60" t="s">
        <v>33</v>
      </c>
      <c r="M60" t="s">
        <v>21</v>
      </c>
      <c r="N60" t="s">
        <v>112</v>
      </c>
      <c r="O60" t="s">
        <v>79</v>
      </c>
      <c r="P60">
        <v>254874</v>
      </c>
      <c r="Q60" t="s">
        <v>87</v>
      </c>
      <c r="R60" t="s">
        <v>88</v>
      </c>
      <c r="S60" t="s">
        <v>80</v>
      </c>
      <c r="T60">
        <v>0</v>
      </c>
      <c r="U60">
        <v>0.25</v>
      </c>
      <c r="V60" s="2">
        <v>1.0416666666666666E-2</v>
      </c>
      <c r="W60">
        <v>0</v>
      </c>
      <c r="AA60" t="s">
        <v>82</v>
      </c>
      <c r="AB60" t="s">
        <v>83</v>
      </c>
      <c r="AC60" t="s">
        <v>112</v>
      </c>
      <c r="AD60" t="s">
        <v>85</v>
      </c>
      <c r="AE60">
        <f t="shared" si="2"/>
        <v>6</v>
      </c>
      <c r="AF60" t="str">
        <f t="shared" si="3"/>
        <v>June</v>
      </c>
    </row>
    <row r="61" spans="1:32">
      <c r="A61" s="1">
        <v>45447</v>
      </c>
      <c r="B61" t="s">
        <v>33</v>
      </c>
      <c r="C61" t="s">
        <v>110</v>
      </c>
      <c r="D61" t="s">
        <v>72</v>
      </c>
      <c r="E61" t="s">
        <v>111</v>
      </c>
      <c r="F61" t="s">
        <v>74</v>
      </c>
      <c r="G61" t="s">
        <v>75</v>
      </c>
      <c r="H61" t="s">
        <v>76</v>
      </c>
      <c r="I61" t="s">
        <v>77</v>
      </c>
      <c r="J61" t="s">
        <v>78</v>
      </c>
      <c r="K61" t="s">
        <v>72</v>
      </c>
      <c r="L61" t="s">
        <v>33</v>
      </c>
      <c r="M61" t="s">
        <v>21</v>
      </c>
      <c r="N61" t="s">
        <v>112</v>
      </c>
      <c r="O61" t="s">
        <v>79</v>
      </c>
      <c r="P61">
        <v>255288</v>
      </c>
      <c r="Q61" t="s">
        <v>87</v>
      </c>
      <c r="R61" t="s">
        <v>88</v>
      </c>
      <c r="S61" t="s">
        <v>80</v>
      </c>
      <c r="T61">
        <v>0</v>
      </c>
      <c r="U61">
        <v>0.75</v>
      </c>
      <c r="V61" s="2">
        <v>3.125E-2</v>
      </c>
      <c r="W61">
        <v>0</v>
      </c>
      <c r="AA61" t="s">
        <v>82</v>
      </c>
      <c r="AB61" t="s">
        <v>83</v>
      </c>
      <c r="AC61" t="s">
        <v>112</v>
      </c>
      <c r="AD61" t="s">
        <v>85</v>
      </c>
      <c r="AE61">
        <f t="shared" si="2"/>
        <v>6</v>
      </c>
      <c r="AF61" t="str">
        <f t="shared" si="3"/>
        <v>June</v>
      </c>
    </row>
    <row r="62" spans="1:32">
      <c r="A62" s="1">
        <v>45448</v>
      </c>
      <c r="B62" t="s">
        <v>33</v>
      </c>
      <c r="C62" t="s">
        <v>110</v>
      </c>
      <c r="D62" t="s">
        <v>72</v>
      </c>
      <c r="E62" t="s">
        <v>111</v>
      </c>
      <c r="F62" t="s">
        <v>74</v>
      </c>
      <c r="G62" t="s">
        <v>75</v>
      </c>
      <c r="H62" t="s">
        <v>76</v>
      </c>
      <c r="I62" t="s">
        <v>77</v>
      </c>
      <c r="J62" t="s">
        <v>78</v>
      </c>
      <c r="K62" t="s">
        <v>72</v>
      </c>
      <c r="L62" t="s">
        <v>33</v>
      </c>
      <c r="M62" t="s">
        <v>21</v>
      </c>
      <c r="N62" t="s">
        <v>112</v>
      </c>
      <c r="O62" t="s">
        <v>79</v>
      </c>
      <c r="P62">
        <v>256514</v>
      </c>
      <c r="Q62" t="s">
        <v>87</v>
      </c>
      <c r="R62" t="s">
        <v>88</v>
      </c>
      <c r="S62" t="s">
        <v>80</v>
      </c>
      <c r="T62">
        <v>0</v>
      </c>
      <c r="U62">
        <v>0.25</v>
      </c>
      <c r="V62" s="2">
        <v>1.0416666666666666E-2</v>
      </c>
      <c r="W62">
        <v>0</v>
      </c>
      <c r="AA62" t="s">
        <v>82</v>
      </c>
      <c r="AB62" t="s">
        <v>83</v>
      </c>
      <c r="AC62" t="s">
        <v>112</v>
      </c>
      <c r="AD62" t="s">
        <v>85</v>
      </c>
      <c r="AE62">
        <f t="shared" si="2"/>
        <v>6</v>
      </c>
      <c r="AF62" t="str">
        <f t="shared" si="3"/>
        <v>June</v>
      </c>
    </row>
    <row r="63" spans="1:32">
      <c r="A63" s="1">
        <v>45453</v>
      </c>
      <c r="B63" t="s">
        <v>33</v>
      </c>
      <c r="C63" t="s">
        <v>110</v>
      </c>
      <c r="D63" t="s">
        <v>72</v>
      </c>
      <c r="E63" t="s">
        <v>111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72</v>
      </c>
      <c r="L63" t="s">
        <v>33</v>
      </c>
      <c r="M63" t="s">
        <v>21</v>
      </c>
      <c r="N63" t="s">
        <v>112</v>
      </c>
      <c r="O63" t="s">
        <v>79</v>
      </c>
      <c r="P63">
        <v>257351</v>
      </c>
      <c r="Q63" t="s">
        <v>87</v>
      </c>
      <c r="R63" t="s">
        <v>88</v>
      </c>
      <c r="S63" t="s">
        <v>80</v>
      </c>
      <c r="T63">
        <v>0</v>
      </c>
      <c r="U63">
        <v>0.5</v>
      </c>
      <c r="V63" s="2">
        <v>2.0833333333333332E-2</v>
      </c>
      <c r="W63">
        <v>0</v>
      </c>
      <c r="AA63" t="s">
        <v>82</v>
      </c>
      <c r="AB63" t="s">
        <v>83</v>
      </c>
      <c r="AC63" t="s">
        <v>112</v>
      </c>
      <c r="AD63" t="s">
        <v>85</v>
      </c>
      <c r="AE63">
        <f t="shared" si="2"/>
        <v>6</v>
      </c>
      <c r="AF63" t="str">
        <f t="shared" si="3"/>
        <v>June</v>
      </c>
    </row>
    <row r="64" spans="1:32">
      <c r="A64" s="1">
        <v>45454</v>
      </c>
      <c r="B64" t="s">
        <v>33</v>
      </c>
      <c r="C64" t="s">
        <v>110</v>
      </c>
      <c r="D64" t="s">
        <v>72</v>
      </c>
      <c r="E64" t="s">
        <v>111</v>
      </c>
      <c r="F64" t="s">
        <v>74</v>
      </c>
      <c r="G64" t="s">
        <v>75</v>
      </c>
      <c r="H64" t="s">
        <v>76</v>
      </c>
      <c r="I64" t="s">
        <v>77</v>
      </c>
      <c r="J64" t="s">
        <v>78</v>
      </c>
      <c r="K64" t="s">
        <v>72</v>
      </c>
      <c r="L64" t="s">
        <v>33</v>
      </c>
      <c r="M64" t="s">
        <v>21</v>
      </c>
      <c r="N64" t="s">
        <v>112</v>
      </c>
      <c r="O64" t="s">
        <v>79</v>
      </c>
      <c r="P64">
        <v>257823</v>
      </c>
      <c r="Q64" t="s">
        <v>87</v>
      </c>
      <c r="R64" t="s">
        <v>88</v>
      </c>
      <c r="S64" t="s">
        <v>80</v>
      </c>
      <c r="T64">
        <v>0</v>
      </c>
      <c r="U64">
        <v>0.25</v>
      </c>
      <c r="V64" s="2">
        <v>1.0416666666666666E-2</v>
      </c>
      <c r="W64">
        <v>0</v>
      </c>
      <c r="AA64" t="s">
        <v>82</v>
      </c>
      <c r="AB64" t="s">
        <v>83</v>
      </c>
      <c r="AC64" t="s">
        <v>112</v>
      </c>
      <c r="AD64" t="s">
        <v>85</v>
      </c>
      <c r="AE64">
        <f t="shared" ref="AE64:AE67" si="4">MONTH(A64)</f>
        <v>6</v>
      </c>
      <c r="AF64" t="str">
        <f t="shared" ref="AF64:AF67" si="5">IF(AE64=5,"May",IF(AE64=6,"June",IF(AE64=7,"July",IF(AE64=8,"August",IF(AE64=9,"September")))))</f>
        <v>June</v>
      </c>
    </row>
    <row r="65" spans="1:32">
      <c r="A65" s="1">
        <v>45455</v>
      </c>
      <c r="B65" t="s">
        <v>33</v>
      </c>
      <c r="C65" t="s">
        <v>110</v>
      </c>
      <c r="D65" t="s">
        <v>72</v>
      </c>
      <c r="E65" t="s">
        <v>111</v>
      </c>
      <c r="F65" t="s">
        <v>74</v>
      </c>
      <c r="G65" t="s">
        <v>75</v>
      </c>
      <c r="H65" t="s">
        <v>76</v>
      </c>
      <c r="I65" t="s">
        <v>77</v>
      </c>
      <c r="J65" t="s">
        <v>78</v>
      </c>
      <c r="K65" t="s">
        <v>72</v>
      </c>
      <c r="L65" t="s">
        <v>33</v>
      </c>
      <c r="M65" t="s">
        <v>21</v>
      </c>
      <c r="N65" t="s">
        <v>112</v>
      </c>
      <c r="O65" t="s">
        <v>79</v>
      </c>
      <c r="P65">
        <v>258628</v>
      </c>
      <c r="Q65" t="s">
        <v>87</v>
      </c>
      <c r="R65" t="s">
        <v>88</v>
      </c>
      <c r="S65" t="s">
        <v>80</v>
      </c>
      <c r="T65">
        <v>0</v>
      </c>
      <c r="U65">
        <v>0.5</v>
      </c>
      <c r="V65" s="2">
        <v>2.0833333333333332E-2</v>
      </c>
      <c r="W65">
        <v>0</v>
      </c>
      <c r="AA65" t="s">
        <v>82</v>
      </c>
      <c r="AB65" t="s">
        <v>83</v>
      </c>
      <c r="AC65" t="s">
        <v>112</v>
      </c>
      <c r="AD65" t="s">
        <v>85</v>
      </c>
      <c r="AE65">
        <f t="shared" si="4"/>
        <v>6</v>
      </c>
      <c r="AF65" t="str">
        <f t="shared" si="5"/>
        <v>June</v>
      </c>
    </row>
    <row r="66" spans="1:32">
      <c r="A66" s="1">
        <v>45456</v>
      </c>
      <c r="B66" t="s">
        <v>33</v>
      </c>
      <c r="C66" t="s">
        <v>110</v>
      </c>
      <c r="D66" t="s">
        <v>72</v>
      </c>
      <c r="E66" t="s">
        <v>111</v>
      </c>
      <c r="F66" t="s">
        <v>74</v>
      </c>
      <c r="G66" t="s">
        <v>75</v>
      </c>
      <c r="H66" t="s">
        <v>76</v>
      </c>
      <c r="I66" t="s">
        <v>77</v>
      </c>
      <c r="J66" t="s">
        <v>78</v>
      </c>
      <c r="K66" t="s">
        <v>72</v>
      </c>
      <c r="L66" t="s">
        <v>33</v>
      </c>
      <c r="M66" t="s">
        <v>21</v>
      </c>
      <c r="N66" t="s">
        <v>112</v>
      </c>
      <c r="O66" t="s">
        <v>79</v>
      </c>
      <c r="P66">
        <v>258997</v>
      </c>
      <c r="Q66" t="s">
        <v>87</v>
      </c>
      <c r="R66" t="s">
        <v>88</v>
      </c>
      <c r="S66" t="s">
        <v>80</v>
      </c>
      <c r="T66">
        <v>0</v>
      </c>
      <c r="U66">
        <v>0.25</v>
      </c>
      <c r="V66" s="2">
        <v>1.0416666666666666E-2</v>
      </c>
      <c r="W66">
        <v>0</v>
      </c>
      <c r="AA66" t="s">
        <v>82</v>
      </c>
      <c r="AB66" t="s">
        <v>83</v>
      </c>
      <c r="AC66" t="s">
        <v>112</v>
      </c>
      <c r="AD66" t="s">
        <v>85</v>
      </c>
      <c r="AE66">
        <f t="shared" si="4"/>
        <v>6</v>
      </c>
      <c r="AF66" t="str">
        <f t="shared" si="5"/>
        <v>June</v>
      </c>
    </row>
    <row r="67" spans="1:32">
      <c r="A67" s="1">
        <v>45457</v>
      </c>
      <c r="B67" t="s">
        <v>33</v>
      </c>
      <c r="C67" t="s">
        <v>110</v>
      </c>
      <c r="D67" t="s">
        <v>72</v>
      </c>
      <c r="E67" t="s">
        <v>111</v>
      </c>
      <c r="F67" t="s">
        <v>74</v>
      </c>
      <c r="G67" t="s">
        <v>75</v>
      </c>
      <c r="H67" t="s">
        <v>76</v>
      </c>
      <c r="I67" t="s">
        <v>77</v>
      </c>
      <c r="J67" t="s">
        <v>78</v>
      </c>
      <c r="K67" t="s">
        <v>72</v>
      </c>
      <c r="L67" t="s">
        <v>33</v>
      </c>
      <c r="M67" t="s">
        <v>21</v>
      </c>
      <c r="N67" t="s">
        <v>112</v>
      </c>
      <c r="O67" t="s">
        <v>79</v>
      </c>
      <c r="P67">
        <v>259540</v>
      </c>
      <c r="Q67" t="s">
        <v>87</v>
      </c>
      <c r="R67" t="s">
        <v>88</v>
      </c>
      <c r="S67" t="s">
        <v>80</v>
      </c>
      <c r="T67">
        <v>0</v>
      </c>
      <c r="U67">
        <v>0.25</v>
      </c>
      <c r="V67" s="2">
        <v>1.0416666666666666E-2</v>
      </c>
      <c r="W67">
        <v>0</v>
      </c>
      <c r="AA67" t="s">
        <v>82</v>
      </c>
      <c r="AB67" t="s">
        <v>83</v>
      </c>
      <c r="AC67" t="s">
        <v>112</v>
      </c>
      <c r="AD67" t="s">
        <v>85</v>
      </c>
      <c r="AE67">
        <f t="shared" si="4"/>
        <v>6</v>
      </c>
      <c r="AF67" t="str">
        <f t="shared" si="5"/>
        <v>June</v>
      </c>
    </row>
    <row r="68" spans="1:32">
      <c r="A68" s="1"/>
      <c r="V68" s="2"/>
    </row>
    <row r="69" spans="1:32">
      <c r="A69" s="1"/>
      <c r="V69" s="2"/>
    </row>
    <row r="70" spans="1:32">
      <c r="A70" s="1"/>
      <c r="V70" s="2"/>
    </row>
    <row r="71" spans="1:32">
      <c r="A71" s="1"/>
      <c r="V71" s="2"/>
    </row>
    <row r="72" spans="1:32">
      <c r="A72" s="1"/>
      <c r="V72" s="2"/>
    </row>
    <row r="73" spans="1:32">
      <c r="A73" s="1"/>
      <c r="V73" s="2"/>
    </row>
    <row r="74" spans="1:32">
      <c r="A74" s="1"/>
      <c r="V74" s="2"/>
    </row>
    <row r="75" spans="1:32">
      <c r="A75" s="1"/>
      <c r="V75" s="2"/>
    </row>
    <row r="76" spans="1:32">
      <c r="A76" s="1"/>
      <c r="V76" s="2"/>
    </row>
    <row r="77" spans="1:32">
      <c r="A77" s="1"/>
      <c r="V77" s="2"/>
    </row>
    <row r="78" spans="1:32">
      <c r="A78" s="1"/>
      <c r="V78" s="2"/>
    </row>
    <row r="79" spans="1:32">
      <c r="A79" s="1"/>
      <c r="V79" s="2"/>
    </row>
    <row r="80" spans="1:3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ADC9B09B-CD4B-40B6-8BF5-51B0526F51B7}"/>
</file>

<file path=customXml/itemProps2.xml><?xml version="1.0" encoding="utf-8"?>
<ds:datastoreItem xmlns:ds="http://schemas.openxmlformats.org/officeDocument/2006/customXml" ds:itemID="{1192B29A-EADE-480A-86E4-3B207917E86E}"/>
</file>

<file path=customXml/itemProps3.xml><?xml version="1.0" encoding="utf-8"?>
<ds:datastoreItem xmlns:ds="http://schemas.openxmlformats.org/officeDocument/2006/customXml" ds:itemID="{1EC8D80B-82E0-450D-9EE5-A5894E36E97A}"/>
</file>

<file path=customXml/itemProps4.xml><?xml version="1.0" encoding="utf-8"?>
<ds:datastoreItem xmlns:ds="http://schemas.openxmlformats.org/officeDocument/2006/customXml" ds:itemID="{8825C6CB-0F39-4B2A-8FC2-5B710DAFC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2024-07-01T10:20:24Z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