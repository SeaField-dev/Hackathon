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7. GDPR Anonymisation/"/>
    </mc:Choice>
  </mc:AlternateContent>
  <xr:revisionPtr revIDLastSave="202" documentId="13_ncr:40009_{BBCEBA60-E38F-4EE1-BDB9-DA93CE793831}" xr6:coauthVersionLast="47" xr6:coauthVersionMax="47" xr10:uidLastSave="{97B61112-9AB8-472B-AB05-8A88237B1273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205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9" i="1" l="1"/>
  <c r="AC36" i="1"/>
  <c r="AE79" i="1"/>
  <c r="AF79" i="1" s="1"/>
  <c r="AE80" i="1"/>
  <c r="AF80" i="1" s="1"/>
  <c r="AE81" i="1"/>
  <c r="AF81" i="1" s="1"/>
  <c r="AE82" i="1"/>
  <c r="AF82" i="1" s="1"/>
  <c r="AE83" i="1"/>
  <c r="AF83" i="1"/>
  <c r="AE84" i="1"/>
  <c r="AF84" i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74" i="1"/>
  <c r="AF74" i="1" s="1"/>
  <c r="AE75" i="1"/>
  <c r="AF75" i="1" s="1"/>
  <c r="AE76" i="1"/>
  <c r="AF76" i="1" s="1"/>
  <c r="AE77" i="1"/>
  <c r="AF77" i="1" s="1"/>
  <c r="AE78" i="1"/>
  <c r="AF78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K12" i="2"/>
  <c r="K16" i="2"/>
  <c r="K15" i="2"/>
  <c r="K14" i="2"/>
  <c r="K13" i="2"/>
  <c r="J13" i="2"/>
  <c r="J14" i="2"/>
  <c r="J15" i="2"/>
  <c r="J16" i="2"/>
  <c r="J12" i="2"/>
  <c r="J17" i="2"/>
  <c r="H17" i="2"/>
  <c r="I17" i="2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2" i="1"/>
  <c r="AF2" i="1" s="1"/>
  <c r="K17" i="2" l="1"/>
</calcChain>
</file>

<file path=xl/sharedStrings.xml><?xml version="1.0" encoding="utf-8"?>
<sst xmlns="http://schemas.openxmlformats.org/spreadsheetml/2006/main" count="2018" uniqueCount="141">
  <si>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</si>
  <si>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</si>
  <si>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</si>
  <si>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</si>
  <si>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</si>
  <si>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</si>
  <si>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</si>
  <si>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</si>
  <si>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</si>
  <si>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</si>
  <si>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</si>
  <si>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</si>
  <si>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</si>
  <si>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</si>
  <si>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</si>
  <si>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</si>
  <si>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</si>
  <si>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</si>
  <si>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</si>
  <si>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</si>
  <si>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</si>
  <si>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</si>
  <si>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</si>
  <si>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</si>
  <si>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</si>
  <si>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</si>
  <si>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</si>
  <si>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</si>
  <si>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Khonani Davhana</t>
  </si>
  <si>
    <t>Production</t>
  </si>
  <si>
    <t>5 - 6.5</t>
  </si>
  <si>
    <t xml:space="preserve">£600 </t>
  </si>
  <si>
    <t xml:space="preserve"> £780 </t>
  </si>
  <si>
    <t>Dillan Landsberg</t>
  </si>
  <si>
    <t>Total</t>
  </si>
  <si>
    <t>65 - 80</t>
  </si>
  <si>
    <t xml:space="preserve">£7,800 </t>
  </si>
  <si>
    <t xml:space="preserve"> £9,540 </t>
  </si>
  <si>
    <t>Shaun Barrett</t>
  </si>
  <si>
    <t>Lower Bound (Hrs)</t>
  </si>
  <si>
    <t>Upper Bound (Hrs)</t>
  </si>
  <si>
    <t>Lower Bound (Cost)</t>
  </si>
  <si>
    <t>Upper Bound (Cost)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</si>
  <si>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</si>
  <si>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</si>
  <si>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</si>
  <si>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</si>
  <si>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</si>
  <si>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</si>
  <si>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</si>
  <si>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</si>
  <si>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</si>
  <si>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</si>
  <si>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</si>
  <si>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</si>
  <si>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</si>
  <si>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</si>
  <si>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</si>
  <si>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</si>
  <si>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</si>
  <si>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</si>
  <si>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</si>
  <si>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</si>
  <si>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</si>
  <si>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</si>
  <si>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</si>
  <si>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</si>
  <si>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</si>
  <si>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</si>
  <si>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</si>
  <si>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</si>
  <si>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</si>
  <si>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</si>
  <si>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</si>
  <si>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</si>
  <si>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</si>
  <si>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</si>
  <si>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</si>
  <si>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 (T&amp;M)</t>
  </si>
  <si>
    <t>Billable</t>
  </si>
  <si>
    <t>Delivery</t>
  </si>
  <si>
    <t>Standard Timecode</t>
  </si>
  <si>
    <t>IN08103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</si>
  <si>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</si>
  <si>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</si>
  <si>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</si>
  <si>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</si>
  <si>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</si>
  <si>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</si>
  <si>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</si>
  <si>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</si>
  <si>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</si>
  <si>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</si>
  <si>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</si>
  <si>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</si>
  <si>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</si>
  <si>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Daily standup. Worked on GA-3 GA-2 GA-8 and GA-9. Testing of batch jobs. Preparations for deployment to QA environment.</t>
  </si>
  <si>
    <t>IN08266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</si>
  <si>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</si>
  <si>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</si>
  <si>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</si>
  <si>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</si>
  <si>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1. Test classes 2. Daily standup  3. Execution of test scenarios</t>
  </si>
  <si>
    <t>1. Added ACs to Jira stories</t>
  </si>
  <si>
    <t>1. Daily standup 2. Discussion wtih Dillan 3. Worked on GA-15 writing test classes</t>
  </si>
  <si>
    <t>GA-5 discussion with Dillan. Investigated the root cause for error emails not being sent out. Account record not being anonymised.</t>
  </si>
  <si>
    <t>Worked on writing ACs for GDPR project stories</t>
  </si>
  <si>
    <t>Worked on writing ACs stories. Discussion with Sam. Daily standup.</t>
  </si>
  <si>
    <t>1. Daily standup. 2. Worked on writing story for GA-3. 3. Worked on GA-5 all or nothing behavior. 4. Worked on GA-16</t>
  </si>
  <si>
    <t>Worked on testing GA-3 story in qa sandbox. Fixed issue related to email not being sent. Updated post deployment steps related to story GA-16. Daily standup.</t>
  </si>
  <si>
    <t>Deployment to UAT sandbox and post deployment config.</t>
  </si>
  <si>
    <t>Worked on GA-16. Deployment from dev to QA to UAT. Testing and updated custom metadata settings to set value of 1 for Opt in Period. Discussion with Dillan about lead records anonymization in UAT.</t>
  </si>
  <si>
    <t>GDPR UAT Approach discussion with Shaun Jacob Dan and Dillan. Discussion with Dillan. Worked on UAT testing doc.</t>
  </si>
  <si>
    <t>GDPR UAT strategy review call with Sam and Grainger team. Discussion with Dillan about uat issue. Checked GDPR batch issues in UAT.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</si>
  <si>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</si>
  <si>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</si>
  <si>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</si>
  <si>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</si>
  <si>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</si>
  <si>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</si>
  <si>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</si>
  <si>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Client meeting</t>
  </si>
  <si>
    <t>Standup</t>
  </si>
  <si>
    <t>Write out test cases for GA-3 and GA-8</t>
  </si>
  <si>
    <t>Call with Anjali for GA-3 and GA-8</t>
  </si>
  <si>
    <t>GDPR Anonymisation - Touchpoint session</t>
  </si>
  <si>
    <t>QA on GA-238</t>
  </si>
  <si>
    <t>QA GA-345</t>
  </si>
  <si>
    <t>QA GA-5 Update test cases Show me GA-5 with Anjali</t>
  </si>
  <si>
    <t>Update GA-3 5 16</t>
  </si>
  <si>
    <t>PII Data back up</t>
  </si>
  <si>
    <t>Smoke testing UAT</t>
  </si>
  <si>
    <t>Sanity testing UAT</t>
  </si>
  <si>
    <t>User guide</t>
  </si>
  <si>
    <t>GDPR Anonymisation: Marketing Cloud Call</t>
  </si>
  <si>
    <t>Implementation approach</t>
  </si>
  <si>
    <t>Refinement session</t>
  </si>
  <si>
    <t>Refinement with Grainger</t>
  </si>
  <si>
    <t>Meeting with Grainger backup team</t>
  </si>
  <si>
    <t>UAT strategy planning (30 mins) UAT call with Grainger (30 mins)</t>
  </si>
  <si>
    <t>Call with Dan Asamoah on Marketing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</si>
</sst>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88.64273576389" createdVersion="8" refreshedVersion="8" minRefreshableVersion="3" recordCount="92" xr:uid="{655E0AB1-4262-430F-8AB5-45EE74580A69}">
  <cacheSource type="worksheet">
    <worksheetSource ref="A1:AF93" sheet="Project Timesheets"/>
  </cacheSource>
  <cacheFields count="32">
    <cacheField name="Date" numFmtId="15">
      <sharedItems containsSemiMixedTypes="0" containsNonDate="0" containsDate="1" containsString="0" minDate="2024-05-20T00:00:00" maxDate="2024-07-13T00:00:00"/>
    </cacheField>
    <cacheField name="Person" numFmtId="0">
      <sharedItems count="6">
        <s v="Anjali Salecha"/>
        <s v="Carami Le Grange"/>
        <s v="Dillan Landsberg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71218"/>
    </cacheField>
    <cacheField name="Timecode Name" numFmtId="0">
      <sharedItems count="2">
        <s v="Build"/>
        <s v="Delivery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containsInteger="1" minValue="30" maxValue="960"/>
    </cacheField>
    <cacheField name="Invoiced Delta" numFmtId="0">
      <sharedItems containsString="0" containsBlank="1" containsNumber="1" minValue="7.5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7"/>
    </cacheField>
    <cacheField name="Month" numFmtId="0">
      <sharedItems count="3">
        <s v="May"/>
        <s v="June"/>
        <s v="Ju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1"/>
    <x v="1"/>
    <s v="Standard Timecode"/>
    <n v="0"/>
    <n v="8"/>
    <d v="1899-12-30T08:00:00"/>
    <n v="0"/>
    <m/>
    <m/>
    <m/>
    <s v="GBP"/>
    <s v="Reviewed"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n v="960"/>
    <n v="240"/>
    <s v="IN08266"/>
    <s v="GBP"/>
    <s v="Reviewed"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1"/>
    <x v="1"/>
    <s v="Standard Timecode"/>
    <n v="0"/>
    <n v="7"/>
    <d v="1899-12-30T07:00:00"/>
    <n v="0"/>
    <m/>
    <m/>
    <m/>
    <s v="GBP"/>
    <s v="Reviewed"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1"/>
    <x v="1"/>
    <s v="Standard Timecode"/>
    <n v="0"/>
    <n v="7"/>
    <d v="1899-12-30T07:00:00"/>
    <n v="0"/>
    <m/>
    <m/>
    <m/>
    <s v="GBP"/>
    <s v="Reviewed"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1"/>
    <x v="1"/>
    <s v="Standard Timecode"/>
    <n v="0"/>
    <n v="5"/>
    <d v="1899-12-30T05:00:00"/>
    <n v="0"/>
    <m/>
    <m/>
    <m/>
    <s v="GBP"/>
    <s v="Reviewed"/>
    <s v="Daily standup. Worked on GA-5 and completed GA-9. Testing.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3"/>
    <x v="1"/>
    <x v="1"/>
    <s v="Standard Timecode"/>
    <n v="0"/>
    <n v="6.5"/>
    <d v="1899-12-30T06:30:00"/>
    <n v="0"/>
    <m/>
    <m/>
    <m/>
    <s v="GBP"/>
    <s v="Reviewed"/>
    <s v="1. Test classes 2. Daily standup  3. Execution of test scenarios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970"/>
    <x v="1"/>
    <x v="1"/>
    <s v="Standard Timecode"/>
    <n v="0"/>
    <n v="1.5"/>
    <d v="1899-12-30T01:30:00"/>
    <n v="0"/>
    <m/>
    <m/>
    <m/>
    <s v="GBP"/>
    <s v="Reviewed"/>
    <s v="1. Added ACs to Jira stories"/>
    <s v="Not submitted"/>
    <n v="6"/>
    <x v="1"/>
  </r>
  <r>
    <d v="2024-06-1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2"/>
    <x v="1"/>
    <x v="1"/>
    <s v="Standard Timecode"/>
    <n v="0"/>
    <n v="8"/>
    <d v="1899-12-30T08:00:00"/>
    <n v="0"/>
    <m/>
    <m/>
    <m/>
    <s v="GBP"/>
    <s v="Reviewed"/>
    <s v="1. Daily standup 2. Discussion wtih Dillan 3. Worked on GA-15 writing test classes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5"/>
    <x v="1"/>
    <x v="1"/>
    <s v="Standard Timecode"/>
    <n v="0"/>
    <n v="3.5"/>
    <d v="1899-12-30T03:30:00"/>
    <n v="0"/>
    <m/>
    <m/>
    <m/>
    <s v="GBP"/>
    <s v="Reviewed"/>
    <s v="GA-5 discussion with Dillan. Investigated the root cause for error emails not being sent out. Account record not being anonymised.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6"/>
    <x v="1"/>
    <x v="1"/>
    <s v="Standard Timecode"/>
    <n v="0"/>
    <n v="1.5"/>
    <d v="1899-12-30T01:30:00"/>
    <n v="0"/>
    <m/>
    <m/>
    <m/>
    <s v="GBP"/>
    <s v="Reviewed"/>
    <s v="Worked on writing ACs for GDPR project stories"/>
    <s v="Not submitted"/>
    <n v="6"/>
    <x v="1"/>
  </r>
  <r>
    <d v="2024-06-1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63"/>
    <x v="1"/>
    <x v="1"/>
    <s v="Standard Timecode"/>
    <n v="0"/>
    <n v="5"/>
    <d v="1899-12-30T05:00:00"/>
    <n v="0"/>
    <m/>
    <m/>
    <m/>
    <s v="GBP"/>
    <s v="Reviewed"/>
    <s v="Worked on writing ACs stories. Discussion with Sam. Daily standup."/>
    <s v="Not submitted"/>
    <n v="6"/>
    <x v="1"/>
  </r>
  <r>
    <d v="2024-06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58"/>
    <x v="1"/>
    <x v="1"/>
    <s v="Standard Timecode"/>
    <n v="0"/>
    <n v="8"/>
    <d v="1899-12-30T08:00:00"/>
    <n v="0"/>
    <m/>
    <m/>
    <m/>
    <s v="GBP"/>
    <s v="Reviewed"/>
    <s v="1. Daily standup. 2. Worked on writing story for GA-3. 3. Worked on GA-5 all or nothing behavior. 4. Worked on GA-16"/>
    <s v="Not submitted"/>
    <n v="6"/>
    <x v="1"/>
  </r>
  <r>
    <d v="2024-06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5"/>
    <x v="1"/>
    <x v="1"/>
    <s v="Standard Timecode"/>
    <n v="0"/>
    <n v="7"/>
    <d v="1899-12-30T07:00:00"/>
    <n v="0"/>
    <m/>
    <m/>
    <m/>
    <s v="GBP"/>
    <s v="Reviewed"/>
    <s v="Worked on testing GA-3 story in qa sandbox. Fixed issue related to email not being sent. Updated post deployment steps related to story GA-16. Daily standup."/>
    <s v="Not submitted"/>
    <n v="6"/>
    <x v="1"/>
  </r>
  <r>
    <d v="2024-06-1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815"/>
    <x v="1"/>
    <x v="1"/>
    <s v="Standard Timecode"/>
    <n v="0"/>
    <n v="1.5"/>
    <d v="1899-12-30T01:30:00"/>
    <n v="0"/>
    <m/>
    <m/>
    <m/>
    <s v="GBP"/>
    <s v="Reviewed"/>
    <s v="Deployment to UAT sandbox and post deployment config."/>
    <s v="Not submitted"/>
    <n v="6"/>
    <x v="1"/>
  </r>
  <r>
    <d v="2024-06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058"/>
    <x v="1"/>
    <x v="1"/>
    <s v="Standard Timecode"/>
    <n v="0"/>
    <n v="4"/>
    <d v="1899-12-30T04:00:00"/>
    <n v="0"/>
    <m/>
    <m/>
    <m/>
    <s v="GBP"/>
    <s v="Reviewed"/>
    <s v="Worked on GA-16. Deployment from dev to QA to UAT. Testing and updated custom metadata settings to set value of 1 for Opt in Period. Discussion with Dillan about lead records anonymization in UAT."/>
    <s v="Not submitted"/>
    <n v="6"/>
    <x v="1"/>
  </r>
  <r>
    <d v="2024-07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7579"/>
    <x v="0"/>
    <x v="0"/>
    <s v="Standard Timecode"/>
    <n v="90"/>
    <n v="4.5"/>
    <d v="1899-12-30T04:30:00"/>
    <n v="405"/>
    <m/>
    <m/>
    <m/>
    <s v="GBP"/>
    <s v="Reviewed"/>
    <s v="GDPR UAT Approach discussion with Shaun Jacob Dan and Dillan. Discussion with Dillan. Worked on UAT testing doc."/>
    <s v="Not submitted"/>
    <n v="7"/>
    <x v="2"/>
  </r>
  <r>
    <d v="2024-07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0930"/>
    <x v="1"/>
    <x v="1"/>
    <s v="Standard Timecode"/>
    <n v="0"/>
    <n v="3"/>
    <d v="1899-12-30T03:00:00"/>
    <n v="0"/>
    <m/>
    <m/>
    <m/>
    <s v="GBP"/>
    <s v="Reviewed"/>
    <s v="GDPR UAT strategy review call with Sam and Grainger team. Discussion with Dillan about uat issue. Checked GDPR batch issues in UAT."/>
    <s v="Not submitted"/>
    <n v="7"/>
    <x v="2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s v="Reviewed"/>
    <s v="Client meeting"/>
    <s v="Not submitted"/>
    <n v="6"/>
    <x v="1"/>
  </r>
  <r>
    <d v="2024-06-1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33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1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427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4860"/>
    <x v="1"/>
    <x v="1"/>
    <s v="Standard Timecode"/>
    <n v="0"/>
    <n v="0.25"/>
    <d v="1899-12-30T00:15:00"/>
    <n v="0"/>
    <m/>
    <m/>
    <m/>
    <s v="GBP"/>
    <s v="Reviewed"/>
    <s v="Standup"/>
    <s v="Not submitted"/>
    <n v="6"/>
    <x v="1"/>
  </r>
  <r>
    <d v="2024-07-01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6032"/>
    <x v="1"/>
    <x v="1"/>
    <s v="Standard Timecode"/>
    <n v="0"/>
    <n v="0.25"/>
    <d v="1899-12-30T00:15:00"/>
    <n v="0"/>
    <m/>
    <m/>
    <m/>
    <s v="GBP"/>
    <m/>
    <s v="Time Report"/>
    <s v="Not submitted"/>
    <n v="7"/>
    <x v="2"/>
  </r>
  <r>
    <d v="2024-07-0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395"/>
    <x v="1"/>
    <x v="1"/>
    <s v="Standard Timecode"/>
    <n v="0"/>
    <n v="0.5"/>
    <d v="1899-12-30T00:30:00"/>
    <n v="0"/>
    <m/>
    <m/>
    <m/>
    <s v="GBP"/>
    <m/>
    <s v="Time Report"/>
    <s v="Not submitted"/>
    <n v="7"/>
    <x v="2"/>
  </r>
  <r>
    <d v="2024-05-3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s v="Reviewed"/>
    <s v="Write out test cases for GA-3 and GA-8"/>
    <s v="Not submitted"/>
    <n v="6"/>
    <x v="1"/>
  </r>
  <r>
    <d v="2024-06-0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s v="Reviewed"/>
    <s v="Call with Anjali for GA-3 and GA-8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s v="Reviewed"/>
    <s v="GDPR Anonymisation - Touchpoint session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1"/>
    <x v="1"/>
    <s v="Standard Timecode"/>
    <n v="0"/>
    <n v="2.5"/>
    <d v="1899-12-30T02:30:00"/>
    <n v="0"/>
    <m/>
    <m/>
    <m/>
    <s v="GBP"/>
    <s v="Reviewed"/>
    <s v="QA on GA-238"/>
    <s v="Not submitted"/>
    <n v="6"/>
    <x v="1"/>
  </r>
  <r>
    <d v="2024-06-07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1"/>
    <x v="1"/>
    <s v="Standard Timecode"/>
    <n v="0"/>
    <n v="1"/>
    <d v="1899-12-30T01:00:00"/>
    <n v="0"/>
    <m/>
    <m/>
    <m/>
    <s v="GBP"/>
    <s v="Reviewed"/>
    <s v="QA on GA-238"/>
    <s v="Not submitted"/>
    <n v="6"/>
    <x v="1"/>
  </r>
  <r>
    <d v="2024-06-10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1"/>
    <x v="1"/>
    <s v="Standard Timecode"/>
    <n v="0"/>
    <n v="2.25"/>
    <d v="1899-12-30T02:15:00"/>
    <n v="0"/>
    <m/>
    <m/>
    <m/>
    <s v="GBP"/>
    <s v="Reviewed"/>
    <s v="QA GA-345"/>
    <s v="Not submitted"/>
    <n v="6"/>
    <x v="1"/>
  </r>
  <r>
    <d v="2024-06-1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683"/>
    <x v="1"/>
    <x v="1"/>
    <s v="Standard Timecode"/>
    <n v="0"/>
    <n v="1"/>
    <d v="1899-12-30T01:00:00"/>
    <n v="0"/>
    <m/>
    <m/>
    <m/>
    <s v="GBP"/>
    <s v="Reviewed"/>
    <s v=" "/>
    <s v="Not submitted"/>
    <n v="6"/>
    <x v="1"/>
  </r>
  <r>
    <d v="2024-06-1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329"/>
    <x v="1"/>
    <x v="1"/>
    <s v="Standard Timecode"/>
    <n v="0"/>
    <n v="1.75"/>
    <d v="1899-12-30T01:45:00"/>
    <n v="0"/>
    <m/>
    <m/>
    <m/>
    <s v="GBP"/>
    <s v="Reviewed"/>
    <s v="QA GA-5 Update test cases Show me GA-5 with Anjali"/>
    <s v="Not submitted"/>
    <n v="6"/>
    <x v="1"/>
  </r>
  <r>
    <d v="2024-06-18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2"/>
    <x v="0"/>
    <x v="0"/>
    <s v="Standard Timecode"/>
    <n v="90"/>
    <n v="0.5"/>
    <d v="1899-12-30T00:30:00"/>
    <n v="45"/>
    <n v="60"/>
    <n v="15"/>
    <s v="IN08266"/>
    <s v="GBP"/>
    <s v="Reviewed"/>
    <s v="Update GA-3 5 16"/>
    <s v="Not submitted"/>
    <n v="6"/>
    <x v="1"/>
  </r>
  <r>
    <d v="2024-06-2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4"/>
    <x v="0"/>
    <x v="0"/>
    <s v="Standard Timecode"/>
    <n v="90"/>
    <n v="0.25"/>
    <d v="1899-12-30T00:15:00"/>
    <n v="22.5"/>
    <n v="30"/>
    <n v="7.5"/>
    <s v="IN08266"/>
    <s v="GBP"/>
    <s v="Reviewed"/>
    <s v="PII Data back up"/>
    <s v="Not submitted"/>
    <n v="6"/>
    <x v="1"/>
  </r>
  <r>
    <d v="2024-06-2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7"/>
    <x v="0"/>
    <x v="0"/>
    <s v="Standard Timecode"/>
    <n v="90"/>
    <n v="0.5"/>
    <d v="1899-12-30T00:30:00"/>
    <n v="45"/>
    <n v="60"/>
    <n v="15"/>
    <s v="IN08266"/>
    <s v="GBP"/>
    <s v="Reviewed"/>
    <s v="Smoke testing UAT"/>
    <s v="Not submitted"/>
    <n v="6"/>
    <x v="1"/>
  </r>
  <r>
    <d v="2024-06-27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220"/>
    <x v="0"/>
    <x v="0"/>
    <s v="Standard Timecode"/>
    <n v="90"/>
    <n v="0.75"/>
    <d v="1899-12-30T00:45:00"/>
    <n v="67.5"/>
    <n v="90"/>
    <n v="22.5"/>
    <s v="IN08266"/>
    <s v="GBP"/>
    <s v="Reviewed"/>
    <s v="Sanity testing UAT"/>
    <s v="Not submitted"/>
    <n v="6"/>
    <x v="1"/>
  </r>
  <r>
    <d v="2024-07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3"/>
    <x v="1"/>
    <x v="1"/>
    <s v="Standard Timecode"/>
    <n v="0"/>
    <n v="4"/>
    <d v="1899-12-30T04:00:00"/>
    <n v="0"/>
    <m/>
    <m/>
    <m/>
    <s v="GBP"/>
    <m/>
    <e v="#NAME?"/>
    <s v="Not submitted"/>
    <n v="7"/>
    <x v="2"/>
  </r>
  <r>
    <d v="2024-07-08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4"/>
    <x v="0"/>
    <x v="0"/>
    <s v="Standard Timecode"/>
    <n v="90"/>
    <n v="5"/>
    <d v="1899-12-30T05:00:00"/>
    <n v="450"/>
    <m/>
    <m/>
    <m/>
    <s v="GBP"/>
    <m/>
    <s v=" "/>
    <s v="Not submitted"/>
    <n v="7"/>
    <x v="2"/>
  </r>
  <r>
    <d v="2024-07-09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5"/>
    <x v="1"/>
    <x v="1"/>
    <s v="Standard Timecode"/>
    <n v="0"/>
    <n v="1"/>
    <d v="1899-12-30T01:00:00"/>
    <n v="0"/>
    <m/>
    <m/>
    <m/>
    <s v="GBP"/>
    <m/>
    <s v="User guide"/>
    <s v="Not submitted"/>
    <n v="7"/>
    <x v="2"/>
  </r>
  <r>
    <d v="2024-07-10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6"/>
    <x v="1"/>
    <x v="1"/>
    <s v="Standard Timecode"/>
    <n v="0"/>
    <n v="4.5"/>
    <d v="1899-12-30T04:30:00"/>
    <n v="0"/>
    <m/>
    <m/>
    <m/>
    <s v="GBP"/>
    <m/>
    <s v=" "/>
    <s v="Not submitted"/>
    <n v="7"/>
    <x v="2"/>
  </r>
  <r>
    <d v="2024-07-1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7"/>
    <x v="1"/>
    <x v="1"/>
    <s v="Standard Timecode"/>
    <n v="0"/>
    <n v="0.5"/>
    <d v="1899-12-30T00:30:00"/>
    <n v="0"/>
    <m/>
    <m/>
    <m/>
    <s v="GBP"/>
    <m/>
    <s v="GDPR Anonymisation: Marketing Cloud Call"/>
    <s v="Not submitted"/>
    <n v="7"/>
    <x v="2"/>
  </r>
  <r>
    <d v="2024-07-1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8"/>
    <x v="1"/>
    <x v="1"/>
    <s v="Standard Timecode"/>
    <n v="0"/>
    <n v="2"/>
    <d v="1899-12-30T02:00:00"/>
    <n v="0"/>
    <m/>
    <m/>
    <m/>
    <s v="GBP"/>
    <m/>
    <s v=" "/>
    <s v="Not submitted"/>
    <n v="7"/>
    <x v="2"/>
  </r>
  <r>
    <d v="2024-05-2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502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77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6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7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386"/>
    <x v="0"/>
    <x v="0"/>
    <s v="Standard Timecode"/>
    <n v="90"/>
    <n v="0.5"/>
    <d v="1899-12-30T00:30:00"/>
    <n v="45"/>
    <m/>
    <m/>
    <m/>
    <s v="GBP"/>
    <m/>
    <s v=" "/>
    <s v="Not submitted"/>
    <n v="7"/>
    <x v="2"/>
  </r>
  <r>
    <d v="2024-05-20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1"/>
    <x v="1"/>
    <s v="Standard Timecode"/>
    <n v="0"/>
    <n v="0.5"/>
    <d v="1899-12-30T00:30:00"/>
    <n v="0"/>
    <m/>
    <m/>
    <m/>
    <s v="GBP"/>
    <s v="Reviewed"/>
    <s v="Refinement with Grainger"/>
    <s v="Not submitted"/>
    <n v="6"/>
    <x v="1"/>
  </r>
  <r>
    <d v="2024-06-17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171"/>
    <x v="0"/>
    <x v="0"/>
    <s v="Standard Timecode"/>
    <n v="90"/>
    <n v="0.5"/>
    <d v="1899-12-30T00:30:00"/>
    <n v="45"/>
    <n v="60"/>
    <n v="15"/>
    <s v="IN08266"/>
    <s v="GBP"/>
    <s v="Reviewed"/>
    <s v="Meeting with Grainger backup team"/>
    <s v="Not submitted"/>
    <n v="6"/>
    <x v="1"/>
  </r>
  <r>
    <d v="2024-07-10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0"/>
    <x v="0"/>
    <x v="0"/>
    <s v="Standard Timecode"/>
    <n v="90"/>
    <n v="1"/>
    <d v="1899-12-30T01:00:00"/>
    <n v="90"/>
    <m/>
    <m/>
    <m/>
    <s v="GBP"/>
    <s v="Reviewed"/>
    <s v="UAT strategy planning (30 mins) UAT call with Grainger (30 mins)"/>
    <s v="Not submitted"/>
    <n v="7"/>
    <x v="2"/>
  </r>
  <r>
    <d v="2024-07-11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9"/>
    <x v="0"/>
    <x v="0"/>
    <s v="Standard Timecode"/>
    <n v="90"/>
    <n v="0.5"/>
    <d v="1899-12-30T00:30:00"/>
    <n v="45"/>
    <m/>
    <m/>
    <m/>
    <s v="GBP"/>
    <s v="Reviewed"/>
    <s v="Call with Dan Asamoah on Marketing Cloud"/>
    <s v="Not submitted"/>
    <n v="7"/>
    <x v="2"/>
  </r>
  <r>
    <d v="2024-05-3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05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51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82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628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99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9540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28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5119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0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320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05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935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08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575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09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041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1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553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992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2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564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97CFB-4DA8-41A0-BB52-E736C403B1BC}" name="PivotTable1" cacheId="20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1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3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17" bestFit="1" customWidth="1"/>
    <col min="4" max="4" width="15.28515625" bestFit="1" customWidth="1"/>
    <col min="5" max="6" width="10.5703125" bestFit="1" customWidth="1"/>
    <col min="7" max="7" width="12" customWidth="1"/>
    <col min="8" max="8" width="21.42578125" customWidth="1"/>
    <col min="9" max="9" width="20.28515625" customWidth="1"/>
    <col min="10" max="10" width="22" customWidth="1"/>
    <col min="11" max="11" width="21.5703125" customWidth="1"/>
  </cols>
  <sheetData>
    <row r="1" spans="1:13">
      <c r="A1" s="4" t="s">
        <v>0</v>
      </c>
      <c r="B1" t="s">
        <v>1</v>
      </c>
      <c r="D1" s="15" t="s">
        <v>2</v>
      </c>
    </row>
    <row r="2" spans="1:13" ht="15" thickBot="1">
      <c r="A2" s="4" t="s">
        <v>3</v>
      </c>
      <c r="B2" t="s">
        <v>4</v>
      </c>
    </row>
    <row r="3" spans="1:13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3" ht="15" thickBot="1">
      <c r="A4" s="4" t="s">
        <v>9</v>
      </c>
      <c r="B4" s="4" t="s">
        <v>10</v>
      </c>
      <c r="H4" s="9" t="s">
        <v>11</v>
      </c>
      <c r="I4" s="19" t="s">
        <v>12</v>
      </c>
      <c r="J4" s="11" t="s">
        <v>13</v>
      </c>
      <c r="K4" s="11" t="s">
        <v>14</v>
      </c>
    </row>
    <row r="5" spans="1:13" ht="15" thickBot="1">
      <c r="A5" s="4" t="s">
        <v>15</v>
      </c>
      <c r="B5" t="s">
        <v>16</v>
      </c>
      <c r="C5" t="s">
        <v>17</v>
      </c>
      <c r="H5" s="9" t="s">
        <v>16</v>
      </c>
      <c r="I5" s="10" t="s">
        <v>18</v>
      </c>
      <c r="J5" s="11" t="s">
        <v>19</v>
      </c>
      <c r="K5" s="11" t="s">
        <v>20</v>
      </c>
    </row>
    <row r="6" spans="1:13" ht="15" thickBot="1">
      <c r="A6" s="5" t="s">
        <v>21</v>
      </c>
      <c r="B6" s="18">
        <v>5</v>
      </c>
      <c r="C6" s="18">
        <v>5</v>
      </c>
      <c r="H6" s="9" t="s">
        <v>22</v>
      </c>
      <c r="I6" s="20" t="s">
        <v>23</v>
      </c>
      <c r="J6" s="11" t="s">
        <v>24</v>
      </c>
      <c r="K6" s="11" t="s">
        <v>25</v>
      </c>
    </row>
    <row r="7" spans="1:13" ht="15" thickBot="1">
      <c r="A7" s="5" t="s">
        <v>26</v>
      </c>
      <c r="B7" s="18">
        <v>56.5</v>
      </c>
      <c r="C7" s="18">
        <v>56.5</v>
      </c>
      <c r="H7" s="9" t="s">
        <v>27</v>
      </c>
      <c r="I7" s="21" t="s">
        <v>12</v>
      </c>
      <c r="J7" s="22" t="s">
        <v>13</v>
      </c>
      <c r="K7" s="22" t="s">
        <v>14</v>
      </c>
    </row>
    <row r="8" spans="1:13" ht="15" thickBot="1">
      <c r="A8" s="5" t="s">
        <v>28</v>
      </c>
      <c r="B8" s="18">
        <v>0.5</v>
      </c>
      <c r="C8" s="18">
        <v>0.5</v>
      </c>
      <c r="H8" s="9" t="s">
        <v>29</v>
      </c>
      <c r="I8" s="10" t="s">
        <v>30</v>
      </c>
      <c r="J8" s="11" t="s">
        <v>31</v>
      </c>
      <c r="K8" s="11" t="s">
        <v>32</v>
      </c>
    </row>
    <row r="9" spans="1:13" ht="15" thickBot="1">
      <c r="A9" s="5" t="s">
        <v>33</v>
      </c>
      <c r="B9" s="18">
        <v>7</v>
      </c>
      <c r="C9" s="18">
        <v>7</v>
      </c>
      <c r="H9" s="12" t="s">
        <v>34</v>
      </c>
      <c r="I9" s="13" t="s">
        <v>35</v>
      </c>
      <c r="J9" s="14" t="s">
        <v>36</v>
      </c>
      <c r="K9" s="14" t="s">
        <v>37</v>
      </c>
      <c r="M9">
        <v>120</v>
      </c>
    </row>
    <row r="10" spans="1:13" ht="15.6" thickTop="1" thickBot="1">
      <c r="A10" s="5" t="s">
        <v>38</v>
      </c>
      <c r="B10" s="18">
        <v>0.5</v>
      </c>
      <c r="C10" s="18">
        <v>0.5</v>
      </c>
    </row>
    <row r="11" spans="1:13" ht="25.9" thickBot="1">
      <c r="A11" s="5" t="s">
        <v>17</v>
      </c>
      <c r="B11" s="18">
        <v>69.5</v>
      </c>
      <c r="C11" s="18">
        <v>69.5</v>
      </c>
      <c r="H11" s="8" t="s">
        <v>39</v>
      </c>
      <c r="I11" s="8" t="s">
        <v>40</v>
      </c>
      <c r="J11" s="8" t="s">
        <v>41</v>
      </c>
      <c r="K11" s="8" t="s">
        <v>42</v>
      </c>
    </row>
    <row r="12" spans="1:13">
      <c r="C12"/>
      <c r="H12">
        <v>8</v>
      </c>
      <c r="I12">
        <v>10</v>
      </c>
      <c r="J12">
        <f>H12*$M$9</f>
        <v>960</v>
      </c>
      <c r="K12">
        <f>I12*$M$9</f>
        <v>1200</v>
      </c>
    </row>
    <row r="13" spans="1:13">
      <c r="C13"/>
      <c r="H13">
        <v>40</v>
      </c>
      <c r="I13">
        <v>48</v>
      </c>
      <c r="J13">
        <f t="shared" ref="J13:K16" si="0">H13*$M$9</f>
        <v>4800</v>
      </c>
      <c r="K13">
        <f t="shared" si="0"/>
        <v>5760</v>
      </c>
    </row>
    <row r="14" spans="1:13">
      <c r="C14"/>
      <c r="H14">
        <v>4</v>
      </c>
      <c r="I14">
        <v>5</v>
      </c>
      <c r="J14">
        <f t="shared" si="0"/>
        <v>480</v>
      </c>
      <c r="K14">
        <f t="shared" si="0"/>
        <v>600</v>
      </c>
    </row>
    <row r="15" spans="1:13">
      <c r="C15"/>
      <c r="H15" s="16">
        <v>8</v>
      </c>
      <c r="I15" s="16">
        <v>10</v>
      </c>
      <c r="J15" s="16">
        <f t="shared" si="0"/>
        <v>960</v>
      </c>
      <c r="K15" s="16">
        <f t="shared" si="0"/>
        <v>1200</v>
      </c>
    </row>
    <row r="16" spans="1:13">
      <c r="C16"/>
      <c r="H16">
        <v>5</v>
      </c>
      <c r="I16">
        <v>6.5</v>
      </c>
      <c r="J16">
        <f t="shared" si="0"/>
        <v>600</v>
      </c>
      <c r="K16">
        <f t="shared" si="0"/>
        <v>780</v>
      </c>
    </row>
    <row r="17" spans="3:11">
      <c r="C17"/>
      <c r="H17" s="15">
        <f>SUM(H12:H16)</f>
        <v>65</v>
      </c>
      <c r="I17" s="15">
        <f>SUM(I12:I16)</f>
        <v>79.5</v>
      </c>
      <c r="J17" s="15">
        <f>SUM(J12:J16)</f>
        <v>7800</v>
      </c>
      <c r="K17" s="15">
        <f>SUM(K12:K16)</f>
        <v>9540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59" activePane="bottomLeft" state="frozen"/>
      <selection pane="bottomLeft"/>
    </sheetView>
  </sheetViews>
  <sheetFormatPr defaultRowHeight="14.45"/>
  <sheetData>
    <row r="1" spans="1:32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3</v>
      </c>
      <c r="S1" t="s">
        <v>60</v>
      </c>
      <c r="T1" t="s">
        <v>61</v>
      </c>
      <c r="U1" t="s">
        <v>6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s="3" t="s">
        <v>71</v>
      </c>
      <c r="AF1" s="3" t="s">
        <v>0</v>
      </c>
    </row>
    <row r="2" spans="1:32">
      <c r="A2" s="1">
        <v>45434</v>
      </c>
      <c r="B2" t="s">
        <v>26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73</v>
      </c>
      <c r="L2" t="s">
        <v>38</v>
      </c>
      <c r="M2" t="s">
        <v>21</v>
      </c>
      <c r="N2" t="s">
        <v>21</v>
      </c>
      <c r="O2" t="s">
        <v>80</v>
      </c>
      <c r="P2">
        <v>250098</v>
      </c>
      <c r="Q2" t="s">
        <v>16</v>
      </c>
      <c r="R2" t="s">
        <v>4</v>
      </c>
      <c r="S2" t="s">
        <v>81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82</v>
      </c>
      <c r="AA2" t="s">
        <v>83</v>
      </c>
      <c r="AB2" t="s">
        <v>84</v>
      </c>
      <c r="AC2" t="s">
        <v>85</v>
      </c>
      <c r="AD2" t="s">
        <v>86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26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73</v>
      </c>
      <c r="L3" t="s">
        <v>38</v>
      </c>
      <c r="M3" t="s">
        <v>21</v>
      </c>
      <c r="N3" t="s">
        <v>21</v>
      </c>
      <c r="O3" t="s">
        <v>80</v>
      </c>
      <c r="P3">
        <v>251587</v>
      </c>
      <c r="Q3" t="s">
        <v>16</v>
      </c>
      <c r="R3" t="s">
        <v>4</v>
      </c>
      <c r="S3" t="s">
        <v>81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82</v>
      </c>
      <c r="AA3" t="s">
        <v>83</v>
      </c>
      <c r="AB3" t="s">
        <v>84</v>
      </c>
      <c r="AC3" t="s">
        <v>87</v>
      </c>
      <c r="AD3" t="s">
        <v>86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>
      <c r="A4" s="1">
        <v>45436</v>
      </c>
      <c r="B4" t="s">
        <v>26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73</v>
      </c>
      <c r="L4" t="s">
        <v>38</v>
      </c>
      <c r="M4" t="s">
        <v>21</v>
      </c>
      <c r="N4" t="s">
        <v>21</v>
      </c>
      <c r="O4" t="s">
        <v>80</v>
      </c>
      <c r="P4">
        <v>251329</v>
      </c>
      <c r="Q4" t="s">
        <v>88</v>
      </c>
      <c r="R4" t="s">
        <v>89</v>
      </c>
      <c r="S4" t="s">
        <v>81</v>
      </c>
      <c r="T4">
        <v>0</v>
      </c>
      <c r="U4">
        <v>1</v>
      </c>
      <c r="V4" s="2">
        <v>4.1666666666666664E-2</v>
      </c>
      <c r="W4">
        <v>0</v>
      </c>
      <c r="AA4" t="s">
        <v>83</v>
      </c>
      <c r="AB4" t="s">
        <v>84</v>
      </c>
      <c r="AC4" t="s">
        <v>90</v>
      </c>
      <c r="AD4" t="s">
        <v>86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26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73</v>
      </c>
      <c r="L5" t="s">
        <v>38</v>
      </c>
      <c r="M5" t="s">
        <v>21</v>
      </c>
      <c r="N5" t="s">
        <v>21</v>
      </c>
      <c r="O5" t="s">
        <v>80</v>
      </c>
      <c r="P5">
        <v>251984</v>
      </c>
      <c r="Q5" t="s">
        <v>16</v>
      </c>
      <c r="R5" t="s">
        <v>4</v>
      </c>
      <c r="S5" t="s">
        <v>81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82</v>
      </c>
      <c r="AA5" t="s">
        <v>83</v>
      </c>
      <c r="AB5" t="s">
        <v>84</v>
      </c>
      <c r="AC5" t="s">
        <v>91</v>
      </c>
      <c r="AD5" t="s">
        <v>86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26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73</v>
      </c>
      <c r="L6" t="s">
        <v>38</v>
      </c>
      <c r="M6" t="s">
        <v>21</v>
      </c>
      <c r="N6" t="s">
        <v>21</v>
      </c>
      <c r="O6" t="s">
        <v>80</v>
      </c>
      <c r="P6">
        <v>252496</v>
      </c>
      <c r="Q6" t="s">
        <v>16</v>
      </c>
      <c r="R6" t="s">
        <v>4</v>
      </c>
      <c r="S6" t="s">
        <v>81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82</v>
      </c>
      <c r="AA6" t="s">
        <v>83</v>
      </c>
      <c r="AB6" t="s">
        <v>84</v>
      </c>
      <c r="AC6" t="s">
        <v>92</v>
      </c>
      <c r="AD6" t="s">
        <v>86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26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73</v>
      </c>
      <c r="L7" t="s">
        <v>38</v>
      </c>
      <c r="M7" t="s">
        <v>21</v>
      </c>
      <c r="N7" t="s">
        <v>21</v>
      </c>
      <c r="O7" t="s">
        <v>80</v>
      </c>
      <c r="P7">
        <v>252835</v>
      </c>
      <c r="Q7" t="s">
        <v>16</v>
      </c>
      <c r="R7" t="s">
        <v>4</v>
      </c>
      <c r="S7" t="s">
        <v>81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82</v>
      </c>
      <c r="AA7" t="s">
        <v>83</v>
      </c>
      <c r="AB7" t="s">
        <v>84</v>
      </c>
      <c r="AC7" t="s">
        <v>93</v>
      </c>
      <c r="AD7" t="s">
        <v>86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26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73</v>
      </c>
      <c r="L8" t="s">
        <v>38</v>
      </c>
      <c r="M8" t="s">
        <v>21</v>
      </c>
      <c r="N8" t="s">
        <v>21</v>
      </c>
      <c r="O8" t="s">
        <v>80</v>
      </c>
      <c r="P8">
        <v>253547</v>
      </c>
      <c r="Q8" t="s">
        <v>16</v>
      </c>
      <c r="R8" t="s">
        <v>4</v>
      </c>
      <c r="S8" t="s">
        <v>81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82</v>
      </c>
      <c r="AA8" t="s">
        <v>83</v>
      </c>
      <c r="AB8" t="s">
        <v>84</v>
      </c>
      <c r="AC8" t="s">
        <v>94</v>
      </c>
      <c r="AD8" t="s">
        <v>86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26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73</v>
      </c>
      <c r="L9" t="s">
        <v>38</v>
      </c>
      <c r="M9" t="s">
        <v>21</v>
      </c>
      <c r="N9" t="s">
        <v>21</v>
      </c>
      <c r="O9" t="s">
        <v>80</v>
      </c>
      <c r="P9">
        <v>253549</v>
      </c>
      <c r="Q9" t="s">
        <v>16</v>
      </c>
      <c r="R9" t="s">
        <v>4</v>
      </c>
      <c r="S9" t="s">
        <v>81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82</v>
      </c>
      <c r="AA9" t="s">
        <v>83</v>
      </c>
      <c r="AB9" t="s">
        <v>84</v>
      </c>
      <c r="AC9" t="s">
        <v>95</v>
      </c>
      <c r="AD9" t="s">
        <v>86</v>
      </c>
      <c r="AE9">
        <f t="shared" si="0"/>
        <v>5</v>
      </c>
      <c r="AF9" t="str">
        <f t="shared" si="1"/>
        <v>May</v>
      </c>
    </row>
    <row r="10" spans="1:32">
      <c r="A10" s="1">
        <v>45446</v>
      </c>
      <c r="B10" t="s">
        <v>26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73</v>
      </c>
      <c r="L10" t="s">
        <v>38</v>
      </c>
      <c r="M10" t="s">
        <v>21</v>
      </c>
      <c r="N10" t="s">
        <v>21</v>
      </c>
      <c r="O10" t="s">
        <v>80</v>
      </c>
      <c r="P10">
        <v>254880</v>
      </c>
      <c r="Q10" t="s">
        <v>88</v>
      </c>
      <c r="R10" t="s">
        <v>89</v>
      </c>
      <c r="S10" t="s">
        <v>81</v>
      </c>
      <c r="T10">
        <v>0</v>
      </c>
      <c r="U10">
        <v>8</v>
      </c>
      <c r="V10" s="2">
        <v>0.33333333333333331</v>
      </c>
      <c r="W10">
        <v>0</v>
      </c>
      <c r="AA10" t="s">
        <v>83</v>
      </c>
      <c r="AB10" t="s">
        <v>84</v>
      </c>
      <c r="AC10" t="s">
        <v>96</v>
      </c>
      <c r="AD10" t="s">
        <v>86</v>
      </c>
      <c r="AE10">
        <f t="shared" si="0"/>
        <v>6</v>
      </c>
      <c r="AF10" t="str">
        <f t="shared" si="1"/>
        <v>June</v>
      </c>
    </row>
    <row r="11" spans="1:32">
      <c r="A11" s="1">
        <v>45447</v>
      </c>
      <c r="B11" t="s">
        <v>26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73</v>
      </c>
      <c r="L11" t="s">
        <v>38</v>
      </c>
      <c r="M11" t="s">
        <v>21</v>
      </c>
      <c r="N11" t="s">
        <v>21</v>
      </c>
      <c r="O11" t="s">
        <v>80</v>
      </c>
      <c r="P11">
        <v>255588</v>
      </c>
      <c r="Q11" t="s">
        <v>16</v>
      </c>
      <c r="R11" t="s">
        <v>4</v>
      </c>
      <c r="S11" t="s">
        <v>81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97</v>
      </c>
      <c r="AA11" t="s">
        <v>83</v>
      </c>
      <c r="AB11" t="s">
        <v>84</v>
      </c>
      <c r="AC11" t="s">
        <v>98</v>
      </c>
      <c r="AD11" t="s">
        <v>86</v>
      </c>
      <c r="AE11">
        <f t="shared" si="0"/>
        <v>6</v>
      </c>
      <c r="AF11" t="str">
        <f t="shared" si="1"/>
        <v>June</v>
      </c>
    </row>
    <row r="12" spans="1:32">
      <c r="A12" s="1">
        <v>45448</v>
      </c>
      <c r="B12" t="s">
        <v>26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79</v>
      </c>
      <c r="K12" t="s">
        <v>73</v>
      </c>
      <c r="L12" t="s">
        <v>38</v>
      </c>
      <c r="M12" t="s">
        <v>21</v>
      </c>
      <c r="N12" t="s">
        <v>21</v>
      </c>
      <c r="O12" t="s">
        <v>80</v>
      </c>
      <c r="P12">
        <v>255599</v>
      </c>
      <c r="Q12" t="s">
        <v>88</v>
      </c>
      <c r="R12" t="s">
        <v>89</v>
      </c>
      <c r="S12" t="s">
        <v>81</v>
      </c>
      <c r="T12">
        <v>0</v>
      </c>
      <c r="U12">
        <v>7</v>
      </c>
      <c r="V12" s="2">
        <v>0.29166666666666669</v>
      </c>
      <c r="W12">
        <v>0</v>
      </c>
      <c r="AA12" t="s">
        <v>83</v>
      </c>
      <c r="AB12" t="s">
        <v>84</v>
      </c>
      <c r="AC12" t="s">
        <v>99</v>
      </c>
      <c r="AD12" t="s">
        <v>86</v>
      </c>
      <c r="AE12">
        <f t="shared" si="0"/>
        <v>6</v>
      </c>
      <c r="AF12" t="str">
        <f t="shared" si="1"/>
        <v>June</v>
      </c>
    </row>
    <row r="13" spans="1:32">
      <c r="A13" s="1">
        <v>45449</v>
      </c>
      <c r="B13" t="s">
        <v>26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 t="s">
        <v>73</v>
      </c>
      <c r="L13" t="s">
        <v>38</v>
      </c>
      <c r="M13" t="s">
        <v>21</v>
      </c>
      <c r="N13" t="s">
        <v>21</v>
      </c>
      <c r="O13" t="s">
        <v>80</v>
      </c>
      <c r="P13">
        <v>256084</v>
      </c>
      <c r="Q13" t="s">
        <v>88</v>
      </c>
      <c r="R13" t="s">
        <v>89</v>
      </c>
      <c r="S13" t="s">
        <v>81</v>
      </c>
      <c r="T13">
        <v>0</v>
      </c>
      <c r="U13">
        <v>7</v>
      </c>
      <c r="V13" s="2">
        <v>0.29166666666666669</v>
      </c>
      <c r="W13">
        <v>0</v>
      </c>
      <c r="AA13" t="s">
        <v>83</v>
      </c>
      <c r="AB13" t="s">
        <v>84</v>
      </c>
      <c r="AC13" t="s">
        <v>100</v>
      </c>
      <c r="AD13" t="s">
        <v>86</v>
      </c>
      <c r="AE13">
        <f t="shared" si="0"/>
        <v>6</v>
      </c>
      <c r="AF13" t="str">
        <f t="shared" si="1"/>
        <v>June</v>
      </c>
    </row>
    <row r="14" spans="1:32">
      <c r="A14" s="1">
        <v>45450</v>
      </c>
      <c r="B14" t="s">
        <v>26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73</v>
      </c>
      <c r="L14" t="s">
        <v>38</v>
      </c>
      <c r="M14" t="s">
        <v>21</v>
      </c>
      <c r="N14" t="s">
        <v>21</v>
      </c>
      <c r="O14" t="s">
        <v>80</v>
      </c>
      <c r="P14">
        <v>256525</v>
      </c>
      <c r="Q14" t="s">
        <v>88</v>
      </c>
      <c r="R14" t="s">
        <v>89</v>
      </c>
      <c r="S14" t="s">
        <v>81</v>
      </c>
      <c r="T14">
        <v>0</v>
      </c>
      <c r="U14">
        <v>5</v>
      </c>
      <c r="V14" s="2">
        <v>0.20833333333333334</v>
      </c>
      <c r="W14">
        <v>0</v>
      </c>
      <c r="AA14" t="s">
        <v>83</v>
      </c>
      <c r="AB14" t="s">
        <v>84</v>
      </c>
      <c r="AC14" t="s">
        <v>101</v>
      </c>
      <c r="AD14" t="s">
        <v>86</v>
      </c>
      <c r="AE14">
        <f t="shared" si="0"/>
        <v>6</v>
      </c>
      <c r="AF14" t="str">
        <f t="shared" si="1"/>
        <v>June</v>
      </c>
    </row>
    <row r="15" spans="1:32">
      <c r="A15" s="1">
        <v>45453</v>
      </c>
      <c r="B15" t="s">
        <v>26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73</v>
      </c>
      <c r="L15" t="s">
        <v>38</v>
      </c>
      <c r="M15" t="s">
        <v>21</v>
      </c>
      <c r="N15" t="s">
        <v>21</v>
      </c>
      <c r="O15" t="s">
        <v>80</v>
      </c>
      <c r="P15">
        <v>257753</v>
      </c>
      <c r="Q15" t="s">
        <v>88</v>
      </c>
      <c r="R15" t="s">
        <v>89</v>
      </c>
      <c r="S15" t="s">
        <v>81</v>
      </c>
      <c r="T15">
        <v>0</v>
      </c>
      <c r="U15">
        <v>6.5</v>
      </c>
      <c r="V15" s="2">
        <v>0.27083333333333331</v>
      </c>
      <c r="W15">
        <v>0</v>
      </c>
      <c r="AA15" t="s">
        <v>83</v>
      </c>
      <c r="AB15" t="s">
        <v>84</v>
      </c>
      <c r="AC15" t="s">
        <v>102</v>
      </c>
      <c r="AD15" t="s">
        <v>86</v>
      </c>
      <c r="AE15">
        <f t="shared" si="0"/>
        <v>6</v>
      </c>
      <c r="AF15" t="str">
        <f t="shared" si="1"/>
        <v>June</v>
      </c>
    </row>
    <row r="16" spans="1:32">
      <c r="A16" s="1">
        <v>45453</v>
      </c>
      <c r="B16" t="s">
        <v>26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73</v>
      </c>
      <c r="L16" t="s">
        <v>38</v>
      </c>
      <c r="M16" t="s">
        <v>21</v>
      </c>
      <c r="N16" t="s">
        <v>21</v>
      </c>
      <c r="O16" t="s">
        <v>80</v>
      </c>
      <c r="P16">
        <v>257970</v>
      </c>
      <c r="Q16" t="s">
        <v>88</v>
      </c>
      <c r="R16" t="s">
        <v>89</v>
      </c>
      <c r="S16" t="s">
        <v>81</v>
      </c>
      <c r="T16">
        <v>0</v>
      </c>
      <c r="U16">
        <v>1.5</v>
      </c>
      <c r="V16" s="2">
        <v>6.25E-2</v>
      </c>
      <c r="W16">
        <v>0</v>
      </c>
      <c r="AA16" t="s">
        <v>83</v>
      </c>
      <c r="AB16" t="s">
        <v>84</v>
      </c>
      <c r="AC16" t="s">
        <v>103</v>
      </c>
      <c r="AD16" t="s">
        <v>86</v>
      </c>
      <c r="AE16">
        <f t="shared" si="0"/>
        <v>6</v>
      </c>
      <c r="AF16" t="str">
        <f t="shared" si="1"/>
        <v>June</v>
      </c>
    </row>
    <row r="17" spans="1:32">
      <c r="A17" s="1">
        <v>45454</v>
      </c>
      <c r="B17" t="s">
        <v>26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73</v>
      </c>
      <c r="L17" t="s">
        <v>38</v>
      </c>
      <c r="M17" t="s">
        <v>21</v>
      </c>
      <c r="N17" t="s">
        <v>21</v>
      </c>
      <c r="O17" t="s">
        <v>80</v>
      </c>
      <c r="P17">
        <v>257752</v>
      </c>
      <c r="Q17" t="s">
        <v>88</v>
      </c>
      <c r="R17" t="s">
        <v>89</v>
      </c>
      <c r="S17" t="s">
        <v>81</v>
      </c>
      <c r="T17">
        <v>0</v>
      </c>
      <c r="U17">
        <v>8</v>
      </c>
      <c r="V17" s="2">
        <v>0.33333333333333331</v>
      </c>
      <c r="W17">
        <v>0</v>
      </c>
      <c r="AA17" t="s">
        <v>83</v>
      </c>
      <c r="AB17" t="s">
        <v>84</v>
      </c>
      <c r="AC17" t="s">
        <v>104</v>
      </c>
      <c r="AD17" t="s">
        <v>86</v>
      </c>
      <c r="AE17">
        <f t="shared" si="0"/>
        <v>6</v>
      </c>
      <c r="AF17" t="str">
        <f t="shared" si="1"/>
        <v>June</v>
      </c>
    </row>
    <row r="18" spans="1:32">
      <c r="A18" s="1">
        <v>45455</v>
      </c>
      <c r="B18" t="s">
        <v>26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73</v>
      </c>
      <c r="L18" t="s">
        <v>38</v>
      </c>
      <c r="M18" t="s">
        <v>21</v>
      </c>
      <c r="N18" t="s">
        <v>21</v>
      </c>
      <c r="O18" t="s">
        <v>80</v>
      </c>
      <c r="P18">
        <v>258715</v>
      </c>
      <c r="Q18" t="s">
        <v>88</v>
      </c>
      <c r="R18" t="s">
        <v>89</v>
      </c>
      <c r="S18" t="s">
        <v>81</v>
      </c>
      <c r="T18">
        <v>0</v>
      </c>
      <c r="U18">
        <v>3.5</v>
      </c>
      <c r="V18" s="2">
        <v>0.14583333333333334</v>
      </c>
      <c r="W18">
        <v>0</v>
      </c>
      <c r="AA18" t="s">
        <v>83</v>
      </c>
      <c r="AB18" t="s">
        <v>84</v>
      </c>
      <c r="AC18" t="s">
        <v>105</v>
      </c>
      <c r="AD18" t="s">
        <v>86</v>
      </c>
      <c r="AE18">
        <f t="shared" si="0"/>
        <v>6</v>
      </c>
      <c r="AF18" t="str">
        <f t="shared" si="1"/>
        <v>June</v>
      </c>
    </row>
    <row r="19" spans="1:32">
      <c r="A19" s="1">
        <v>45455</v>
      </c>
      <c r="B19" t="s">
        <v>26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73</v>
      </c>
      <c r="L19" t="s">
        <v>38</v>
      </c>
      <c r="M19" t="s">
        <v>21</v>
      </c>
      <c r="N19" t="s">
        <v>21</v>
      </c>
      <c r="O19" t="s">
        <v>80</v>
      </c>
      <c r="P19">
        <v>258716</v>
      </c>
      <c r="Q19" t="s">
        <v>88</v>
      </c>
      <c r="R19" t="s">
        <v>89</v>
      </c>
      <c r="S19" t="s">
        <v>81</v>
      </c>
      <c r="T19">
        <v>0</v>
      </c>
      <c r="U19">
        <v>1.5</v>
      </c>
      <c r="V19" s="2">
        <v>6.25E-2</v>
      </c>
      <c r="W19">
        <v>0</v>
      </c>
      <c r="AA19" t="s">
        <v>83</v>
      </c>
      <c r="AB19" t="s">
        <v>84</v>
      </c>
      <c r="AC19" t="s">
        <v>106</v>
      </c>
      <c r="AD19" t="s">
        <v>86</v>
      </c>
      <c r="AE19">
        <f t="shared" si="0"/>
        <v>6</v>
      </c>
      <c r="AF19" t="str">
        <f t="shared" si="1"/>
        <v>June</v>
      </c>
    </row>
    <row r="20" spans="1:32">
      <c r="A20" s="1">
        <v>45456</v>
      </c>
      <c r="B20" t="s">
        <v>26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78</v>
      </c>
      <c r="J20" t="s">
        <v>79</v>
      </c>
      <c r="K20" t="s">
        <v>73</v>
      </c>
      <c r="L20" t="s">
        <v>38</v>
      </c>
      <c r="M20" t="s">
        <v>21</v>
      </c>
      <c r="N20" t="s">
        <v>21</v>
      </c>
      <c r="O20" t="s">
        <v>80</v>
      </c>
      <c r="P20">
        <v>259863</v>
      </c>
      <c r="Q20" t="s">
        <v>88</v>
      </c>
      <c r="R20" t="s">
        <v>89</v>
      </c>
      <c r="S20" t="s">
        <v>81</v>
      </c>
      <c r="T20">
        <v>0</v>
      </c>
      <c r="U20">
        <v>5</v>
      </c>
      <c r="V20" s="2">
        <v>0.20833333333333334</v>
      </c>
      <c r="W20">
        <v>0</v>
      </c>
      <c r="AA20" t="s">
        <v>83</v>
      </c>
      <c r="AB20" t="s">
        <v>84</v>
      </c>
      <c r="AC20" t="s">
        <v>107</v>
      </c>
      <c r="AD20" t="s">
        <v>86</v>
      </c>
      <c r="AE20">
        <f t="shared" si="0"/>
        <v>6</v>
      </c>
      <c r="AF20" t="str">
        <f t="shared" si="1"/>
        <v>June</v>
      </c>
    </row>
    <row r="21" spans="1:32">
      <c r="A21" s="1">
        <v>45460</v>
      </c>
      <c r="B21" t="s">
        <v>26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73</v>
      </c>
      <c r="L21" t="s">
        <v>38</v>
      </c>
      <c r="M21" t="s">
        <v>21</v>
      </c>
      <c r="N21" t="s">
        <v>21</v>
      </c>
      <c r="O21" t="s">
        <v>80</v>
      </c>
      <c r="P21">
        <v>259858</v>
      </c>
      <c r="Q21" t="s">
        <v>88</v>
      </c>
      <c r="R21" t="s">
        <v>89</v>
      </c>
      <c r="S21" t="s">
        <v>81</v>
      </c>
      <c r="T21">
        <v>0</v>
      </c>
      <c r="U21">
        <v>8</v>
      </c>
      <c r="V21" s="2">
        <v>0.33333333333333331</v>
      </c>
      <c r="W21">
        <v>0</v>
      </c>
      <c r="AA21" t="s">
        <v>83</v>
      </c>
      <c r="AB21" t="s">
        <v>84</v>
      </c>
      <c r="AC21" t="s">
        <v>108</v>
      </c>
      <c r="AD21" t="s">
        <v>86</v>
      </c>
      <c r="AE21">
        <f t="shared" si="0"/>
        <v>6</v>
      </c>
      <c r="AF21" t="str">
        <f t="shared" si="1"/>
        <v>June</v>
      </c>
    </row>
    <row r="22" spans="1:32">
      <c r="A22" s="1">
        <v>45461</v>
      </c>
      <c r="B22" t="s">
        <v>26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73</v>
      </c>
      <c r="L22" t="s">
        <v>38</v>
      </c>
      <c r="M22" t="s">
        <v>21</v>
      </c>
      <c r="N22" t="s">
        <v>21</v>
      </c>
      <c r="O22" t="s">
        <v>80</v>
      </c>
      <c r="P22">
        <v>260525</v>
      </c>
      <c r="Q22" t="s">
        <v>88</v>
      </c>
      <c r="R22" t="s">
        <v>89</v>
      </c>
      <c r="S22" t="s">
        <v>81</v>
      </c>
      <c r="T22">
        <v>0</v>
      </c>
      <c r="U22">
        <v>7</v>
      </c>
      <c r="V22" s="2">
        <v>0.29166666666666669</v>
      </c>
      <c r="W22">
        <v>0</v>
      </c>
      <c r="AA22" t="s">
        <v>83</v>
      </c>
      <c r="AB22" t="s">
        <v>84</v>
      </c>
      <c r="AC22" t="s">
        <v>109</v>
      </c>
      <c r="AD22" t="s">
        <v>86</v>
      </c>
      <c r="AE22">
        <f t="shared" si="0"/>
        <v>6</v>
      </c>
      <c r="AF22" t="str">
        <f t="shared" si="1"/>
        <v>June</v>
      </c>
    </row>
    <row r="23" spans="1:32">
      <c r="A23" s="1">
        <v>45462</v>
      </c>
      <c r="B23" t="s">
        <v>26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73</v>
      </c>
      <c r="L23" t="s">
        <v>38</v>
      </c>
      <c r="M23" t="s">
        <v>21</v>
      </c>
      <c r="N23" t="s">
        <v>21</v>
      </c>
      <c r="O23" t="s">
        <v>80</v>
      </c>
      <c r="P23">
        <v>260815</v>
      </c>
      <c r="Q23" t="s">
        <v>88</v>
      </c>
      <c r="R23" t="s">
        <v>89</v>
      </c>
      <c r="S23" t="s">
        <v>81</v>
      </c>
      <c r="T23">
        <v>0</v>
      </c>
      <c r="U23">
        <v>1.5</v>
      </c>
      <c r="V23" s="2">
        <v>6.25E-2</v>
      </c>
      <c r="W23">
        <v>0</v>
      </c>
      <c r="AA23" t="s">
        <v>83</v>
      </c>
      <c r="AB23" t="s">
        <v>84</v>
      </c>
      <c r="AC23" t="s">
        <v>110</v>
      </c>
      <c r="AD23" t="s">
        <v>86</v>
      </c>
      <c r="AE23">
        <f t="shared" si="0"/>
        <v>6</v>
      </c>
      <c r="AF23" t="str">
        <f t="shared" si="1"/>
        <v>June</v>
      </c>
    </row>
    <row r="24" spans="1:32">
      <c r="A24" s="1">
        <v>45470</v>
      </c>
      <c r="B24" t="s">
        <v>26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73</v>
      </c>
      <c r="L24" t="s">
        <v>38</v>
      </c>
      <c r="M24" t="s">
        <v>21</v>
      </c>
      <c r="N24" t="s">
        <v>21</v>
      </c>
      <c r="O24" t="s">
        <v>80</v>
      </c>
      <c r="P24">
        <v>264058</v>
      </c>
      <c r="Q24" t="s">
        <v>88</v>
      </c>
      <c r="R24" t="s">
        <v>89</v>
      </c>
      <c r="S24" t="s">
        <v>81</v>
      </c>
      <c r="T24">
        <v>0</v>
      </c>
      <c r="U24">
        <v>4</v>
      </c>
      <c r="V24" s="2">
        <v>0.16666666666666666</v>
      </c>
      <c r="W24">
        <v>0</v>
      </c>
      <c r="AA24" t="s">
        <v>83</v>
      </c>
      <c r="AB24" t="s">
        <v>84</v>
      </c>
      <c r="AC24" t="s">
        <v>111</v>
      </c>
      <c r="AD24" t="s">
        <v>86</v>
      </c>
      <c r="AE24">
        <f t="shared" si="0"/>
        <v>6</v>
      </c>
      <c r="AF24" t="str">
        <f t="shared" si="1"/>
        <v>June</v>
      </c>
    </row>
    <row r="25" spans="1:32">
      <c r="A25" s="1">
        <v>45478</v>
      </c>
      <c r="B25" t="s">
        <v>26</v>
      </c>
      <c r="C25" t="s">
        <v>72</v>
      </c>
      <c r="D25" t="s">
        <v>73</v>
      </c>
      <c r="E25" t="s">
        <v>74</v>
      </c>
      <c r="F25" t="s">
        <v>75</v>
      </c>
      <c r="G25" t="s">
        <v>76</v>
      </c>
      <c r="H25" t="s">
        <v>77</v>
      </c>
      <c r="I25" t="s">
        <v>78</v>
      </c>
      <c r="J25" t="s">
        <v>79</v>
      </c>
      <c r="K25" t="s">
        <v>73</v>
      </c>
      <c r="L25" t="s">
        <v>38</v>
      </c>
      <c r="M25" t="s">
        <v>21</v>
      </c>
      <c r="N25" t="s">
        <v>21</v>
      </c>
      <c r="O25" t="s">
        <v>80</v>
      </c>
      <c r="P25">
        <v>267579</v>
      </c>
      <c r="Q25" t="s">
        <v>16</v>
      </c>
      <c r="R25" t="s">
        <v>4</v>
      </c>
      <c r="S25" t="s">
        <v>81</v>
      </c>
      <c r="T25">
        <v>90</v>
      </c>
      <c r="U25">
        <v>4.5</v>
      </c>
      <c r="V25" s="2">
        <v>0.1875</v>
      </c>
      <c r="W25">
        <v>405</v>
      </c>
      <c r="AA25" t="s">
        <v>83</v>
      </c>
      <c r="AB25" t="s">
        <v>84</v>
      </c>
      <c r="AC25" t="s">
        <v>112</v>
      </c>
      <c r="AD25" t="s">
        <v>86</v>
      </c>
      <c r="AE25">
        <f t="shared" si="0"/>
        <v>7</v>
      </c>
      <c r="AF25" t="str">
        <f t="shared" si="1"/>
        <v>July</v>
      </c>
    </row>
    <row r="26" spans="1:32">
      <c r="A26" s="1">
        <v>45483</v>
      </c>
      <c r="B26" t="s">
        <v>26</v>
      </c>
      <c r="C26" t="s">
        <v>72</v>
      </c>
      <c r="D26" t="s">
        <v>73</v>
      </c>
      <c r="E26" t="s">
        <v>74</v>
      </c>
      <c r="F26" t="s">
        <v>75</v>
      </c>
      <c r="G26" t="s">
        <v>76</v>
      </c>
      <c r="H26" t="s">
        <v>77</v>
      </c>
      <c r="I26" t="s">
        <v>78</v>
      </c>
      <c r="J26" t="s">
        <v>79</v>
      </c>
      <c r="K26" t="s">
        <v>73</v>
      </c>
      <c r="L26" t="s">
        <v>38</v>
      </c>
      <c r="M26" t="s">
        <v>21</v>
      </c>
      <c r="N26" t="s">
        <v>21</v>
      </c>
      <c r="O26" t="s">
        <v>80</v>
      </c>
      <c r="P26">
        <v>270930</v>
      </c>
      <c r="Q26" t="s">
        <v>88</v>
      </c>
      <c r="R26" t="s">
        <v>89</v>
      </c>
      <c r="S26" t="s">
        <v>81</v>
      </c>
      <c r="T26">
        <v>0</v>
      </c>
      <c r="U26">
        <v>3</v>
      </c>
      <c r="V26" s="2">
        <v>0.125</v>
      </c>
      <c r="W26">
        <v>0</v>
      </c>
      <c r="AA26" t="s">
        <v>83</v>
      </c>
      <c r="AB26" t="s">
        <v>84</v>
      </c>
      <c r="AC26" t="s">
        <v>113</v>
      </c>
      <c r="AD26" t="s">
        <v>86</v>
      </c>
      <c r="AE26">
        <f t="shared" si="0"/>
        <v>7</v>
      </c>
      <c r="AF26" t="str">
        <f t="shared" si="1"/>
        <v>July</v>
      </c>
    </row>
    <row r="27" spans="1:32">
      <c r="A27" s="1">
        <v>45432</v>
      </c>
      <c r="B27" t="s">
        <v>114</v>
      </c>
      <c r="C27" t="s">
        <v>115</v>
      </c>
      <c r="D27" t="s">
        <v>73</v>
      </c>
      <c r="E27" t="s">
        <v>116</v>
      </c>
      <c r="F27" t="s">
        <v>75</v>
      </c>
      <c r="G27" t="s">
        <v>76</v>
      </c>
      <c r="H27" t="s">
        <v>77</v>
      </c>
      <c r="I27" t="s">
        <v>78</v>
      </c>
      <c r="J27" t="s">
        <v>79</v>
      </c>
      <c r="K27" t="s">
        <v>73</v>
      </c>
      <c r="L27" t="s">
        <v>38</v>
      </c>
      <c r="M27" t="s">
        <v>21</v>
      </c>
      <c r="N27" t="s">
        <v>117</v>
      </c>
      <c r="O27" t="s">
        <v>80</v>
      </c>
      <c r="P27">
        <v>249451</v>
      </c>
      <c r="Q27" t="s">
        <v>88</v>
      </c>
      <c r="R27" t="s">
        <v>89</v>
      </c>
      <c r="S27" t="s">
        <v>81</v>
      </c>
      <c r="T27">
        <v>0</v>
      </c>
      <c r="U27">
        <v>0.75</v>
      </c>
      <c r="V27" s="2">
        <v>3.125E-2</v>
      </c>
      <c r="W27">
        <v>0</v>
      </c>
      <c r="AA27" t="s">
        <v>83</v>
      </c>
      <c r="AB27" t="s">
        <v>84</v>
      </c>
      <c r="AC27" t="s">
        <v>118</v>
      </c>
      <c r="AD27" t="s">
        <v>86</v>
      </c>
      <c r="AE27">
        <f t="shared" si="0"/>
        <v>5</v>
      </c>
      <c r="AF27" t="str">
        <f t="shared" si="1"/>
        <v>May</v>
      </c>
    </row>
    <row r="28" spans="1:32">
      <c r="A28" s="1">
        <v>45436</v>
      </c>
      <c r="B28" t="s">
        <v>114</v>
      </c>
      <c r="C28" t="s">
        <v>115</v>
      </c>
      <c r="D28" t="s">
        <v>73</v>
      </c>
      <c r="E28" t="s">
        <v>116</v>
      </c>
      <c r="F28" t="s">
        <v>75</v>
      </c>
      <c r="G28" t="s">
        <v>76</v>
      </c>
      <c r="H28" t="s">
        <v>77</v>
      </c>
      <c r="I28" t="s">
        <v>78</v>
      </c>
      <c r="J28" t="s">
        <v>79</v>
      </c>
      <c r="K28" t="s">
        <v>73</v>
      </c>
      <c r="L28" t="s">
        <v>38</v>
      </c>
      <c r="M28" t="s">
        <v>21</v>
      </c>
      <c r="N28" t="s">
        <v>117</v>
      </c>
      <c r="O28" t="s">
        <v>80</v>
      </c>
      <c r="P28">
        <v>251387</v>
      </c>
      <c r="Q28" t="s">
        <v>88</v>
      </c>
      <c r="R28" t="s">
        <v>89</v>
      </c>
      <c r="S28" t="s">
        <v>81</v>
      </c>
      <c r="T28">
        <v>0</v>
      </c>
      <c r="U28">
        <v>1</v>
      </c>
      <c r="V28" s="2">
        <v>4.1666666666666664E-2</v>
      </c>
      <c r="W28">
        <v>0</v>
      </c>
      <c r="AA28" t="s">
        <v>83</v>
      </c>
      <c r="AB28" t="s">
        <v>84</v>
      </c>
      <c r="AC28" t="s">
        <v>119</v>
      </c>
      <c r="AD28" t="s">
        <v>86</v>
      </c>
      <c r="AE28">
        <f t="shared" si="0"/>
        <v>5</v>
      </c>
      <c r="AF28" t="str">
        <f t="shared" si="1"/>
        <v>May</v>
      </c>
    </row>
    <row r="29" spans="1:32">
      <c r="A29" s="1">
        <v>45440</v>
      </c>
      <c r="B29" t="s">
        <v>114</v>
      </c>
      <c r="C29" t="s">
        <v>115</v>
      </c>
      <c r="D29" t="s">
        <v>73</v>
      </c>
      <c r="E29" t="s">
        <v>116</v>
      </c>
      <c r="F29" t="s">
        <v>75</v>
      </c>
      <c r="G29" t="s">
        <v>76</v>
      </c>
      <c r="H29" t="s">
        <v>77</v>
      </c>
      <c r="I29" t="s">
        <v>78</v>
      </c>
      <c r="J29" t="s">
        <v>79</v>
      </c>
      <c r="K29" t="s">
        <v>73</v>
      </c>
      <c r="L29" t="s">
        <v>38</v>
      </c>
      <c r="M29" t="s">
        <v>21</v>
      </c>
      <c r="N29" t="s">
        <v>117</v>
      </c>
      <c r="O29" t="s">
        <v>80</v>
      </c>
      <c r="P29">
        <v>252336</v>
      </c>
      <c r="Q29" t="s">
        <v>88</v>
      </c>
      <c r="R29" t="s">
        <v>89</v>
      </c>
      <c r="S29" t="s">
        <v>81</v>
      </c>
      <c r="T29">
        <v>0</v>
      </c>
      <c r="U29">
        <v>0.25</v>
      </c>
      <c r="V29" s="2">
        <v>1.0416666666666666E-2</v>
      </c>
      <c r="W29">
        <v>0</v>
      </c>
      <c r="AA29" t="s">
        <v>83</v>
      </c>
      <c r="AB29" t="s">
        <v>84</v>
      </c>
      <c r="AC29" t="s">
        <v>120</v>
      </c>
      <c r="AD29" t="s">
        <v>86</v>
      </c>
      <c r="AE29">
        <f t="shared" si="0"/>
        <v>5</v>
      </c>
      <c r="AF29" t="str">
        <f t="shared" si="1"/>
        <v>May</v>
      </c>
    </row>
    <row r="30" spans="1:32">
      <c r="A30" s="1">
        <v>45448</v>
      </c>
      <c r="B30" t="s">
        <v>114</v>
      </c>
      <c r="C30" t="s">
        <v>115</v>
      </c>
      <c r="D30" t="s">
        <v>73</v>
      </c>
      <c r="E30" t="s">
        <v>116</v>
      </c>
      <c r="F30" t="s">
        <v>75</v>
      </c>
      <c r="G30" t="s">
        <v>76</v>
      </c>
      <c r="H30" t="s">
        <v>77</v>
      </c>
      <c r="I30" t="s">
        <v>78</v>
      </c>
      <c r="J30" t="s">
        <v>79</v>
      </c>
      <c r="K30" t="s">
        <v>73</v>
      </c>
      <c r="L30" t="s">
        <v>38</v>
      </c>
      <c r="M30" t="s">
        <v>21</v>
      </c>
      <c r="N30" t="s">
        <v>117</v>
      </c>
      <c r="O30" t="s">
        <v>80</v>
      </c>
      <c r="P30">
        <v>255783</v>
      </c>
      <c r="Q30" t="s">
        <v>88</v>
      </c>
      <c r="R30" t="s">
        <v>89</v>
      </c>
      <c r="S30" t="s">
        <v>81</v>
      </c>
      <c r="T30">
        <v>0</v>
      </c>
      <c r="U30">
        <v>0.5</v>
      </c>
      <c r="V30" s="2">
        <v>2.0833333333333332E-2</v>
      </c>
      <c r="W30">
        <v>0</v>
      </c>
      <c r="AA30" t="s">
        <v>83</v>
      </c>
      <c r="AB30" t="s">
        <v>84</v>
      </c>
      <c r="AC30" t="s">
        <v>121</v>
      </c>
      <c r="AD30" t="s">
        <v>86</v>
      </c>
      <c r="AE30">
        <f t="shared" si="0"/>
        <v>6</v>
      </c>
      <c r="AF30" t="str">
        <f t="shared" si="1"/>
        <v>June</v>
      </c>
    </row>
    <row r="31" spans="1:32">
      <c r="A31" s="1">
        <v>45453</v>
      </c>
      <c r="B31" t="s">
        <v>114</v>
      </c>
      <c r="C31" t="s">
        <v>115</v>
      </c>
      <c r="D31" t="s">
        <v>73</v>
      </c>
      <c r="E31" t="s">
        <v>116</v>
      </c>
      <c r="F31" t="s">
        <v>75</v>
      </c>
      <c r="G31" t="s">
        <v>76</v>
      </c>
      <c r="H31" t="s">
        <v>77</v>
      </c>
      <c r="I31" t="s">
        <v>78</v>
      </c>
      <c r="J31" t="s">
        <v>79</v>
      </c>
      <c r="K31" t="s">
        <v>73</v>
      </c>
      <c r="L31" t="s">
        <v>38</v>
      </c>
      <c r="M31" t="s">
        <v>21</v>
      </c>
      <c r="N31" t="s">
        <v>117</v>
      </c>
      <c r="O31" t="s">
        <v>80</v>
      </c>
      <c r="P31">
        <v>257333</v>
      </c>
      <c r="Q31" t="s">
        <v>88</v>
      </c>
      <c r="R31" t="s">
        <v>89</v>
      </c>
      <c r="S31" t="s">
        <v>81</v>
      </c>
      <c r="T31">
        <v>0</v>
      </c>
      <c r="U31">
        <v>0.25</v>
      </c>
      <c r="V31" s="2">
        <v>1.0416666666666666E-2</v>
      </c>
      <c r="W31">
        <v>0</v>
      </c>
      <c r="AA31" t="s">
        <v>83</v>
      </c>
      <c r="AB31" t="s">
        <v>84</v>
      </c>
      <c r="AC31" t="s">
        <v>120</v>
      </c>
      <c r="AD31" t="s">
        <v>86</v>
      </c>
      <c r="AE31">
        <f t="shared" si="0"/>
        <v>6</v>
      </c>
      <c r="AF31" t="str">
        <f t="shared" si="1"/>
        <v>June</v>
      </c>
    </row>
    <row r="32" spans="1:32">
      <c r="A32" s="1">
        <v>45461</v>
      </c>
      <c r="B32" t="s">
        <v>114</v>
      </c>
      <c r="C32" t="s">
        <v>115</v>
      </c>
      <c r="D32" t="s">
        <v>73</v>
      </c>
      <c r="E32" t="s">
        <v>116</v>
      </c>
      <c r="F32" t="s">
        <v>75</v>
      </c>
      <c r="G32" t="s">
        <v>76</v>
      </c>
      <c r="H32" t="s">
        <v>77</v>
      </c>
      <c r="I32" t="s">
        <v>78</v>
      </c>
      <c r="J32" t="s">
        <v>79</v>
      </c>
      <c r="K32" t="s">
        <v>73</v>
      </c>
      <c r="L32" t="s">
        <v>38</v>
      </c>
      <c r="M32" t="s">
        <v>21</v>
      </c>
      <c r="N32" t="s">
        <v>117</v>
      </c>
      <c r="O32" t="s">
        <v>80</v>
      </c>
      <c r="P32">
        <v>260427</v>
      </c>
      <c r="Q32" t="s">
        <v>88</v>
      </c>
      <c r="R32" t="s">
        <v>89</v>
      </c>
      <c r="S32" t="s">
        <v>81</v>
      </c>
      <c r="T32">
        <v>0</v>
      </c>
      <c r="U32">
        <v>0.25</v>
      </c>
      <c r="V32" s="2">
        <v>1.0416666666666666E-2</v>
      </c>
      <c r="W32">
        <v>0</v>
      </c>
      <c r="AA32" t="s">
        <v>83</v>
      </c>
      <c r="AB32" t="s">
        <v>84</v>
      </c>
      <c r="AC32" t="s">
        <v>120</v>
      </c>
      <c r="AD32" t="s">
        <v>86</v>
      </c>
      <c r="AE32">
        <f t="shared" si="0"/>
        <v>6</v>
      </c>
      <c r="AF32" t="str">
        <f t="shared" si="1"/>
        <v>June</v>
      </c>
    </row>
    <row r="33" spans="1:32">
      <c r="A33" s="1">
        <v>45471</v>
      </c>
      <c r="B33" t="s">
        <v>114</v>
      </c>
      <c r="C33" t="s">
        <v>115</v>
      </c>
      <c r="D33" t="s">
        <v>73</v>
      </c>
      <c r="E33" t="s">
        <v>116</v>
      </c>
      <c r="F33" t="s">
        <v>75</v>
      </c>
      <c r="G33" t="s">
        <v>76</v>
      </c>
      <c r="H33" t="s">
        <v>77</v>
      </c>
      <c r="I33" t="s">
        <v>78</v>
      </c>
      <c r="J33" t="s">
        <v>79</v>
      </c>
      <c r="K33" t="s">
        <v>73</v>
      </c>
      <c r="L33" t="s">
        <v>38</v>
      </c>
      <c r="M33" t="s">
        <v>21</v>
      </c>
      <c r="N33" t="s">
        <v>117</v>
      </c>
      <c r="O33" t="s">
        <v>80</v>
      </c>
      <c r="P33">
        <v>264860</v>
      </c>
      <c r="Q33" t="s">
        <v>88</v>
      </c>
      <c r="R33" t="s">
        <v>89</v>
      </c>
      <c r="S33" t="s">
        <v>81</v>
      </c>
      <c r="T33">
        <v>0</v>
      </c>
      <c r="U33">
        <v>0.25</v>
      </c>
      <c r="V33" s="2">
        <v>1.0416666666666666E-2</v>
      </c>
      <c r="W33">
        <v>0</v>
      </c>
      <c r="AA33" t="s">
        <v>83</v>
      </c>
      <c r="AB33" t="s">
        <v>84</v>
      </c>
      <c r="AC33" t="s">
        <v>122</v>
      </c>
      <c r="AD33" t="s">
        <v>86</v>
      </c>
      <c r="AE33">
        <f t="shared" si="0"/>
        <v>6</v>
      </c>
      <c r="AF33" t="str">
        <f t="shared" si="1"/>
        <v>June</v>
      </c>
    </row>
    <row r="34" spans="1:32">
      <c r="A34" s="1">
        <v>45474</v>
      </c>
      <c r="B34" t="s">
        <v>114</v>
      </c>
      <c r="C34" t="s">
        <v>115</v>
      </c>
      <c r="D34" t="s">
        <v>73</v>
      </c>
      <c r="E34" t="s">
        <v>116</v>
      </c>
      <c r="F34" t="s">
        <v>75</v>
      </c>
      <c r="G34" t="s">
        <v>76</v>
      </c>
      <c r="H34" t="s">
        <v>77</v>
      </c>
      <c r="I34" t="s">
        <v>78</v>
      </c>
      <c r="J34" t="s">
        <v>79</v>
      </c>
      <c r="K34" t="s">
        <v>73</v>
      </c>
      <c r="L34" t="s">
        <v>38</v>
      </c>
      <c r="M34" t="s">
        <v>21</v>
      </c>
      <c r="N34" t="s">
        <v>117</v>
      </c>
      <c r="O34" t="s">
        <v>80</v>
      </c>
      <c r="P34">
        <v>266032</v>
      </c>
      <c r="Q34" t="s">
        <v>88</v>
      </c>
      <c r="R34" t="s">
        <v>89</v>
      </c>
      <c r="S34" t="s">
        <v>81</v>
      </c>
      <c r="T34">
        <v>0</v>
      </c>
      <c r="U34">
        <v>0.25</v>
      </c>
      <c r="V34" s="2">
        <v>1.0416666666666666E-2</v>
      </c>
      <c r="W34">
        <v>0</v>
      </c>
      <c r="AA34" t="s">
        <v>83</v>
      </c>
      <c r="AC34" t="s">
        <v>120</v>
      </c>
      <c r="AD34" t="s">
        <v>86</v>
      </c>
      <c r="AE34">
        <f t="shared" si="0"/>
        <v>7</v>
      </c>
      <c r="AF34" t="str">
        <f t="shared" si="1"/>
        <v>July</v>
      </c>
    </row>
    <row r="35" spans="1:32">
      <c r="A35" s="1">
        <v>45481</v>
      </c>
      <c r="B35" t="s">
        <v>114</v>
      </c>
      <c r="C35" t="s">
        <v>115</v>
      </c>
      <c r="D35" t="s">
        <v>73</v>
      </c>
      <c r="E35" t="s">
        <v>116</v>
      </c>
      <c r="F35" t="s">
        <v>75</v>
      </c>
      <c r="G35" t="s">
        <v>76</v>
      </c>
      <c r="H35" t="s">
        <v>77</v>
      </c>
      <c r="I35" t="s">
        <v>78</v>
      </c>
      <c r="J35" t="s">
        <v>79</v>
      </c>
      <c r="K35" t="s">
        <v>73</v>
      </c>
      <c r="L35" t="s">
        <v>38</v>
      </c>
      <c r="M35" t="s">
        <v>21</v>
      </c>
      <c r="N35" t="s">
        <v>117</v>
      </c>
      <c r="O35" t="s">
        <v>80</v>
      </c>
      <c r="P35">
        <v>268395</v>
      </c>
      <c r="Q35" t="s">
        <v>88</v>
      </c>
      <c r="R35" t="s">
        <v>89</v>
      </c>
      <c r="S35" t="s">
        <v>81</v>
      </c>
      <c r="T35">
        <v>0</v>
      </c>
      <c r="U35">
        <v>0.5</v>
      </c>
      <c r="V35" s="2">
        <v>2.0833333333333332E-2</v>
      </c>
      <c r="W35">
        <v>0</v>
      </c>
      <c r="AA35" t="s">
        <v>83</v>
      </c>
      <c r="AC35" t="s">
        <v>120</v>
      </c>
      <c r="AD35" t="s">
        <v>86</v>
      </c>
      <c r="AE35">
        <f t="shared" si="0"/>
        <v>7</v>
      </c>
      <c r="AF35" t="str">
        <f t="shared" si="1"/>
        <v>July</v>
      </c>
    </row>
    <row r="36" spans="1:32">
      <c r="A36" s="1">
        <v>45443</v>
      </c>
      <c r="B36" t="s">
        <v>33</v>
      </c>
      <c r="C36" t="s">
        <v>115</v>
      </c>
      <c r="D36" t="s">
        <v>73</v>
      </c>
      <c r="E36" t="s">
        <v>74</v>
      </c>
      <c r="F36" t="s">
        <v>75</v>
      </c>
      <c r="G36" t="s">
        <v>76</v>
      </c>
      <c r="H36" t="s">
        <v>77</v>
      </c>
      <c r="I36" t="s">
        <v>78</v>
      </c>
      <c r="J36" t="s">
        <v>79</v>
      </c>
      <c r="K36" t="s">
        <v>73</v>
      </c>
      <c r="L36" t="s">
        <v>38</v>
      </c>
      <c r="M36" t="s">
        <v>21</v>
      </c>
      <c r="N36" t="s">
        <v>21</v>
      </c>
      <c r="O36" t="s">
        <v>80</v>
      </c>
      <c r="P36">
        <v>253990</v>
      </c>
      <c r="Q36" t="s">
        <v>88</v>
      </c>
      <c r="R36" t="s">
        <v>89</v>
      </c>
      <c r="S36" t="s">
        <v>81</v>
      </c>
      <c r="T36">
        <v>0</v>
      </c>
      <c r="U36">
        <v>1.5</v>
      </c>
      <c r="V36" s="2">
        <v>6.25E-2</v>
      </c>
      <c r="W36">
        <v>0</v>
      </c>
      <c r="AA36" t="s">
        <v>83</v>
      </c>
      <c r="AB36" t="s">
        <v>84</v>
      </c>
      <c r="AC36" t="e">
        <f ca="1">- GDPR session with Anjali _xludf.and Khonani _xludf.for QA - Create test data _xludf.for QA</f>
        <v>#NAME?</v>
      </c>
      <c r="AD36" t="s">
        <v>86</v>
      </c>
      <c r="AE36">
        <f t="shared" si="0"/>
        <v>5</v>
      </c>
      <c r="AF36" t="str">
        <f t="shared" si="1"/>
        <v>May</v>
      </c>
    </row>
    <row r="37" spans="1:32">
      <c r="A37" s="1">
        <v>45446</v>
      </c>
      <c r="B37" t="s">
        <v>33</v>
      </c>
      <c r="C37" t="s">
        <v>115</v>
      </c>
      <c r="D37" t="s">
        <v>73</v>
      </c>
      <c r="E37" t="s">
        <v>74</v>
      </c>
      <c r="F37" t="s">
        <v>75</v>
      </c>
      <c r="G37" t="s">
        <v>76</v>
      </c>
      <c r="H37" t="s">
        <v>77</v>
      </c>
      <c r="I37" t="s">
        <v>78</v>
      </c>
      <c r="J37" t="s">
        <v>79</v>
      </c>
      <c r="K37" t="s">
        <v>73</v>
      </c>
      <c r="L37" t="s">
        <v>38</v>
      </c>
      <c r="M37" t="s">
        <v>21</v>
      </c>
      <c r="N37" t="s">
        <v>21</v>
      </c>
      <c r="O37" t="s">
        <v>80</v>
      </c>
      <c r="P37">
        <v>254953</v>
      </c>
      <c r="Q37" t="s">
        <v>88</v>
      </c>
      <c r="R37" t="s">
        <v>89</v>
      </c>
      <c r="S37" t="s">
        <v>81</v>
      </c>
      <c r="T37">
        <v>0</v>
      </c>
      <c r="U37">
        <v>0.5</v>
      </c>
      <c r="V37" s="2">
        <v>2.0833333333333332E-2</v>
      </c>
      <c r="W37">
        <v>0</v>
      </c>
      <c r="AA37" t="s">
        <v>83</v>
      </c>
      <c r="AB37" t="s">
        <v>84</v>
      </c>
      <c r="AC37" t="s">
        <v>123</v>
      </c>
      <c r="AD37" t="s">
        <v>86</v>
      </c>
      <c r="AE37">
        <f t="shared" si="0"/>
        <v>6</v>
      </c>
      <c r="AF37" t="str">
        <f t="shared" si="1"/>
        <v>June</v>
      </c>
    </row>
    <row r="38" spans="1:32">
      <c r="A38" s="1">
        <v>45447</v>
      </c>
      <c r="B38" t="s">
        <v>33</v>
      </c>
      <c r="C38" t="s">
        <v>115</v>
      </c>
      <c r="D38" t="s">
        <v>73</v>
      </c>
      <c r="E38" t="s">
        <v>74</v>
      </c>
      <c r="F38" t="s">
        <v>75</v>
      </c>
      <c r="G38" t="s">
        <v>76</v>
      </c>
      <c r="H38" t="s">
        <v>77</v>
      </c>
      <c r="I38" t="s">
        <v>78</v>
      </c>
      <c r="J38" t="s">
        <v>79</v>
      </c>
      <c r="K38" t="s">
        <v>73</v>
      </c>
      <c r="L38" t="s">
        <v>38</v>
      </c>
      <c r="M38" t="s">
        <v>21</v>
      </c>
      <c r="N38" t="s">
        <v>21</v>
      </c>
      <c r="O38" t="s">
        <v>80</v>
      </c>
      <c r="P38">
        <v>254951</v>
      </c>
      <c r="Q38" t="s">
        <v>88</v>
      </c>
      <c r="R38" t="s">
        <v>89</v>
      </c>
      <c r="S38" t="s">
        <v>81</v>
      </c>
      <c r="T38">
        <v>0</v>
      </c>
      <c r="U38">
        <v>0.25</v>
      </c>
      <c r="V38" s="2">
        <v>1.0416666666666666E-2</v>
      </c>
      <c r="W38">
        <v>0</v>
      </c>
      <c r="AA38" t="s">
        <v>83</v>
      </c>
      <c r="AB38" t="s">
        <v>84</v>
      </c>
      <c r="AC38" t="s">
        <v>124</v>
      </c>
      <c r="AD38" t="s">
        <v>86</v>
      </c>
      <c r="AE38">
        <f t="shared" si="0"/>
        <v>6</v>
      </c>
      <c r="AF38" t="str">
        <f t="shared" si="1"/>
        <v>June</v>
      </c>
    </row>
    <row r="39" spans="1:32">
      <c r="A39" s="1">
        <v>45448</v>
      </c>
      <c r="B39" t="s">
        <v>33</v>
      </c>
      <c r="C39" t="s">
        <v>115</v>
      </c>
      <c r="D39" t="s">
        <v>73</v>
      </c>
      <c r="E39" t="s">
        <v>74</v>
      </c>
      <c r="F39" t="s">
        <v>75</v>
      </c>
      <c r="G39" t="s">
        <v>76</v>
      </c>
      <c r="H39" t="s">
        <v>77</v>
      </c>
      <c r="I39" t="s">
        <v>78</v>
      </c>
      <c r="J39" t="s">
        <v>79</v>
      </c>
      <c r="K39" t="s">
        <v>73</v>
      </c>
      <c r="L39" t="s">
        <v>38</v>
      </c>
      <c r="M39" t="s">
        <v>21</v>
      </c>
      <c r="N39" t="s">
        <v>21</v>
      </c>
      <c r="O39" t="s">
        <v>80</v>
      </c>
      <c r="P39">
        <v>255687</v>
      </c>
      <c r="Q39" t="s">
        <v>88</v>
      </c>
      <c r="R39" t="s">
        <v>89</v>
      </c>
      <c r="S39" t="s">
        <v>81</v>
      </c>
      <c r="T39">
        <v>0</v>
      </c>
      <c r="U39">
        <v>0.5</v>
      </c>
      <c r="V39" s="2">
        <v>2.0833333333333332E-2</v>
      </c>
      <c r="W39">
        <v>0</v>
      </c>
      <c r="AA39" t="s">
        <v>83</v>
      </c>
      <c r="AB39" t="s">
        <v>84</v>
      </c>
      <c r="AC39" t="s">
        <v>125</v>
      </c>
      <c r="AD39" t="s">
        <v>86</v>
      </c>
      <c r="AE39">
        <f t="shared" si="0"/>
        <v>6</v>
      </c>
      <c r="AF39" t="str">
        <f t="shared" si="1"/>
        <v>June</v>
      </c>
    </row>
    <row r="40" spans="1:32">
      <c r="A40" s="1">
        <v>45448</v>
      </c>
      <c r="B40" t="s">
        <v>33</v>
      </c>
      <c r="C40" t="s">
        <v>115</v>
      </c>
      <c r="D40" t="s">
        <v>73</v>
      </c>
      <c r="E40" t="s">
        <v>74</v>
      </c>
      <c r="F40" t="s">
        <v>75</v>
      </c>
      <c r="G40" t="s">
        <v>76</v>
      </c>
      <c r="H40" t="s">
        <v>77</v>
      </c>
      <c r="I40" t="s">
        <v>78</v>
      </c>
      <c r="J40" t="s">
        <v>79</v>
      </c>
      <c r="K40" t="s">
        <v>73</v>
      </c>
      <c r="L40" t="s">
        <v>38</v>
      </c>
      <c r="M40" t="s">
        <v>21</v>
      </c>
      <c r="N40" t="s">
        <v>21</v>
      </c>
      <c r="O40" t="s">
        <v>80</v>
      </c>
      <c r="P40">
        <v>255688</v>
      </c>
      <c r="Q40" t="s">
        <v>88</v>
      </c>
      <c r="R40" t="s">
        <v>89</v>
      </c>
      <c r="S40" t="s">
        <v>81</v>
      </c>
      <c r="T40">
        <v>0</v>
      </c>
      <c r="U40">
        <v>2.5</v>
      </c>
      <c r="V40" s="2">
        <v>0.10416666666666667</v>
      </c>
      <c r="W40">
        <v>0</v>
      </c>
      <c r="AA40" t="s">
        <v>83</v>
      </c>
      <c r="AB40" t="s">
        <v>84</v>
      </c>
      <c r="AC40" t="s">
        <v>126</v>
      </c>
      <c r="AD40" t="s">
        <v>86</v>
      </c>
      <c r="AE40">
        <f t="shared" si="0"/>
        <v>6</v>
      </c>
      <c r="AF40" t="str">
        <f t="shared" si="1"/>
        <v>June</v>
      </c>
    </row>
    <row r="41" spans="1:32">
      <c r="A41" s="1">
        <v>45450</v>
      </c>
      <c r="B41" t="s">
        <v>33</v>
      </c>
      <c r="C41" t="s">
        <v>115</v>
      </c>
      <c r="D41" t="s">
        <v>73</v>
      </c>
      <c r="E41" t="s">
        <v>74</v>
      </c>
      <c r="F41" t="s">
        <v>75</v>
      </c>
      <c r="G41" t="s">
        <v>76</v>
      </c>
      <c r="H41" t="s">
        <v>77</v>
      </c>
      <c r="I41" t="s">
        <v>78</v>
      </c>
      <c r="J41" t="s">
        <v>79</v>
      </c>
      <c r="K41" t="s">
        <v>73</v>
      </c>
      <c r="L41" t="s">
        <v>38</v>
      </c>
      <c r="M41" t="s">
        <v>21</v>
      </c>
      <c r="N41" t="s">
        <v>21</v>
      </c>
      <c r="O41" t="s">
        <v>80</v>
      </c>
      <c r="P41">
        <v>256845</v>
      </c>
      <c r="Q41" t="s">
        <v>88</v>
      </c>
      <c r="R41" t="s">
        <v>89</v>
      </c>
      <c r="S41" t="s">
        <v>81</v>
      </c>
      <c r="T41">
        <v>0</v>
      </c>
      <c r="U41">
        <v>1</v>
      </c>
      <c r="V41" s="2">
        <v>4.1666666666666664E-2</v>
      </c>
      <c r="W41">
        <v>0</v>
      </c>
      <c r="AA41" t="s">
        <v>83</v>
      </c>
      <c r="AB41" t="s">
        <v>84</v>
      </c>
      <c r="AC41" t="s">
        <v>126</v>
      </c>
      <c r="AD41" t="s">
        <v>86</v>
      </c>
      <c r="AE41">
        <f t="shared" si="0"/>
        <v>6</v>
      </c>
      <c r="AF41" t="str">
        <f t="shared" si="1"/>
        <v>June</v>
      </c>
    </row>
    <row r="42" spans="1:32">
      <c r="A42" s="1">
        <v>45453</v>
      </c>
      <c r="B42" t="s">
        <v>33</v>
      </c>
      <c r="C42" t="s">
        <v>115</v>
      </c>
      <c r="D42" t="s">
        <v>73</v>
      </c>
      <c r="E42" t="s">
        <v>74</v>
      </c>
      <c r="F42" t="s">
        <v>75</v>
      </c>
      <c r="G42" t="s">
        <v>76</v>
      </c>
      <c r="H42" t="s">
        <v>77</v>
      </c>
      <c r="I42" t="s">
        <v>78</v>
      </c>
      <c r="J42" t="s">
        <v>79</v>
      </c>
      <c r="K42" t="s">
        <v>73</v>
      </c>
      <c r="L42" t="s">
        <v>38</v>
      </c>
      <c r="M42" t="s">
        <v>21</v>
      </c>
      <c r="N42" t="s">
        <v>21</v>
      </c>
      <c r="O42" t="s">
        <v>80</v>
      </c>
      <c r="P42">
        <v>257213</v>
      </c>
      <c r="Q42" t="s">
        <v>88</v>
      </c>
      <c r="R42" t="s">
        <v>89</v>
      </c>
      <c r="S42" t="s">
        <v>81</v>
      </c>
      <c r="T42">
        <v>0</v>
      </c>
      <c r="U42">
        <v>2.25</v>
      </c>
      <c r="V42" s="2">
        <v>9.375E-2</v>
      </c>
      <c r="W42">
        <v>0</v>
      </c>
      <c r="AA42" t="s">
        <v>83</v>
      </c>
      <c r="AB42" t="s">
        <v>84</v>
      </c>
      <c r="AC42" t="s">
        <v>127</v>
      </c>
      <c r="AD42" t="s">
        <v>86</v>
      </c>
      <c r="AE42">
        <f t="shared" si="0"/>
        <v>6</v>
      </c>
      <c r="AF42" t="str">
        <f t="shared" si="1"/>
        <v>June</v>
      </c>
    </row>
    <row r="43" spans="1:32">
      <c r="A43" s="1">
        <v>45454</v>
      </c>
      <c r="B43" t="s">
        <v>33</v>
      </c>
      <c r="C43" t="s">
        <v>115</v>
      </c>
      <c r="D43" t="s">
        <v>73</v>
      </c>
      <c r="E43" t="s">
        <v>74</v>
      </c>
      <c r="F43" t="s">
        <v>75</v>
      </c>
      <c r="G43" t="s">
        <v>76</v>
      </c>
      <c r="H43" t="s">
        <v>77</v>
      </c>
      <c r="I43" t="s">
        <v>78</v>
      </c>
      <c r="J43" t="s">
        <v>79</v>
      </c>
      <c r="K43" t="s">
        <v>73</v>
      </c>
      <c r="L43" t="s">
        <v>38</v>
      </c>
      <c r="M43" t="s">
        <v>21</v>
      </c>
      <c r="N43" t="s">
        <v>21</v>
      </c>
      <c r="O43" t="s">
        <v>80</v>
      </c>
      <c r="P43">
        <v>257683</v>
      </c>
      <c r="Q43" t="s">
        <v>88</v>
      </c>
      <c r="R43" t="s">
        <v>89</v>
      </c>
      <c r="S43" t="s">
        <v>81</v>
      </c>
      <c r="T43">
        <v>0</v>
      </c>
      <c r="U43">
        <v>1</v>
      </c>
      <c r="V43" s="2">
        <v>4.1666666666666664E-2</v>
      </c>
      <c r="W43">
        <v>0</v>
      </c>
      <c r="AA43" t="s">
        <v>83</v>
      </c>
      <c r="AB43" t="s">
        <v>84</v>
      </c>
      <c r="AC43" t="s">
        <v>117</v>
      </c>
      <c r="AD43" t="s">
        <v>86</v>
      </c>
      <c r="AE43">
        <f t="shared" si="0"/>
        <v>6</v>
      </c>
      <c r="AF43" t="str">
        <f t="shared" si="1"/>
        <v>June</v>
      </c>
    </row>
    <row r="44" spans="1:32">
      <c r="A44" s="1">
        <v>45455</v>
      </c>
      <c r="B44" t="s">
        <v>33</v>
      </c>
      <c r="C44" t="s">
        <v>115</v>
      </c>
      <c r="D44" t="s">
        <v>73</v>
      </c>
      <c r="E44" t="s">
        <v>74</v>
      </c>
      <c r="F44" t="s">
        <v>75</v>
      </c>
      <c r="G44" t="s">
        <v>76</v>
      </c>
      <c r="H44" t="s">
        <v>77</v>
      </c>
      <c r="I44" t="s">
        <v>78</v>
      </c>
      <c r="J44" t="s">
        <v>79</v>
      </c>
      <c r="K44" t="s">
        <v>73</v>
      </c>
      <c r="L44" t="s">
        <v>38</v>
      </c>
      <c r="M44" t="s">
        <v>21</v>
      </c>
      <c r="N44" t="s">
        <v>21</v>
      </c>
      <c r="O44" t="s">
        <v>80</v>
      </c>
      <c r="P44">
        <v>258329</v>
      </c>
      <c r="Q44" t="s">
        <v>88</v>
      </c>
      <c r="R44" t="s">
        <v>89</v>
      </c>
      <c r="S44" t="s">
        <v>81</v>
      </c>
      <c r="T44">
        <v>0</v>
      </c>
      <c r="U44">
        <v>1.75</v>
      </c>
      <c r="V44" s="2">
        <v>7.2916666666666671E-2</v>
      </c>
      <c r="W44">
        <v>0</v>
      </c>
      <c r="AA44" t="s">
        <v>83</v>
      </c>
      <c r="AB44" t="s">
        <v>84</v>
      </c>
      <c r="AC44" t="s">
        <v>128</v>
      </c>
      <c r="AD44" t="s">
        <v>86</v>
      </c>
      <c r="AE44">
        <f t="shared" ref="AE44:AE50" si="2">MONTH(A44)</f>
        <v>6</v>
      </c>
      <c r="AF44" t="str">
        <f t="shared" ref="AF44:AF50" si="3">IF(AE44=5,"May",IF(AE44=6,"June",IF(AE44=7,"July",IF(AE44=8,"August",IF(AE44=9,"September")))))</f>
        <v>June</v>
      </c>
    </row>
    <row r="45" spans="1:32">
      <c r="A45" s="1">
        <v>45461</v>
      </c>
      <c r="B45" t="s">
        <v>33</v>
      </c>
      <c r="C45" t="s">
        <v>115</v>
      </c>
      <c r="D45" t="s">
        <v>73</v>
      </c>
      <c r="E45" t="s">
        <v>74</v>
      </c>
      <c r="F45" t="s">
        <v>75</v>
      </c>
      <c r="G45" t="s">
        <v>76</v>
      </c>
      <c r="H45" t="s">
        <v>77</v>
      </c>
      <c r="I45" t="s">
        <v>78</v>
      </c>
      <c r="J45" t="s">
        <v>79</v>
      </c>
      <c r="K45" t="s">
        <v>73</v>
      </c>
      <c r="L45" t="s">
        <v>38</v>
      </c>
      <c r="M45" t="s">
        <v>21</v>
      </c>
      <c r="N45" t="s">
        <v>21</v>
      </c>
      <c r="O45" t="s">
        <v>80</v>
      </c>
      <c r="P45">
        <v>260522</v>
      </c>
      <c r="Q45" t="s">
        <v>16</v>
      </c>
      <c r="R45" t="s">
        <v>4</v>
      </c>
      <c r="S45" t="s">
        <v>81</v>
      </c>
      <c r="T45">
        <v>90</v>
      </c>
      <c r="U45">
        <v>0.5</v>
      </c>
      <c r="V45" s="2">
        <v>2.0833333333333332E-2</v>
      </c>
      <c r="W45">
        <v>45</v>
      </c>
      <c r="X45">
        <v>60</v>
      </c>
      <c r="Y45">
        <v>15</v>
      </c>
      <c r="Z45" t="s">
        <v>97</v>
      </c>
      <c r="AA45" t="s">
        <v>83</v>
      </c>
      <c r="AB45" t="s">
        <v>84</v>
      </c>
      <c r="AC45" t="s">
        <v>129</v>
      </c>
      <c r="AD45" t="s">
        <v>86</v>
      </c>
      <c r="AE45">
        <f t="shared" si="2"/>
        <v>6</v>
      </c>
      <c r="AF45" t="str">
        <f t="shared" si="3"/>
        <v>June</v>
      </c>
    </row>
    <row r="46" spans="1:32">
      <c r="A46" s="1">
        <v>45467</v>
      </c>
      <c r="B46" t="s">
        <v>33</v>
      </c>
      <c r="C46" t="s">
        <v>115</v>
      </c>
      <c r="D46" t="s">
        <v>73</v>
      </c>
      <c r="E46" t="s">
        <v>74</v>
      </c>
      <c r="F46" t="s">
        <v>75</v>
      </c>
      <c r="G46" t="s">
        <v>76</v>
      </c>
      <c r="H46" t="s">
        <v>77</v>
      </c>
      <c r="I46" t="s">
        <v>78</v>
      </c>
      <c r="J46" t="s">
        <v>79</v>
      </c>
      <c r="K46" t="s">
        <v>73</v>
      </c>
      <c r="L46" t="s">
        <v>38</v>
      </c>
      <c r="M46" t="s">
        <v>21</v>
      </c>
      <c r="N46" t="s">
        <v>21</v>
      </c>
      <c r="O46" t="s">
        <v>80</v>
      </c>
      <c r="P46">
        <v>262814</v>
      </c>
      <c r="Q46" t="s">
        <v>16</v>
      </c>
      <c r="R46" t="s">
        <v>4</v>
      </c>
      <c r="S46" t="s">
        <v>81</v>
      </c>
      <c r="T46">
        <v>90</v>
      </c>
      <c r="U46">
        <v>0.25</v>
      </c>
      <c r="V46" s="2">
        <v>1.0416666666666666E-2</v>
      </c>
      <c r="W46">
        <v>22.5</v>
      </c>
      <c r="X46">
        <v>30</v>
      </c>
      <c r="Y46">
        <v>7.5</v>
      </c>
      <c r="Z46" t="s">
        <v>97</v>
      </c>
      <c r="AA46" t="s">
        <v>83</v>
      </c>
      <c r="AB46" t="s">
        <v>84</v>
      </c>
      <c r="AC46" t="s">
        <v>130</v>
      </c>
      <c r="AD46" t="s">
        <v>86</v>
      </c>
      <c r="AE46">
        <f t="shared" si="2"/>
        <v>6</v>
      </c>
      <c r="AF46" t="str">
        <f t="shared" si="3"/>
        <v>June</v>
      </c>
    </row>
    <row r="47" spans="1:32">
      <c r="A47" s="1">
        <v>45468</v>
      </c>
      <c r="B47" t="s">
        <v>33</v>
      </c>
      <c r="C47" t="s">
        <v>115</v>
      </c>
      <c r="D47" t="s">
        <v>73</v>
      </c>
      <c r="E47" t="s">
        <v>74</v>
      </c>
      <c r="F47" t="s">
        <v>75</v>
      </c>
      <c r="G47" t="s">
        <v>76</v>
      </c>
      <c r="H47" t="s">
        <v>77</v>
      </c>
      <c r="I47" t="s">
        <v>78</v>
      </c>
      <c r="J47" t="s">
        <v>79</v>
      </c>
      <c r="K47" t="s">
        <v>73</v>
      </c>
      <c r="L47" t="s">
        <v>38</v>
      </c>
      <c r="M47" t="s">
        <v>21</v>
      </c>
      <c r="N47" t="s">
        <v>21</v>
      </c>
      <c r="O47" t="s">
        <v>80</v>
      </c>
      <c r="P47">
        <v>262817</v>
      </c>
      <c r="Q47" t="s">
        <v>16</v>
      </c>
      <c r="R47" t="s">
        <v>4</v>
      </c>
      <c r="S47" t="s">
        <v>81</v>
      </c>
      <c r="T47">
        <v>90</v>
      </c>
      <c r="U47">
        <v>0.5</v>
      </c>
      <c r="V47" s="2">
        <v>2.0833333333333332E-2</v>
      </c>
      <c r="W47">
        <v>45</v>
      </c>
      <c r="X47">
        <v>60</v>
      </c>
      <c r="Y47">
        <v>15</v>
      </c>
      <c r="Z47" t="s">
        <v>97</v>
      </c>
      <c r="AA47" t="s">
        <v>83</v>
      </c>
      <c r="AB47" t="s">
        <v>84</v>
      </c>
      <c r="AC47" t="s">
        <v>131</v>
      </c>
      <c r="AD47" t="s">
        <v>86</v>
      </c>
      <c r="AE47">
        <f t="shared" si="2"/>
        <v>6</v>
      </c>
      <c r="AF47" t="str">
        <f t="shared" si="3"/>
        <v>June</v>
      </c>
    </row>
    <row r="48" spans="1:32">
      <c r="A48" s="1">
        <v>45470</v>
      </c>
      <c r="B48" t="s">
        <v>33</v>
      </c>
      <c r="C48" t="s">
        <v>115</v>
      </c>
      <c r="D48" t="s">
        <v>73</v>
      </c>
      <c r="E48" t="s">
        <v>74</v>
      </c>
      <c r="F48" t="s">
        <v>75</v>
      </c>
      <c r="G48" t="s">
        <v>76</v>
      </c>
      <c r="H48" t="s">
        <v>77</v>
      </c>
      <c r="I48" t="s">
        <v>78</v>
      </c>
      <c r="J48" t="s">
        <v>79</v>
      </c>
      <c r="K48" t="s">
        <v>73</v>
      </c>
      <c r="L48" t="s">
        <v>38</v>
      </c>
      <c r="M48" t="s">
        <v>21</v>
      </c>
      <c r="N48" t="s">
        <v>21</v>
      </c>
      <c r="O48" t="s">
        <v>80</v>
      </c>
      <c r="P48">
        <v>264220</v>
      </c>
      <c r="Q48" t="s">
        <v>16</v>
      </c>
      <c r="R48" t="s">
        <v>4</v>
      </c>
      <c r="S48" t="s">
        <v>81</v>
      </c>
      <c r="T48">
        <v>90</v>
      </c>
      <c r="U48">
        <v>0.75</v>
      </c>
      <c r="V48" s="2">
        <v>3.125E-2</v>
      </c>
      <c r="W48">
        <v>67.5</v>
      </c>
      <c r="X48">
        <v>90</v>
      </c>
      <c r="Y48">
        <v>22.5</v>
      </c>
      <c r="Z48" t="s">
        <v>97</v>
      </c>
      <c r="AA48" t="s">
        <v>83</v>
      </c>
      <c r="AB48" t="s">
        <v>84</v>
      </c>
      <c r="AC48" t="s">
        <v>132</v>
      </c>
      <c r="AD48" t="s">
        <v>86</v>
      </c>
      <c r="AE48">
        <f t="shared" si="2"/>
        <v>6</v>
      </c>
      <c r="AF48" t="str">
        <f t="shared" si="3"/>
        <v>June</v>
      </c>
    </row>
    <row r="49" spans="1:32">
      <c r="A49" s="1">
        <v>45478</v>
      </c>
      <c r="B49" t="s">
        <v>33</v>
      </c>
      <c r="C49" t="s">
        <v>115</v>
      </c>
      <c r="D49" t="s">
        <v>73</v>
      </c>
      <c r="E49" t="s">
        <v>74</v>
      </c>
      <c r="F49" t="s">
        <v>75</v>
      </c>
      <c r="G49" t="s">
        <v>76</v>
      </c>
      <c r="H49" t="s">
        <v>77</v>
      </c>
      <c r="I49" t="s">
        <v>78</v>
      </c>
      <c r="J49" t="s">
        <v>79</v>
      </c>
      <c r="K49" t="s">
        <v>73</v>
      </c>
      <c r="L49" t="s">
        <v>38</v>
      </c>
      <c r="M49" t="s">
        <v>21</v>
      </c>
      <c r="N49" t="s">
        <v>21</v>
      </c>
      <c r="O49" t="s">
        <v>80</v>
      </c>
      <c r="P49">
        <v>271213</v>
      </c>
      <c r="Q49" t="s">
        <v>88</v>
      </c>
      <c r="R49" t="s">
        <v>89</v>
      </c>
      <c r="S49" t="s">
        <v>81</v>
      </c>
      <c r="T49">
        <v>0</v>
      </c>
      <c r="U49">
        <v>4</v>
      </c>
      <c r="V49" s="2">
        <v>0.16666666666666666</v>
      </c>
      <c r="W49">
        <v>0</v>
      </c>
      <c r="AA49" t="s">
        <v>83</v>
      </c>
      <c r="AC49" t="e">
        <f ca="1">- GDPR UAT Approach - GDPR Doc review with Anjali - GDPR User guide</f>
        <v>#NAME?</v>
      </c>
      <c r="AD49" t="s">
        <v>86</v>
      </c>
      <c r="AE49">
        <f t="shared" si="2"/>
        <v>7</v>
      </c>
      <c r="AF49" t="str">
        <f t="shared" si="3"/>
        <v>July</v>
      </c>
    </row>
    <row r="50" spans="1:32">
      <c r="A50" s="1">
        <v>45481</v>
      </c>
      <c r="B50" t="s">
        <v>33</v>
      </c>
      <c r="C50" t="s">
        <v>115</v>
      </c>
      <c r="D50" t="s">
        <v>73</v>
      </c>
      <c r="E50" t="s">
        <v>74</v>
      </c>
      <c r="F50" t="s">
        <v>75</v>
      </c>
      <c r="G50" t="s">
        <v>76</v>
      </c>
      <c r="H50" t="s">
        <v>77</v>
      </c>
      <c r="I50" t="s">
        <v>78</v>
      </c>
      <c r="J50" t="s">
        <v>79</v>
      </c>
      <c r="K50" t="s">
        <v>73</v>
      </c>
      <c r="L50" t="s">
        <v>38</v>
      </c>
      <c r="M50" t="s">
        <v>21</v>
      </c>
      <c r="N50" t="s">
        <v>21</v>
      </c>
      <c r="O50" t="s">
        <v>80</v>
      </c>
      <c r="P50">
        <v>271214</v>
      </c>
      <c r="Q50" t="s">
        <v>16</v>
      </c>
      <c r="R50" t="s">
        <v>4</v>
      </c>
      <c r="S50" t="s">
        <v>81</v>
      </c>
      <c r="T50">
        <v>90</v>
      </c>
      <c r="U50">
        <v>5</v>
      </c>
      <c r="V50" s="2">
        <v>0.20833333333333334</v>
      </c>
      <c r="W50">
        <v>450</v>
      </c>
      <c r="AA50" t="s">
        <v>83</v>
      </c>
      <c r="AC50" t="s">
        <v>117</v>
      </c>
      <c r="AD50" t="s">
        <v>86</v>
      </c>
      <c r="AE50">
        <f t="shared" si="2"/>
        <v>7</v>
      </c>
      <c r="AF50" t="str">
        <f t="shared" si="3"/>
        <v>July</v>
      </c>
    </row>
    <row r="51" spans="1:32">
      <c r="A51" s="1">
        <v>45482</v>
      </c>
      <c r="B51" t="s">
        <v>33</v>
      </c>
      <c r="C51" t="s">
        <v>115</v>
      </c>
      <c r="D51" t="s">
        <v>73</v>
      </c>
      <c r="E51" t="s">
        <v>74</v>
      </c>
      <c r="F51" t="s">
        <v>75</v>
      </c>
      <c r="G51" t="s">
        <v>76</v>
      </c>
      <c r="H51" t="s">
        <v>77</v>
      </c>
      <c r="I51" t="s">
        <v>78</v>
      </c>
      <c r="J51" t="s">
        <v>79</v>
      </c>
      <c r="K51" t="s">
        <v>73</v>
      </c>
      <c r="L51" t="s">
        <v>38</v>
      </c>
      <c r="M51" t="s">
        <v>21</v>
      </c>
      <c r="N51" t="s">
        <v>21</v>
      </c>
      <c r="O51" t="s">
        <v>80</v>
      </c>
      <c r="P51">
        <v>271215</v>
      </c>
      <c r="Q51" t="s">
        <v>88</v>
      </c>
      <c r="R51" t="s">
        <v>89</v>
      </c>
      <c r="S51" t="s">
        <v>81</v>
      </c>
      <c r="T51">
        <v>0</v>
      </c>
      <c r="U51">
        <v>1</v>
      </c>
      <c r="V51" s="2">
        <v>4.1666666666666664E-2</v>
      </c>
      <c r="W51">
        <v>0</v>
      </c>
      <c r="AA51" t="s">
        <v>83</v>
      </c>
      <c r="AC51" t="s">
        <v>133</v>
      </c>
      <c r="AD51" t="s">
        <v>86</v>
      </c>
      <c r="AE51">
        <f t="shared" ref="AE51:AE73" si="4">MONTH(A51)</f>
        <v>7</v>
      </c>
      <c r="AF51" t="str">
        <f t="shared" ref="AF51:AF73" si="5">IF(AE51=5,"May",IF(AE51=6,"June",IF(AE51=7,"July",IF(AE51=8,"August",IF(AE51=9,"September")))))</f>
        <v>July</v>
      </c>
    </row>
    <row r="52" spans="1:32">
      <c r="A52" s="1">
        <v>45483</v>
      </c>
      <c r="B52" t="s">
        <v>33</v>
      </c>
      <c r="C52" t="s">
        <v>115</v>
      </c>
      <c r="D52" t="s">
        <v>73</v>
      </c>
      <c r="E52" t="s">
        <v>74</v>
      </c>
      <c r="F52" t="s">
        <v>75</v>
      </c>
      <c r="G52" t="s">
        <v>76</v>
      </c>
      <c r="H52" t="s">
        <v>77</v>
      </c>
      <c r="I52" t="s">
        <v>78</v>
      </c>
      <c r="J52" t="s">
        <v>79</v>
      </c>
      <c r="K52" t="s">
        <v>73</v>
      </c>
      <c r="L52" t="s">
        <v>38</v>
      </c>
      <c r="M52" t="s">
        <v>21</v>
      </c>
      <c r="N52" t="s">
        <v>21</v>
      </c>
      <c r="O52" t="s">
        <v>80</v>
      </c>
      <c r="P52">
        <v>271216</v>
      </c>
      <c r="Q52" t="s">
        <v>88</v>
      </c>
      <c r="R52" t="s">
        <v>89</v>
      </c>
      <c r="S52" t="s">
        <v>81</v>
      </c>
      <c r="T52">
        <v>0</v>
      </c>
      <c r="U52">
        <v>4.5</v>
      </c>
      <c r="V52" s="2">
        <v>0.1875</v>
      </c>
      <c r="W52">
        <v>0</v>
      </c>
      <c r="AA52" t="s">
        <v>83</v>
      </c>
      <c r="AC52" t="s">
        <v>117</v>
      </c>
      <c r="AD52" t="s">
        <v>86</v>
      </c>
      <c r="AE52">
        <f t="shared" si="4"/>
        <v>7</v>
      </c>
      <c r="AF52" t="str">
        <f t="shared" si="5"/>
        <v>July</v>
      </c>
    </row>
    <row r="53" spans="1:32">
      <c r="A53" s="1">
        <v>45484</v>
      </c>
      <c r="B53" t="s">
        <v>33</v>
      </c>
      <c r="C53" t="s">
        <v>115</v>
      </c>
      <c r="D53" t="s">
        <v>73</v>
      </c>
      <c r="E53" t="s">
        <v>74</v>
      </c>
      <c r="F53" t="s">
        <v>75</v>
      </c>
      <c r="G53" t="s">
        <v>76</v>
      </c>
      <c r="H53" t="s">
        <v>77</v>
      </c>
      <c r="I53" t="s">
        <v>78</v>
      </c>
      <c r="J53" t="s">
        <v>79</v>
      </c>
      <c r="K53" t="s">
        <v>73</v>
      </c>
      <c r="L53" t="s">
        <v>38</v>
      </c>
      <c r="M53" t="s">
        <v>21</v>
      </c>
      <c r="N53" t="s">
        <v>21</v>
      </c>
      <c r="O53" t="s">
        <v>80</v>
      </c>
      <c r="P53">
        <v>271217</v>
      </c>
      <c r="Q53" t="s">
        <v>88</v>
      </c>
      <c r="R53" t="s">
        <v>89</v>
      </c>
      <c r="S53" t="s">
        <v>81</v>
      </c>
      <c r="T53">
        <v>0</v>
      </c>
      <c r="U53">
        <v>0.5</v>
      </c>
      <c r="V53" s="2">
        <v>2.0833333333333332E-2</v>
      </c>
      <c r="W53">
        <v>0</v>
      </c>
      <c r="AA53" t="s">
        <v>83</v>
      </c>
      <c r="AC53" t="s">
        <v>134</v>
      </c>
      <c r="AD53" t="s">
        <v>86</v>
      </c>
      <c r="AE53">
        <f t="shared" si="4"/>
        <v>7</v>
      </c>
      <c r="AF53" t="str">
        <f t="shared" si="5"/>
        <v>July</v>
      </c>
    </row>
    <row r="54" spans="1:32">
      <c r="A54" s="1">
        <v>45485</v>
      </c>
      <c r="B54" t="s">
        <v>33</v>
      </c>
      <c r="C54" t="s">
        <v>115</v>
      </c>
      <c r="D54" t="s">
        <v>73</v>
      </c>
      <c r="E54" t="s">
        <v>74</v>
      </c>
      <c r="F54" t="s">
        <v>75</v>
      </c>
      <c r="G54" t="s">
        <v>76</v>
      </c>
      <c r="H54" t="s">
        <v>77</v>
      </c>
      <c r="I54" t="s">
        <v>78</v>
      </c>
      <c r="J54" t="s">
        <v>79</v>
      </c>
      <c r="K54" t="s">
        <v>73</v>
      </c>
      <c r="L54" t="s">
        <v>38</v>
      </c>
      <c r="M54" t="s">
        <v>21</v>
      </c>
      <c r="N54" t="s">
        <v>21</v>
      </c>
      <c r="O54" t="s">
        <v>80</v>
      </c>
      <c r="P54">
        <v>271218</v>
      </c>
      <c r="Q54" t="s">
        <v>88</v>
      </c>
      <c r="R54" t="s">
        <v>89</v>
      </c>
      <c r="S54" t="s">
        <v>81</v>
      </c>
      <c r="T54">
        <v>0</v>
      </c>
      <c r="U54">
        <v>2</v>
      </c>
      <c r="V54" s="2">
        <v>8.3333333333333329E-2</v>
      </c>
      <c r="W54">
        <v>0</v>
      </c>
      <c r="AA54" t="s">
        <v>83</v>
      </c>
      <c r="AC54" t="s">
        <v>117</v>
      </c>
      <c r="AD54" t="s">
        <v>86</v>
      </c>
      <c r="AE54">
        <f t="shared" si="4"/>
        <v>7</v>
      </c>
      <c r="AF54" t="str">
        <f t="shared" si="5"/>
        <v>July</v>
      </c>
    </row>
    <row r="55" spans="1:32">
      <c r="A55" s="1">
        <v>45432</v>
      </c>
      <c r="B55" t="s">
        <v>28</v>
      </c>
      <c r="C55" t="s">
        <v>115</v>
      </c>
      <c r="D55" t="s">
        <v>73</v>
      </c>
      <c r="E55" t="s">
        <v>74</v>
      </c>
      <c r="F55" t="s">
        <v>75</v>
      </c>
      <c r="G55" t="s">
        <v>76</v>
      </c>
      <c r="H55" t="s">
        <v>77</v>
      </c>
      <c r="I55" t="s">
        <v>78</v>
      </c>
      <c r="J55" t="s">
        <v>79</v>
      </c>
      <c r="K55" t="s">
        <v>73</v>
      </c>
      <c r="L55" t="s">
        <v>38</v>
      </c>
      <c r="M55" t="s">
        <v>21</v>
      </c>
      <c r="N55" t="s">
        <v>117</v>
      </c>
      <c r="O55" t="s">
        <v>80</v>
      </c>
      <c r="P55">
        <v>249510</v>
      </c>
      <c r="Q55" t="s">
        <v>88</v>
      </c>
      <c r="R55" t="s">
        <v>89</v>
      </c>
      <c r="S55" t="s">
        <v>81</v>
      </c>
      <c r="T55">
        <v>0</v>
      </c>
      <c r="U55">
        <v>0.5</v>
      </c>
      <c r="V55" s="2">
        <v>2.0833333333333332E-2</v>
      </c>
      <c r="W55">
        <v>0</v>
      </c>
      <c r="AA55" t="s">
        <v>83</v>
      </c>
      <c r="AB55" t="s">
        <v>84</v>
      </c>
      <c r="AC55" t="s">
        <v>117</v>
      </c>
      <c r="AD55" t="s">
        <v>86</v>
      </c>
      <c r="AE55">
        <f t="shared" si="4"/>
        <v>5</v>
      </c>
      <c r="AF55" t="str">
        <f t="shared" si="5"/>
        <v>May</v>
      </c>
    </row>
    <row r="56" spans="1:32">
      <c r="A56" s="1">
        <v>45433</v>
      </c>
      <c r="B56" t="s">
        <v>28</v>
      </c>
      <c r="C56" t="s">
        <v>115</v>
      </c>
      <c r="D56" t="s">
        <v>73</v>
      </c>
      <c r="E56" t="s">
        <v>74</v>
      </c>
      <c r="F56" t="s">
        <v>75</v>
      </c>
      <c r="G56" t="s">
        <v>76</v>
      </c>
      <c r="H56" t="s">
        <v>77</v>
      </c>
      <c r="I56" t="s">
        <v>78</v>
      </c>
      <c r="J56" t="s">
        <v>79</v>
      </c>
      <c r="K56" t="s">
        <v>73</v>
      </c>
      <c r="L56" t="s">
        <v>38</v>
      </c>
      <c r="M56" t="s">
        <v>21</v>
      </c>
      <c r="N56" t="s">
        <v>117</v>
      </c>
      <c r="O56" t="s">
        <v>80</v>
      </c>
      <c r="P56">
        <v>249509</v>
      </c>
      <c r="Q56" t="s">
        <v>88</v>
      </c>
      <c r="R56" t="s">
        <v>89</v>
      </c>
      <c r="S56" t="s">
        <v>81</v>
      </c>
      <c r="T56">
        <v>0</v>
      </c>
      <c r="U56">
        <v>0.25</v>
      </c>
      <c r="V56" s="2">
        <v>1.0416666666666666E-2</v>
      </c>
      <c r="W56">
        <v>0</v>
      </c>
      <c r="AA56" t="s">
        <v>83</v>
      </c>
      <c r="AB56" t="s">
        <v>84</v>
      </c>
      <c r="AC56" t="s">
        <v>117</v>
      </c>
      <c r="AD56" t="s">
        <v>86</v>
      </c>
      <c r="AE56">
        <f t="shared" si="4"/>
        <v>5</v>
      </c>
      <c r="AF56" t="str">
        <f t="shared" si="5"/>
        <v>May</v>
      </c>
    </row>
    <row r="57" spans="1:32">
      <c r="A57" s="1">
        <v>45434</v>
      </c>
      <c r="B57" t="s">
        <v>28</v>
      </c>
      <c r="C57" t="s">
        <v>115</v>
      </c>
      <c r="D57" t="s">
        <v>73</v>
      </c>
      <c r="E57" t="s">
        <v>74</v>
      </c>
      <c r="F57" t="s">
        <v>75</v>
      </c>
      <c r="G57" t="s">
        <v>76</v>
      </c>
      <c r="H57" t="s">
        <v>77</v>
      </c>
      <c r="I57" t="s">
        <v>78</v>
      </c>
      <c r="J57" t="s">
        <v>79</v>
      </c>
      <c r="K57" t="s">
        <v>73</v>
      </c>
      <c r="L57" t="s">
        <v>38</v>
      </c>
      <c r="M57" t="s">
        <v>21</v>
      </c>
      <c r="N57" t="s">
        <v>117</v>
      </c>
      <c r="O57" t="s">
        <v>80</v>
      </c>
      <c r="P57">
        <v>250689</v>
      </c>
      <c r="Q57" t="s">
        <v>88</v>
      </c>
      <c r="R57" t="s">
        <v>89</v>
      </c>
      <c r="S57" t="s">
        <v>81</v>
      </c>
      <c r="T57">
        <v>0</v>
      </c>
      <c r="U57">
        <v>0.25</v>
      </c>
      <c r="V57" s="2">
        <v>1.0416666666666666E-2</v>
      </c>
      <c r="W57">
        <v>0</v>
      </c>
      <c r="AA57" t="s">
        <v>83</v>
      </c>
      <c r="AB57" t="s">
        <v>84</v>
      </c>
      <c r="AC57" t="s">
        <v>117</v>
      </c>
      <c r="AD57" t="s">
        <v>86</v>
      </c>
      <c r="AE57">
        <f t="shared" si="4"/>
        <v>5</v>
      </c>
      <c r="AF57" t="str">
        <f t="shared" si="5"/>
        <v>May</v>
      </c>
    </row>
    <row r="58" spans="1:32">
      <c r="A58" s="1">
        <v>45435</v>
      </c>
      <c r="B58" t="s">
        <v>28</v>
      </c>
      <c r="C58" t="s">
        <v>115</v>
      </c>
      <c r="D58" t="s">
        <v>73</v>
      </c>
      <c r="E58" t="s">
        <v>74</v>
      </c>
      <c r="F58" t="s">
        <v>75</v>
      </c>
      <c r="G58" t="s">
        <v>76</v>
      </c>
      <c r="H58" t="s">
        <v>77</v>
      </c>
      <c r="I58" t="s">
        <v>78</v>
      </c>
      <c r="J58" t="s">
        <v>79</v>
      </c>
      <c r="K58" t="s">
        <v>73</v>
      </c>
      <c r="L58" t="s">
        <v>38</v>
      </c>
      <c r="M58" t="s">
        <v>21</v>
      </c>
      <c r="N58" t="s">
        <v>117</v>
      </c>
      <c r="O58" t="s">
        <v>80</v>
      </c>
      <c r="P58">
        <v>250690</v>
      </c>
      <c r="Q58" t="s">
        <v>88</v>
      </c>
      <c r="R58" t="s">
        <v>89</v>
      </c>
      <c r="S58" t="s">
        <v>81</v>
      </c>
      <c r="T58">
        <v>0</v>
      </c>
      <c r="U58">
        <v>0.25</v>
      </c>
      <c r="V58" s="2">
        <v>1.0416666666666666E-2</v>
      </c>
      <c r="W58">
        <v>0</v>
      </c>
      <c r="AA58" t="s">
        <v>83</v>
      </c>
      <c r="AB58" t="s">
        <v>84</v>
      </c>
      <c r="AC58" t="s">
        <v>117</v>
      </c>
      <c r="AD58" t="s">
        <v>86</v>
      </c>
      <c r="AE58">
        <f t="shared" si="4"/>
        <v>5</v>
      </c>
      <c r="AF58" t="str">
        <f t="shared" si="5"/>
        <v>May</v>
      </c>
    </row>
    <row r="59" spans="1:32">
      <c r="A59" s="1">
        <v>45436</v>
      </c>
      <c r="B59" t="s">
        <v>28</v>
      </c>
      <c r="C59" t="s">
        <v>115</v>
      </c>
      <c r="D59" t="s">
        <v>73</v>
      </c>
      <c r="E59" t="s">
        <v>74</v>
      </c>
      <c r="F59" t="s">
        <v>75</v>
      </c>
      <c r="G59" t="s">
        <v>76</v>
      </c>
      <c r="H59" t="s">
        <v>77</v>
      </c>
      <c r="I59" t="s">
        <v>78</v>
      </c>
      <c r="J59" t="s">
        <v>79</v>
      </c>
      <c r="K59" t="s">
        <v>73</v>
      </c>
      <c r="L59" t="s">
        <v>38</v>
      </c>
      <c r="M59" t="s">
        <v>21</v>
      </c>
      <c r="N59" t="s">
        <v>117</v>
      </c>
      <c r="O59" t="s">
        <v>80</v>
      </c>
      <c r="P59">
        <v>251355</v>
      </c>
      <c r="Q59" t="s">
        <v>88</v>
      </c>
      <c r="R59" t="s">
        <v>89</v>
      </c>
      <c r="S59" t="s">
        <v>81</v>
      </c>
      <c r="T59">
        <v>0</v>
      </c>
      <c r="U59">
        <v>1</v>
      </c>
      <c r="V59" s="2">
        <v>4.1666666666666664E-2</v>
      </c>
      <c r="W59">
        <v>0</v>
      </c>
      <c r="AA59" t="s">
        <v>83</v>
      </c>
      <c r="AB59" t="s">
        <v>84</v>
      </c>
      <c r="AC59" t="s">
        <v>117</v>
      </c>
      <c r="AD59" t="s">
        <v>86</v>
      </c>
      <c r="AE59">
        <f t="shared" si="4"/>
        <v>5</v>
      </c>
      <c r="AF59" t="str">
        <f t="shared" si="5"/>
        <v>May</v>
      </c>
    </row>
    <row r="60" spans="1:32">
      <c r="A60" s="1">
        <v>45443</v>
      </c>
      <c r="B60" t="s">
        <v>28</v>
      </c>
      <c r="C60" t="s">
        <v>115</v>
      </c>
      <c r="D60" t="s">
        <v>73</v>
      </c>
      <c r="E60" t="s">
        <v>74</v>
      </c>
      <c r="F60" t="s">
        <v>75</v>
      </c>
      <c r="G60" t="s">
        <v>76</v>
      </c>
      <c r="H60" t="s">
        <v>77</v>
      </c>
      <c r="I60" t="s">
        <v>78</v>
      </c>
      <c r="J60" t="s">
        <v>79</v>
      </c>
      <c r="K60" t="s">
        <v>73</v>
      </c>
      <c r="L60" t="s">
        <v>38</v>
      </c>
      <c r="M60" t="s">
        <v>21</v>
      </c>
      <c r="N60" t="s">
        <v>117</v>
      </c>
      <c r="O60" t="s">
        <v>80</v>
      </c>
      <c r="P60">
        <v>254226</v>
      </c>
      <c r="Q60" t="s">
        <v>88</v>
      </c>
      <c r="R60" t="s">
        <v>89</v>
      </c>
      <c r="S60" t="s">
        <v>81</v>
      </c>
      <c r="T60">
        <v>0</v>
      </c>
      <c r="U60">
        <v>1</v>
      </c>
      <c r="V60" s="2">
        <v>4.1666666666666664E-2</v>
      </c>
      <c r="W60">
        <v>0</v>
      </c>
      <c r="AA60" t="s">
        <v>83</v>
      </c>
      <c r="AB60" t="s">
        <v>84</v>
      </c>
      <c r="AC60" t="s">
        <v>117</v>
      </c>
      <c r="AD60" t="s">
        <v>86</v>
      </c>
      <c r="AE60">
        <f t="shared" si="4"/>
        <v>5</v>
      </c>
      <c r="AF60" t="str">
        <f t="shared" si="5"/>
        <v>May</v>
      </c>
    </row>
    <row r="61" spans="1:32">
      <c r="A61" s="1">
        <v>45446</v>
      </c>
      <c r="B61" t="s">
        <v>28</v>
      </c>
      <c r="C61" t="s">
        <v>115</v>
      </c>
      <c r="D61" t="s">
        <v>73</v>
      </c>
      <c r="E61" t="s">
        <v>74</v>
      </c>
      <c r="F61" t="s">
        <v>75</v>
      </c>
      <c r="G61" t="s">
        <v>76</v>
      </c>
      <c r="H61" t="s">
        <v>77</v>
      </c>
      <c r="I61" t="s">
        <v>78</v>
      </c>
      <c r="J61" t="s">
        <v>79</v>
      </c>
      <c r="K61" t="s">
        <v>73</v>
      </c>
      <c r="L61" t="s">
        <v>38</v>
      </c>
      <c r="M61" t="s">
        <v>21</v>
      </c>
      <c r="N61" t="s">
        <v>117</v>
      </c>
      <c r="O61" t="s">
        <v>80</v>
      </c>
      <c r="P61">
        <v>255337</v>
      </c>
      <c r="Q61" t="s">
        <v>88</v>
      </c>
      <c r="R61" t="s">
        <v>89</v>
      </c>
      <c r="S61" t="s">
        <v>81</v>
      </c>
      <c r="T61">
        <v>0</v>
      </c>
      <c r="U61">
        <v>0.25</v>
      </c>
      <c r="V61" s="2">
        <v>1.0416666666666666E-2</v>
      </c>
      <c r="W61">
        <v>0</v>
      </c>
      <c r="AA61" t="s">
        <v>83</v>
      </c>
      <c r="AB61" t="s">
        <v>84</v>
      </c>
      <c r="AC61" t="s">
        <v>117</v>
      </c>
      <c r="AD61" t="s">
        <v>86</v>
      </c>
      <c r="AE61">
        <f t="shared" si="4"/>
        <v>6</v>
      </c>
      <c r="AF61" t="str">
        <f t="shared" si="5"/>
        <v>June</v>
      </c>
    </row>
    <row r="62" spans="1:32">
      <c r="A62" s="1">
        <v>45447</v>
      </c>
      <c r="B62" t="s">
        <v>28</v>
      </c>
      <c r="C62" t="s">
        <v>115</v>
      </c>
      <c r="D62" t="s">
        <v>73</v>
      </c>
      <c r="E62" t="s">
        <v>74</v>
      </c>
      <c r="F62" t="s">
        <v>75</v>
      </c>
      <c r="G62" t="s">
        <v>76</v>
      </c>
      <c r="H62" t="s">
        <v>77</v>
      </c>
      <c r="I62" t="s">
        <v>78</v>
      </c>
      <c r="J62" t="s">
        <v>79</v>
      </c>
      <c r="K62" t="s">
        <v>73</v>
      </c>
      <c r="L62" t="s">
        <v>38</v>
      </c>
      <c r="M62" t="s">
        <v>21</v>
      </c>
      <c r="N62" t="s">
        <v>117</v>
      </c>
      <c r="O62" t="s">
        <v>80</v>
      </c>
      <c r="P62">
        <v>255338</v>
      </c>
      <c r="Q62" t="s">
        <v>88</v>
      </c>
      <c r="R62" t="s">
        <v>89</v>
      </c>
      <c r="S62" t="s">
        <v>81</v>
      </c>
      <c r="T62">
        <v>0</v>
      </c>
      <c r="U62">
        <v>0.25</v>
      </c>
      <c r="V62" s="2">
        <v>1.0416666666666666E-2</v>
      </c>
      <c r="W62">
        <v>0</v>
      </c>
      <c r="AA62" t="s">
        <v>83</v>
      </c>
      <c r="AB62" t="s">
        <v>84</v>
      </c>
      <c r="AC62" t="s">
        <v>117</v>
      </c>
      <c r="AD62" t="s">
        <v>86</v>
      </c>
      <c r="AE62">
        <f t="shared" si="4"/>
        <v>6</v>
      </c>
      <c r="AF62" t="str">
        <f t="shared" si="5"/>
        <v>June</v>
      </c>
    </row>
    <row r="63" spans="1:32">
      <c r="A63" s="1">
        <v>45448</v>
      </c>
      <c r="B63" t="s">
        <v>28</v>
      </c>
      <c r="C63" t="s">
        <v>115</v>
      </c>
      <c r="D63" t="s">
        <v>73</v>
      </c>
      <c r="E63" t="s">
        <v>74</v>
      </c>
      <c r="F63" t="s">
        <v>75</v>
      </c>
      <c r="G63" t="s">
        <v>76</v>
      </c>
      <c r="H63" t="s">
        <v>77</v>
      </c>
      <c r="I63" t="s">
        <v>78</v>
      </c>
      <c r="J63" t="s">
        <v>79</v>
      </c>
      <c r="K63" t="s">
        <v>73</v>
      </c>
      <c r="L63" t="s">
        <v>38</v>
      </c>
      <c r="M63" t="s">
        <v>21</v>
      </c>
      <c r="N63" t="s">
        <v>117</v>
      </c>
      <c r="O63" t="s">
        <v>80</v>
      </c>
      <c r="P63">
        <v>255719</v>
      </c>
      <c r="Q63" t="s">
        <v>88</v>
      </c>
      <c r="R63" t="s">
        <v>89</v>
      </c>
      <c r="S63" t="s">
        <v>81</v>
      </c>
      <c r="T63">
        <v>0</v>
      </c>
      <c r="U63">
        <v>0.75</v>
      </c>
      <c r="V63" s="2">
        <v>3.125E-2</v>
      </c>
      <c r="W63">
        <v>0</v>
      </c>
      <c r="AA63" t="s">
        <v>83</v>
      </c>
      <c r="AB63" t="s">
        <v>84</v>
      </c>
      <c r="AC63" t="s">
        <v>117</v>
      </c>
      <c r="AD63" t="s">
        <v>86</v>
      </c>
      <c r="AE63">
        <f t="shared" si="4"/>
        <v>6</v>
      </c>
      <c r="AF63" t="str">
        <f t="shared" si="5"/>
        <v>June</v>
      </c>
    </row>
    <row r="64" spans="1:32">
      <c r="A64" s="1">
        <v>45453</v>
      </c>
      <c r="B64" t="s">
        <v>28</v>
      </c>
      <c r="C64" t="s">
        <v>115</v>
      </c>
      <c r="D64" t="s">
        <v>73</v>
      </c>
      <c r="E64" t="s">
        <v>74</v>
      </c>
      <c r="F64" t="s">
        <v>75</v>
      </c>
      <c r="G64" t="s">
        <v>76</v>
      </c>
      <c r="H64" t="s">
        <v>77</v>
      </c>
      <c r="I64" t="s">
        <v>78</v>
      </c>
      <c r="J64" t="s">
        <v>79</v>
      </c>
      <c r="K64" t="s">
        <v>73</v>
      </c>
      <c r="L64" t="s">
        <v>38</v>
      </c>
      <c r="M64" t="s">
        <v>21</v>
      </c>
      <c r="N64" t="s">
        <v>117</v>
      </c>
      <c r="O64" t="s">
        <v>80</v>
      </c>
      <c r="P64">
        <v>257502</v>
      </c>
      <c r="Q64" t="s">
        <v>88</v>
      </c>
      <c r="R64" t="s">
        <v>89</v>
      </c>
      <c r="S64" t="s">
        <v>81</v>
      </c>
      <c r="T64">
        <v>0</v>
      </c>
      <c r="U64">
        <v>0.25</v>
      </c>
      <c r="V64" s="2">
        <v>1.0416666666666666E-2</v>
      </c>
      <c r="W64">
        <v>0</v>
      </c>
      <c r="AA64" t="s">
        <v>83</v>
      </c>
      <c r="AB64" t="s">
        <v>84</v>
      </c>
      <c r="AC64" t="s">
        <v>117</v>
      </c>
      <c r="AD64" t="s">
        <v>86</v>
      </c>
      <c r="AE64">
        <f t="shared" si="4"/>
        <v>6</v>
      </c>
      <c r="AF64" t="str">
        <f t="shared" si="5"/>
        <v>June</v>
      </c>
    </row>
    <row r="65" spans="1:32">
      <c r="A65" s="1">
        <v>45454</v>
      </c>
      <c r="B65" t="s">
        <v>28</v>
      </c>
      <c r="C65" t="s">
        <v>115</v>
      </c>
      <c r="D65" t="s">
        <v>73</v>
      </c>
      <c r="E65" t="s">
        <v>74</v>
      </c>
      <c r="F65" t="s">
        <v>75</v>
      </c>
      <c r="G65" t="s">
        <v>76</v>
      </c>
      <c r="H65" t="s">
        <v>77</v>
      </c>
      <c r="I65" t="s">
        <v>78</v>
      </c>
      <c r="J65" t="s">
        <v>79</v>
      </c>
      <c r="K65" t="s">
        <v>73</v>
      </c>
      <c r="L65" t="s">
        <v>38</v>
      </c>
      <c r="M65" t="s">
        <v>21</v>
      </c>
      <c r="N65" t="s">
        <v>117</v>
      </c>
      <c r="O65" t="s">
        <v>80</v>
      </c>
      <c r="P65">
        <v>257773</v>
      </c>
      <c r="Q65" t="s">
        <v>88</v>
      </c>
      <c r="R65" t="s">
        <v>89</v>
      </c>
      <c r="S65" t="s">
        <v>81</v>
      </c>
      <c r="T65">
        <v>0</v>
      </c>
      <c r="U65">
        <v>0.25</v>
      </c>
      <c r="V65" s="2">
        <v>1.0416666666666666E-2</v>
      </c>
      <c r="W65">
        <v>0</v>
      </c>
      <c r="AA65" t="s">
        <v>83</v>
      </c>
      <c r="AB65" t="s">
        <v>84</v>
      </c>
      <c r="AC65" t="s">
        <v>117</v>
      </c>
      <c r="AD65" t="s">
        <v>86</v>
      </c>
      <c r="AE65">
        <f t="shared" si="4"/>
        <v>6</v>
      </c>
      <c r="AF65" t="str">
        <f t="shared" si="5"/>
        <v>June</v>
      </c>
    </row>
    <row r="66" spans="1:32">
      <c r="A66" s="1">
        <v>45455</v>
      </c>
      <c r="B66" t="s">
        <v>28</v>
      </c>
      <c r="C66" t="s">
        <v>115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73</v>
      </c>
      <c r="L66" t="s">
        <v>38</v>
      </c>
      <c r="M66" t="s">
        <v>21</v>
      </c>
      <c r="N66" t="s">
        <v>117</v>
      </c>
      <c r="O66" t="s">
        <v>80</v>
      </c>
      <c r="P66">
        <v>258866</v>
      </c>
      <c r="Q66" t="s">
        <v>88</v>
      </c>
      <c r="R66" t="s">
        <v>89</v>
      </c>
      <c r="S66" t="s">
        <v>81</v>
      </c>
      <c r="T66">
        <v>0</v>
      </c>
      <c r="U66">
        <v>0.25</v>
      </c>
      <c r="V66" s="2">
        <v>1.0416666666666666E-2</v>
      </c>
      <c r="W66">
        <v>0</v>
      </c>
      <c r="AA66" t="s">
        <v>83</v>
      </c>
      <c r="AB66" t="s">
        <v>84</v>
      </c>
      <c r="AC66" t="s">
        <v>117</v>
      </c>
      <c r="AD66" t="s">
        <v>86</v>
      </c>
      <c r="AE66">
        <f t="shared" si="4"/>
        <v>6</v>
      </c>
      <c r="AF66" t="str">
        <f t="shared" si="5"/>
        <v>June</v>
      </c>
    </row>
    <row r="67" spans="1:32">
      <c r="A67" s="1">
        <v>45456</v>
      </c>
      <c r="B67" t="s">
        <v>28</v>
      </c>
      <c r="C67" t="s">
        <v>115</v>
      </c>
      <c r="D67" t="s">
        <v>73</v>
      </c>
      <c r="E67" t="s">
        <v>74</v>
      </c>
      <c r="F67" t="s">
        <v>75</v>
      </c>
      <c r="G67" t="s">
        <v>76</v>
      </c>
      <c r="H67" t="s">
        <v>77</v>
      </c>
      <c r="I67" t="s">
        <v>78</v>
      </c>
      <c r="J67" t="s">
        <v>79</v>
      </c>
      <c r="K67" t="s">
        <v>73</v>
      </c>
      <c r="L67" t="s">
        <v>38</v>
      </c>
      <c r="M67" t="s">
        <v>21</v>
      </c>
      <c r="N67" t="s">
        <v>117</v>
      </c>
      <c r="O67" t="s">
        <v>80</v>
      </c>
      <c r="P67">
        <v>258876</v>
      </c>
      <c r="Q67" t="s">
        <v>88</v>
      </c>
      <c r="R67" t="s">
        <v>89</v>
      </c>
      <c r="S67" t="s">
        <v>81</v>
      </c>
      <c r="T67">
        <v>0</v>
      </c>
      <c r="U67">
        <v>0.25</v>
      </c>
      <c r="V67" s="2">
        <v>1.0416666666666666E-2</v>
      </c>
      <c r="W67">
        <v>0</v>
      </c>
      <c r="AA67" t="s">
        <v>83</v>
      </c>
      <c r="AB67" t="s">
        <v>84</v>
      </c>
      <c r="AC67" t="s">
        <v>117</v>
      </c>
      <c r="AD67" t="s">
        <v>86</v>
      </c>
      <c r="AE67">
        <f t="shared" si="4"/>
        <v>6</v>
      </c>
      <c r="AF67" t="str">
        <f t="shared" si="5"/>
        <v>June</v>
      </c>
    </row>
    <row r="68" spans="1:32">
      <c r="A68" s="1">
        <v>45483</v>
      </c>
      <c r="B68" t="s">
        <v>28</v>
      </c>
      <c r="C68" t="s">
        <v>115</v>
      </c>
      <c r="D68" t="s">
        <v>73</v>
      </c>
      <c r="E68" t="s">
        <v>74</v>
      </c>
      <c r="F68" t="s">
        <v>75</v>
      </c>
      <c r="G68" t="s">
        <v>76</v>
      </c>
      <c r="H68" t="s">
        <v>77</v>
      </c>
      <c r="I68" t="s">
        <v>78</v>
      </c>
      <c r="J68" t="s">
        <v>79</v>
      </c>
      <c r="K68" t="s">
        <v>73</v>
      </c>
      <c r="L68" t="s">
        <v>38</v>
      </c>
      <c r="M68" t="s">
        <v>21</v>
      </c>
      <c r="N68" t="s">
        <v>117</v>
      </c>
      <c r="O68" t="s">
        <v>80</v>
      </c>
      <c r="P68">
        <v>269386</v>
      </c>
      <c r="Q68" t="s">
        <v>16</v>
      </c>
      <c r="R68" t="s">
        <v>4</v>
      </c>
      <c r="S68" t="s">
        <v>81</v>
      </c>
      <c r="T68">
        <v>90</v>
      </c>
      <c r="U68">
        <v>0.5</v>
      </c>
      <c r="V68" s="2">
        <v>2.0833333333333332E-2</v>
      </c>
      <c r="W68">
        <v>45</v>
      </c>
      <c r="AA68" t="s">
        <v>83</v>
      </c>
      <c r="AC68" t="s">
        <v>117</v>
      </c>
      <c r="AD68" t="s">
        <v>86</v>
      </c>
      <c r="AE68">
        <f t="shared" si="4"/>
        <v>7</v>
      </c>
      <c r="AF68" t="str">
        <f t="shared" si="5"/>
        <v>July</v>
      </c>
    </row>
    <row r="69" spans="1:32">
      <c r="A69" s="1">
        <v>45432</v>
      </c>
      <c r="B69" t="s">
        <v>21</v>
      </c>
      <c r="C69" t="s">
        <v>115</v>
      </c>
      <c r="D69" t="s">
        <v>73</v>
      </c>
      <c r="E69" t="s">
        <v>74</v>
      </c>
      <c r="F69" t="s">
        <v>75</v>
      </c>
      <c r="G69" t="s">
        <v>76</v>
      </c>
      <c r="H69" t="s">
        <v>77</v>
      </c>
      <c r="I69" t="s">
        <v>78</v>
      </c>
      <c r="J69" t="s">
        <v>79</v>
      </c>
      <c r="K69" t="s">
        <v>73</v>
      </c>
      <c r="L69" t="s">
        <v>38</v>
      </c>
      <c r="M69" t="s">
        <v>21</v>
      </c>
      <c r="N69" t="s">
        <v>117</v>
      </c>
      <c r="O69" t="s">
        <v>80</v>
      </c>
      <c r="P69">
        <v>251755</v>
      </c>
      <c r="Q69" t="s">
        <v>16</v>
      </c>
      <c r="R69" t="s">
        <v>4</v>
      </c>
      <c r="S69" t="s">
        <v>81</v>
      </c>
      <c r="T69">
        <v>90</v>
      </c>
      <c r="U69">
        <v>2</v>
      </c>
      <c r="V69" s="2">
        <v>8.3333333333333329E-2</v>
      </c>
      <c r="W69">
        <v>180</v>
      </c>
      <c r="X69">
        <v>240</v>
      </c>
      <c r="Y69">
        <v>60</v>
      </c>
      <c r="Z69" t="s">
        <v>82</v>
      </c>
      <c r="AA69" t="s">
        <v>83</v>
      </c>
      <c r="AB69" t="s">
        <v>84</v>
      </c>
      <c r="AC69" t="s">
        <v>135</v>
      </c>
      <c r="AD69" t="s">
        <v>86</v>
      </c>
      <c r="AE69">
        <f t="shared" si="4"/>
        <v>5</v>
      </c>
      <c r="AF69" t="str">
        <f t="shared" si="5"/>
        <v>May</v>
      </c>
    </row>
    <row r="70" spans="1:32">
      <c r="A70" s="1">
        <v>45436</v>
      </c>
      <c r="B70" t="s">
        <v>21</v>
      </c>
      <c r="C70" t="s">
        <v>115</v>
      </c>
      <c r="D70" t="s">
        <v>73</v>
      </c>
      <c r="E70" t="s">
        <v>74</v>
      </c>
      <c r="F70" t="s">
        <v>75</v>
      </c>
      <c r="G70" t="s">
        <v>76</v>
      </c>
      <c r="H70" t="s">
        <v>77</v>
      </c>
      <c r="I70" t="s">
        <v>78</v>
      </c>
      <c r="J70" t="s">
        <v>79</v>
      </c>
      <c r="K70" t="s">
        <v>73</v>
      </c>
      <c r="L70" t="s">
        <v>38</v>
      </c>
      <c r="M70" t="s">
        <v>21</v>
      </c>
      <c r="N70" t="s">
        <v>117</v>
      </c>
      <c r="O70" t="s">
        <v>80</v>
      </c>
      <c r="P70">
        <v>251770</v>
      </c>
      <c r="Q70" t="s">
        <v>16</v>
      </c>
      <c r="R70" t="s">
        <v>4</v>
      </c>
      <c r="S70" t="s">
        <v>81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82</v>
      </c>
      <c r="AA70" t="s">
        <v>83</v>
      </c>
      <c r="AB70" t="s">
        <v>84</v>
      </c>
      <c r="AC70" t="s">
        <v>136</v>
      </c>
      <c r="AD70" t="s">
        <v>86</v>
      </c>
      <c r="AE70">
        <f t="shared" si="4"/>
        <v>5</v>
      </c>
      <c r="AF70" t="str">
        <f t="shared" si="5"/>
        <v>May</v>
      </c>
    </row>
    <row r="71" spans="1:32">
      <c r="A71" s="1">
        <v>45448</v>
      </c>
      <c r="B71" t="s">
        <v>21</v>
      </c>
      <c r="C71" t="s">
        <v>115</v>
      </c>
      <c r="D71" t="s">
        <v>73</v>
      </c>
      <c r="E71" t="s">
        <v>74</v>
      </c>
      <c r="F71" t="s">
        <v>75</v>
      </c>
      <c r="G71" t="s">
        <v>76</v>
      </c>
      <c r="H71" t="s">
        <v>77</v>
      </c>
      <c r="I71" t="s">
        <v>78</v>
      </c>
      <c r="J71" t="s">
        <v>79</v>
      </c>
      <c r="K71" t="s">
        <v>73</v>
      </c>
      <c r="L71" t="s">
        <v>38</v>
      </c>
      <c r="M71" t="s">
        <v>21</v>
      </c>
      <c r="N71" t="s">
        <v>117</v>
      </c>
      <c r="O71" t="s">
        <v>80</v>
      </c>
      <c r="P71">
        <v>257260</v>
      </c>
      <c r="Q71" t="s">
        <v>88</v>
      </c>
      <c r="R71" t="s">
        <v>89</v>
      </c>
      <c r="S71" t="s">
        <v>81</v>
      </c>
      <c r="T71">
        <v>0</v>
      </c>
      <c r="U71">
        <v>0.5</v>
      </c>
      <c r="V71" s="2">
        <v>2.0833333333333332E-2</v>
      </c>
      <c r="W71">
        <v>0</v>
      </c>
      <c r="AA71" t="s">
        <v>83</v>
      </c>
      <c r="AB71" t="s">
        <v>84</v>
      </c>
      <c r="AC71" t="s">
        <v>137</v>
      </c>
      <c r="AD71" t="s">
        <v>86</v>
      </c>
      <c r="AE71">
        <f t="shared" si="4"/>
        <v>6</v>
      </c>
      <c r="AF71" t="str">
        <f t="shared" si="5"/>
        <v>June</v>
      </c>
    </row>
    <row r="72" spans="1:32">
      <c r="A72" s="1">
        <v>45460</v>
      </c>
      <c r="B72" t="s">
        <v>21</v>
      </c>
      <c r="C72" t="s">
        <v>115</v>
      </c>
      <c r="D72" t="s">
        <v>73</v>
      </c>
      <c r="E72" t="s">
        <v>74</v>
      </c>
      <c r="F72" t="s">
        <v>75</v>
      </c>
      <c r="G72" t="s">
        <v>76</v>
      </c>
      <c r="H72" t="s">
        <v>77</v>
      </c>
      <c r="I72" t="s">
        <v>78</v>
      </c>
      <c r="J72" t="s">
        <v>79</v>
      </c>
      <c r="K72" t="s">
        <v>73</v>
      </c>
      <c r="L72" t="s">
        <v>38</v>
      </c>
      <c r="M72" t="s">
        <v>21</v>
      </c>
      <c r="N72" t="s">
        <v>117</v>
      </c>
      <c r="O72" t="s">
        <v>80</v>
      </c>
      <c r="P72">
        <v>260171</v>
      </c>
      <c r="Q72" t="s">
        <v>16</v>
      </c>
      <c r="R72" t="s">
        <v>4</v>
      </c>
      <c r="S72" t="s">
        <v>81</v>
      </c>
      <c r="T72">
        <v>90</v>
      </c>
      <c r="U72">
        <v>0.5</v>
      </c>
      <c r="V72" s="2">
        <v>2.0833333333333332E-2</v>
      </c>
      <c r="W72">
        <v>45</v>
      </c>
      <c r="X72">
        <v>60</v>
      </c>
      <c r="Y72">
        <v>15</v>
      </c>
      <c r="Z72" t="s">
        <v>97</v>
      </c>
      <c r="AA72" t="s">
        <v>83</v>
      </c>
      <c r="AB72" t="s">
        <v>84</v>
      </c>
      <c r="AC72" t="s">
        <v>138</v>
      </c>
      <c r="AD72" t="s">
        <v>86</v>
      </c>
      <c r="AE72">
        <f t="shared" si="4"/>
        <v>6</v>
      </c>
      <c r="AF72" t="str">
        <f t="shared" si="5"/>
        <v>June</v>
      </c>
    </row>
    <row r="73" spans="1:32">
      <c r="A73" s="1">
        <v>45483</v>
      </c>
      <c r="B73" t="s">
        <v>21</v>
      </c>
      <c r="C73" t="s">
        <v>115</v>
      </c>
      <c r="D73" t="s">
        <v>73</v>
      </c>
      <c r="E73" t="s">
        <v>74</v>
      </c>
      <c r="F73" t="s">
        <v>75</v>
      </c>
      <c r="G73" t="s">
        <v>76</v>
      </c>
      <c r="H73" t="s">
        <v>77</v>
      </c>
      <c r="I73" t="s">
        <v>78</v>
      </c>
      <c r="J73" t="s">
        <v>79</v>
      </c>
      <c r="K73" t="s">
        <v>73</v>
      </c>
      <c r="L73" t="s">
        <v>38</v>
      </c>
      <c r="M73" t="s">
        <v>21</v>
      </c>
      <c r="N73" t="s">
        <v>117</v>
      </c>
      <c r="O73" t="s">
        <v>80</v>
      </c>
      <c r="P73">
        <v>270730</v>
      </c>
      <c r="Q73" t="s">
        <v>16</v>
      </c>
      <c r="R73" t="s">
        <v>4</v>
      </c>
      <c r="S73" t="s">
        <v>81</v>
      </c>
      <c r="T73">
        <v>90</v>
      </c>
      <c r="U73">
        <v>1</v>
      </c>
      <c r="V73" s="2">
        <v>4.1666666666666664E-2</v>
      </c>
      <c r="W73">
        <v>90</v>
      </c>
      <c r="AA73" t="s">
        <v>83</v>
      </c>
      <c r="AB73" t="s">
        <v>84</v>
      </c>
      <c r="AC73" t="s">
        <v>139</v>
      </c>
      <c r="AD73" t="s">
        <v>86</v>
      </c>
      <c r="AE73">
        <f t="shared" si="4"/>
        <v>7</v>
      </c>
      <c r="AF73" t="str">
        <f t="shared" si="5"/>
        <v>July</v>
      </c>
    </row>
    <row r="74" spans="1:32">
      <c r="A74" s="1">
        <v>45484</v>
      </c>
      <c r="B74" t="s">
        <v>21</v>
      </c>
      <c r="C74" t="s">
        <v>115</v>
      </c>
      <c r="D74" t="s">
        <v>73</v>
      </c>
      <c r="E74" t="s">
        <v>74</v>
      </c>
      <c r="F74" t="s">
        <v>75</v>
      </c>
      <c r="G74" t="s">
        <v>76</v>
      </c>
      <c r="H74" t="s">
        <v>77</v>
      </c>
      <c r="I74" t="s">
        <v>78</v>
      </c>
      <c r="J74" t="s">
        <v>79</v>
      </c>
      <c r="K74" t="s">
        <v>73</v>
      </c>
      <c r="L74" t="s">
        <v>38</v>
      </c>
      <c r="M74" t="s">
        <v>21</v>
      </c>
      <c r="N74" t="s">
        <v>117</v>
      </c>
      <c r="O74" t="s">
        <v>80</v>
      </c>
      <c r="P74">
        <v>270739</v>
      </c>
      <c r="Q74" t="s">
        <v>16</v>
      </c>
      <c r="R74" t="s">
        <v>4</v>
      </c>
      <c r="S74" t="s">
        <v>81</v>
      </c>
      <c r="T74">
        <v>90</v>
      </c>
      <c r="U74">
        <v>0.5</v>
      </c>
      <c r="V74" s="2">
        <v>2.0833333333333332E-2</v>
      </c>
      <c r="W74">
        <v>45</v>
      </c>
      <c r="AA74" t="s">
        <v>83</v>
      </c>
      <c r="AB74" t="s">
        <v>84</v>
      </c>
      <c r="AC74" t="s">
        <v>140</v>
      </c>
      <c r="AD74" t="s">
        <v>86</v>
      </c>
      <c r="AE74">
        <f t="shared" ref="AE74:AE78" si="6">MONTH(A74)</f>
        <v>7</v>
      </c>
      <c r="AF74" t="str">
        <f t="shared" ref="AF74:AF78" si="7">IF(AE74=5,"May",IF(AE74=6,"June",IF(AE74=7,"July",IF(AE74=8,"August",IF(AE74=9,"September")))))</f>
        <v>July</v>
      </c>
    </row>
    <row r="75" spans="1:32">
      <c r="A75" s="1">
        <v>45442</v>
      </c>
      <c r="B75" t="s">
        <v>38</v>
      </c>
      <c r="C75" t="s">
        <v>115</v>
      </c>
      <c r="D75" t="s">
        <v>73</v>
      </c>
      <c r="E75" t="s">
        <v>116</v>
      </c>
      <c r="F75" t="s">
        <v>75</v>
      </c>
      <c r="G75" t="s">
        <v>76</v>
      </c>
      <c r="H75" t="s">
        <v>77</v>
      </c>
      <c r="I75" t="s">
        <v>78</v>
      </c>
      <c r="J75" t="s">
        <v>79</v>
      </c>
      <c r="K75" t="s">
        <v>73</v>
      </c>
      <c r="L75" t="s">
        <v>38</v>
      </c>
      <c r="M75" t="s">
        <v>21</v>
      </c>
      <c r="N75" t="s">
        <v>117</v>
      </c>
      <c r="O75" t="s">
        <v>80</v>
      </c>
      <c r="P75">
        <v>253324</v>
      </c>
      <c r="Q75" t="s">
        <v>16</v>
      </c>
      <c r="R75" t="s">
        <v>4</v>
      </c>
      <c r="S75" t="s">
        <v>81</v>
      </c>
      <c r="T75">
        <v>90</v>
      </c>
      <c r="U75">
        <v>0.25</v>
      </c>
      <c r="V75" s="2">
        <v>1.0416666666666666E-2</v>
      </c>
      <c r="W75">
        <v>22.5</v>
      </c>
      <c r="X75">
        <v>30</v>
      </c>
      <c r="Y75">
        <v>7.5</v>
      </c>
      <c r="Z75" t="s">
        <v>82</v>
      </c>
      <c r="AA75" t="s">
        <v>83</v>
      </c>
      <c r="AB75" t="s">
        <v>84</v>
      </c>
      <c r="AC75" t="s">
        <v>117</v>
      </c>
      <c r="AD75" t="s">
        <v>86</v>
      </c>
      <c r="AE75">
        <f t="shared" si="6"/>
        <v>5</v>
      </c>
      <c r="AF75" t="str">
        <f t="shared" si="7"/>
        <v>May</v>
      </c>
    </row>
    <row r="76" spans="1:32">
      <c r="A76" s="1">
        <v>45443</v>
      </c>
      <c r="B76" t="s">
        <v>38</v>
      </c>
      <c r="C76" t="s">
        <v>115</v>
      </c>
      <c r="D76" t="s">
        <v>73</v>
      </c>
      <c r="E76" t="s">
        <v>116</v>
      </c>
      <c r="F76" t="s">
        <v>75</v>
      </c>
      <c r="G76" t="s">
        <v>76</v>
      </c>
      <c r="H76" t="s">
        <v>77</v>
      </c>
      <c r="I76" t="s">
        <v>78</v>
      </c>
      <c r="J76" t="s">
        <v>79</v>
      </c>
      <c r="K76" t="s">
        <v>73</v>
      </c>
      <c r="L76" t="s">
        <v>38</v>
      </c>
      <c r="M76" t="s">
        <v>21</v>
      </c>
      <c r="N76" t="s">
        <v>117</v>
      </c>
      <c r="O76" t="s">
        <v>80</v>
      </c>
      <c r="P76">
        <v>253305</v>
      </c>
      <c r="Q76" t="s">
        <v>16</v>
      </c>
      <c r="R76" t="s">
        <v>4</v>
      </c>
      <c r="S76" t="s">
        <v>81</v>
      </c>
      <c r="T76">
        <v>90</v>
      </c>
      <c r="U76">
        <v>0.25</v>
      </c>
      <c r="V76" s="2">
        <v>1.0416666666666666E-2</v>
      </c>
      <c r="W76">
        <v>22.5</v>
      </c>
      <c r="X76">
        <v>30</v>
      </c>
      <c r="Y76">
        <v>7.5</v>
      </c>
      <c r="Z76" t="s">
        <v>82</v>
      </c>
      <c r="AA76" t="s">
        <v>83</v>
      </c>
      <c r="AB76" t="s">
        <v>84</v>
      </c>
      <c r="AC76" t="s">
        <v>117</v>
      </c>
      <c r="AD76" t="s">
        <v>86</v>
      </c>
      <c r="AE76">
        <f t="shared" si="6"/>
        <v>5</v>
      </c>
      <c r="AF76" t="str">
        <f t="shared" si="7"/>
        <v>May</v>
      </c>
    </row>
    <row r="77" spans="1:32">
      <c r="A77" s="1">
        <v>45443</v>
      </c>
      <c r="B77" t="s">
        <v>38</v>
      </c>
      <c r="C77" t="s">
        <v>115</v>
      </c>
      <c r="D77" t="s">
        <v>73</v>
      </c>
      <c r="E77" t="s">
        <v>116</v>
      </c>
      <c r="F77" t="s">
        <v>75</v>
      </c>
      <c r="G77" t="s">
        <v>76</v>
      </c>
      <c r="H77" t="s">
        <v>77</v>
      </c>
      <c r="I77" t="s">
        <v>78</v>
      </c>
      <c r="J77" t="s">
        <v>79</v>
      </c>
      <c r="K77" t="s">
        <v>73</v>
      </c>
      <c r="L77" t="s">
        <v>38</v>
      </c>
      <c r="M77" t="s">
        <v>21</v>
      </c>
      <c r="N77" t="s">
        <v>117</v>
      </c>
      <c r="O77" t="s">
        <v>80</v>
      </c>
      <c r="P77">
        <v>253306</v>
      </c>
      <c r="Q77" t="s">
        <v>88</v>
      </c>
      <c r="R77" t="s">
        <v>89</v>
      </c>
      <c r="S77" t="s">
        <v>81</v>
      </c>
      <c r="T77">
        <v>0</v>
      </c>
      <c r="U77">
        <v>0.25</v>
      </c>
      <c r="V77" s="2">
        <v>1.0416666666666666E-2</v>
      </c>
      <c r="W77">
        <v>0</v>
      </c>
      <c r="AA77" t="s">
        <v>83</v>
      </c>
      <c r="AB77" t="s">
        <v>84</v>
      </c>
      <c r="AC77" t="s">
        <v>117</v>
      </c>
      <c r="AD77" t="s">
        <v>86</v>
      </c>
      <c r="AE77">
        <f t="shared" si="6"/>
        <v>5</v>
      </c>
      <c r="AF77" t="str">
        <f t="shared" si="7"/>
        <v>May</v>
      </c>
    </row>
    <row r="78" spans="1:32">
      <c r="A78" s="1">
        <v>45446</v>
      </c>
      <c r="B78" t="s">
        <v>38</v>
      </c>
      <c r="C78" t="s">
        <v>115</v>
      </c>
      <c r="D78" t="s">
        <v>73</v>
      </c>
      <c r="E78" t="s">
        <v>116</v>
      </c>
      <c r="F78" t="s">
        <v>75</v>
      </c>
      <c r="G78" t="s">
        <v>76</v>
      </c>
      <c r="H78" t="s">
        <v>77</v>
      </c>
      <c r="I78" t="s">
        <v>78</v>
      </c>
      <c r="J78" t="s">
        <v>79</v>
      </c>
      <c r="K78" t="s">
        <v>73</v>
      </c>
      <c r="L78" t="s">
        <v>38</v>
      </c>
      <c r="M78" t="s">
        <v>21</v>
      </c>
      <c r="N78" t="s">
        <v>117</v>
      </c>
      <c r="O78" t="s">
        <v>80</v>
      </c>
      <c r="P78">
        <v>254874</v>
      </c>
      <c r="Q78" t="s">
        <v>88</v>
      </c>
      <c r="R78" t="s">
        <v>89</v>
      </c>
      <c r="S78" t="s">
        <v>81</v>
      </c>
      <c r="T78">
        <v>0</v>
      </c>
      <c r="U78">
        <v>0.25</v>
      </c>
      <c r="V78" s="2">
        <v>1.0416666666666666E-2</v>
      </c>
      <c r="W78">
        <v>0</v>
      </c>
      <c r="AA78" t="s">
        <v>83</v>
      </c>
      <c r="AB78" t="s">
        <v>84</v>
      </c>
      <c r="AC78" t="s">
        <v>117</v>
      </c>
      <c r="AD78" t="s">
        <v>86</v>
      </c>
      <c r="AE78">
        <f t="shared" si="6"/>
        <v>6</v>
      </c>
      <c r="AF78" t="str">
        <f t="shared" si="7"/>
        <v>June</v>
      </c>
    </row>
    <row r="79" spans="1:32">
      <c r="A79" s="1">
        <v>45447</v>
      </c>
      <c r="B79" t="s">
        <v>38</v>
      </c>
      <c r="C79" t="s">
        <v>115</v>
      </c>
      <c r="D79" t="s">
        <v>73</v>
      </c>
      <c r="E79" t="s">
        <v>116</v>
      </c>
      <c r="F79" t="s">
        <v>75</v>
      </c>
      <c r="G79" t="s">
        <v>76</v>
      </c>
      <c r="H79" t="s">
        <v>77</v>
      </c>
      <c r="I79" t="s">
        <v>78</v>
      </c>
      <c r="J79" t="s">
        <v>79</v>
      </c>
      <c r="K79" t="s">
        <v>73</v>
      </c>
      <c r="L79" t="s">
        <v>38</v>
      </c>
      <c r="M79" t="s">
        <v>21</v>
      </c>
      <c r="N79" t="s">
        <v>117</v>
      </c>
      <c r="O79" t="s">
        <v>80</v>
      </c>
      <c r="P79">
        <v>255288</v>
      </c>
      <c r="Q79" t="s">
        <v>88</v>
      </c>
      <c r="R79" t="s">
        <v>89</v>
      </c>
      <c r="S79" t="s">
        <v>81</v>
      </c>
      <c r="T79">
        <v>0</v>
      </c>
      <c r="U79">
        <v>0.75</v>
      </c>
      <c r="V79" s="2">
        <v>3.125E-2</v>
      </c>
      <c r="W79">
        <v>0</v>
      </c>
      <c r="AA79" t="s">
        <v>83</v>
      </c>
      <c r="AB79" t="s">
        <v>84</v>
      </c>
      <c r="AC79" t="s">
        <v>117</v>
      </c>
      <c r="AD79" t="s">
        <v>86</v>
      </c>
      <c r="AE79">
        <f t="shared" ref="AE79:AE93" si="8">MONTH(A79)</f>
        <v>6</v>
      </c>
      <c r="AF79" t="str">
        <f t="shared" ref="AF79:AF93" si="9">IF(AE79=5,"May",IF(AE79=6,"June",IF(AE79=7,"July",IF(AE79=8,"August",IF(AE79=9,"September")))))</f>
        <v>June</v>
      </c>
    </row>
    <row r="80" spans="1:32">
      <c r="A80" s="1">
        <v>45448</v>
      </c>
      <c r="B80" t="s">
        <v>38</v>
      </c>
      <c r="C80" t="s">
        <v>115</v>
      </c>
      <c r="D80" t="s">
        <v>73</v>
      </c>
      <c r="E80" t="s">
        <v>116</v>
      </c>
      <c r="F80" t="s">
        <v>75</v>
      </c>
      <c r="G80" t="s">
        <v>76</v>
      </c>
      <c r="H80" t="s">
        <v>77</v>
      </c>
      <c r="I80" t="s">
        <v>78</v>
      </c>
      <c r="J80" t="s">
        <v>79</v>
      </c>
      <c r="K80" t="s">
        <v>73</v>
      </c>
      <c r="L80" t="s">
        <v>38</v>
      </c>
      <c r="M80" t="s">
        <v>21</v>
      </c>
      <c r="N80" t="s">
        <v>117</v>
      </c>
      <c r="O80" t="s">
        <v>80</v>
      </c>
      <c r="P80">
        <v>256514</v>
      </c>
      <c r="Q80" t="s">
        <v>88</v>
      </c>
      <c r="R80" t="s">
        <v>89</v>
      </c>
      <c r="S80" t="s">
        <v>81</v>
      </c>
      <c r="T80">
        <v>0</v>
      </c>
      <c r="U80">
        <v>0.25</v>
      </c>
      <c r="V80" s="2">
        <v>1.0416666666666666E-2</v>
      </c>
      <c r="W80">
        <v>0</v>
      </c>
      <c r="AA80" t="s">
        <v>83</v>
      </c>
      <c r="AB80" t="s">
        <v>84</v>
      </c>
      <c r="AC80" t="s">
        <v>117</v>
      </c>
      <c r="AD80" t="s">
        <v>86</v>
      </c>
      <c r="AE80">
        <f t="shared" si="8"/>
        <v>6</v>
      </c>
      <c r="AF80" t="str">
        <f t="shared" si="9"/>
        <v>June</v>
      </c>
    </row>
    <row r="81" spans="1:32">
      <c r="A81" s="1">
        <v>45453</v>
      </c>
      <c r="B81" t="s">
        <v>38</v>
      </c>
      <c r="C81" t="s">
        <v>115</v>
      </c>
      <c r="D81" t="s">
        <v>73</v>
      </c>
      <c r="E81" t="s">
        <v>116</v>
      </c>
      <c r="F81" t="s">
        <v>75</v>
      </c>
      <c r="G81" t="s">
        <v>76</v>
      </c>
      <c r="H81" t="s">
        <v>77</v>
      </c>
      <c r="I81" t="s">
        <v>78</v>
      </c>
      <c r="J81" t="s">
        <v>79</v>
      </c>
      <c r="K81" t="s">
        <v>73</v>
      </c>
      <c r="L81" t="s">
        <v>38</v>
      </c>
      <c r="M81" t="s">
        <v>21</v>
      </c>
      <c r="N81" t="s">
        <v>117</v>
      </c>
      <c r="O81" t="s">
        <v>80</v>
      </c>
      <c r="P81">
        <v>257351</v>
      </c>
      <c r="Q81" t="s">
        <v>88</v>
      </c>
      <c r="R81" t="s">
        <v>89</v>
      </c>
      <c r="S81" t="s">
        <v>81</v>
      </c>
      <c r="T81">
        <v>0</v>
      </c>
      <c r="U81">
        <v>0.5</v>
      </c>
      <c r="V81" s="2">
        <v>2.0833333333333332E-2</v>
      </c>
      <c r="W81">
        <v>0</v>
      </c>
      <c r="AA81" t="s">
        <v>83</v>
      </c>
      <c r="AB81" t="s">
        <v>84</v>
      </c>
      <c r="AC81" t="s">
        <v>117</v>
      </c>
      <c r="AD81" t="s">
        <v>86</v>
      </c>
      <c r="AE81">
        <f t="shared" si="8"/>
        <v>6</v>
      </c>
      <c r="AF81" t="str">
        <f t="shared" si="9"/>
        <v>June</v>
      </c>
    </row>
    <row r="82" spans="1:32">
      <c r="A82" s="1">
        <v>45454</v>
      </c>
      <c r="B82" t="s">
        <v>38</v>
      </c>
      <c r="C82" t="s">
        <v>115</v>
      </c>
      <c r="D82" t="s">
        <v>73</v>
      </c>
      <c r="E82" t="s">
        <v>116</v>
      </c>
      <c r="F82" t="s">
        <v>75</v>
      </c>
      <c r="G82" t="s">
        <v>76</v>
      </c>
      <c r="H82" t="s">
        <v>77</v>
      </c>
      <c r="I82" t="s">
        <v>78</v>
      </c>
      <c r="J82" t="s">
        <v>79</v>
      </c>
      <c r="K82" t="s">
        <v>73</v>
      </c>
      <c r="L82" t="s">
        <v>38</v>
      </c>
      <c r="M82" t="s">
        <v>21</v>
      </c>
      <c r="N82" t="s">
        <v>117</v>
      </c>
      <c r="O82" t="s">
        <v>80</v>
      </c>
      <c r="P82">
        <v>257823</v>
      </c>
      <c r="Q82" t="s">
        <v>88</v>
      </c>
      <c r="R82" t="s">
        <v>89</v>
      </c>
      <c r="S82" t="s">
        <v>81</v>
      </c>
      <c r="T82">
        <v>0</v>
      </c>
      <c r="U82">
        <v>0.25</v>
      </c>
      <c r="V82" s="2">
        <v>1.0416666666666666E-2</v>
      </c>
      <c r="W82">
        <v>0</v>
      </c>
      <c r="AA82" t="s">
        <v>83</v>
      </c>
      <c r="AB82" t="s">
        <v>84</v>
      </c>
      <c r="AC82" t="s">
        <v>117</v>
      </c>
      <c r="AD82" t="s">
        <v>86</v>
      </c>
      <c r="AE82">
        <f t="shared" si="8"/>
        <v>6</v>
      </c>
      <c r="AF82" t="str">
        <f t="shared" si="9"/>
        <v>June</v>
      </c>
    </row>
    <row r="83" spans="1:32">
      <c r="A83" s="1">
        <v>45455</v>
      </c>
      <c r="B83" t="s">
        <v>38</v>
      </c>
      <c r="C83" t="s">
        <v>115</v>
      </c>
      <c r="D83" t="s">
        <v>73</v>
      </c>
      <c r="E83" t="s">
        <v>116</v>
      </c>
      <c r="F83" t="s">
        <v>75</v>
      </c>
      <c r="G83" t="s">
        <v>76</v>
      </c>
      <c r="H83" t="s">
        <v>77</v>
      </c>
      <c r="I83" t="s">
        <v>78</v>
      </c>
      <c r="J83" t="s">
        <v>79</v>
      </c>
      <c r="K83" t="s">
        <v>73</v>
      </c>
      <c r="L83" t="s">
        <v>38</v>
      </c>
      <c r="M83" t="s">
        <v>21</v>
      </c>
      <c r="N83" t="s">
        <v>117</v>
      </c>
      <c r="O83" t="s">
        <v>80</v>
      </c>
      <c r="P83">
        <v>258628</v>
      </c>
      <c r="Q83" t="s">
        <v>88</v>
      </c>
      <c r="R83" t="s">
        <v>89</v>
      </c>
      <c r="S83" t="s">
        <v>81</v>
      </c>
      <c r="T83">
        <v>0</v>
      </c>
      <c r="U83">
        <v>0.5</v>
      </c>
      <c r="V83" s="2">
        <v>2.0833333333333332E-2</v>
      </c>
      <c r="W83">
        <v>0</v>
      </c>
      <c r="AA83" t="s">
        <v>83</v>
      </c>
      <c r="AB83" t="s">
        <v>84</v>
      </c>
      <c r="AC83" t="s">
        <v>117</v>
      </c>
      <c r="AD83" t="s">
        <v>86</v>
      </c>
      <c r="AE83">
        <f t="shared" si="8"/>
        <v>6</v>
      </c>
      <c r="AF83" t="str">
        <f t="shared" si="9"/>
        <v>June</v>
      </c>
    </row>
    <row r="84" spans="1:32">
      <c r="A84" s="1">
        <v>45456</v>
      </c>
      <c r="B84" t="s">
        <v>38</v>
      </c>
      <c r="C84" t="s">
        <v>115</v>
      </c>
      <c r="D84" t="s">
        <v>73</v>
      </c>
      <c r="E84" t="s">
        <v>116</v>
      </c>
      <c r="F84" t="s">
        <v>75</v>
      </c>
      <c r="G84" t="s">
        <v>76</v>
      </c>
      <c r="H84" t="s">
        <v>77</v>
      </c>
      <c r="I84" t="s">
        <v>78</v>
      </c>
      <c r="J84" t="s">
        <v>79</v>
      </c>
      <c r="K84" t="s">
        <v>73</v>
      </c>
      <c r="L84" t="s">
        <v>38</v>
      </c>
      <c r="M84" t="s">
        <v>21</v>
      </c>
      <c r="N84" t="s">
        <v>117</v>
      </c>
      <c r="O84" t="s">
        <v>80</v>
      </c>
      <c r="P84">
        <v>258997</v>
      </c>
      <c r="Q84" t="s">
        <v>88</v>
      </c>
      <c r="R84" t="s">
        <v>89</v>
      </c>
      <c r="S84" t="s">
        <v>81</v>
      </c>
      <c r="T84">
        <v>0</v>
      </c>
      <c r="U84">
        <v>0.25</v>
      </c>
      <c r="V84" s="2">
        <v>1.0416666666666666E-2</v>
      </c>
      <c r="W84">
        <v>0</v>
      </c>
      <c r="AA84" t="s">
        <v>83</v>
      </c>
      <c r="AB84" t="s">
        <v>84</v>
      </c>
      <c r="AC84" t="s">
        <v>117</v>
      </c>
      <c r="AD84" t="s">
        <v>86</v>
      </c>
      <c r="AE84">
        <f t="shared" si="8"/>
        <v>6</v>
      </c>
      <c r="AF84" t="str">
        <f t="shared" si="9"/>
        <v>June</v>
      </c>
    </row>
    <row r="85" spans="1:32">
      <c r="A85" s="1">
        <v>45457</v>
      </c>
      <c r="B85" t="s">
        <v>38</v>
      </c>
      <c r="C85" t="s">
        <v>115</v>
      </c>
      <c r="D85" t="s">
        <v>73</v>
      </c>
      <c r="E85" t="s">
        <v>116</v>
      </c>
      <c r="F85" t="s">
        <v>75</v>
      </c>
      <c r="G85" t="s">
        <v>76</v>
      </c>
      <c r="H85" t="s">
        <v>77</v>
      </c>
      <c r="I85" t="s">
        <v>78</v>
      </c>
      <c r="J85" t="s">
        <v>79</v>
      </c>
      <c r="K85" t="s">
        <v>73</v>
      </c>
      <c r="L85" t="s">
        <v>38</v>
      </c>
      <c r="M85" t="s">
        <v>21</v>
      </c>
      <c r="N85" t="s">
        <v>117</v>
      </c>
      <c r="O85" t="s">
        <v>80</v>
      </c>
      <c r="P85">
        <v>259540</v>
      </c>
      <c r="Q85" t="s">
        <v>88</v>
      </c>
      <c r="R85" t="s">
        <v>89</v>
      </c>
      <c r="S85" t="s">
        <v>81</v>
      </c>
      <c r="T85">
        <v>0</v>
      </c>
      <c r="U85">
        <v>0.25</v>
      </c>
      <c r="V85" s="2">
        <v>1.0416666666666666E-2</v>
      </c>
      <c r="W85">
        <v>0</v>
      </c>
      <c r="AA85" t="s">
        <v>83</v>
      </c>
      <c r="AB85" t="s">
        <v>84</v>
      </c>
      <c r="AC85" t="s">
        <v>117</v>
      </c>
      <c r="AD85" t="s">
        <v>86</v>
      </c>
      <c r="AE85">
        <f t="shared" si="8"/>
        <v>6</v>
      </c>
      <c r="AF85" t="str">
        <f t="shared" si="9"/>
        <v>June</v>
      </c>
    </row>
    <row r="86" spans="1:32">
      <c r="A86" s="1">
        <v>45471</v>
      </c>
      <c r="B86" t="s">
        <v>38</v>
      </c>
      <c r="C86" t="s">
        <v>115</v>
      </c>
      <c r="D86" t="s">
        <v>73</v>
      </c>
      <c r="E86" t="s">
        <v>116</v>
      </c>
      <c r="F86" t="s">
        <v>75</v>
      </c>
      <c r="G86" t="s">
        <v>76</v>
      </c>
      <c r="H86" t="s">
        <v>77</v>
      </c>
      <c r="I86" t="s">
        <v>78</v>
      </c>
      <c r="J86" t="s">
        <v>79</v>
      </c>
      <c r="K86" t="s">
        <v>73</v>
      </c>
      <c r="L86" t="s">
        <v>38</v>
      </c>
      <c r="M86" t="s">
        <v>21</v>
      </c>
      <c r="N86" t="s">
        <v>117</v>
      </c>
      <c r="O86" t="s">
        <v>80</v>
      </c>
      <c r="P86">
        <v>265119</v>
      </c>
      <c r="Q86" t="s">
        <v>88</v>
      </c>
      <c r="R86" t="s">
        <v>89</v>
      </c>
      <c r="S86" t="s">
        <v>81</v>
      </c>
      <c r="T86">
        <v>0</v>
      </c>
      <c r="U86">
        <v>0.25</v>
      </c>
      <c r="V86" s="2">
        <v>1.0416666666666666E-2</v>
      </c>
      <c r="W86">
        <v>0</v>
      </c>
      <c r="AA86" t="s">
        <v>83</v>
      </c>
      <c r="AB86" t="s">
        <v>84</v>
      </c>
      <c r="AC86" t="s">
        <v>117</v>
      </c>
      <c r="AD86" t="s">
        <v>86</v>
      </c>
      <c r="AE86">
        <f t="shared" si="8"/>
        <v>6</v>
      </c>
      <c r="AF86" t="str">
        <f t="shared" si="9"/>
        <v>June</v>
      </c>
    </row>
    <row r="87" spans="1:32">
      <c r="A87" s="1">
        <v>45477</v>
      </c>
      <c r="B87" t="s">
        <v>38</v>
      </c>
      <c r="C87" t="s">
        <v>115</v>
      </c>
      <c r="D87" t="s">
        <v>73</v>
      </c>
      <c r="E87" t="s">
        <v>116</v>
      </c>
      <c r="F87" t="s">
        <v>75</v>
      </c>
      <c r="G87" t="s">
        <v>76</v>
      </c>
      <c r="H87" t="s">
        <v>77</v>
      </c>
      <c r="I87" t="s">
        <v>78</v>
      </c>
      <c r="J87" t="s">
        <v>79</v>
      </c>
      <c r="K87" t="s">
        <v>73</v>
      </c>
      <c r="L87" t="s">
        <v>38</v>
      </c>
      <c r="M87" t="s">
        <v>21</v>
      </c>
      <c r="N87" t="s">
        <v>117</v>
      </c>
      <c r="O87" t="s">
        <v>80</v>
      </c>
      <c r="P87">
        <v>267320</v>
      </c>
      <c r="Q87" t="s">
        <v>88</v>
      </c>
      <c r="R87" t="s">
        <v>89</v>
      </c>
      <c r="S87" t="s">
        <v>81</v>
      </c>
      <c r="T87">
        <v>0</v>
      </c>
      <c r="U87">
        <v>0.75</v>
      </c>
      <c r="V87" s="2">
        <v>3.125E-2</v>
      </c>
      <c r="W87">
        <v>0</v>
      </c>
      <c r="AA87" t="s">
        <v>83</v>
      </c>
      <c r="AB87" t="s">
        <v>84</v>
      </c>
      <c r="AC87" t="s">
        <v>117</v>
      </c>
      <c r="AD87" t="s">
        <v>86</v>
      </c>
      <c r="AE87">
        <f t="shared" si="8"/>
        <v>7</v>
      </c>
      <c r="AF87" t="str">
        <f t="shared" si="9"/>
        <v>July</v>
      </c>
    </row>
    <row r="88" spans="1:32">
      <c r="A88" s="1">
        <v>45478</v>
      </c>
      <c r="B88" t="s">
        <v>38</v>
      </c>
      <c r="C88" t="s">
        <v>115</v>
      </c>
      <c r="D88" t="s">
        <v>73</v>
      </c>
      <c r="E88" t="s">
        <v>116</v>
      </c>
      <c r="F88" t="s">
        <v>75</v>
      </c>
      <c r="G88" t="s">
        <v>76</v>
      </c>
      <c r="H88" t="s">
        <v>77</v>
      </c>
      <c r="I88" t="s">
        <v>78</v>
      </c>
      <c r="J88" t="s">
        <v>79</v>
      </c>
      <c r="K88" t="s">
        <v>73</v>
      </c>
      <c r="L88" t="s">
        <v>38</v>
      </c>
      <c r="M88" t="s">
        <v>21</v>
      </c>
      <c r="N88" t="s">
        <v>117</v>
      </c>
      <c r="O88" t="s">
        <v>80</v>
      </c>
      <c r="P88">
        <v>267935</v>
      </c>
      <c r="Q88" t="s">
        <v>88</v>
      </c>
      <c r="R88" t="s">
        <v>89</v>
      </c>
      <c r="S88" t="s">
        <v>81</v>
      </c>
      <c r="T88">
        <v>0</v>
      </c>
      <c r="U88">
        <v>2</v>
      </c>
      <c r="V88" s="2">
        <v>8.3333333333333329E-2</v>
      </c>
      <c r="W88">
        <v>0</v>
      </c>
      <c r="AA88" t="s">
        <v>83</v>
      </c>
      <c r="AB88" t="s">
        <v>84</v>
      </c>
      <c r="AC88" t="s">
        <v>117</v>
      </c>
      <c r="AD88" t="s">
        <v>86</v>
      </c>
      <c r="AE88">
        <f t="shared" si="8"/>
        <v>7</v>
      </c>
      <c r="AF88" t="str">
        <f t="shared" si="9"/>
        <v>July</v>
      </c>
    </row>
    <row r="89" spans="1:32">
      <c r="A89" s="1">
        <v>45481</v>
      </c>
      <c r="B89" t="s">
        <v>38</v>
      </c>
      <c r="C89" t="s">
        <v>115</v>
      </c>
      <c r="D89" t="s">
        <v>73</v>
      </c>
      <c r="E89" t="s">
        <v>116</v>
      </c>
      <c r="F89" t="s">
        <v>75</v>
      </c>
      <c r="G89" t="s">
        <v>76</v>
      </c>
      <c r="H89" t="s">
        <v>77</v>
      </c>
      <c r="I89" t="s">
        <v>78</v>
      </c>
      <c r="J89" t="s">
        <v>79</v>
      </c>
      <c r="K89" t="s">
        <v>73</v>
      </c>
      <c r="L89" t="s">
        <v>38</v>
      </c>
      <c r="M89" t="s">
        <v>21</v>
      </c>
      <c r="N89" t="s">
        <v>117</v>
      </c>
      <c r="O89" t="s">
        <v>80</v>
      </c>
      <c r="P89">
        <v>268575</v>
      </c>
      <c r="Q89" t="s">
        <v>88</v>
      </c>
      <c r="R89" t="s">
        <v>89</v>
      </c>
      <c r="S89" t="s">
        <v>81</v>
      </c>
      <c r="T89">
        <v>0</v>
      </c>
      <c r="U89">
        <v>1</v>
      </c>
      <c r="V89" s="2">
        <v>4.1666666666666664E-2</v>
      </c>
      <c r="W89">
        <v>0</v>
      </c>
      <c r="AA89" t="s">
        <v>83</v>
      </c>
      <c r="AB89" t="s">
        <v>84</v>
      </c>
      <c r="AC89" t="s">
        <v>117</v>
      </c>
      <c r="AD89" t="s">
        <v>86</v>
      </c>
      <c r="AE89">
        <f t="shared" si="8"/>
        <v>7</v>
      </c>
      <c r="AF89" t="str">
        <f t="shared" si="9"/>
        <v>July</v>
      </c>
    </row>
    <row r="90" spans="1:32">
      <c r="A90" s="1">
        <v>45482</v>
      </c>
      <c r="B90" t="s">
        <v>38</v>
      </c>
      <c r="C90" t="s">
        <v>115</v>
      </c>
      <c r="D90" t="s">
        <v>73</v>
      </c>
      <c r="E90" t="s">
        <v>116</v>
      </c>
      <c r="F90" t="s">
        <v>75</v>
      </c>
      <c r="G90" t="s">
        <v>76</v>
      </c>
      <c r="H90" t="s">
        <v>77</v>
      </c>
      <c r="I90" t="s">
        <v>78</v>
      </c>
      <c r="J90" t="s">
        <v>79</v>
      </c>
      <c r="K90" t="s">
        <v>73</v>
      </c>
      <c r="L90" t="s">
        <v>38</v>
      </c>
      <c r="M90" t="s">
        <v>21</v>
      </c>
      <c r="N90" t="s">
        <v>117</v>
      </c>
      <c r="O90" t="s">
        <v>80</v>
      </c>
      <c r="P90">
        <v>269041</v>
      </c>
      <c r="Q90" t="s">
        <v>88</v>
      </c>
      <c r="R90" t="s">
        <v>89</v>
      </c>
      <c r="S90" t="s">
        <v>81</v>
      </c>
      <c r="T90">
        <v>0</v>
      </c>
      <c r="U90">
        <v>1</v>
      </c>
      <c r="V90" s="2">
        <v>4.1666666666666664E-2</v>
      </c>
      <c r="W90">
        <v>0</v>
      </c>
      <c r="AA90" t="s">
        <v>83</v>
      </c>
      <c r="AB90" t="s">
        <v>84</v>
      </c>
      <c r="AC90" t="s">
        <v>117</v>
      </c>
      <c r="AD90" t="s">
        <v>86</v>
      </c>
      <c r="AE90">
        <f t="shared" si="8"/>
        <v>7</v>
      </c>
      <c r="AF90" t="str">
        <f t="shared" si="9"/>
        <v>July</v>
      </c>
    </row>
    <row r="91" spans="1:32">
      <c r="A91" s="1">
        <v>45483</v>
      </c>
      <c r="B91" t="s">
        <v>38</v>
      </c>
      <c r="C91" t="s">
        <v>115</v>
      </c>
      <c r="D91" t="s">
        <v>73</v>
      </c>
      <c r="E91" t="s">
        <v>116</v>
      </c>
      <c r="F91" t="s">
        <v>75</v>
      </c>
      <c r="G91" t="s">
        <v>76</v>
      </c>
      <c r="H91" t="s">
        <v>77</v>
      </c>
      <c r="I91" t="s">
        <v>78</v>
      </c>
      <c r="J91" t="s">
        <v>79</v>
      </c>
      <c r="K91" t="s">
        <v>73</v>
      </c>
      <c r="L91" t="s">
        <v>38</v>
      </c>
      <c r="M91" t="s">
        <v>21</v>
      </c>
      <c r="N91" t="s">
        <v>117</v>
      </c>
      <c r="O91" t="s">
        <v>80</v>
      </c>
      <c r="P91">
        <v>269553</v>
      </c>
      <c r="Q91" t="s">
        <v>88</v>
      </c>
      <c r="R91" t="s">
        <v>89</v>
      </c>
      <c r="S91" t="s">
        <v>81</v>
      </c>
      <c r="T91">
        <v>0</v>
      </c>
      <c r="U91">
        <v>0.25</v>
      </c>
      <c r="V91" s="2">
        <v>1.0416666666666666E-2</v>
      </c>
      <c r="W91">
        <v>0</v>
      </c>
      <c r="AA91" t="s">
        <v>83</v>
      </c>
      <c r="AB91" t="s">
        <v>84</v>
      </c>
      <c r="AC91" t="s">
        <v>117</v>
      </c>
      <c r="AD91" t="s">
        <v>86</v>
      </c>
      <c r="AE91">
        <f t="shared" si="8"/>
        <v>7</v>
      </c>
      <c r="AF91" t="str">
        <f t="shared" si="9"/>
        <v>July</v>
      </c>
    </row>
    <row r="92" spans="1:32">
      <c r="A92" s="1">
        <v>45484</v>
      </c>
      <c r="B92" t="s">
        <v>38</v>
      </c>
      <c r="C92" t="s">
        <v>115</v>
      </c>
      <c r="D92" t="s">
        <v>73</v>
      </c>
      <c r="E92" t="s">
        <v>116</v>
      </c>
      <c r="F92" t="s">
        <v>75</v>
      </c>
      <c r="G92" t="s">
        <v>76</v>
      </c>
      <c r="H92" t="s">
        <v>77</v>
      </c>
      <c r="I92" t="s">
        <v>78</v>
      </c>
      <c r="J92" t="s">
        <v>79</v>
      </c>
      <c r="K92" t="s">
        <v>73</v>
      </c>
      <c r="L92" t="s">
        <v>38</v>
      </c>
      <c r="M92" t="s">
        <v>21</v>
      </c>
      <c r="N92" t="s">
        <v>117</v>
      </c>
      <c r="O92" t="s">
        <v>80</v>
      </c>
      <c r="P92">
        <v>269992</v>
      </c>
      <c r="Q92" t="s">
        <v>88</v>
      </c>
      <c r="R92" t="s">
        <v>89</v>
      </c>
      <c r="S92" t="s">
        <v>81</v>
      </c>
      <c r="T92">
        <v>0</v>
      </c>
      <c r="U92">
        <v>0.25</v>
      </c>
      <c r="V92" s="2">
        <v>1.0416666666666666E-2</v>
      </c>
      <c r="W92">
        <v>0</v>
      </c>
      <c r="AA92" t="s">
        <v>83</v>
      </c>
      <c r="AB92" t="s">
        <v>84</v>
      </c>
      <c r="AC92" t="s">
        <v>117</v>
      </c>
      <c r="AD92" t="s">
        <v>86</v>
      </c>
      <c r="AE92">
        <f t="shared" si="8"/>
        <v>7</v>
      </c>
      <c r="AF92" t="str">
        <f t="shared" si="9"/>
        <v>July</v>
      </c>
    </row>
    <row r="93" spans="1:32">
      <c r="A93" s="1">
        <v>45485</v>
      </c>
      <c r="B93" t="s">
        <v>38</v>
      </c>
      <c r="C93" t="s">
        <v>115</v>
      </c>
      <c r="D93" t="s">
        <v>73</v>
      </c>
      <c r="E93" t="s">
        <v>116</v>
      </c>
      <c r="F93" t="s">
        <v>75</v>
      </c>
      <c r="G93" t="s">
        <v>76</v>
      </c>
      <c r="H93" t="s">
        <v>77</v>
      </c>
      <c r="I93" t="s">
        <v>78</v>
      </c>
      <c r="J93" t="s">
        <v>79</v>
      </c>
      <c r="K93" t="s">
        <v>73</v>
      </c>
      <c r="L93" t="s">
        <v>38</v>
      </c>
      <c r="M93" t="s">
        <v>21</v>
      </c>
      <c r="N93" t="s">
        <v>117</v>
      </c>
      <c r="O93" t="s">
        <v>80</v>
      </c>
      <c r="P93">
        <v>270564</v>
      </c>
      <c r="Q93" t="s">
        <v>88</v>
      </c>
      <c r="R93" t="s">
        <v>89</v>
      </c>
      <c r="S93" t="s">
        <v>81</v>
      </c>
      <c r="T93">
        <v>0</v>
      </c>
      <c r="U93">
        <v>0.25</v>
      </c>
      <c r="V93" s="2">
        <v>1.0416666666666666E-2</v>
      </c>
      <c r="W93">
        <v>0</v>
      </c>
      <c r="AA93" t="s">
        <v>83</v>
      </c>
      <c r="AB93" t="s">
        <v>84</v>
      </c>
      <c r="AC93" t="s">
        <v>117</v>
      </c>
      <c r="AD93" t="s">
        <v>86</v>
      </c>
      <c r="AE93">
        <f t="shared" si="8"/>
        <v>7</v>
      </c>
      <c r="AF93" t="str">
        <f t="shared" si="9"/>
        <v>July</v>
      </c>
    </row>
    <row r="94" spans="1:32">
      <c r="A94" s="1"/>
      <c r="V94" s="2"/>
    </row>
    <row r="95" spans="1:32">
      <c r="A95" s="1"/>
      <c r="V95" s="2"/>
    </row>
    <row r="96" spans="1:3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585D96-2902-4FED-9F69-D2431DDDD283}"/>
</file>

<file path=customXml/itemProps2.xml><?xml version="1.0" encoding="utf-8"?>
<ds:datastoreItem xmlns:ds="http://schemas.openxmlformats.org/officeDocument/2006/customXml" ds:itemID="{B5357EB6-2D79-4C0A-81EA-87906313AD41}"/>
</file>

<file path=customXml/itemProps3.xml><?xml version="1.0" encoding="utf-8"?>
<ds:datastoreItem xmlns:ds="http://schemas.openxmlformats.org/officeDocument/2006/customXml" ds:itemID="{A603EE58-D48A-4E6A-991F-17C6D1F55B60}"/>
</file>

<file path=customXml/itemProps4.xml><?xml version="1.0" encoding="utf-8"?>
<ds:datastoreItem xmlns:ds="http://schemas.openxmlformats.org/officeDocument/2006/customXml" ds:itemID="{1E44A2D7-3C65-40C5-BDC3-894F0CBFC7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2024-04-02T08:03:36Z</dcterms:created>
  <dcterms:modified xsi:type="dcterms:W3CDTF">2024-07-22T07:41:01Z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