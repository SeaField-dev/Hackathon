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4"/>
  <workbookPr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103" documentId="13_ncr:40009_{BBCEBA60-E38F-4EE1-BDB9-DA93CE793831}" xr6:coauthVersionLast="47" xr6:coauthVersionMax="47" xr10:uidLastSave="{38C2F0D1-7DF8-4BB5-81BB-58B955A741B7}"/>
  <bookViews>
    <workbookView xWindow="-28920" yWindow="-120" windowWidth="29040" windowHeight="15720" xr2:uid="{00000000-000D-0000-FFFF-FFFF00000000}"/>
  </bookViews>
  <sheets>
    <sheet name="Pivot" sheetId="2" r:id="rId1"/>
    <sheet name="Project Timesheets" sheetId="1" r:id="rId2"/>
  </sheets>
  <calcPr calcId="191028"/>
  <pivotCaches>
    <pivotCache cacheId="259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" l="1"/>
  <c r="AF3" i="1" s="1"/>
  <c r="AE4" i="1"/>
  <c r="AF4" i="1" s="1"/>
  <c r="AE5" i="1"/>
  <c r="AF5" i="1" s="1"/>
  <c r="AE6" i="1"/>
  <c r="AF6" i="1" s="1"/>
  <c r="AE7" i="1"/>
  <c r="AF7" i="1"/>
  <c r="AE8" i="1"/>
  <c r="AF8" i="1"/>
  <c r="AE9" i="1"/>
  <c r="AF9" i="1"/>
  <c r="AE10" i="1"/>
  <c r="AF10" i="1" s="1"/>
  <c r="AE11" i="1"/>
  <c r="AF11" i="1" s="1"/>
  <c r="AE12" i="1"/>
  <c r="AF12" i="1" s="1"/>
  <c r="AE13" i="1"/>
  <c r="AF13" i="1"/>
  <c r="AE14" i="1"/>
  <c r="AF14" i="1" s="1"/>
  <c r="AE2" i="1" l="1"/>
  <c r="AF2" i="1" s="1"/>
</calcChain>
</file>

<file path=xl/sharedStrings.xml><?xml version="1.0" encoding="utf-8"?>
<sst xmlns="http://schemas.openxmlformats.org/spreadsheetml/2006/main" count="334" uniqueCount="94">
  <si>
    <t>Month</t>
  </si>
  <si>
    <t>(All)</t>
  </si>
  <si>
    <t>&lt;- Filter By Month</t>
  </si>
  <si>
    <t>Billable Timecode</t>
  </si>
  <si>
    <t>Billable timecode</t>
  </si>
  <si>
    <t>Phase</t>
  </si>
  <si>
    <t>Hours</t>
  </si>
  <si>
    <t>Lower Bound</t>
  </si>
  <si>
    <t>Upper Bound</t>
  </si>
  <si>
    <t>Sum of Hours</t>
  </si>
  <si>
    <t>Column Labels</t>
  </si>
  <si>
    <t>Analysis</t>
  </si>
  <si>
    <t>8 - 10</t>
  </si>
  <si>
    <t xml:space="preserve">£960 </t>
  </si>
  <si>
    <t xml:space="preserve"> £1,200 </t>
  </si>
  <si>
    <t>Row Labels</t>
  </si>
  <si>
    <t>Build</t>
  </si>
  <si>
    <t>Grand Total</t>
  </si>
  <si>
    <t>40 - 48</t>
  </si>
  <si>
    <t xml:space="preserve">£4,800 </t>
  </si>
  <si>
    <t xml:space="preserve"> £5,760 </t>
  </si>
  <si>
    <t>Sam Duncan</t>
  </si>
  <si>
    <t>Project Management</t>
  </si>
  <si>
    <t>4 - 5</t>
  </si>
  <si>
    <t xml:space="preserve">£480 </t>
  </si>
  <si>
    <t xml:space="preserve"> £600 </t>
  </si>
  <si>
    <t>Anjali Salecha</t>
  </si>
  <si>
    <t>UAT</t>
  </si>
  <si>
    <t>Production</t>
  </si>
  <si>
    <t>5 - 6.5</t>
  </si>
  <si>
    <t xml:space="preserve">£600 </t>
  </si>
  <si>
    <t xml:space="preserve"> £780 </t>
  </si>
  <si>
    <t>Total</t>
  </si>
  <si>
    <t>65 - 80</t>
  </si>
  <si>
    <t xml:space="preserve">£7,800 </t>
  </si>
  <si>
    <t xml:space="preserve"> £9,540 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</si>
  <si>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</si>
  <si>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</si>
  <si>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</si>
  <si>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</si>
  <si>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</si>
  <si>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</si>
  <si>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</si>
  <si>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</si>
  <si>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</si>
  <si>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</si>
  <si>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</si>
  <si>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</si>
  <si>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</si>
  <si>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</si>
  <si>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</si>
  <si>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</si>
  <si>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</si>
  <si>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</si>
  <si>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</si>
  <si>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</si>
  <si>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</si>
  <si>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</si>
  <si>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</si>
  <si>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</si>
  <si>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</si>
  <si>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</si>
  <si>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</si>
  <si>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</si>
  <si>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</si>
  <si>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Hourly</t>
  </si>
  <si>
    <t>Open Box Software (Pty) Ltd (Open Box SA)</t>
  </si>
  <si>
    <t>Salesforce</t>
  </si>
  <si>
    <t>SA</t>
  </si>
  <si>
    <t>Grainger PLC</t>
  </si>
  <si>
    <t>OB-000654</t>
  </si>
  <si>
    <t>GDPR Anonymisation</t>
  </si>
  <si>
    <t>Billable</t>
  </si>
  <si>
    <t>Shaun Barrett</t>
  </si>
  <si>
    <t>Delivery</t>
  </si>
  <si>
    <t>Standard Timecode</t>
  </si>
  <si>
    <t>GBP</t>
  </si>
  <si>
    <t>Reviewed</t>
  </si>
  <si>
    <t>1. Daily standup. 2. Analysing stories 3. Understanding existing code in github 4. Discussion with Sam.</t>
  </si>
  <si>
    <t>Not submitted</t>
  </si>
  <si>
    <t>GA-3 Worked on setting up fieldsets and other new fields and prefixed github code with 'GDPR_'</t>
  </si>
  <si>
    <t>Delivery (Non-Billable)</t>
  </si>
  <si>
    <t>Non-billable timecode</t>
  </si>
  <si>
    <t>GDPR Anonymisation - Refinement Session (OpenBox)</t>
  </si>
  <si>
    <t>1. Worked on GA-3. New fields on Contact Account and Lead. Prepared list of changes.</t>
  </si>
  <si>
    <t>Carami Le Grange</t>
  </si>
  <si>
    <t>Salaried / Fixed</t>
  </si>
  <si>
    <t>Custom Software</t>
  </si>
  <si>
    <t xml:space="preserve"> </t>
  </si>
  <si>
    <t>Grainger GDPR kick-off &amp; Jira check</t>
  </si>
  <si>
    <t>refinement</t>
  </si>
  <si>
    <t>Khonani Davhana</t>
  </si>
  <si>
    <t>Implementation approach</t>
  </si>
  <si>
    <t>Refinement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</si>
</sst>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9" fillId="33" borderId="10" xfId="0" applyFont="1" applyFill="1" applyBorder="1" applyAlignment="1">
      <alignment horizontal="justify" vertical="center"/>
    </xf>
    <xf numFmtId="0" fontId="19" fillId="33" borderId="11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justify" vertical="center"/>
    </xf>
    <xf numFmtId="0" fontId="20" fillId="0" borderId="12" xfId="0" applyFont="1" applyBorder="1" applyAlignment="1">
      <alignment horizontal="justify" vertical="center"/>
    </xf>
    <xf numFmtId="0" fontId="20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right" vertical="center"/>
    </xf>
    <xf numFmtId="0" fontId="19" fillId="34" borderId="14" xfId="0" applyFont="1" applyFill="1" applyBorder="1" applyAlignment="1">
      <alignment horizontal="justify" vertical="center"/>
    </xf>
    <xf numFmtId="0" fontId="19" fillId="34" borderId="15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right" vertical="center"/>
    </xf>
    <xf numFmtId="0" fontId="16" fillId="35" borderId="0" xfId="0" applyFont="1" applyFill="1"/>
    <xf numFmtId="0" fontId="14" fillId="0" borderId="0" xfId="0" applyFont="1"/>
    <xf numFmtId="0" fontId="21" fillId="0" borderId="0" xfId="0" applyFont="1"/>
    <xf numFmtId="164" fontId="0" fillId="0" borderId="0" xfId="0" applyNumberFormat="1"/>
    <xf numFmtId="0" fontId="20" fillId="0" borderId="13" xfId="0" quotePrefix="1" applyFont="1" applyBorder="1" applyAlignment="1">
      <alignment horizontal="center" vertical="center"/>
    </xf>
    <xf numFmtId="16" fontId="20" fillId="0" borderId="13" xfId="0" quotePrefix="1" applyNumberFormat="1" applyFont="1" applyBorder="1" applyAlignment="1">
      <alignment horizontal="center" vertical="center"/>
    </xf>
    <xf numFmtId="49" fontId="20" fillId="0" borderId="13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auto="1"/>
      </font>
    </dxf>
    <dxf>
      <numFmt numFmtId="164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440.656220717596" createdVersion="8" refreshedVersion="8" minRefreshableVersion="3" recordCount="13" xr:uid="{08E90EB9-EF46-4D96-AA88-1E215A9D07A5}">
  <cacheSource type="worksheet">
    <worksheetSource ref="A1:AF14" sheet="Project Timesheets"/>
  </cacheSource>
  <cacheFields count="32">
    <cacheField name="Date" numFmtId="15">
      <sharedItems containsSemiMixedTypes="0" containsNonDate="0" containsDate="1" containsString="0" minDate="2024-05-20T00:00:00" maxDate="2024-05-28T00:00:00"/>
    </cacheField>
    <cacheField name="Person" numFmtId="0">
      <sharedItems count="4">
        <s v="Anjali Salecha"/>
        <s v="Carami Le Grange"/>
        <s v="Khonani Davhana"/>
        <s v="Sam Duncan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49451" maxValue="251984"/>
    </cacheField>
    <cacheField name="Timecode Name" numFmtId="0">
      <sharedItems count="2">
        <s v="Build"/>
        <s v="Delivery (Non-Billable)"/>
      </sharedItems>
    </cacheField>
    <cacheField name="Billable Timecode" numFmtId="0">
      <sharedItems count="2">
        <s v="Billable timecode"/>
        <s v="Non-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8"/>
    </cacheField>
    <cacheField name="Time" numFmtId="20">
      <sharedItems containsSemiMixedTypes="0" containsNonDate="0" containsDate="1" containsString="0" minDate="1899-12-30T00:15:00" maxDate="1899-12-30T08:00:00"/>
    </cacheField>
    <cacheField name="Worked Amount" numFmtId="0">
      <sharedItems containsSemiMixedTypes="0" containsString="0" containsNumber="1" containsInteger="1" minValue="0" maxValue="720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5" maxValue="5"/>
    </cacheField>
    <cacheField name="Month" numFmtId="0">
      <sharedItems count="1">
        <s v="Ma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d v="2024-05-22T00:00:00"/>
    <x v="0"/>
    <s v="Hourly"/>
    <s v="Open Box Software (Pty) Ltd (Open Box SA)"/>
    <s v="Salesforce"/>
    <s v="SA"/>
    <s v="Grainger PLC"/>
    <s v="OB-000654"/>
    <s v="GDPR Anonymisation"/>
    <s v="Billable"/>
    <s v="Open Box Software (Pty) Ltd (Open Box SA)"/>
    <s v="Shaun Barrett"/>
    <s v="Sam Duncan"/>
    <s v="Sam Duncan"/>
    <s v="Delivery"/>
    <n v="250098"/>
    <x v="0"/>
    <x v="0"/>
    <s v="Standard Timecode"/>
    <n v="90"/>
    <n v="8"/>
    <d v="1899-12-30T08:00:00"/>
    <n v="720"/>
    <m/>
    <m/>
    <m/>
    <s v="GBP"/>
    <s v="Reviewed"/>
    <s v="1. Daily standup. 2. Analysing stories 3. Understanding existing code in github 4. Discussion with Sam."/>
    <s v="Not submitted"/>
    <n v="5"/>
    <x v="0"/>
  </r>
  <r>
    <d v="2024-05-23T00:00:00"/>
    <x v="0"/>
    <s v="Hourly"/>
    <s v="Open Box Software (Pty) Ltd (Open Box SA)"/>
    <s v="Salesforce"/>
    <s v="SA"/>
    <s v="Grainger PLC"/>
    <s v="OB-000654"/>
    <s v="GDPR Anonymisation"/>
    <s v="Billable"/>
    <s v="Open Box Software (Pty) Ltd (Open Box SA)"/>
    <s v="Shaun Barrett"/>
    <s v="Sam Duncan"/>
    <s v="Sam Duncan"/>
    <s v="Delivery"/>
    <n v="251587"/>
    <x v="0"/>
    <x v="0"/>
    <s v="Standard Timecode"/>
    <n v="90"/>
    <n v="3"/>
    <d v="1899-12-30T03:00:00"/>
    <n v="270"/>
    <m/>
    <m/>
    <m/>
    <s v="GBP"/>
    <m/>
    <s v="GA-3 Worked on setting up fieldsets and other new fields and prefixed github code with 'GDPR_'"/>
    <s v="Not submitted"/>
    <n v="5"/>
    <x v="0"/>
  </r>
  <r>
    <d v="2024-05-24T00:00:00"/>
    <x v="0"/>
    <s v="Hourly"/>
    <s v="Open Box Software (Pty) Ltd (Open Box SA)"/>
    <s v="Salesforce"/>
    <s v="SA"/>
    <s v="Grainger PLC"/>
    <s v="OB-000654"/>
    <s v="GDPR Anonymisation"/>
    <s v="Billable"/>
    <s v="Open Box Software (Pty) Ltd (Open Box SA)"/>
    <s v="Shaun Barrett"/>
    <s v="Sam Duncan"/>
    <s v="Sam Duncan"/>
    <s v="Delivery"/>
    <n v="251329"/>
    <x v="1"/>
    <x v="1"/>
    <s v="Standard Timecode"/>
    <n v="0"/>
    <n v="1"/>
    <d v="1899-12-30T01:00:00"/>
    <n v="0"/>
    <m/>
    <m/>
    <m/>
    <s v="GBP"/>
    <m/>
    <s v="GDPR Anonymisation - Refinement Session (OpenBox)"/>
    <s v="Not submitted"/>
    <n v="5"/>
    <x v="0"/>
  </r>
  <r>
    <d v="2024-05-27T00:00:00"/>
    <x v="0"/>
    <s v="Hourly"/>
    <s v="Open Box Software (Pty) Ltd (Open Box SA)"/>
    <s v="Salesforce"/>
    <s v="SA"/>
    <s v="Grainger PLC"/>
    <s v="OB-000654"/>
    <s v="GDPR Anonymisation"/>
    <s v="Billable"/>
    <s v="Open Box Software (Pty) Ltd (Open Box SA)"/>
    <s v="Shaun Barrett"/>
    <s v="Sam Duncan"/>
    <s v="Sam Duncan"/>
    <s v="Delivery"/>
    <n v="251984"/>
    <x v="0"/>
    <x v="0"/>
    <s v="Standard Timecode"/>
    <n v="90"/>
    <n v="2.5"/>
    <d v="1899-12-30T02:30:00"/>
    <n v="225"/>
    <m/>
    <m/>
    <m/>
    <s v="GBP"/>
    <m/>
    <s v="1. Worked on GA-3. New fields on Contact Account and Lead. Prepared list of changes."/>
    <s v="Not submitted"/>
    <n v="5"/>
    <x v="0"/>
  </r>
  <r>
    <d v="2024-05-20T00:00:00"/>
    <x v="1"/>
    <s v="Salaried / Fixed"/>
    <s v="Open Box Software (Pty) Ltd (Open Box SA)"/>
    <s v="Custom Software"/>
    <s v="SA"/>
    <s v="Grainger PLC"/>
    <s v="OB-000654"/>
    <s v="GDPR Anonymisation"/>
    <s v="Billable"/>
    <s v="Open Box Software (Pty) Ltd (Open Box SA)"/>
    <s v="Shaun Barrett"/>
    <s v="Sam Duncan"/>
    <s v=" "/>
    <s v="Delivery"/>
    <n v="249451"/>
    <x v="1"/>
    <x v="1"/>
    <s v="Standard Timecode"/>
    <n v="0"/>
    <n v="0.75"/>
    <d v="1899-12-30T00:45:00"/>
    <n v="0"/>
    <m/>
    <m/>
    <m/>
    <s v="GBP"/>
    <m/>
    <s v="Grainger GDPR kick-off &amp; Jira check"/>
    <s v="Not submitted"/>
    <n v="5"/>
    <x v="0"/>
  </r>
  <r>
    <d v="2024-05-24T00:00:00"/>
    <x v="1"/>
    <s v="Salaried / Fixed"/>
    <s v="Open Box Software (Pty) Ltd (Open Box SA)"/>
    <s v="Custom Software"/>
    <s v="SA"/>
    <s v="Grainger PLC"/>
    <s v="OB-000654"/>
    <s v="GDPR Anonymisation"/>
    <s v="Billable"/>
    <s v="Open Box Software (Pty) Ltd (Open Box SA)"/>
    <s v="Shaun Barrett"/>
    <s v="Sam Duncan"/>
    <s v=" "/>
    <s v="Delivery"/>
    <n v="251387"/>
    <x v="1"/>
    <x v="1"/>
    <s v="Standard Timecode"/>
    <n v="0"/>
    <n v="1"/>
    <d v="1899-12-30T01:00:00"/>
    <n v="0"/>
    <m/>
    <m/>
    <m/>
    <s v="GBP"/>
    <m/>
    <s v="refinement"/>
    <s v="Not submitted"/>
    <n v="5"/>
    <x v="0"/>
  </r>
  <r>
    <d v="2024-05-20T00:00:00"/>
    <x v="2"/>
    <s v="Salaried / Fixed"/>
    <s v="Open Box Software (Pty) Ltd (Open Box SA)"/>
    <s v="Salesforce"/>
    <s v="SA"/>
    <s v="Grainger PLC"/>
    <s v="OB-000654"/>
    <s v="GDPR Anonymisation"/>
    <s v="Billable"/>
    <s v="Open Box Software (Pty) Ltd (Open Box SA)"/>
    <s v="Shaun Barrett"/>
    <s v="Sam Duncan"/>
    <s v=" "/>
    <s v="Delivery"/>
    <n v="249510"/>
    <x v="1"/>
    <x v="1"/>
    <s v="Standard Timecode"/>
    <n v="0"/>
    <n v="0.5"/>
    <d v="1899-12-30T00:30:00"/>
    <n v="0"/>
    <m/>
    <m/>
    <m/>
    <s v="GBP"/>
    <m/>
    <s v=" "/>
    <s v="Not submitted"/>
    <n v="5"/>
    <x v="0"/>
  </r>
  <r>
    <d v="2024-05-21T00:00:00"/>
    <x v="2"/>
    <s v="Salaried / Fixed"/>
    <s v="Open Box Software (Pty) Ltd (Open Box SA)"/>
    <s v="Salesforce"/>
    <s v="SA"/>
    <s v="Grainger PLC"/>
    <s v="OB-000654"/>
    <s v="GDPR Anonymisation"/>
    <s v="Billable"/>
    <s v="Open Box Software (Pty) Ltd (Open Box SA)"/>
    <s v="Shaun Barrett"/>
    <s v="Sam Duncan"/>
    <s v=" "/>
    <s v="Delivery"/>
    <n v="249509"/>
    <x v="1"/>
    <x v="1"/>
    <s v="Standard Timecode"/>
    <n v="0"/>
    <n v="0.25"/>
    <d v="1899-12-30T00:15:00"/>
    <n v="0"/>
    <m/>
    <m/>
    <m/>
    <s v="GBP"/>
    <m/>
    <s v=" "/>
    <s v="Not submitted"/>
    <n v="5"/>
    <x v="0"/>
  </r>
  <r>
    <d v="2024-05-22T00:00:00"/>
    <x v="2"/>
    <s v="Salaried / Fixed"/>
    <s v="Open Box Software (Pty) Ltd (Open Box SA)"/>
    <s v="Salesforce"/>
    <s v="SA"/>
    <s v="Grainger PLC"/>
    <s v="OB-000654"/>
    <s v="GDPR Anonymisation"/>
    <s v="Billable"/>
    <s v="Open Box Software (Pty) Ltd (Open Box SA)"/>
    <s v="Shaun Barrett"/>
    <s v="Sam Duncan"/>
    <s v=" "/>
    <s v="Delivery"/>
    <n v="250689"/>
    <x v="1"/>
    <x v="1"/>
    <s v="Standard Timecode"/>
    <n v="0"/>
    <n v="0.25"/>
    <d v="1899-12-30T00:15:00"/>
    <n v="0"/>
    <m/>
    <m/>
    <m/>
    <s v="GBP"/>
    <m/>
    <s v=" "/>
    <s v="Not submitted"/>
    <n v="5"/>
    <x v="0"/>
  </r>
  <r>
    <d v="2024-05-23T00:00:00"/>
    <x v="2"/>
    <s v="Salaried / Fixed"/>
    <s v="Open Box Software (Pty) Ltd (Open Box SA)"/>
    <s v="Salesforce"/>
    <s v="SA"/>
    <s v="Grainger PLC"/>
    <s v="OB-000654"/>
    <s v="GDPR Anonymisation"/>
    <s v="Billable"/>
    <s v="Open Box Software (Pty) Ltd (Open Box SA)"/>
    <s v="Shaun Barrett"/>
    <s v="Sam Duncan"/>
    <s v=" "/>
    <s v="Delivery"/>
    <n v="250690"/>
    <x v="1"/>
    <x v="1"/>
    <s v="Standard Timecode"/>
    <n v="0"/>
    <n v="0.25"/>
    <d v="1899-12-30T00:15:00"/>
    <n v="0"/>
    <m/>
    <m/>
    <m/>
    <s v="GBP"/>
    <m/>
    <s v=" "/>
    <s v="Not submitted"/>
    <n v="5"/>
    <x v="0"/>
  </r>
  <r>
    <d v="2024-05-24T00:00:00"/>
    <x v="2"/>
    <s v="Salaried / Fixed"/>
    <s v="Open Box Software (Pty) Ltd (Open Box SA)"/>
    <s v="Salesforce"/>
    <s v="SA"/>
    <s v="Grainger PLC"/>
    <s v="OB-000654"/>
    <s v="GDPR Anonymisation"/>
    <s v="Billable"/>
    <s v="Open Box Software (Pty) Ltd (Open Box SA)"/>
    <s v="Shaun Barrett"/>
    <s v="Sam Duncan"/>
    <s v=" "/>
    <s v="Delivery"/>
    <n v="251355"/>
    <x v="1"/>
    <x v="1"/>
    <s v="Standard Timecode"/>
    <n v="0"/>
    <n v="1"/>
    <d v="1899-12-30T01:00:00"/>
    <n v="0"/>
    <m/>
    <m/>
    <m/>
    <s v="GBP"/>
    <m/>
    <s v=" "/>
    <s v="Not submitted"/>
    <n v="5"/>
    <x v="0"/>
  </r>
  <r>
    <d v="2024-05-20T00:00:00"/>
    <x v="3"/>
    <s v="Salaried / Fixed"/>
    <s v="Open Box Software (Pty) Ltd (Open Box SA)"/>
    <s v="Salesforce"/>
    <s v="SA"/>
    <s v="Grainger PLC"/>
    <s v="OB-000654"/>
    <s v="GDPR Anonymisation"/>
    <s v="Billable"/>
    <s v="Open Box Software (Pty) Ltd (Open Box SA)"/>
    <s v="Shaun Barrett"/>
    <s v="Sam Duncan"/>
    <s v=" "/>
    <s v="Delivery"/>
    <n v="251755"/>
    <x v="0"/>
    <x v="0"/>
    <s v="Standard Timecode"/>
    <n v="90"/>
    <n v="2"/>
    <d v="1899-12-30T02:00:00"/>
    <n v="180"/>
    <m/>
    <m/>
    <m/>
    <s v="GBP"/>
    <m/>
    <s v="Implementation approach"/>
    <s v="Not submitted"/>
    <n v="5"/>
    <x v="0"/>
  </r>
  <r>
    <d v="2024-05-24T00:00:00"/>
    <x v="3"/>
    <s v="Salaried / Fixed"/>
    <s v="Open Box Software (Pty) Ltd (Open Box SA)"/>
    <s v="Salesforce"/>
    <s v="SA"/>
    <s v="Grainger PLC"/>
    <s v="OB-000654"/>
    <s v="GDPR Anonymisation"/>
    <s v="Billable"/>
    <s v="Open Box Software (Pty) Ltd (Open Box SA)"/>
    <s v="Shaun Barrett"/>
    <s v="Sam Duncan"/>
    <s v=" "/>
    <s v="Delivery"/>
    <n v="251770"/>
    <x v="0"/>
    <x v="0"/>
    <s v="Standard Timecode"/>
    <n v="90"/>
    <n v="1"/>
    <d v="1899-12-30T01:00:00"/>
    <n v="90"/>
    <m/>
    <m/>
    <m/>
    <s v="GBP"/>
    <m/>
    <s v="Refinement session"/>
    <s v="Not submitted"/>
    <n v="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B415B8-EAF2-430C-9ADB-89AD896C107C}" name="PivotTable1" cacheId="25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8" firstHeaderRow="1" firstDataRow="2" firstDataCol="1" rowPageCount="2" colPageCount="1"/>
  <pivotFields count="32">
    <pivotField numFmtId="15"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16"/>
  </colFields>
  <colItems count="2">
    <i>
      <x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 numFmtId="164"/>
  </dataFields>
  <formats count="2">
    <format dxfId="0">
      <pivotArea type="topRight" dataOnly="0" labelOnly="1" outline="0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/>
  </sheetViews>
  <sheetFormatPr defaultRowHeight="14.45"/>
  <cols>
    <col min="1" max="1" width="16.28515625" bestFit="1" customWidth="1"/>
    <col min="2" max="2" width="18.28515625" bestFit="1" customWidth="1"/>
    <col min="3" max="3" width="11" style="17" bestFit="1" customWidth="1"/>
    <col min="4" max="4" width="16.28515625" bestFit="1" customWidth="1"/>
    <col min="5" max="6" width="10.5703125" bestFit="1" customWidth="1"/>
    <col min="7" max="7" width="12" customWidth="1"/>
    <col min="8" max="8" width="21.42578125" customWidth="1"/>
    <col min="9" max="11" width="16.42578125" customWidth="1"/>
  </cols>
  <sheetData>
    <row r="1" spans="1:11">
      <c r="A1" s="4" t="s">
        <v>0</v>
      </c>
      <c r="B1" t="s">
        <v>1</v>
      </c>
      <c r="D1" s="15" t="s">
        <v>2</v>
      </c>
    </row>
    <row r="2" spans="1:11" ht="15" thickBot="1">
      <c r="A2" s="4" t="s">
        <v>3</v>
      </c>
      <c r="B2" t="s">
        <v>4</v>
      </c>
    </row>
    <row r="3" spans="1:11" ht="15" thickBot="1">
      <c r="C3"/>
      <c r="G3" s="16"/>
      <c r="H3" s="6" t="s">
        <v>5</v>
      </c>
      <c r="I3" s="7" t="s">
        <v>6</v>
      </c>
      <c r="J3" s="8" t="s">
        <v>7</v>
      </c>
      <c r="K3" s="8" t="s">
        <v>8</v>
      </c>
    </row>
    <row r="4" spans="1:11" ht="15" thickBot="1">
      <c r="A4" s="4" t="s">
        <v>9</v>
      </c>
      <c r="B4" s="4" t="s">
        <v>10</v>
      </c>
      <c r="H4" s="9" t="s">
        <v>11</v>
      </c>
      <c r="I4" s="19" t="s">
        <v>12</v>
      </c>
      <c r="J4" s="11" t="s">
        <v>13</v>
      </c>
      <c r="K4" s="11" t="s">
        <v>14</v>
      </c>
    </row>
    <row r="5" spans="1:11" ht="15" thickBot="1">
      <c r="A5" s="4" t="s">
        <v>15</v>
      </c>
      <c r="B5" t="s">
        <v>16</v>
      </c>
      <c r="C5" t="s">
        <v>17</v>
      </c>
      <c r="H5" s="9" t="s">
        <v>16</v>
      </c>
      <c r="I5" s="10" t="s">
        <v>18</v>
      </c>
      <c r="J5" s="11" t="s">
        <v>19</v>
      </c>
      <c r="K5" s="11" t="s">
        <v>20</v>
      </c>
    </row>
    <row r="6" spans="1:11" ht="15" thickBot="1">
      <c r="A6" s="5" t="s">
        <v>21</v>
      </c>
      <c r="B6" s="18">
        <v>3</v>
      </c>
      <c r="C6" s="18">
        <v>3</v>
      </c>
      <c r="H6" s="9" t="s">
        <v>22</v>
      </c>
      <c r="I6" s="20" t="s">
        <v>23</v>
      </c>
      <c r="J6" s="11" t="s">
        <v>24</v>
      </c>
      <c r="K6" s="11" t="s">
        <v>25</v>
      </c>
    </row>
    <row r="7" spans="1:11" ht="15" thickBot="1">
      <c r="A7" s="5" t="s">
        <v>26</v>
      </c>
      <c r="B7" s="18">
        <v>13.5</v>
      </c>
      <c r="C7" s="18">
        <v>13.5</v>
      </c>
      <c r="H7" s="9" t="s">
        <v>27</v>
      </c>
      <c r="I7" s="21" t="s">
        <v>12</v>
      </c>
      <c r="J7" s="11" t="s">
        <v>13</v>
      </c>
      <c r="K7" s="11" t="s">
        <v>14</v>
      </c>
    </row>
    <row r="8" spans="1:11" ht="15" thickBot="1">
      <c r="A8" s="5" t="s">
        <v>17</v>
      </c>
      <c r="B8" s="18">
        <v>16.5</v>
      </c>
      <c r="C8" s="18">
        <v>16.5</v>
      </c>
      <c r="H8" s="9" t="s">
        <v>28</v>
      </c>
      <c r="I8" s="10" t="s">
        <v>29</v>
      </c>
      <c r="J8" s="11" t="s">
        <v>30</v>
      </c>
      <c r="K8" s="11" t="s">
        <v>31</v>
      </c>
    </row>
    <row r="9" spans="1:11" ht="15" thickBot="1">
      <c r="C9"/>
      <c r="H9" s="12" t="s">
        <v>32</v>
      </c>
      <c r="I9" s="13" t="s">
        <v>33</v>
      </c>
      <c r="J9" s="14" t="s">
        <v>34</v>
      </c>
      <c r="K9" s="14" t="s">
        <v>35</v>
      </c>
    </row>
    <row r="10" spans="1:11" ht="15" thickTop="1">
      <c r="C10"/>
    </row>
    <row r="11" spans="1:11">
      <c r="C11"/>
    </row>
    <row r="12" spans="1:11">
      <c r="C12"/>
    </row>
    <row r="13" spans="1:11">
      <c r="C13"/>
    </row>
    <row r="14" spans="1:11">
      <c r="C14"/>
    </row>
    <row r="15" spans="1:11">
      <c r="C15"/>
    </row>
    <row r="16" spans="1:11">
      <c r="C16"/>
    </row>
    <row r="17" spans="3:3">
      <c r="C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87"/>
  <sheetViews>
    <sheetView topLeftCell="D1" workbookViewId="0">
      <pane ySplit="1" topLeftCell="A14" activePane="bottomLeft" state="frozen"/>
      <selection pane="bottomLeft"/>
    </sheetView>
  </sheetViews>
  <sheetFormatPr defaultRowHeight="14.45"/>
  <sheetData>
    <row r="1" spans="1:32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3</v>
      </c>
      <c r="S1" t="s">
        <v>53</v>
      </c>
      <c r="T1" t="s">
        <v>54</v>
      </c>
      <c r="U1" t="s">
        <v>6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s="3" t="s">
        <v>64</v>
      </c>
      <c r="AF1" s="3" t="s">
        <v>0</v>
      </c>
    </row>
    <row r="2" spans="1:32">
      <c r="A2" s="1">
        <v>45434</v>
      </c>
      <c r="B2" t="s">
        <v>26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t="s">
        <v>66</v>
      </c>
      <c r="L2" t="s">
        <v>73</v>
      </c>
      <c r="M2" t="s">
        <v>21</v>
      </c>
      <c r="N2" t="s">
        <v>21</v>
      </c>
      <c r="O2" t="s">
        <v>74</v>
      </c>
      <c r="P2">
        <v>250098</v>
      </c>
      <c r="Q2" t="s">
        <v>16</v>
      </c>
      <c r="R2" t="s">
        <v>4</v>
      </c>
      <c r="S2" t="s">
        <v>75</v>
      </c>
      <c r="T2">
        <v>90</v>
      </c>
      <c r="U2">
        <v>8</v>
      </c>
      <c r="V2" s="2">
        <v>0.33333333333333331</v>
      </c>
      <c r="W2">
        <v>720</v>
      </c>
      <c r="AA2" t="s">
        <v>76</v>
      </c>
      <c r="AB2" t="s">
        <v>77</v>
      </c>
      <c r="AC2" t="s">
        <v>78</v>
      </c>
      <c r="AD2" t="s">
        <v>79</v>
      </c>
      <c r="AE2">
        <f>MONTH(A2)</f>
        <v>5</v>
      </c>
      <c r="AF2" t="str">
        <f>IF(AE2=5,"May",IF(AE2=6,"June",IF(AE2=7,"July",IF(AE2=8,"August",IF(AE2=9,"September")))))</f>
        <v>May</v>
      </c>
    </row>
    <row r="3" spans="1:32">
      <c r="A3" s="1">
        <v>45435</v>
      </c>
      <c r="B3" t="s">
        <v>26</v>
      </c>
      <c r="C3" t="s">
        <v>65</v>
      </c>
      <c r="D3" t="s">
        <v>66</v>
      </c>
      <c r="E3" t="s">
        <v>67</v>
      </c>
      <c r="F3" t="s">
        <v>68</v>
      </c>
      <c r="G3" t="s">
        <v>69</v>
      </c>
      <c r="H3" t="s">
        <v>70</v>
      </c>
      <c r="I3" t="s">
        <v>71</v>
      </c>
      <c r="J3" t="s">
        <v>72</v>
      </c>
      <c r="K3" t="s">
        <v>66</v>
      </c>
      <c r="L3" t="s">
        <v>73</v>
      </c>
      <c r="M3" t="s">
        <v>21</v>
      </c>
      <c r="N3" t="s">
        <v>21</v>
      </c>
      <c r="O3" t="s">
        <v>74</v>
      </c>
      <c r="P3">
        <v>251587</v>
      </c>
      <c r="Q3" t="s">
        <v>16</v>
      </c>
      <c r="R3" t="s">
        <v>4</v>
      </c>
      <c r="S3" t="s">
        <v>75</v>
      </c>
      <c r="T3">
        <v>90</v>
      </c>
      <c r="U3">
        <v>3</v>
      </c>
      <c r="V3" s="2">
        <v>0.125</v>
      </c>
      <c r="W3">
        <v>270</v>
      </c>
      <c r="AA3" t="s">
        <v>76</v>
      </c>
      <c r="AC3" t="s">
        <v>80</v>
      </c>
      <c r="AD3" t="s">
        <v>79</v>
      </c>
      <c r="AE3">
        <f t="shared" ref="AE3:AE14" si="0">MONTH(A3)</f>
        <v>5</v>
      </c>
      <c r="AF3" t="str">
        <f t="shared" ref="AF3:AF14" si="1">IF(AE3=5,"May",IF(AE3=6,"June",IF(AE3=7,"July",IF(AE3=8,"August",IF(AE3=9,"September")))))</f>
        <v>May</v>
      </c>
    </row>
    <row r="4" spans="1:32">
      <c r="A4" s="1">
        <v>45436</v>
      </c>
      <c r="B4" t="s">
        <v>26</v>
      </c>
      <c r="C4" t="s">
        <v>65</v>
      </c>
      <c r="D4" t="s">
        <v>66</v>
      </c>
      <c r="E4" t="s">
        <v>67</v>
      </c>
      <c r="F4" t="s">
        <v>68</v>
      </c>
      <c r="G4" t="s">
        <v>69</v>
      </c>
      <c r="H4" t="s">
        <v>70</v>
      </c>
      <c r="I4" t="s">
        <v>71</v>
      </c>
      <c r="J4" t="s">
        <v>72</v>
      </c>
      <c r="K4" t="s">
        <v>66</v>
      </c>
      <c r="L4" t="s">
        <v>73</v>
      </c>
      <c r="M4" t="s">
        <v>21</v>
      </c>
      <c r="N4" t="s">
        <v>21</v>
      </c>
      <c r="O4" t="s">
        <v>74</v>
      </c>
      <c r="P4">
        <v>251329</v>
      </c>
      <c r="Q4" t="s">
        <v>81</v>
      </c>
      <c r="R4" t="s">
        <v>82</v>
      </c>
      <c r="S4" t="s">
        <v>75</v>
      </c>
      <c r="T4">
        <v>0</v>
      </c>
      <c r="U4">
        <v>1</v>
      </c>
      <c r="V4" s="2">
        <v>4.1666666666666664E-2</v>
      </c>
      <c r="W4">
        <v>0</v>
      </c>
      <c r="AA4" t="s">
        <v>76</v>
      </c>
      <c r="AC4" t="s">
        <v>83</v>
      </c>
      <c r="AD4" t="s">
        <v>79</v>
      </c>
      <c r="AE4">
        <f t="shared" si="0"/>
        <v>5</v>
      </c>
      <c r="AF4" t="str">
        <f t="shared" si="1"/>
        <v>May</v>
      </c>
    </row>
    <row r="5" spans="1:32">
      <c r="A5" s="1">
        <v>45439</v>
      </c>
      <c r="B5" t="s">
        <v>26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66</v>
      </c>
      <c r="L5" t="s">
        <v>73</v>
      </c>
      <c r="M5" t="s">
        <v>21</v>
      </c>
      <c r="N5" t="s">
        <v>21</v>
      </c>
      <c r="O5" t="s">
        <v>74</v>
      </c>
      <c r="P5">
        <v>251984</v>
      </c>
      <c r="Q5" t="s">
        <v>16</v>
      </c>
      <c r="R5" t="s">
        <v>4</v>
      </c>
      <c r="S5" t="s">
        <v>75</v>
      </c>
      <c r="T5">
        <v>90</v>
      </c>
      <c r="U5">
        <v>2.5</v>
      </c>
      <c r="V5" s="2">
        <v>0.10416666666666667</v>
      </c>
      <c r="W5">
        <v>225</v>
      </c>
      <c r="AA5" t="s">
        <v>76</v>
      </c>
      <c r="AC5" t="s">
        <v>84</v>
      </c>
      <c r="AD5" t="s">
        <v>79</v>
      </c>
      <c r="AE5">
        <f t="shared" si="0"/>
        <v>5</v>
      </c>
      <c r="AF5" t="str">
        <f t="shared" si="1"/>
        <v>May</v>
      </c>
    </row>
    <row r="6" spans="1:32">
      <c r="A6" s="1">
        <v>45432</v>
      </c>
      <c r="B6" t="s">
        <v>85</v>
      </c>
      <c r="C6" t="s">
        <v>86</v>
      </c>
      <c r="D6" t="s">
        <v>66</v>
      </c>
      <c r="E6" t="s">
        <v>87</v>
      </c>
      <c r="F6" t="s">
        <v>68</v>
      </c>
      <c r="G6" t="s">
        <v>69</v>
      </c>
      <c r="H6" t="s">
        <v>70</v>
      </c>
      <c r="I6" t="s">
        <v>71</v>
      </c>
      <c r="J6" t="s">
        <v>72</v>
      </c>
      <c r="K6" t="s">
        <v>66</v>
      </c>
      <c r="L6" t="s">
        <v>73</v>
      </c>
      <c r="M6" t="s">
        <v>21</v>
      </c>
      <c r="N6" t="s">
        <v>88</v>
      </c>
      <c r="O6" t="s">
        <v>74</v>
      </c>
      <c r="P6">
        <v>249451</v>
      </c>
      <c r="Q6" t="s">
        <v>81</v>
      </c>
      <c r="R6" t="s">
        <v>82</v>
      </c>
      <c r="S6" t="s">
        <v>75</v>
      </c>
      <c r="T6">
        <v>0</v>
      </c>
      <c r="U6">
        <v>0.75</v>
      </c>
      <c r="V6" s="2">
        <v>3.125E-2</v>
      </c>
      <c r="W6">
        <v>0</v>
      </c>
      <c r="AA6" t="s">
        <v>76</v>
      </c>
      <c r="AC6" t="s">
        <v>89</v>
      </c>
      <c r="AD6" t="s">
        <v>79</v>
      </c>
      <c r="AE6">
        <f t="shared" si="0"/>
        <v>5</v>
      </c>
      <c r="AF6" t="str">
        <f t="shared" si="1"/>
        <v>May</v>
      </c>
    </row>
    <row r="7" spans="1:32">
      <c r="A7" s="1">
        <v>45436</v>
      </c>
      <c r="B7" t="s">
        <v>85</v>
      </c>
      <c r="C7" t="s">
        <v>86</v>
      </c>
      <c r="D7" t="s">
        <v>66</v>
      </c>
      <c r="E7" t="s">
        <v>87</v>
      </c>
      <c r="F7" t="s">
        <v>68</v>
      </c>
      <c r="G7" t="s">
        <v>69</v>
      </c>
      <c r="H7" t="s">
        <v>70</v>
      </c>
      <c r="I7" t="s">
        <v>71</v>
      </c>
      <c r="J7" t="s">
        <v>72</v>
      </c>
      <c r="K7" t="s">
        <v>66</v>
      </c>
      <c r="L7" t="s">
        <v>73</v>
      </c>
      <c r="M7" t="s">
        <v>21</v>
      </c>
      <c r="N7" t="s">
        <v>88</v>
      </c>
      <c r="O7" t="s">
        <v>74</v>
      </c>
      <c r="P7">
        <v>251387</v>
      </c>
      <c r="Q7" t="s">
        <v>81</v>
      </c>
      <c r="R7" t="s">
        <v>82</v>
      </c>
      <c r="S7" t="s">
        <v>75</v>
      </c>
      <c r="T7">
        <v>0</v>
      </c>
      <c r="U7">
        <v>1</v>
      </c>
      <c r="V7" s="2">
        <v>4.1666666666666664E-2</v>
      </c>
      <c r="W7">
        <v>0</v>
      </c>
      <c r="AA7" t="s">
        <v>76</v>
      </c>
      <c r="AC7" t="s">
        <v>90</v>
      </c>
      <c r="AD7" t="s">
        <v>79</v>
      </c>
      <c r="AE7">
        <f t="shared" si="0"/>
        <v>5</v>
      </c>
      <c r="AF7" t="str">
        <f t="shared" si="1"/>
        <v>May</v>
      </c>
    </row>
    <row r="8" spans="1:32">
      <c r="A8" s="1">
        <v>45432</v>
      </c>
      <c r="B8" t="s">
        <v>91</v>
      </c>
      <c r="C8" t="s">
        <v>86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  <c r="K8" t="s">
        <v>66</v>
      </c>
      <c r="L8" t="s">
        <v>73</v>
      </c>
      <c r="M8" t="s">
        <v>21</v>
      </c>
      <c r="N8" t="s">
        <v>88</v>
      </c>
      <c r="O8" t="s">
        <v>74</v>
      </c>
      <c r="P8">
        <v>249510</v>
      </c>
      <c r="Q8" t="s">
        <v>81</v>
      </c>
      <c r="R8" t="s">
        <v>82</v>
      </c>
      <c r="S8" t="s">
        <v>75</v>
      </c>
      <c r="T8">
        <v>0</v>
      </c>
      <c r="U8">
        <v>0.5</v>
      </c>
      <c r="V8" s="2">
        <v>2.0833333333333332E-2</v>
      </c>
      <c r="W8">
        <v>0</v>
      </c>
      <c r="AA8" t="s">
        <v>76</v>
      </c>
      <c r="AC8" t="s">
        <v>88</v>
      </c>
      <c r="AD8" t="s">
        <v>79</v>
      </c>
      <c r="AE8">
        <f t="shared" si="0"/>
        <v>5</v>
      </c>
      <c r="AF8" t="str">
        <f t="shared" si="1"/>
        <v>May</v>
      </c>
    </row>
    <row r="9" spans="1:32">
      <c r="A9" s="1">
        <v>45433</v>
      </c>
      <c r="B9" t="s">
        <v>91</v>
      </c>
      <c r="C9" t="s">
        <v>86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  <c r="J9" t="s">
        <v>72</v>
      </c>
      <c r="K9" t="s">
        <v>66</v>
      </c>
      <c r="L9" t="s">
        <v>73</v>
      </c>
      <c r="M9" t="s">
        <v>21</v>
      </c>
      <c r="N9" t="s">
        <v>88</v>
      </c>
      <c r="O9" t="s">
        <v>74</v>
      </c>
      <c r="P9">
        <v>249509</v>
      </c>
      <c r="Q9" t="s">
        <v>81</v>
      </c>
      <c r="R9" t="s">
        <v>82</v>
      </c>
      <c r="S9" t="s">
        <v>75</v>
      </c>
      <c r="T9">
        <v>0</v>
      </c>
      <c r="U9">
        <v>0.25</v>
      </c>
      <c r="V9" s="2">
        <v>1.0416666666666666E-2</v>
      </c>
      <c r="W9">
        <v>0</v>
      </c>
      <c r="AA9" t="s">
        <v>76</v>
      </c>
      <c r="AC9" t="s">
        <v>88</v>
      </c>
      <c r="AD9" t="s">
        <v>79</v>
      </c>
      <c r="AE9">
        <f t="shared" si="0"/>
        <v>5</v>
      </c>
      <c r="AF9" t="str">
        <f t="shared" si="1"/>
        <v>May</v>
      </c>
    </row>
    <row r="10" spans="1:32">
      <c r="A10" s="1">
        <v>45434</v>
      </c>
      <c r="B10" t="s">
        <v>91</v>
      </c>
      <c r="C10" t="s">
        <v>86</v>
      </c>
      <c r="D10" t="s">
        <v>66</v>
      </c>
      <c r="E10" t="s">
        <v>67</v>
      </c>
      <c r="F10" t="s">
        <v>68</v>
      </c>
      <c r="G10" t="s">
        <v>69</v>
      </c>
      <c r="H10" t="s">
        <v>70</v>
      </c>
      <c r="I10" t="s">
        <v>71</v>
      </c>
      <c r="J10" t="s">
        <v>72</v>
      </c>
      <c r="K10" t="s">
        <v>66</v>
      </c>
      <c r="L10" t="s">
        <v>73</v>
      </c>
      <c r="M10" t="s">
        <v>21</v>
      </c>
      <c r="N10" t="s">
        <v>88</v>
      </c>
      <c r="O10" t="s">
        <v>74</v>
      </c>
      <c r="P10">
        <v>250689</v>
      </c>
      <c r="Q10" t="s">
        <v>81</v>
      </c>
      <c r="R10" t="s">
        <v>82</v>
      </c>
      <c r="S10" t="s">
        <v>75</v>
      </c>
      <c r="T10">
        <v>0</v>
      </c>
      <c r="U10">
        <v>0.25</v>
      </c>
      <c r="V10" s="2">
        <v>1.0416666666666666E-2</v>
      </c>
      <c r="W10">
        <v>0</v>
      </c>
      <c r="AA10" t="s">
        <v>76</v>
      </c>
      <c r="AC10" t="s">
        <v>88</v>
      </c>
      <c r="AD10" t="s">
        <v>79</v>
      </c>
      <c r="AE10">
        <f t="shared" si="0"/>
        <v>5</v>
      </c>
      <c r="AF10" t="str">
        <f t="shared" si="1"/>
        <v>May</v>
      </c>
    </row>
    <row r="11" spans="1:32">
      <c r="A11" s="1">
        <v>45435</v>
      </c>
      <c r="B11" t="s">
        <v>91</v>
      </c>
      <c r="C11" t="s">
        <v>86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  <c r="I11" t="s">
        <v>71</v>
      </c>
      <c r="J11" t="s">
        <v>72</v>
      </c>
      <c r="K11" t="s">
        <v>66</v>
      </c>
      <c r="L11" t="s">
        <v>73</v>
      </c>
      <c r="M11" t="s">
        <v>21</v>
      </c>
      <c r="N11" t="s">
        <v>88</v>
      </c>
      <c r="O11" t="s">
        <v>74</v>
      </c>
      <c r="P11">
        <v>250690</v>
      </c>
      <c r="Q11" t="s">
        <v>81</v>
      </c>
      <c r="R11" t="s">
        <v>82</v>
      </c>
      <c r="S11" t="s">
        <v>75</v>
      </c>
      <c r="T11">
        <v>0</v>
      </c>
      <c r="U11">
        <v>0.25</v>
      </c>
      <c r="V11" s="2">
        <v>1.0416666666666666E-2</v>
      </c>
      <c r="W11">
        <v>0</v>
      </c>
      <c r="AA11" t="s">
        <v>76</v>
      </c>
      <c r="AC11" t="s">
        <v>88</v>
      </c>
      <c r="AD11" t="s">
        <v>79</v>
      </c>
      <c r="AE11">
        <f t="shared" si="0"/>
        <v>5</v>
      </c>
      <c r="AF11" t="str">
        <f t="shared" si="1"/>
        <v>May</v>
      </c>
    </row>
    <row r="12" spans="1:32">
      <c r="A12" s="1">
        <v>45436</v>
      </c>
      <c r="B12" t="s">
        <v>91</v>
      </c>
      <c r="C12" t="s">
        <v>86</v>
      </c>
      <c r="D12" t="s">
        <v>66</v>
      </c>
      <c r="E12" t="s">
        <v>67</v>
      </c>
      <c r="F12" t="s">
        <v>68</v>
      </c>
      <c r="G12" t="s">
        <v>69</v>
      </c>
      <c r="H12" t="s">
        <v>70</v>
      </c>
      <c r="I12" t="s">
        <v>71</v>
      </c>
      <c r="J12" t="s">
        <v>72</v>
      </c>
      <c r="K12" t="s">
        <v>66</v>
      </c>
      <c r="L12" t="s">
        <v>73</v>
      </c>
      <c r="M12" t="s">
        <v>21</v>
      </c>
      <c r="N12" t="s">
        <v>88</v>
      </c>
      <c r="O12" t="s">
        <v>74</v>
      </c>
      <c r="P12">
        <v>251355</v>
      </c>
      <c r="Q12" t="s">
        <v>81</v>
      </c>
      <c r="R12" t="s">
        <v>82</v>
      </c>
      <c r="S12" t="s">
        <v>75</v>
      </c>
      <c r="T12">
        <v>0</v>
      </c>
      <c r="U12">
        <v>1</v>
      </c>
      <c r="V12" s="2">
        <v>4.1666666666666664E-2</v>
      </c>
      <c r="W12">
        <v>0</v>
      </c>
      <c r="AA12" t="s">
        <v>76</v>
      </c>
      <c r="AC12" t="s">
        <v>88</v>
      </c>
      <c r="AD12" t="s">
        <v>79</v>
      </c>
      <c r="AE12">
        <f t="shared" si="0"/>
        <v>5</v>
      </c>
      <c r="AF12" t="str">
        <f t="shared" si="1"/>
        <v>May</v>
      </c>
    </row>
    <row r="13" spans="1:32">
      <c r="A13" s="1">
        <v>45432</v>
      </c>
      <c r="B13" t="s">
        <v>21</v>
      </c>
      <c r="C13" t="s">
        <v>86</v>
      </c>
      <c r="D13" t="s">
        <v>66</v>
      </c>
      <c r="E13" t="s">
        <v>67</v>
      </c>
      <c r="F13" t="s">
        <v>68</v>
      </c>
      <c r="G13" t="s">
        <v>69</v>
      </c>
      <c r="H13" t="s">
        <v>70</v>
      </c>
      <c r="I13" t="s">
        <v>71</v>
      </c>
      <c r="J13" t="s">
        <v>72</v>
      </c>
      <c r="K13" t="s">
        <v>66</v>
      </c>
      <c r="L13" t="s">
        <v>73</v>
      </c>
      <c r="M13" t="s">
        <v>21</v>
      </c>
      <c r="N13" t="s">
        <v>88</v>
      </c>
      <c r="O13" t="s">
        <v>74</v>
      </c>
      <c r="P13">
        <v>251755</v>
      </c>
      <c r="Q13" t="s">
        <v>16</v>
      </c>
      <c r="R13" t="s">
        <v>4</v>
      </c>
      <c r="S13" t="s">
        <v>75</v>
      </c>
      <c r="T13">
        <v>90</v>
      </c>
      <c r="U13">
        <v>2</v>
      </c>
      <c r="V13" s="2">
        <v>8.3333333333333329E-2</v>
      </c>
      <c r="W13">
        <v>180</v>
      </c>
      <c r="AA13" t="s">
        <v>76</v>
      </c>
      <c r="AC13" t="s">
        <v>92</v>
      </c>
      <c r="AD13" t="s">
        <v>79</v>
      </c>
      <c r="AE13">
        <f t="shared" si="0"/>
        <v>5</v>
      </c>
      <c r="AF13" t="str">
        <f t="shared" si="1"/>
        <v>May</v>
      </c>
    </row>
    <row r="14" spans="1:32">
      <c r="A14" s="1">
        <v>45436</v>
      </c>
      <c r="B14" t="s">
        <v>21</v>
      </c>
      <c r="C14" t="s">
        <v>86</v>
      </c>
      <c r="D14" t="s">
        <v>66</v>
      </c>
      <c r="E14" t="s">
        <v>67</v>
      </c>
      <c r="F14" t="s">
        <v>68</v>
      </c>
      <c r="G14" t="s">
        <v>69</v>
      </c>
      <c r="H14" t="s">
        <v>70</v>
      </c>
      <c r="I14" t="s">
        <v>71</v>
      </c>
      <c r="J14" t="s">
        <v>72</v>
      </c>
      <c r="K14" t="s">
        <v>66</v>
      </c>
      <c r="L14" t="s">
        <v>73</v>
      </c>
      <c r="M14" t="s">
        <v>21</v>
      </c>
      <c r="N14" t="s">
        <v>88</v>
      </c>
      <c r="O14" t="s">
        <v>74</v>
      </c>
      <c r="P14">
        <v>251770</v>
      </c>
      <c r="Q14" t="s">
        <v>16</v>
      </c>
      <c r="R14" t="s">
        <v>4</v>
      </c>
      <c r="S14" t="s">
        <v>75</v>
      </c>
      <c r="T14">
        <v>90</v>
      </c>
      <c r="U14">
        <v>1</v>
      </c>
      <c r="V14" s="2">
        <v>4.1666666666666664E-2</v>
      </c>
      <c r="W14">
        <v>90</v>
      </c>
      <c r="AA14" t="s">
        <v>76</v>
      </c>
      <c r="AC14" t="s">
        <v>93</v>
      </c>
      <c r="AD14" t="s">
        <v>79</v>
      </c>
      <c r="AE14">
        <f t="shared" si="0"/>
        <v>5</v>
      </c>
      <c r="AF14" t="str">
        <f t="shared" si="1"/>
        <v>May</v>
      </c>
    </row>
    <row r="15" spans="1:32">
      <c r="A15" s="1"/>
      <c r="V15" s="2"/>
    </row>
    <row r="16" spans="1:32">
      <c r="A16" s="1"/>
      <c r="V16" s="2"/>
    </row>
    <row r="17" spans="1:22">
      <c r="A17" s="1"/>
      <c r="V17" s="2"/>
    </row>
    <row r="18" spans="1:22">
      <c r="A18" s="1"/>
      <c r="V18" s="2"/>
    </row>
    <row r="19" spans="1:22">
      <c r="A19" s="1"/>
      <c r="V19" s="2"/>
    </row>
    <row r="20" spans="1:22">
      <c r="A20" s="1"/>
      <c r="V20" s="2"/>
    </row>
    <row r="21" spans="1:22">
      <c r="A21" s="1"/>
      <c r="V21" s="2"/>
    </row>
    <row r="22" spans="1:22">
      <c r="A22" s="1"/>
      <c r="V22" s="2"/>
    </row>
    <row r="23" spans="1:22">
      <c r="A23" s="1"/>
      <c r="V23" s="2"/>
    </row>
    <row r="24" spans="1:22">
      <c r="A24" s="1"/>
      <c r="V24" s="2"/>
    </row>
    <row r="25" spans="1:22">
      <c r="A25" s="1"/>
      <c r="V25" s="2"/>
    </row>
    <row r="26" spans="1:22">
      <c r="A26" s="1"/>
      <c r="V26" s="2"/>
    </row>
    <row r="27" spans="1:22">
      <c r="A27" s="1"/>
      <c r="V27" s="2"/>
    </row>
    <row r="28" spans="1:22">
      <c r="A28" s="1"/>
      <c r="V28" s="2"/>
    </row>
    <row r="29" spans="1:22">
      <c r="A29" s="1"/>
      <c r="V29" s="2"/>
    </row>
    <row r="30" spans="1:22">
      <c r="A30" s="1"/>
      <c r="V30" s="2"/>
    </row>
    <row r="31" spans="1:22">
      <c r="A31" s="1"/>
      <c r="V31" s="2"/>
    </row>
    <row r="32" spans="1:22">
      <c r="A32" s="1"/>
      <c r="V32" s="2"/>
    </row>
    <row r="33" spans="1:22">
      <c r="A33" s="1"/>
      <c r="V33" s="2"/>
    </row>
    <row r="34" spans="1:22">
      <c r="A34" s="1"/>
      <c r="V34" s="2"/>
    </row>
    <row r="35" spans="1:22">
      <c r="A35" s="1"/>
      <c r="V35" s="2"/>
    </row>
    <row r="36" spans="1:22">
      <c r="A36" s="1"/>
      <c r="V36" s="2"/>
    </row>
    <row r="37" spans="1:22">
      <c r="A37" s="1"/>
      <c r="V37" s="2"/>
    </row>
    <row r="38" spans="1:22">
      <c r="A38" s="1"/>
      <c r="V38" s="2"/>
    </row>
    <row r="39" spans="1:22">
      <c r="A39" s="1"/>
      <c r="V39" s="2"/>
    </row>
    <row r="40" spans="1:22">
      <c r="A40" s="1"/>
      <c r="V40" s="2"/>
    </row>
    <row r="41" spans="1:22">
      <c r="A41" s="1"/>
      <c r="V41" s="2"/>
    </row>
    <row r="42" spans="1:22">
      <c r="A42" s="1"/>
      <c r="V42" s="2"/>
    </row>
    <row r="43" spans="1:22">
      <c r="A43" s="1"/>
      <c r="V43" s="2"/>
    </row>
    <row r="44" spans="1:22">
      <c r="A44" s="1"/>
      <c r="V44" s="2"/>
    </row>
    <row r="45" spans="1:22">
      <c r="A45" s="1"/>
      <c r="V45" s="2"/>
    </row>
    <row r="46" spans="1:22">
      <c r="A46" s="1"/>
      <c r="V46" s="2"/>
    </row>
    <row r="47" spans="1:22">
      <c r="A47" s="1"/>
      <c r="V47" s="2"/>
    </row>
    <row r="48" spans="1:22">
      <c r="A48" s="1"/>
      <c r="V48" s="2"/>
    </row>
    <row r="49" spans="1:22">
      <c r="A49" s="1"/>
      <c r="V49" s="2"/>
    </row>
    <row r="50" spans="1:22">
      <c r="A50" s="1"/>
      <c r="V50" s="2"/>
    </row>
    <row r="51" spans="1:22">
      <c r="A51" s="1"/>
      <c r="V51" s="2"/>
    </row>
    <row r="52" spans="1:22">
      <c r="A52" s="1"/>
      <c r="V52" s="2"/>
    </row>
    <row r="53" spans="1:22">
      <c r="A53" s="1"/>
      <c r="V53" s="2"/>
    </row>
    <row r="54" spans="1:22">
      <c r="A54" s="1"/>
      <c r="V54" s="2"/>
    </row>
    <row r="55" spans="1:22">
      <c r="A55" s="1"/>
      <c r="V55" s="2"/>
    </row>
    <row r="56" spans="1:22">
      <c r="A56" s="1"/>
      <c r="V56" s="2"/>
    </row>
    <row r="57" spans="1:22">
      <c r="A57" s="1"/>
      <c r="V57" s="2"/>
    </row>
    <row r="58" spans="1:22">
      <c r="A58" s="1"/>
      <c r="V58" s="2"/>
    </row>
    <row r="59" spans="1:22">
      <c r="A59" s="1"/>
      <c r="V59" s="2"/>
    </row>
    <row r="60" spans="1:22">
      <c r="A60" s="1"/>
      <c r="V60" s="2"/>
    </row>
    <row r="61" spans="1:22">
      <c r="A61" s="1"/>
      <c r="V61" s="2"/>
    </row>
    <row r="62" spans="1:22">
      <c r="A62" s="1"/>
      <c r="V62" s="2"/>
    </row>
    <row r="63" spans="1:22">
      <c r="A63" s="1"/>
      <c r="V63" s="2"/>
    </row>
    <row r="64" spans="1:22">
      <c r="A64" s="1"/>
      <c r="V64" s="2"/>
    </row>
    <row r="65" spans="1:22">
      <c r="A65" s="1"/>
      <c r="V65" s="2"/>
    </row>
    <row r="66" spans="1:22">
      <c r="A66" s="1"/>
      <c r="V66" s="2"/>
    </row>
    <row r="67" spans="1:22">
      <c r="A67" s="1"/>
      <c r="V67" s="2"/>
    </row>
    <row r="68" spans="1:22">
      <c r="A68" s="1"/>
      <c r="V68" s="2"/>
    </row>
    <row r="69" spans="1:22">
      <c r="A69" s="1"/>
      <c r="V69" s="2"/>
    </row>
    <row r="70" spans="1:22">
      <c r="A70" s="1"/>
      <c r="V70" s="2"/>
    </row>
    <row r="71" spans="1:22">
      <c r="A71" s="1"/>
      <c r="V71" s="2"/>
    </row>
    <row r="72" spans="1:22">
      <c r="A72" s="1"/>
      <c r="V72" s="2"/>
    </row>
    <row r="73" spans="1:22">
      <c r="A73" s="1"/>
      <c r="V73" s="2"/>
    </row>
    <row r="74" spans="1:22">
      <c r="A74" s="1"/>
      <c r="V74" s="2"/>
    </row>
    <row r="75" spans="1:22">
      <c r="A75" s="1"/>
      <c r="V75" s="2"/>
    </row>
    <row r="76" spans="1:22">
      <c r="A76" s="1"/>
      <c r="V76" s="2"/>
    </row>
    <row r="77" spans="1:22">
      <c r="A77" s="1"/>
      <c r="V77" s="2"/>
    </row>
    <row r="78" spans="1:22">
      <c r="A78" s="1"/>
      <c r="V78" s="2"/>
    </row>
    <row r="79" spans="1:22">
      <c r="A79" s="1"/>
      <c r="V79" s="2"/>
    </row>
    <row r="80" spans="1:22">
      <c r="A80" s="1"/>
      <c r="V80" s="2"/>
    </row>
    <row r="81" spans="1:22">
      <c r="A81" s="1"/>
      <c r="V81" s="2"/>
    </row>
    <row r="82" spans="1:22">
      <c r="A82" s="1"/>
      <c r="V82" s="2"/>
    </row>
    <row r="83" spans="1:22">
      <c r="A83" s="1"/>
      <c r="V83" s="2"/>
    </row>
    <row r="84" spans="1:22">
      <c r="A84" s="1"/>
      <c r="V84" s="2"/>
    </row>
    <row r="85" spans="1:22">
      <c r="A85" s="1"/>
      <c r="V85" s="2"/>
    </row>
    <row r="86" spans="1:22">
      <c r="A86" s="1"/>
      <c r="V86" s="2"/>
    </row>
    <row r="87" spans="1:22">
      <c r="A87" s="1"/>
      <c r="V87" s="2"/>
    </row>
    <row r="88" spans="1:22">
      <c r="A88" s="1"/>
      <c r="V88" s="2"/>
    </row>
    <row r="89" spans="1:22">
      <c r="A89" s="1"/>
      <c r="V89" s="2"/>
    </row>
    <row r="90" spans="1:22">
      <c r="A90" s="1"/>
      <c r="V90" s="2"/>
    </row>
    <row r="91" spans="1:22">
      <c r="A91" s="1"/>
      <c r="V91" s="2"/>
    </row>
    <row r="92" spans="1:22">
      <c r="A92" s="1"/>
      <c r="V92" s="2"/>
    </row>
    <row r="93" spans="1:22">
      <c r="A93" s="1"/>
      <c r="V93" s="2"/>
    </row>
    <row r="94" spans="1:22">
      <c r="A94" s="1"/>
      <c r="V94" s="2"/>
    </row>
    <row r="95" spans="1:22">
      <c r="A95" s="1"/>
      <c r="V95" s="2"/>
    </row>
    <row r="96" spans="1:22">
      <c r="A96" s="1"/>
      <c r="V96" s="2"/>
    </row>
    <row r="97" spans="1:22">
      <c r="A97" s="1"/>
      <c r="V97" s="2"/>
    </row>
    <row r="98" spans="1:22">
      <c r="A98" s="1"/>
      <c r="V98" s="2"/>
    </row>
    <row r="99" spans="1:22">
      <c r="A99" s="1"/>
      <c r="V99" s="2"/>
    </row>
    <row r="100" spans="1:22">
      <c r="A100" s="1"/>
      <c r="V100" s="2"/>
    </row>
    <row r="101" spans="1:22">
      <c r="A101" s="1"/>
      <c r="V101" s="2"/>
    </row>
    <row r="102" spans="1:22">
      <c r="A102" s="1"/>
      <c r="V102" s="2"/>
    </row>
    <row r="103" spans="1:22">
      <c r="A103" s="1"/>
      <c r="V103" s="2"/>
    </row>
    <row r="104" spans="1:22">
      <c r="A104" s="1"/>
      <c r="V104" s="2"/>
    </row>
    <row r="105" spans="1:22">
      <c r="A105" s="1"/>
      <c r="V105" s="2"/>
    </row>
    <row r="106" spans="1:22">
      <c r="A106" s="1"/>
      <c r="V106" s="2"/>
    </row>
    <row r="107" spans="1:22">
      <c r="A107" s="1"/>
      <c r="V107" s="2"/>
    </row>
    <row r="108" spans="1:22">
      <c r="A108" s="1"/>
      <c r="V108" s="2"/>
    </row>
    <row r="109" spans="1:22">
      <c r="A109" s="1"/>
      <c r="V109" s="2"/>
    </row>
    <row r="110" spans="1:22">
      <c r="A110" s="1"/>
      <c r="V110" s="2"/>
    </row>
    <row r="111" spans="1:22">
      <c r="A111" s="1"/>
      <c r="V111" s="2"/>
    </row>
    <row r="112" spans="1:22">
      <c r="A112" s="1"/>
      <c r="V112" s="2"/>
    </row>
    <row r="113" spans="1:22">
      <c r="A113" s="1"/>
      <c r="V113" s="2"/>
    </row>
    <row r="114" spans="1:22">
      <c r="A114" s="1"/>
      <c r="V114" s="2"/>
    </row>
    <row r="115" spans="1:22">
      <c r="A115" s="1"/>
      <c r="V115" s="2"/>
    </row>
    <row r="116" spans="1:22">
      <c r="A116" s="1"/>
      <c r="V116" s="2"/>
    </row>
    <row r="117" spans="1:22">
      <c r="A117" s="1"/>
      <c r="V117" s="2"/>
    </row>
    <row r="118" spans="1:22">
      <c r="A118" s="1"/>
      <c r="V118" s="2"/>
    </row>
    <row r="119" spans="1:22">
      <c r="A119" s="1"/>
      <c r="V119" s="2"/>
    </row>
    <row r="120" spans="1:22">
      <c r="A120" s="1"/>
      <c r="V120" s="2"/>
    </row>
    <row r="121" spans="1:22">
      <c r="A121" s="1"/>
      <c r="V121" s="2"/>
    </row>
    <row r="122" spans="1:22">
      <c r="A122" s="1"/>
      <c r="V122" s="2"/>
    </row>
    <row r="123" spans="1:22">
      <c r="A123" s="1"/>
      <c r="V123" s="2"/>
    </row>
    <row r="124" spans="1:22">
      <c r="A124" s="1"/>
      <c r="V124" s="2"/>
    </row>
    <row r="125" spans="1:22">
      <c r="A125" s="1"/>
      <c r="V125" s="2"/>
    </row>
    <row r="126" spans="1:22">
      <c r="A126" s="1"/>
      <c r="V126" s="2"/>
    </row>
    <row r="127" spans="1:22">
      <c r="A127" s="1"/>
      <c r="V127" s="2"/>
    </row>
    <row r="128" spans="1:22">
      <c r="A128" s="1"/>
      <c r="V128" s="2"/>
    </row>
    <row r="129" spans="1:22">
      <c r="A129" s="1"/>
      <c r="V129" s="2"/>
    </row>
    <row r="130" spans="1:22">
      <c r="A130" s="1"/>
      <c r="V130" s="2"/>
    </row>
    <row r="131" spans="1:22">
      <c r="A131" s="1"/>
      <c r="V131" s="2"/>
    </row>
    <row r="132" spans="1:22">
      <c r="A132" s="1"/>
      <c r="V132" s="2"/>
    </row>
    <row r="133" spans="1:22">
      <c r="A133" s="1"/>
      <c r="V133" s="2"/>
    </row>
    <row r="134" spans="1:22">
      <c r="A134" s="1"/>
      <c r="V134" s="2"/>
    </row>
    <row r="135" spans="1:22">
      <c r="A135" s="1"/>
      <c r="V135" s="2"/>
    </row>
    <row r="136" spans="1:22">
      <c r="A136" s="1"/>
      <c r="V136" s="2"/>
    </row>
    <row r="137" spans="1:22">
      <c r="A137" s="1"/>
      <c r="V137" s="2"/>
    </row>
    <row r="138" spans="1:22">
      <c r="A138" s="1"/>
      <c r="V138" s="2"/>
    </row>
    <row r="139" spans="1:22">
      <c r="A139" s="1"/>
      <c r="V139" s="2"/>
    </row>
    <row r="140" spans="1:22">
      <c r="A140" s="1"/>
      <c r="V140" s="2"/>
    </row>
    <row r="141" spans="1:22">
      <c r="A141" s="1"/>
      <c r="V141" s="2"/>
    </row>
    <row r="142" spans="1:22">
      <c r="A142" s="1"/>
      <c r="V142" s="2"/>
    </row>
    <row r="143" spans="1:22">
      <c r="A143" s="1"/>
      <c r="V143" s="2"/>
    </row>
    <row r="144" spans="1:22">
      <c r="A144" s="1"/>
      <c r="V144" s="2"/>
    </row>
    <row r="145" spans="1:22">
      <c r="A145" s="1"/>
      <c r="V145" s="2"/>
    </row>
    <row r="146" spans="1:22">
      <c r="A146" s="1"/>
      <c r="V146" s="2"/>
    </row>
    <row r="147" spans="1:22">
      <c r="A147" s="1"/>
      <c r="V147" s="2"/>
    </row>
    <row r="148" spans="1:22">
      <c r="A148" s="1"/>
      <c r="V148" s="2"/>
    </row>
    <row r="149" spans="1:22">
      <c r="A149" s="1"/>
      <c r="V149" s="2"/>
    </row>
    <row r="150" spans="1:22">
      <c r="A150" s="1"/>
      <c r="V150" s="2"/>
    </row>
    <row r="151" spans="1:22">
      <c r="A151" s="1"/>
      <c r="V151" s="2"/>
    </row>
    <row r="152" spans="1:22">
      <c r="A152" s="1"/>
      <c r="V152" s="2"/>
    </row>
    <row r="153" spans="1:22">
      <c r="A153" s="1"/>
      <c r="V153" s="2"/>
    </row>
    <row r="154" spans="1:22">
      <c r="A154" s="1"/>
      <c r="V154" s="2"/>
    </row>
    <row r="155" spans="1:22">
      <c r="A155" s="1"/>
      <c r="V155" s="2"/>
    </row>
    <row r="156" spans="1:22">
      <c r="A156" s="1"/>
      <c r="V156" s="2"/>
    </row>
    <row r="157" spans="1:22">
      <c r="A157" s="1"/>
      <c r="V157" s="2"/>
    </row>
    <row r="158" spans="1:22">
      <c r="A158" s="1"/>
      <c r="V158" s="2"/>
    </row>
    <row r="159" spans="1:22">
      <c r="A159" s="1"/>
      <c r="V159" s="2"/>
    </row>
    <row r="160" spans="1:22">
      <c r="A160" s="1"/>
      <c r="V160" s="2"/>
    </row>
    <row r="161" spans="1:22">
      <c r="A161" s="1"/>
      <c r="V161" s="2"/>
    </row>
    <row r="162" spans="1:22">
      <c r="A162" s="1"/>
      <c r="V162" s="2"/>
    </row>
    <row r="163" spans="1:22">
      <c r="A163" s="1"/>
      <c r="V163" s="2"/>
    </row>
    <row r="164" spans="1:22">
      <c r="A164" s="1"/>
      <c r="V164" s="2"/>
    </row>
    <row r="165" spans="1:22">
      <c r="A165" s="1"/>
      <c r="V165" s="2"/>
    </row>
    <row r="166" spans="1:22">
      <c r="A166" s="1"/>
      <c r="V166" s="2"/>
    </row>
    <row r="167" spans="1:22">
      <c r="A167" s="1"/>
      <c r="V167" s="2"/>
    </row>
    <row r="168" spans="1:22">
      <c r="A168" s="1"/>
      <c r="V168" s="2"/>
    </row>
    <row r="169" spans="1:22">
      <c r="A169" s="1"/>
      <c r="V169" s="2"/>
    </row>
    <row r="170" spans="1:22">
      <c r="A170" s="1"/>
      <c r="V170" s="2"/>
    </row>
    <row r="171" spans="1:22">
      <c r="A171" s="1"/>
      <c r="V171" s="2"/>
    </row>
    <row r="172" spans="1:22">
      <c r="A172" s="1"/>
      <c r="V172" s="2"/>
    </row>
    <row r="173" spans="1:22">
      <c r="A173" s="1"/>
      <c r="V173" s="2"/>
    </row>
    <row r="174" spans="1:22">
      <c r="A174" s="1"/>
      <c r="V174" s="2"/>
    </row>
    <row r="175" spans="1:22">
      <c r="A175" s="1"/>
      <c r="V175" s="2"/>
    </row>
    <row r="176" spans="1:22">
      <c r="A176" s="1"/>
      <c r="V176" s="2"/>
    </row>
    <row r="177" spans="1:22">
      <c r="A177" s="1"/>
      <c r="V177" s="2"/>
    </row>
    <row r="178" spans="1:22">
      <c r="A178" s="1"/>
      <c r="V178" s="2"/>
    </row>
    <row r="179" spans="1:22">
      <c r="A179" s="1"/>
      <c r="V179" s="2"/>
    </row>
    <row r="180" spans="1:22">
      <c r="A180" s="1"/>
      <c r="V180" s="2"/>
    </row>
    <row r="181" spans="1:22">
      <c r="A181" s="1"/>
      <c r="V181" s="2"/>
    </row>
    <row r="182" spans="1:22">
      <c r="A182" s="1"/>
      <c r="V182" s="2"/>
    </row>
    <row r="183" spans="1:22">
      <c r="A183" s="1"/>
      <c r="V183" s="2"/>
    </row>
    <row r="184" spans="1:22">
      <c r="A184" s="1"/>
      <c r="V184" s="2"/>
    </row>
    <row r="185" spans="1:22">
      <c r="A185" s="1"/>
      <c r="V185" s="2"/>
    </row>
    <row r="186" spans="1:22">
      <c r="A186" s="1"/>
      <c r="V186" s="2"/>
    </row>
    <row r="187" spans="1:22">
      <c r="A187" s="1"/>
      <c r="V187" s="2"/>
    </row>
    <row r="188" spans="1:22">
      <c r="A188" s="1"/>
      <c r="V188" s="2"/>
    </row>
    <row r="189" spans="1:22">
      <c r="A189" s="1"/>
      <c r="V189" s="2"/>
    </row>
    <row r="190" spans="1:22">
      <c r="A190" s="1"/>
      <c r="V190" s="2"/>
    </row>
    <row r="191" spans="1:22">
      <c r="A191" s="1"/>
      <c r="V191" s="2"/>
    </row>
    <row r="192" spans="1:22">
      <c r="A192" s="1"/>
      <c r="V192" s="2"/>
    </row>
    <row r="193" spans="1:22">
      <c r="A193" s="1"/>
      <c r="V193" s="2"/>
    </row>
    <row r="194" spans="1:22">
      <c r="A194" s="1"/>
      <c r="V194" s="2"/>
    </row>
    <row r="195" spans="1:22">
      <c r="A195" s="1"/>
      <c r="V195" s="2"/>
    </row>
    <row r="196" spans="1:22">
      <c r="A196" s="1"/>
      <c r="V196" s="2"/>
    </row>
    <row r="197" spans="1:22">
      <c r="A197" s="1"/>
      <c r="V197" s="2"/>
    </row>
    <row r="198" spans="1:22">
      <c r="A198" s="1"/>
      <c r="V198" s="2"/>
    </row>
    <row r="199" spans="1:22">
      <c r="A199" s="1"/>
      <c r="V199" s="2"/>
    </row>
    <row r="200" spans="1:22">
      <c r="A200" s="1"/>
      <c r="V200" s="2"/>
    </row>
    <row r="201" spans="1:22">
      <c r="A201" s="1"/>
      <c r="V201" s="2"/>
    </row>
    <row r="202" spans="1:22">
      <c r="A202" s="1"/>
      <c r="V202" s="2"/>
    </row>
    <row r="203" spans="1:22">
      <c r="A203" s="1"/>
      <c r="V203" s="2"/>
    </row>
    <row r="204" spans="1:22">
      <c r="A204" s="1"/>
      <c r="V204" s="2"/>
    </row>
    <row r="205" spans="1:22">
      <c r="A205" s="1"/>
      <c r="V205" s="2"/>
    </row>
    <row r="206" spans="1:22">
      <c r="A206" s="1"/>
      <c r="V206" s="2"/>
    </row>
    <row r="207" spans="1:22">
      <c r="A207" s="1"/>
      <c r="V207" s="2"/>
    </row>
    <row r="208" spans="1:22">
      <c r="A208" s="1"/>
      <c r="V208" s="2"/>
    </row>
    <row r="209" spans="1:22">
      <c r="A209" s="1"/>
      <c r="V209" s="2"/>
    </row>
    <row r="210" spans="1:22">
      <c r="A210" s="1"/>
      <c r="V210" s="2"/>
    </row>
    <row r="211" spans="1:22">
      <c r="A211" s="1"/>
      <c r="V211" s="2"/>
    </row>
    <row r="212" spans="1:22">
      <c r="A212" s="1"/>
      <c r="V212" s="2"/>
    </row>
    <row r="213" spans="1:22">
      <c r="A213" s="1"/>
      <c r="V213" s="2"/>
    </row>
    <row r="214" spans="1:22">
      <c r="A214" s="1"/>
      <c r="V214" s="2"/>
    </row>
    <row r="215" spans="1:22">
      <c r="A215" s="1"/>
      <c r="V215" s="2"/>
    </row>
    <row r="216" spans="1:22">
      <c r="A216" s="1"/>
      <c r="V216" s="2"/>
    </row>
    <row r="217" spans="1:22">
      <c r="A217" s="1"/>
      <c r="V217" s="2"/>
    </row>
    <row r="218" spans="1:22">
      <c r="A218" s="1"/>
      <c r="V218" s="2"/>
    </row>
    <row r="219" spans="1:22">
      <c r="A219" s="1"/>
      <c r="V219" s="2"/>
    </row>
    <row r="220" spans="1:22">
      <c r="A220" s="1"/>
      <c r="V220" s="2"/>
    </row>
    <row r="221" spans="1:22">
      <c r="A221" s="1"/>
      <c r="V221" s="2"/>
    </row>
    <row r="222" spans="1:22">
      <c r="A222" s="1"/>
      <c r="V222" s="2"/>
    </row>
    <row r="223" spans="1:22">
      <c r="A223" s="1"/>
      <c r="V223" s="2"/>
    </row>
    <row r="224" spans="1:22">
      <c r="A224" s="1"/>
      <c r="V224" s="2"/>
    </row>
    <row r="225" spans="1:22">
      <c r="A225" s="1"/>
      <c r="V225" s="2"/>
    </row>
    <row r="226" spans="1:22">
      <c r="A226" s="1"/>
      <c r="V226" s="2"/>
    </row>
    <row r="227" spans="1:22">
      <c r="A227" s="1"/>
      <c r="V227" s="2"/>
    </row>
    <row r="228" spans="1:22">
      <c r="A228" s="1"/>
      <c r="V228" s="2"/>
    </row>
    <row r="229" spans="1:22">
      <c r="A229" s="1"/>
      <c r="V229" s="2"/>
    </row>
    <row r="230" spans="1:22">
      <c r="A230" s="1"/>
      <c r="V230" s="2"/>
    </row>
    <row r="231" spans="1:22">
      <c r="A231" s="1"/>
      <c r="V231" s="2"/>
    </row>
    <row r="232" spans="1:22">
      <c r="A232" s="1"/>
      <c r="V232" s="2"/>
    </row>
    <row r="233" spans="1:22">
      <c r="A233" s="1"/>
      <c r="V233" s="2"/>
    </row>
    <row r="234" spans="1:22">
      <c r="A234" s="1"/>
      <c r="V234" s="2"/>
    </row>
    <row r="235" spans="1:22">
      <c r="A235" s="1"/>
      <c r="V235" s="2"/>
    </row>
    <row r="236" spans="1:22">
      <c r="A236" s="1"/>
      <c r="V236" s="2"/>
    </row>
    <row r="237" spans="1:22">
      <c r="A237" s="1"/>
      <c r="V237" s="2"/>
    </row>
    <row r="238" spans="1:22">
      <c r="A238" s="1"/>
      <c r="V238" s="2"/>
    </row>
    <row r="239" spans="1:22">
      <c r="A239" s="1"/>
      <c r="V239" s="2"/>
    </row>
    <row r="240" spans="1:22">
      <c r="A240" s="1"/>
      <c r="V240" s="2"/>
    </row>
    <row r="241" spans="1:22">
      <c r="A241" s="1"/>
      <c r="V241" s="2"/>
    </row>
    <row r="242" spans="1:22">
      <c r="A242" s="1"/>
      <c r="V242" s="2"/>
    </row>
    <row r="243" spans="1:22">
      <c r="A243" s="1"/>
      <c r="V243" s="2"/>
    </row>
    <row r="244" spans="1:22">
      <c r="A244" s="1"/>
      <c r="V244" s="2"/>
    </row>
    <row r="245" spans="1:22">
      <c r="A245" s="1"/>
      <c r="V245" s="2"/>
    </row>
    <row r="246" spans="1:22">
      <c r="A246" s="1"/>
      <c r="V246" s="2"/>
    </row>
    <row r="247" spans="1:22">
      <c r="A247" s="1"/>
      <c r="V247" s="2"/>
    </row>
    <row r="248" spans="1:22">
      <c r="A248" s="1"/>
      <c r="V248" s="2"/>
    </row>
    <row r="249" spans="1:22">
      <c r="A249" s="1"/>
      <c r="V249" s="2"/>
    </row>
    <row r="250" spans="1:22">
      <c r="A250" s="1"/>
      <c r="V250" s="2"/>
    </row>
    <row r="251" spans="1:22">
      <c r="A251" s="1"/>
      <c r="V251" s="2"/>
    </row>
    <row r="252" spans="1:22">
      <c r="A252" s="1"/>
      <c r="V252" s="2"/>
    </row>
    <row r="253" spans="1:22">
      <c r="A253" s="1"/>
      <c r="V253" s="2"/>
    </row>
    <row r="254" spans="1:22">
      <c r="A254" s="1"/>
      <c r="V254" s="2"/>
    </row>
    <row r="255" spans="1:22">
      <c r="A255" s="1"/>
      <c r="V255" s="2"/>
    </row>
    <row r="256" spans="1:22">
      <c r="A256" s="1"/>
      <c r="V256" s="2"/>
    </row>
    <row r="257" spans="1:22">
      <c r="A257" s="1"/>
      <c r="V257" s="2"/>
    </row>
    <row r="258" spans="1:22">
      <c r="A258" s="1"/>
      <c r="V258" s="2"/>
    </row>
    <row r="259" spans="1:22">
      <c r="A259" s="1"/>
      <c r="V259" s="2"/>
    </row>
    <row r="260" spans="1:22">
      <c r="A260" s="1"/>
      <c r="V260" s="2"/>
    </row>
    <row r="261" spans="1:22">
      <c r="A261" s="1"/>
      <c r="V261" s="2"/>
    </row>
    <row r="262" spans="1:22">
      <c r="A262" s="1"/>
      <c r="V262" s="2"/>
    </row>
    <row r="263" spans="1:22">
      <c r="A263" s="1"/>
      <c r="V263" s="2"/>
    </row>
    <row r="264" spans="1:22">
      <c r="A264" s="1"/>
      <c r="V264" s="2"/>
    </row>
    <row r="265" spans="1:22">
      <c r="A265" s="1"/>
      <c r="V265" s="2"/>
    </row>
    <row r="266" spans="1:22">
      <c r="A266" s="1"/>
      <c r="V266" s="2"/>
    </row>
    <row r="267" spans="1:22">
      <c r="A267" s="1"/>
      <c r="V267" s="2"/>
    </row>
    <row r="268" spans="1:22">
      <c r="A268" s="1"/>
      <c r="V268" s="2"/>
    </row>
    <row r="269" spans="1:22">
      <c r="A269" s="1"/>
      <c r="V269" s="2"/>
    </row>
    <row r="270" spans="1:22">
      <c r="A270" s="1"/>
      <c r="V270" s="2"/>
    </row>
    <row r="271" spans="1:22">
      <c r="A271" s="1"/>
      <c r="V271" s="2"/>
    </row>
    <row r="272" spans="1:22">
      <c r="A272" s="1"/>
      <c r="V272" s="2"/>
    </row>
    <row r="273" spans="1:22">
      <c r="A273" s="1"/>
      <c r="V273" s="2"/>
    </row>
    <row r="274" spans="1:22">
      <c r="A274" s="1"/>
      <c r="V274" s="2"/>
    </row>
    <row r="275" spans="1:22">
      <c r="A275" s="1"/>
      <c r="V275" s="2"/>
    </row>
    <row r="276" spans="1:22">
      <c r="A276" s="1"/>
      <c r="V276" s="2"/>
    </row>
    <row r="277" spans="1:22">
      <c r="A277" s="1"/>
      <c r="V277" s="2"/>
    </row>
    <row r="278" spans="1:22">
      <c r="A278" s="1"/>
      <c r="V278" s="2"/>
    </row>
    <row r="279" spans="1:22">
      <c r="A279" s="1"/>
      <c r="V279" s="2"/>
    </row>
    <row r="280" spans="1:22">
      <c r="A280" s="1"/>
      <c r="V280" s="2"/>
    </row>
    <row r="281" spans="1:22">
      <c r="A281" s="1"/>
      <c r="V281" s="2"/>
    </row>
    <row r="282" spans="1:22">
      <c r="A282" s="1"/>
      <c r="V282" s="2"/>
    </row>
    <row r="283" spans="1:22">
      <c r="A283" s="1"/>
      <c r="V283" s="2"/>
    </row>
    <row r="284" spans="1:22">
      <c r="A284" s="1"/>
      <c r="V284" s="2"/>
    </row>
    <row r="285" spans="1:22">
      <c r="A285" s="1"/>
      <c r="V285" s="2"/>
    </row>
    <row r="286" spans="1:22">
      <c r="A286" s="1"/>
      <c r="V286" s="2"/>
    </row>
    <row r="287" spans="1:22">
      <c r="A287" s="1"/>
      <c r="V28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Props1.xml><?xml version="1.0" encoding="utf-8"?>
<ds:datastoreItem xmlns:ds="http://schemas.openxmlformats.org/officeDocument/2006/customXml" ds:itemID="{D6CBAA25-8A71-4E51-9DC8-AE55C3A46D62}"/>
</file>

<file path=customXml/itemProps2.xml><?xml version="1.0" encoding="utf-8"?>
<ds:datastoreItem xmlns:ds="http://schemas.openxmlformats.org/officeDocument/2006/customXml" ds:itemID="{E1453EE3-20D0-49B0-AC12-1FAAA63DBE43}"/>
</file>

<file path=customXml/itemProps3.xml><?xml version="1.0" encoding="utf-8"?>
<ds:datastoreItem xmlns:ds="http://schemas.openxmlformats.org/officeDocument/2006/customXml" ds:itemID="{E810DF68-B9A2-4C4D-92DF-6E460156E08A}"/>
</file>

<file path=customXml/itemProps4.xml><?xml version="1.0" encoding="utf-8"?>
<ds:datastoreItem xmlns:ds="http://schemas.openxmlformats.org/officeDocument/2006/customXml" ds:itemID="{AEA2CDFD-B27F-4FE7-BACD-A4E88CE41F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Carami Le Grange</cp:lastModifiedBy>
  <cp:revision/>
  <dcterms:created xsi:type="dcterms:W3CDTF">2024-04-02T08:03:36Z</dcterms:created>
  <dcterms:modified xsi:type="dcterms:W3CDTF">2024-06-11T08:18:39Z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