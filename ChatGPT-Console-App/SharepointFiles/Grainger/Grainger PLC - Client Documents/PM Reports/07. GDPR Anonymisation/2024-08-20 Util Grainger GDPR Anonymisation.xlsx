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28" documentId="13_ncr:40009_{BBCEBA60-E38F-4EE1-BDB9-DA93CE793831}" xr6:coauthVersionLast="47" xr6:coauthVersionMax="47" xr10:uidLastSave="{A29C5A9C-19A8-4ECB-BCB2-572C0E3D2E07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5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9" i="1" l="1"/>
  <c r="AF149" i="1" s="1"/>
  <c r="AE150" i="1"/>
  <c r="AF150" i="1"/>
  <c r="AE151" i="1"/>
  <c r="AF151" i="1"/>
  <c r="AE152" i="1"/>
  <c r="AF152" i="1"/>
  <c r="AE153" i="1"/>
  <c r="AF153" i="1"/>
  <c r="AE154" i="1"/>
  <c r="AF154" i="1" s="1"/>
  <c r="AE155" i="1"/>
  <c r="AF155" i="1" s="1"/>
  <c r="AE156" i="1"/>
  <c r="AF156" i="1"/>
  <c r="AE157" i="1"/>
  <c r="AF157" i="1"/>
  <c r="AE158" i="1"/>
  <c r="AF158" i="1"/>
  <c r="AC69" i="1"/>
  <c r="AC56" i="1"/>
  <c r="AE144" i="1"/>
  <c r="AF144" i="1"/>
  <c r="AE145" i="1"/>
  <c r="AF145" i="1"/>
  <c r="AE146" i="1"/>
  <c r="AF146" i="1"/>
  <c r="AE147" i="1"/>
  <c r="AF147" i="1" s="1"/>
  <c r="AE148" i="1"/>
  <c r="AF148" i="1"/>
  <c r="AE131" i="1"/>
  <c r="AF131" i="1" s="1"/>
  <c r="AE132" i="1"/>
  <c r="AF132" i="1"/>
  <c r="AE133" i="1"/>
  <c r="AF133" i="1" s="1"/>
  <c r="AE134" i="1"/>
  <c r="AF134" i="1" s="1"/>
  <c r="AE135" i="1"/>
  <c r="AF135" i="1"/>
  <c r="AE136" i="1"/>
  <c r="AF136" i="1" s="1"/>
  <c r="AE137" i="1"/>
  <c r="AF137" i="1" s="1"/>
  <c r="AE138" i="1"/>
  <c r="AF138" i="1"/>
  <c r="AE139" i="1"/>
  <c r="AF139" i="1"/>
  <c r="AE140" i="1"/>
  <c r="AF140" i="1" s="1"/>
  <c r="AE141" i="1"/>
  <c r="AF141" i="1"/>
  <c r="AE142" i="1"/>
  <c r="AF142" i="1" s="1"/>
  <c r="AE143" i="1"/>
  <c r="AF143" i="1" s="1"/>
  <c r="AE105" i="1"/>
  <c r="AF105" i="1" s="1"/>
  <c r="AE106" i="1"/>
  <c r="AF106" i="1" s="1"/>
  <c r="AE107" i="1"/>
  <c r="AF107" i="1"/>
  <c r="AE108" i="1"/>
  <c r="AF108" i="1"/>
  <c r="AE109" i="1"/>
  <c r="AF109" i="1"/>
  <c r="AE110" i="1"/>
  <c r="AF110" i="1" s="1"/>
  <c r="AE111" i="1"/>
  <c r="AF111" i="1" s="1"/>
  <c r="AE112" i="1"/>
  <c r="AF112" i="1" s="1"/>
  <c r="AE113" i="1"/>
  <c r="AF113" i="1" s="1"/>
  <c r="AE114" i="1"/>
  <c r="AF114" i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/>
  <c r="AE128" i="1"/>
  <c r="AF128" i="1"/>
  <c r="AE129" i="1"/>
  <c r="AF129" i="1" s="1"/>
  <c r="AE130" i="1"/>
  <c r="AF130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/>
  <c r="AE102" i="1"/>
  <c r="AF102" i="1" s="1"/>
  <c r="AE103" i="1"/>
  <c r="AF103" i="1" s="1"/>
  <c r="AE104" i="1"/>
  <c r="AF104" i="1" s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<sst xmlns="http://schemas.openxmlformats.org/spreadsheetml/2006/main" count="3414" uniqueCount="166">
  <si>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</si>
  <si>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</si>
  <si>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</si>
  <si>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</si>
  <si>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</si>
  <si>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</si>
  <si>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</si>
  <si>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</si>
  <si>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</si>
  <si>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</si>
  <si>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</si>
  <si>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</si>
  <si>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</si>
  <si>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</si>
  <si>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</si>
  <si>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</si>
  <si>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</si>
  <si>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UAT Assistance &amp; Investigation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</si>
  <si>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</si>
  <si>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</si>
  <si>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</si>
  <si>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</si>
  <si>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</si>
  <si>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</si>
  <si>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</si>
  <si>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</si>
  <si>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</si>
  <si>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</si>
  <si>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</si>
  <si>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</si>
  <si>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</si>
  <si>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</si>
  <si>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</si>
  <si>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</si>
  <si>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</si>
  <si>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</si>
  <si>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</si>
  <si>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</si>
  <si>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</si>
  <si>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</si>
  <si>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Daniel Edwards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</si>
  <si>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</si>
  <si>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</si>
  <si>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</si>
  <si>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</si>
  <si>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</si>
  <si>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</si>
  <si>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</si>
  <si>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</si>
  <si>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</si>
  <si>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</si>
  <si>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</si>
  <si>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</si>
  <si>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</si>
  <si>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</si>
  <si>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</si>
  <si>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</si>
  <si>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</si>
  <si>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</si>
  <si>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</si>
  <si>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</si>
  <si>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</si>
  <si>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</si>
  <si>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</si>
  <si>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</si>
  <si>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</si>
  <si>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</si>
  <si>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</si>
  <si>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</si>
  <si>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</si>
  <si>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</si>
  <si>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</si>
  <si>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</si>
  <si>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</si>
  <si>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</si>
  <si>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</si>
  <si>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</si>
  <si>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</si>
  <si>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</si>
  <si>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</si>
  <si>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</si>
  <si>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</si>
  <si>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</si>
  <si>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</si>
  <si>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</si>
  <si>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</si>
  <si>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</si>
  <si>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</si>
  <si>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</si>
  <si>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</si>
  <si>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</si>
  <si>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</si>
  <si>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</si>
  <si>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</si>
  <si>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</si>
  <si>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</si>
  <si>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</si>
  <si>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</si>
  <si>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</si>
  <si>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</si>
  <si>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</si>
  <si>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</si>
  <si>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</si>
  <si>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</si>
  <si>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</si>
  <si>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</si>
  <si>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</si>
  <si>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</si>
  <si>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</si>
  <si>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</si>
  <si>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</si>
  <si>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</si>
  <si>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</si>
  <si>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</si>
  <si>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IN08360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</si>
  <si>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</si>
  <si>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</si>
  <si>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</si>
  <si>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</si>
  <si>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GDPR Anonymisation - UAT - meeting with Grainer Team</t>
  </si>
  <si>
    <t>Reset data in UAT.  Meeting with Grainger - GDPR UAT session. Discussion with Sam. Config updates.</t>
  </si>
  <si>
    <t>GDPR UAT session. Daily standup</t>
  </si>
  <si>
    <t>1. GDPR Anonymisation - UAT final position and sign off. meeting with client. 2. Worked on GA-22. Checked the error email issue - got error email only for 1 contact not for total 3.</t>
  </si>
  <si>
    <t>Worked on GA-24. Dev QA and UAT deployment.</t>
  </si>
  <si>
    <t>GDPR Anonymisation - UAT final position and sign off.</t>
  </si>
  <si>
    <t>Prepared package for production deployment. Validation and worked on test case coverage issue. Daily standup</t>
  </si>
  <si>
    <t>Discussion with Sam and deployment of test case coverage to uat and validation against prod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</si>
  <si>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</si>
  <si>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</si>
  <si>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</si>
  <si>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</si>
  <si>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</si>
  <si>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</si>
  <si>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</si>
  <si>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</si>
  <si>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</si>
  <si>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time report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</si>
  <si>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</si>
  <si>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</si>
  <si>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</si>
  <si>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</si>
  <si>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</si>
  <si>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</si>
  <si>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</si>
  <si>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</si>
  <si>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</si>
  <si>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</si>
  <si>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</si>
  <si>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</si>
  <si>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</si>
  <si>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</si>
  <si>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Prepare UAT data</t>
  </si>
  <si>
    <t>Jacob Smycz</t>
  </si>
  <si>
    <t>0.6666666666666666667</t>
  </si>
  <si>
    <t>UAT (Non-Billable)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</si>
  <si>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</si>
  <si>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</si>
  <si>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</si>
  <si>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</si>
  <si>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</si>
  <si>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</si>
  <si>
    <t>UAT session (30 mins)</t>
  </si>
  <si>
    <t>UAT session</t>
  </si>
  <si>
    <t>UAT session with Dan Asamoah to review Marketing Cloud journey</t>
  </si>
  <si>
    <t>UAT documentation (1 hour)</t>
  </si>
  <si>
    <t>Catchup with Dan Asamoah on Marketing Cloud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</si>
</sst>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24.391081828704" createdVersion="8" refreshedVersion="8" minRefreshableVersion="3" recordCount="157" xr:uid="{2133C4E1-00A9-49B4-9CC3-49741E31D99F}">
  <cacheSource type="worksheet">
    <worksheetSource ref="A1:AF158" sheet="Project Timesheets"/>
  </cacheSource>
  <cacheFields count="32">
    <cacheField name="Date" numFmtId="15">
      <sharedItems containsSemiMixedTypes="0" containsNonDate="0" containsDate="1" containsString="0" minDate="2024-05-20T00:00:00" maxDate="2024-08-20T00:00:00"/>
    </cacheField>
    <cacheField name="Person" numFmtId="0">
      <sharedItems count="8">
        <s v="Anjali Salecha"/>
        <s v="Carami Le Grange"/>
        <s v="Daniel Edwards"/>
        <s v="Dillan Landsberg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86550"/>
    </cacheField>
    <cacheField name="Timecode Name" numFmtId="0">
      <sharedItems count="4">
        <s v="Build"/>
        <s v="Delivery (Non-Billable)"/>
        <s v="UAT Assistance &amp; Investigation"/>
        <s v="UA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minValue="0" maxValue="960"/>
    </cacheField>
    <cacheField name="Invoiced Delta" numFmtId="0">
      <sharedItems containsString="0" containsBlank="1" containsNumber="1" minValue="-180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8"/>
    </cacheField>
    <cacheField name="Month" numFmtId="0">
      <sharedItems count="4"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n v="390.25"/>
    <n v="-14.75"/>
    <s v="IN08360"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7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534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786"/>
    <x v="0"/>
    <x v="0"/>
    <s v="Standard Timecode"/>
    <n v="90"/>
    <n v="4"/>
    <d v="1899-12-30T04:00:00"/>
    <n v="360"/>
    <n v="346.89"/>
    <n v="-13.11"/>
    <s v="IN08360"/>
    <s v="GBP"/>
    <s v="Reviewed"/>
    <s v="Reset data in UAT.  Meeting with Grainger - GDPR UAT session. Discussion with Sam. Config updates."/>
    <s v="Not submitted"/>
    <n v="7"/>
    <x v="2"/>
  </r>
  <r>
    <d v="2024-07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7173"/>
    <x v="0"/>
    <x v="0"/>
    <s v="Standard Timecode"/>
    <n v="90"/>
    <n v="1"/>
    <d v="1899-12-30T01:00:00"/>
    <n v="90"/>
    <n v="86.72"/>
    <n v="-3.28"/>
    <s v="IN08360"/>
    <s v="GBP"/>
    <s v="Reviewed"/>
    <s v="GDPR UAT session. Daily standup"/>
    <s v="Not submitted"/>
    <n v="7"/>
    <x v="2"/>
  </r>
  <r>
    <d v="2024-07-2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7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5"/>
    <x v="0"/>
    <x v="0"/>
    <s v="Standard Timecode"/>
    <n v="90"/>
    <n v="3"/>
    <d v="1899-12-30T03:00:00"/>
    <n v="270"/>
    <n v="260.17"/>
    <n v="-9.83"/>
    <s v="IN08360"/>
    <s v="GBP"/>
    <s v="Reviewed"/>
    <s v="1. GDPR Anonymisation - UAT final position and sign off. meeting with client. 2. Worked on GA-22. Checked the error email issue - got error email only for 1 contact not for total 3."/>
    <s v="Not submitted"/>
    <n v="7"/>
    <x v="2"/>
  </r>
  <r>
    <d v="2024-07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8531"/>
    <x v="0"/>
    <x v="0"/>
    <s v="Standard Timecode"/>
    <n v="90"/>
    <n v="1"/>
    <d v="1899-12-30T01:00:00"/>
    <n v="90"/>
    <n v="86.72"/>
    <n v="-3.28"/>
    <s v="IN08360"/>
    <s v="GBP"/>
    <s v="Reviewed"/>
    <s v="Worked on GA-24. Dev QA and UAT deployment."/>
    <s v="Not submitted"/>
    <n v="7"/>
    <x v="2"/>
  </r>
  <r>
    <d v="2024-08-0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80262"/>
    <x v="1"/>
    <x v="1"/>
    <s v="Standard Timecode"/>
    <n v="0"/>
    <n v="0.5"/>
    <d v="1899-12-30T00:30:00"/>
    <n v="0"/>
    <m/>
    <m/>
    <m/>
    <s v="GBP"/>
    <s v="Reviewed"/>
    <s v="GDPR Anonymisation - UAT final position and sign off."/>
    <s v="Not submitted"/>
    <n v="8"/>
    <x v="3"/>
  </r>
  <r>
    <d v="2024-08-1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85694"/>
    <x v="0"/>
    <x v="0"/>
    <s v="Standard Timecode"/>
    <n v="90"/>
    <n v="4.5"/>
    <d v="1899-12-30T04:30:00"/>
    <n v="405"/>
    <m/>
    <m/>
    <m/>
    <s v="GBP"/>
    <m/>
    <s v="Prepared package for production deployment. Validation and worked on test case coverage issue. Daily standup"/>
    <s v="Not submitted"/>
    <n v="8"/>
    <x v="3"/>
  </r>
  <r>
    <d v="2024-08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85695"/>
    <x v="0"/>
    <x v="0"/>
    <s v="Standard Timecode"/>
    <n v="90"/>
    <n v="1"/>
    <d v="1899-12-30T01:00:00"/>
    <n v="90"/>
    <m/>
    <m/>
    <m/>
    <s v="GBP"/>
    <m/>
    <s v="Discussion with Sam and deployment of test case coverage to uat and validation against prod"/>
    <s v="Not submitted"/>
    <n v="8"/>
    <x v="3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s v="Reviewed"/>
    <s v="Time Report"/>
    <s v="Not submitted"/>
    <n v="7"/>
    <x v="2"/>
  </r>
  <r>
    <d v="2024-07-2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583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29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810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8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141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1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3501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3"/>
  </r>
  <r>
    <d v="2024-07-2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1"/>
    <x v="2"/>
    <x v="0"/>
    <s v="Standard Timecode"/>
    <n v="90"/>
    <n v="2"/>
    <d v="1899-12-30T02:00:00"/>
    <n v="180"/>
    <n v="0"/>
    <n v="-180"/>
    <s v="IN08360"/>
    <s v="GBP"/>
    <s v="Reviewed"/>
    <s v=" "/>
    <s v="Not submitted"/>
    <n v="7"/>
    <x v="2"/>
  </r>
  <r>
    <d v="2024-07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0"/>
    <x v="2"/>
    <x v="0"/>
    <s v="Standard Timecode"/>
    <n v="90"/>
    <n v="1.75"/>
    <d v="1899-12-30T01:45:00"/>
    <n v="157.5"/>
    <n v="0"/>
    <n v="-157.5"/>
    <s v="IN08360"/>
    <s v="GBP"/>
    <s v="Reviewed"/>
    <s v=" "/>
    <s v="Not submitted"/>
    <n v="7"/>
    <x v="2"/>
  </r>
  <r>
    <d v="2024-07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761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7-2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489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8-0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341"/>
    <x v="2"/>
    <x v="0"/>
    <s v="Standard Timecode"/>
    <n v="90"/>
    <n v="0.5"/>
    <d v="1899-12-30T00:30:00"/>
    <n v="45"/>
    <m/>
    <m/>
    <m/>
    <s v="GBP"/>
    <s v="Reviewed"/>
    <s v=" "/>
    <s v="Not submitted"/>
    <n v="8"/>
    <x v="3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n v="433.61"/>
    <n v="-16.39"/>
    <s v="IN08360"/>
    <s v="GBP"/>
    <s v="Reviewed"/>
    <s v=" "/>
    <s v="Not submitted"/>
    <n v="7"/>
    <x v="2"/>
  </r>
  <r>
    <d v="2024-07-09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n v="108.4"/>
    <n v="-4.0999999999999996"/>
    <s v="IN08360"/>
    <s v="GBP"/>
    <s v="Reviewed"/>
    <s v="GA-20 testing"/>
    <s v="Not submitted"/>
    <n v="7"/>
    <x v="2"/>
  </r>
  <r>
    <d v="2024-07-16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n v="108.4"/>
    <n v="-4.0999999999999996"/>
    <s v="IN08360"/>
    <s v="GBP"/>
    <s v="Reviewed"/>
    <s v="GA-20"/>
    <s v="Not submitted"/>
    <n v="7"/>
    <x v="2"/>
  </r>
  <r>
    <d v="2024-07-1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7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n v="195.13"/>
    <n v="-7.37"/>
    <s v="IN08360"/>
    <s v="GBP"/>
    <s v="Reviewed"/>
    <s v=" "/>
    <s v="Not submitted"/>
    <n v="7"/>
    <x v="2"/>
  </r>
  <r>
    <d v="2024-07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936"/>
    <x v="2"/>
    <x v="0"/>
    <s v="Standard Timecode"/>
    <n v="90"/>
    <n v="1"/>
    <d v="1899-12-30T01:00:00"/>
    <n v="90"/>
    <n v="0"/>
    <n v="-90"/>
    <s v="IN08360"/>
    <s v="GBP"/>
    <s v="Reviewed"/>
    <s v="Prepare UAT data"/>
    <s v="Not submitted"/>
    <n v="7"/>
    <x v="2"/>
  </r>
  <r>
    <d v="2024-07-2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230"/>
    <x v="1"/>
    <x v="1"/>
    <s v="Standard Timecode"/>
    <n v="0"/>
    <s v="0.6666666666666666667"/>
    <d v="1899-12-30T00:40:00"/>
    <n v="0"/>
    <m/>
    <m/>
    <m/>
    <s v="GBP"/>
    <s v="Reviewed"/>
    <s v=" "/>
    <s v="Not submitted"/>
    <n v="7"/>
    <x v="2"/>
  </r>
  <r>
    <d v="2024-07-23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784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357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995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590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9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375"/>
    <x v="3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8-0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096"/>
    <x v="3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3384"/>
    <x v="3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5-2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5-2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n v="86.72"/>
    <n v="-3.28"/>
    <s v="IN08360"/>
    <s v="GBP"/>
    <s v="Reviewed"/>
    <s v="UAT strategy planning (30 mins) UAT call with Grainger (30 mins)"/>
    <s v="Not submitted"/>
    <n v="7"/>
    <x v="2"/>
  </r>
  <r>
    <d v="2024-07-1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n v="43.36"/>
    <n v="-1.64"/>
    <s v="IN08360"/>
    <s v="GBP"/>
    <s v="Reviewed"/>
    <s v="Call with Dan Asamoah on Marketing Cloud"/>
    <s v="Not submitted"/>
    <n v="7"/>
    <x v="2"/>
  </r>
  <r>
    <d v="2024-07-2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2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3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3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4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5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6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6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5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"/>
    <s v="Not submitted"/>
    <n v="7"/>
    <x v="2"/>
  </r>
  <r>
    <d v="2024-07-3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6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 with Dan Asamoah to review Marketing Cloud journey"/>
    <s v="Not submitted"/>
    <n v="7"/>
    <x v="2"/>
  </r>
  <r>
    <d v="2024-08-0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169"/>
    <x v="0"/>
    <x v="0"/>
    <s v="Standard Timecode"/>
    <n v="90"/>
    <n v="1"/>
    <d v="1899-12-30T01:00:00"/>
    <n v="90"/>
    <m/>
    <m/>
    <m/>
    <s v="GBP"/>
    <s v="Reviewed"/>
    <s v="UAT documentation (1 hour)"/>
    <s v="Not submitted"/>
    <n v="8"/>
    <x v="3"/>
  </r>
  <r>
    <d v="2024-08-1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6510"/>
    <x v="0"/>
    <x v="0"/>
    <s v="Standard Timecode"/>
    <n v="90"/>
    <n v="0.5"/>
    <d v="1899-12-30T00:30:00"/>
    <n v="45"/>
    <m/>
    <m/>
    <m/>
    <s v="GBP"/>
    <m/>
    <s v="Catchup with Dan Asamoah on Marketing Cloud (30 mins)"/>
    <s v="Not submitted"/>
    <n v="8"/>
    <x v="3"/>
  </r>
  <r>
    <d v="2024-05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9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2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23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999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2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745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238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968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8-0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269"/>
    <x v="1"/>
    <x v="1"/>
    <s v="Standard Timecode"/>
    <n v="0"/>
    <n v="0.75"/>
    <d v="1899-12-30T00:45:00"/>
    <n v="0"/>
    <m/>
    <m/>
    <m/>
    <s v="GBP"/>
    <s v="Reviewed"/>
    <s v=" "/>
    <s v="Not submitted"/>
    <n v="8"/>
    <x v="3"/>
  </r>
  <r>
    <d v="2024-08-0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786"/>
    <x v="1"/>
    <x v="1"/>
    <s v="Standard Timecode"/>
    <n v="0"/>
    <n v="1"/>
    <d v="1899-12-30T01:00:00"/>
    <n v="0"/>
    <m/>
    <m/>
    <m/>
    <s v="GBP"/>
    <s v="Reviewed"/>
    <s v=" "/>
    <s v="Not submitted"/>
    <n v="8"/>
    <x v="3"/>
  </r>
  <r>
    <d v="2024-08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278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584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18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60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4258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4629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5225"/>
    <x v="1"/>
    <x v="1"/>
    <s v="Standard Timecode"/>
    <n v="0"/>
    <n v="0.25"/>
    <d v="1899-12-30T00:15:00"/>
    <n v="0"/>
    <m/>
    <m/>
    <m/>
    <s v="GBP"/>
    <m/>
    <s v=" "/>
    <s v="Not submitted"/>
    <n v="8"/>
    <x v="3"/>
  </r>
  <r>
    <d v="2024-08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5646"/>
    <x v="1"/>
    <x v="1"/>
    <s v="Standard Timecode"/>
    <n v="0"/>
    <n v="0.5"/>
    <d v="1899-12-30T00:30:00"/>
    <n v="0"/>
    <m/>
    <m/>
    <m/>
    <s v="GBP"/>
    <m/>
    <s v=" "/>
    <s v="Not submitted"/>
    <n v="8"/>
    <x v="3"/>
  </r>
  <r>
    <d v="2024-08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6550"/>
    <x v="1"/>
    <x v="1"/>
    <s v="Standard Timecode"/>
    <n v="0"/>
    <n v="0.25"/>
    <d v="1899-12-30T00:15:00"/>
    <n v="0"/>
    <m/>
    <m/>
    <m/>
    <s v="GBP"/>
    <m/>
    <s v=" "/>
    <s v="Not submitted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F9C3E-DFEC-40FF-966C-CE93CF3D115E}" name="PivotTable1" cacheId="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" firstHeaderRow="1" firstDataRow="2" firstDataCol="1" rowPageCount="2" colPageCount="1"/>
  <pivotFields count="32">
    <pivotField numFmtId="15" showAll="0"/>
    <pivotField axis="axisRow" showAll="0">
      <items count="9">
        <item x="6"/>
        <item x="0"/>
        <item x="5"/>
        <item x="1"/>
        <item x="3"/>
        <item x="7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2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28.28515625" style="17" bestFit="1" customWidth="1"/>
    <col min="4" max="4" width="16.28515625" bestFit="1" customWidth="1"/>
    <col min="5" max="5" width="16.42578125" bestFit="1" customWidth="1"/>
    <col min="6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D4" s="17"/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D5" t="s">
        <v>18</v>
      </c>
      <c r="H5" s="9" t="s">
        <v>16</v>
      </c>
      <c r="I5" s="10" t="s">
        <v>19</v>
      </c>
      <c r="J5" s="11" t="s">
        <v>20</v>
      </c>
      <c r="K5" s="11" t="s">
        <v>21</v>
      </c>
    </row>
    <row r="6" spans="1:13" ht="15" thickBot="1">
      <c r="A6" s="5" t="s">
        <v>22</v>
      </c>
      <c r="B6" s="18">
        <v>10.5</v>
      </c>
      <c r="C6" s="18"/>
      <c r="D6" s="18">
        <v>10.5</v>
      </c>
      <c r="H6" s="9" t="s">
        <v>23</v>
      </c>
      <c r="I6" s="20" t="s">
        <v>24</v>
      </c>
      <c r="J6" s="11" t="s">
        <v>25</v>
      </c>
      <c r="K6" s="11" t="s">
        <v>26</v>
      </c>
    </row>
    <row r="7" spans="1:13" ht="15" thickBot="1">
      <c r="A7" s="5" t="s">
        <v>27</v>
      </c>
      <c r="B7" s="18">
        <v>71</v>
      </c>
      <c r="C7" s="18"/>
      <c r="D7" s="18">
        <v>71</v>
      </c>
      <c r="H7" s="9" t="s">
        <v>28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29</v>
      </c>
      <c r="B8" s="18">
        <v>0.5</v>
      </c>
      <c r="C8" s="18"/>
      <c r="D8" s="18">
        <v>0.5</v>
      </c>
      <c r="H8" s="9" t="s">
        <v>30</v>
      </c>
      <c r="I8" s="10" t="s">
        <v>31</v>
      </c>
      <c r="J8" s="11" t="s">
        <v>32</v>
      </c>
      <c r="K8" s="11" t="s">
        <v>33</v>
      </c>
    </row>
    <row r="9" spans="1:13" ht="15" thickBot="1">
      <c r="A9" s="5" t="s">
        <v>34</v>
      </c>
      <c r="B9" s="18">
        <v>12.25</v>
      </c>
      <c r="C9" s="18">
        <v>1</v>
      </c>
      <c r="D9" s="18">
        <v>13.25</v>
      </c>
      <c r="H9" s="12" t="s">
        <v>35</v>
      </c>
      <c r="I9" s="13" t="s">
        <v>36</v>
      </c>
      <c r="J9" s="14" t="s">
        <v>37</v>
      </c>
      <c r="K9" s="14" t="s">
        <v>38</v>
      </c>
      <c r="M9">
        <v>120</v>
      </c>
    </row>
    <row r="10" spans="1:13" ht="15.6" thickTop="1" thickBot="1">
      <c r="A10" s="5" t="s">
        <v>39</v>
      </c>
      <c r="B10" s="18">
        <v>0.5</v>
      </c>
      <c r="C10" s="18"/>
      <c r="D10" s="18">
        <v>0.5</v>
      </c>
    </row>
    <row r="11" spans="1:13" ht="25.9" thickBot="1">
      <c r="A11" s="5" t="s">
        <v>40</v>
      </c>
      <c r="B11" s="18"/>
      <c r="C11" s="18">
        <v>6.25</v>
      </c>
      <c r="D11" s="18">
        <v>6.25</v>
      </c>
      <c r="H11" s="8" t="s">
        <v>41</v>
      </c>
      <c r="I11" s="8" t="s">
        <v>42</v>
      </c>
      <c r="J11" s="8" t="s">
        <v>43</v>
      </c>
      <c r="K11" s="8" t="s">
        <v>44</v>
      </c>
    </row>
    <row r="12" spans="1:13">
      <c r="A12" s="5" t="s">
        <v>18</v>
      </c>
      <c r="B12" s="18">
        <v>94.75</v>
      </c>
      <c r="C12" s="18">
        <v>7.25</v>
      </c>
      <c r="D12" s="18">
        <v>102</v>
      </c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D15" s="18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16" activePane="bottomLeft" state="frozen"/>
      <selection pane="bottomLeft"/>
    </sheetView>
  </sheetViews>
  <sheetFormatPr defaultRowHeight="14.45"/>
  <sheetData>
    <row r="1" spans="1:3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3</v>
      </c>
      <c r="S1" t="s">
        <v>62</v>
      </c>
      <c r="T1" t="s">
        <v>63</v>
      </c>
      <c r="U1" t="s">
        <v>6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0</v>
      </c>
    </row>
    <row r="2" spans="1:32">
      <c r="A2" s="1">
        <v>45434</v>
      </c>
      <c r="B2" t="s">
        <v>27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39</v>
      </c>
      <c r="M2" t="s">
        <v>22</v>
      </c>
      <c r="N2" t="s">
        <v>22</v>
      </c>
      <c r="O2" t="s">
        <v>82</v>
      </c>
      <c r="P2">
        <v>250098</v>
      </c>
      <c r="Q2" t="s">
        <v>16</v>
      </c>
      <c r="R2" t="s">
        <v>4</v>
      </c>
      <c r="S2" t="s">
        <v>83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27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39</v>
      </c>
      <c r="M3" t="s">
        <v>22</v>
      </c>
      <c r="N3" t="s">
        <v>22</v>
      </c>
      <c r="O3" t="s">
        <v>82</v>
      </c>
      <c r="P3">
        <v>251587</v>
      </c>
      <c r="Q3" t="s">
        <v>16</v>
      </c>
      <c r="R3" t="s">
        <v>4</v>
      </c>
      <c r="S3" t="s">
        <v>83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84</v>
      </c>
      <c r="AA3" t="s">
        <v>85</v>
      </c>
      <c r="AB3" t="s">
        <v>86</v>
      </c>
      <c r="AC3" t="s">
        <v>89</v>
      </c>
      <c r="AD3" t="s">
        <v>88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39</v>
      </c>
      <c r="M4" t="s">
        <v>22</v>
      </c>
      <c r="N4" t="s">
        <v>22</v>
      </c>
      <c r="O4" t="s">
        <v>82</v>
      </c>
      <c r="P4">
        <v>251329</v>
      </c>
      <c r="Q4" t="s">
        <v>90</v>
      </c>
      <c r="R4" t="s">
        <v>91</v>
      </c>
      <c r="S4" t="s">
        <v>83</v>
      </c>
      <c r="T4">
        <v>0</v>
      </c>
      <c r="U4">
        <v>1</v>
      </c>
      <c r="V4" s="2">
        <v>4.1666666666666664E-2</v>
      </c>
      <c r="W4">
        <v>0</v>
      </c>
      <c r="AA4" t="s">
        <v>85</v>
      </c>
      <c r="AB4" t="s">
        <v>86</v>
      </c>
      <c r="AC4" t="s">
        <v>92</v>
      </c>
      <c r="AD4" t="s">
        <v>88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27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39</v>
      </c>
      <c r="M5" t="s">
        <v>22</v>
      </c>
      <c r="N5" t="s">
        <v>22</v>
      </c>
      <c r="O5" t="s">
        <v>82</v>
      </c>
      <c r="P5">
        <v>251984</v>
      </c>
      <c r="Q5" t="s">
        <v>16</v>
      </c>
      <c r="R5" t="s">
        <v>4</v>
      </c>
      <c r="S5" t="s">
        <v>83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84</v>
      </c>
      <c r="AA5" t="s">
        <v>85</v>
      </c>
      <c r="AB5" t="s">
        <v>86</v>
      </c>
      <c r="AC5" t="s">
        <v>93</v>
      </c>
      <c r="AD5" t="s">
        <v>88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27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39</v>
      </c>
      <c r="M6" t="s">
        <v>22</v>
      </c>
      <c r="N6" t="s">
        <v>22</v>
      </c>
      <c r="O6" t="s">
        <v>82</v>
      </c>
      <c r="P6">
        <v>252496</v>
      </c>
      <c r="Q6" t="s">
        <v>16</v>
      </c>
      <c r="R6" t="s">
        <v>4</v>
      </c>
      <c r="S6" t="s">
        <v>83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84</v>
      </c>
      <c r="AA6" t="s">
        <v>85</v>
      </c>
      <c r="AB6" t="s">
        <v>86</v>
      </c>
      <c r="AC6" t="s">
        <v>94</v>
      </c>
      <c r="AD6" t="s">
        <v>88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39</v>
      </c>
      <c r="M7" t="s">
        <v>22</v>
      </c>
      <c r="N7" t="s">
        <v>22</v>
      </c>
      <c r="O7" t="s">
        <v>82</v>
      </c>
      <c r="P7">
        <v>252835</v>
      </c>
      <c r="Q7" t="s">
        <v>16</v>
      </c>
      <c r="R7" t="s">
        <v>4</v>
      </c>
      <c r="S7" t="s">
        <v>83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84</v>
      </c>
      <c r="AA7" t="s">
        <v>85</v>
      </c>
      <c r="AB7" t="s">
        <v>86</v>
      </c>
      <c r="AC7" t="s">
        <v>95</v>
      </c>
      <c r="AD7" t="s">
        <v>88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39</v>
      </c>
      <c r="M8" t="s">
        <v>22</v>
      </c>
      <c r="N8" t="s">
        <v>22</v>
      </c>
      <c r="O8" t="s">
        <v>82</v>
      </c>
      <c r="P8">
        <v>253547</v>
      </c>
      <c r="Q8" t="s">
        <v>16</v>
      </c>
      <c r="R8" t="s">
        <v>4</v>
      </c>
      <c r="S8" t="s">
        <v>83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84</v>
      </c>
      <c r="AA8" t="s">
        <v>85</v>
      </c>
      <c r="AB8" t="s">
        <v>86</v>
      </c>
      <c r="AC8" t="s">
        <v>96</v>
      </c>
      <c r="AD8" t="s">
        <v>88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27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39</v>
      </c>
      <c r="M9" t="s">
        <v>22</v>
      </c>
      <c r="N9" t="s">
        <v>22</v>
      </c>
      <c r="O9" t="s">
        <v>82</v>
      </c>
      <c r="P9">
        <v>253549</v>
      </c>
      <c r="Q9" t="s">
        <v>16</v>
      </c>
      <c r="R9" t="s">
        <v>4</v>
      </c>
      <c r="S9" t="s">
        <v>83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84</v>
      </c>
      <c r="AA9" t="s">
        <v>85</v>
      </c>
      <c r="AB9" t="s">
        <v>86</v>
      </c>
      <c r="AC9" t="s">
        <v>97</v>
      </c>
      <c r="AD9" t="s">
        <v>88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27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39</v>
      </c>
      <c r="M10" t="s">
        <v>22</v>
      </c>
      <c r="N10" t="s">
        <v>22</v>
      </c>
      <c r="O10" t="s">
        <v>82</v>
      </c>
      <c r="P10">
        <v>254880</v>
      </c>
      <c r="Q10" t="s">
        <v>90</v>
      </c>
      <c r="R10" t="s">
        <v>91</v>
      </c>
      <c r="S10" t="s">
        <v>83</v>
      </c>
      <c r="T10">
        <v>0</v>
      </c>
      <c r="U10">
        <v>8</v>
      </c>
      <c r="V10" s="2">
        <v>0.33333333333333331</v>
      </c>
      <c r="W10">
        <v>0</v>
      </c>
      <c r="AA10" t="s">
        <v>85</v>
      </c>
      <c r="AB10" t="s">
        <v>86</v>
      </c>
      <c r="AC10" t="s">
        <v>98</v>
      </c>
      <c r="AD10" t="s">
        <v>88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39</v>
      </c>
      <c r="M11" t="s">
        <v>22</v>
      </c>
      <c r="N11" t="s">
        <v>22</v>
      </c>
      <c r="O11" t="s">
        <v>82</v>
      </c>
      <c r="P11">
        <v>255588</v>
      </c>
      <c r="Q11" t="s">
        <v>16</v>
      </c>
      <c r="R11" t="s">
        <v>4</v>
      </c>
      <c r="S11" t="s">
        <v>83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99</v>
      </c>
      <c r="AA11" t="s">
        <v>85</v>
      </c>
      <c r="AB11" t="s">
        <v>86</v>
      </c>
      <c r="AC11" t="s">
        <v>100</v>
      </c>
      <c r="AD11" t="s">
        <v>88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27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39</v>
      </c>
      <c r="M12" t="s">
        <v>22</v>
      </c>
      <c r="N12" t="s">
        <v>22</v>
      </c>
      <c r="O12" t="s">
        <v>82</v>
      </c>
      <c r="P12">
        <v>255599</v>
      </c>
      <c r="Q12" t="s">
        <v>90</v>
      </c>
      <c r="R12" t="s">
        <v>91</v>
      </c>
      <c r="S12" t="s">
        <v>83</v>
      </c>
      <c r="T12">
        <v>0</v>
      </c>
      <c r="U12">
        <v>7</v>
      </c>
      <c r="V12" s="2">
        <v>0.29166666666666669</v>
      </c>
      <c r="W12">
        <v>0</v>
      </c>
      <c r="AA12" t="s">
        <v>85</v>
      </c>
      <c r="AB12" t="s">
        <v>86</v>
      </c>
      <c r="AC12" t="s">
        <v>101</v>
      </c>
      <c r="AD12" t="s">
        <v>88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27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39</v>
      </c>
      <c r="M13" t="s">
        <v>22</v>
      </c>
      <c r="N13" t="s">
        <v>22</v>
      </c>
      <c r="O13" t="s">
        <v>82</v>
      </c>
      <c r="P13">
        <v>256084</v>
      </c>
      <c r="Q13" t="s">
        <v>90</v>
      </c>
      <c r="R13" t="s">
        <v>91</v>
      </c>
      <c r="S13" t="s">
        <v>83</v>
      </c>
      <c r="T13">
        <v>0</v>
      </c>
      <c r="U13">
        <v>7</v>
      </c>
      <c r="V13" s="2">
        <v>0.29166666666666669</v>
      </c>
      <c r="W13">
        <v>0</v>
      </c>
      <c r="AA13" t="s">
        <v>85</v>
      </c>
      <c r="AB13" t="s">
        <v>86</v>
      </c>
      <c r="AC13" t="s">
        <v>102</v>
      </c>
      <c r="AD13" t="s">
        <v>88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27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39</v>
      </c>
      <c r="M14" t="s">
        <v>22</v>
      </c>
      <c r="N14" t="s">
        <v>22</v>
      </c>
      <c r="O14" t="s">
        <v>82</v>
      </c>
      <c r="P14">
        <v>256525</v>
      </c>
      <c r="Q14" t="s">
        <v>90</v>
      </c>
      <c r="R14" t="s">
        <v>91</v>
      </c>
      <c r="S14" t="s">
        <v>83</v>
      </c>
      <c r="T14">
        <v>0</v>
      </c>
      <c r="U14">
        <v>5</v>
      </c>
      <c r="V14" s="2">
        <v>0.20833333333333334</v>
      </c>
      <c r="W14">
        <v>0</v>
      </c>
      <c r="AA14" t="s">
        <v>85</v>
      </c>
      <c r="AB14" t="s">
        <v>86</v>
      </c>
      <c r="AC14" t="s">
        <v>103</v>
      </c>
      <c r="AD14" t="s">
        <v>88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27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39</v>
      </c>
      <c r="M15" t="s">
        <v>22</v>
      </c>
      <c r="N15" t="s">
        <v>22</v>
      </c>
      <c r="O15" t="s">
        <v>82</v>
      </c>
      <c r="P15">
        <v>257753</v>
      </c>
      <c r="Q15" t="s">
        <v>90</v>
      </c>
      <c r="R15" t="s">
        <v>91</v>
      </c>
      <c r="S15" t="s">
        <v>83</v>
      </c>
      <c r="T15">
        <v>0</v>
      </c>
      <c r="U15">
        <v>6.5</v>
      </c>
      <c r="V15" s="2">
        <v>0.27083333333333331</v>
      </c>
      <c r="W15">
        <v>0</v>
      </c>
      <c r="AA15" t="s">
        <v>85</v>
      </c>
      <c r="AB15" t="s">
        <v>86</v>
      </c>
      <c r="AC15" t="s">
        <v>104</v>
      </c>
      <c r="AD15" t="s">
        <v>88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27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39</v>
      </c>
      <c r="M16" t="s">
        <v>22</v>
      </c>
      <c r="N16" t="s">
        <v>22</v>
      </c>
      <c r="O16" t="s">
        <v>82</v>
      </c>
      <c r="P16">
        <v>257970</v>
      </c>
      <c r="Q16" t="s">
        <v>90</v>
      </c>
      <c r="R16" t="s">
        <v>91</v>
      </c>
      <c r="S16" t="s">
        <v>83</v>
      </c>
      <c r="T16">
        <v>0</v>
      </c>
      <c r="U16">
        <v>1.5</v>
      </c>
      <c r="V16" s="2">
        <v>6.25E-2</v>
      </c>
      <c r="W16">
        <v>0</v>
      </c>
      <c r="AA16" t="s">
        <v>85</v>
      </c>
      <c r="AB16" t="s">
        <v>86</v>
      </c>
      <c r="AC16" t="s">
        <v>105</v>
      </c>
      <c r="AD16" t="s">
        <v>88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27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39</v>
      </c>
      <c r="M17" t="s">
        <v>22</v>
      </c>
      <c r="N17" t="s">
        <v>22</v>
      </c>
      <c r="O17" t="s">
        <v>82</v>
      </c>
      <c r="P17">
        <v>257752</v>
      </c>
      <c r="Q17" t="s">
        <v>90</v>
      </c>
      <c r="R17" t="s">
        <v>91</v>
      </c>
      <c r="S17" t="s">
        <v>83</v>
      </c>
      <c r="T17">
        <v>0</v>
      </c>
      <c r="U17">
        <v>8</v>
      </c>
      <c r="V17" s="2">
        <v>0.33333333333333331</v>
      </c>
      <c r="W17">
        <v>0</v>
      </c>
      <c r="AA17" t="s">
        <v>85</v>
      </c>
      <c r="AB17" t="s">
        <v>86</v>
      </c>
      <c r="AC17" t="s">
        <v>106</v>
      </c>
      <c r="AD17" t="s">
        <v>88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27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39</v>
      </c>
      <c r="M18" t="s">
        <v>22</v>
      </c>
      <c r="N18" t="s">
        <v>22</v>
      </c>
      <c r="O18" t="s">
        <v>82</v>
      </c>
      <c r="P18">
        <v>258715</v>
      </c>
      <c r="Q18" t="s">
        <v>90</v>
      </c>
      <c r="R18" t="s">
        <v>91</v>
      </c>
      <c r="S18" t="s">
        <v>83</v>
      </c>
      <c r="T18">
        <v>0</v>
      </c>
      <c r="U18">
        <v>3.5</v>
      </c>
      <c r="V18" s="2">
        <v>0.14583333333333334</v>
      </c>
      <c r="W18">
        <v>0</v>
      </c>
      <c r="AA18" t="s">
        <v>85</v>
      </c>
      <c r="AB18" t="s">
        <v>86</v>
      </c>
      <c r="AC18" t="s">
        <v>107</v>
      </c>
      <c r="AD18" t="s">
        <v>88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27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39</v>
      </c>
      <c r="M19" t="s">
        <v>22</v>
      </c>
      <c r="N19" t="s">
        <v>22</v>
      </c>
      <c r="O19" t="s">
        <v>82</v>
      </c>
      <c r="P19">
        <v>258716</v>
      </c>
      <c r="Q19" t="s">
        <v>90</v>
      </c>
      <c r="R19" t="s">
        <v>91</v>
      </c>
      <c r="S19" t="s">
        <v>83</v>
      </c>
      <c r="T19">
        <v>0</v>
      </c>
      <c r="U19">
        <v>1.5</v>
      </c>
      <c r="V19" s="2">
        <v>6.25E-2</v>
      </c>
      <c r="W19">
        <v>0</v>
      </c>
      <c r="AA19" t="s">
        <v>85</v>
      </c>
      <c r="AB19" t="s">
        <v>86</v>
      </c>
      <c r="AC19" t="s">
        <v>108</v>
      </c>
      <c r="AD19" t="s">
        <v>88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27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39</v>
      </c>
      <c r="M20" t="s">
        <v>22</v>
      </c>
      <c r="N20" t="s">
        <v>22</v>
      </c>
      <c r="O20" t="s">
        <v>82</v>
      </c>
      <c r="P20">
        <v>259863</v>
      </c>
      <c r="Q20" t="s">
        <v>90</v>
      </c>
      <c r="R20" t="s">
        <v>91</v>
      </c>
      <c r="S20" t="s">
        <v>83</v>
      </c>
      <c r="T20">
        <v>0</v>
      </c>
      <c r="U20">
        <v>5</v>
      </c>
      <c r="V20" s="2">
        <v>0.20833333333333334</v>
      </c>
      <c r="W20">
        <v>0</v>
      </c>
      <c r="AA20" t="s">
        <v>85</v>
      </c>
      <c r="AB20" t="s">
        <v>86</v>
      </c>
      <c r="AC20" t="s">
        <v>109</v>
      </c>
      <c r="AD20" t="s">
        <v>88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27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39</v>
      </c>
      <c r="M21" t="s">
        <v>22</v>
      </c>
      <c r="N21" t="s">
        <v>22</v>
      </c>
      <c r="O21" t="s">
        <v>82</v>
      </c>
      <c r="P21">
        <v>259858</v>
      </c>
      <c r="Q21" t="s">
        <v>90</v>
      </c>
      <c r="R21" t="s">
        <v>91</v>
      </c>
      <c r="S21" t="s">
        <v>83</v>
      </c>
      <c r="T21">
        <v>0</v>
      </c>
      <c r="U21">
        <v>8</v>
      </c>
      <c r="V21" s="2">
        <v>0.33333333333333331</v>
      </c>
      <c r="W21">
        <v>0</v>
      </c>
      <c r="AA21" t="s">
        <v>85</v>
      </c>
      <c r="AB21" t="s">
        <v>86</v>
      </c>
      <c r="AC21" t="s">
        <v>110</v>
      </c>
      <c r="AD21" t="s">
        <v>88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27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39</v>
      </c>
      <c r="M22" t="s">
        <v>22</v>
      </c>
      <c r="N22" t="s">
        <v>22</v>
      </c>
      <c r="O22" t="s">
        <v>82</v>
      </c>
      <c r="P22">
        <v>260525</v>
      </c>
      <c r="Q22" t="s">
        <v>90</v>
      </c>
      <c r="R22" t="s">
        <v>91</v>
      </c>
      <c r="S22" t="s">
        <v>83</v>
      </c>
      <c r="T22">
        <v>0</v>
      </c>
      <c r="U22">
        <v>7</v>
      </c>
      <c r="V22" s="2">
        <v>0.29166666666666669</v>
      </c>
      <c r="W22">
        <v>0</v>
      </c>
      <c r="AA22" t="s">
        <v>85</v>
      </c>
      <c r="AB22" t="s">
        <v>86</v>
      </c>
      <c r="AC22" t="s">
        <v>111</v>
      </c>
      <c r="AD22" t="s">
        <v>88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27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39</v>
      </c>
      <c r="M23" t="s">
        <v>22</v>
      </c>
      <c r="N23" t="s">
        <v>22</v>
      </c>
      <c r="O23" t="s">
        <v>82</v>
      </c>
      <c r="P23">
        <v>260815</v>
      </c>
      <c r="Q23" t="s">
        <v>90</v>
      </c>
      <c r="R23" t="s">
        <v>91</v>
      </c>
      <c r="S23" t="s">
        <v>83</v>
      </c>
      <c r="T23">
        <v>0</v>
      </c>
      <c r="U23">
        <v>1.5</v>
      </c>
      <c r="V23" s="2">
        <v>6.25E-2</v>
      </c>
      <c r="W23">
        <v>0</v>
      </c>
      <c r="AA23" t="s">
        <v>85</v>
      </c>
      <c r="AB23" t="s">
        <v>86</v>
      </c>
      <c r="AC23" t="s">
        <v>112</v>
      </c>
      <c r="AD23" t="s">
        <v>88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27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39</v>
      </c>
      <c r="M24" t="s">
        <v>22</v>
      </c>
      <c r="N24" t="s">
        <v>22</v>
      </c>
      <c r="O24" t="s">
        <v>82</v>
      </c>
      <c r="P24">
        <v>264058</v>
      </c>
      <c r="Q24" t="s">
        <v>90</v>
      </c>
      <c r="R24" t="s">
        <v>91</v>
      </c>
      <c r="S24" t="s">
        <v>83</v>
      </c>
      <c r="T24">
        <v>0</v>
      </c>
      <c r="U24">
        <v>4</v>
      </c>
      <c r="V24" s="2">
        <v>0.16666666666666666</v>
      </c>
      <c r="W24">
        <v>0</v>
      </c>
      <c r="AA24" t="s">
        <v>85</v>
      </c>
      <c r="AB24" t="s">
        <v>86</v>
      </c>
      <c r="AC24" t="s">
        <v>113</v>
      </c>
      <c r="AD24" t="s">
        <v>88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27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39</v>
      </c>
      <c r="M25" t="s">
        <v>22</v>
      </c>
      <c r="N25" t="s">
        <v>22</v>
      </c>
      <c r="O25" t="s">
        <v>82</v>
      </c>
      <c r="P25">
        <v>267579</v>
      </c>
      <c r="Q25" t="s">
        <v>16</v>
      </c>
      <c r="R25" t="s">
        <v>4</v>
      </c>
      <c r="S25" t="s">
        <v>83</v>
      </c>
      <c r="T25">
        <v>90</v>
      </c>
      <c r="U25">
        <v>4.5</v>
      </c>
      <c r="V25" s="2">
        <v>0.1875</v>
      </c>
      <c r="W25">
        <v>405</v>
      </c>
      <c r="X25">
        <v>390.25</v>
      </c>
      <c r="Y25">
        <v>-14.75</v>
      </c>
      <c r="Z25" t="s">
        <v>114</v>
      </c>
      <c r="AA25" t="s">
        <v>85</v>
      </c>
      <c r="AB25" t="s">
        <v>86</v>
      </c>
      <c r="AC25" t="s">
        <v>115</v>
      </c>
      <c r="AD25" t="s">
        <v>88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27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39</v>
      </c>
      <c r="M26" t="s">
        <v>22</v>
      </c>
      <c r="N26" t="s">
        <v>22</v>
      </c>
      <c r="O26" t="s">
        <v>82</v>
      </c>
      <c r="P26">
        <v>270930</v>
      </c>
      <c r="Q26" t="s">
        <v>90</v>
      </c>
      <c r="R26" t="s">
        <v>91</v>
      </c>
      <c r="S26" t="s">
        <v>83</v>
      </c>
      <c r="T26">
        <v>0</v>
      </c>
      <c r="U26">
        <v>3</v>
      </c>
      <c r="V26" s="2">
        <v>0.125</v>
      </c>
      <c r="W26">
        <v>0</v>
      </c>
      <c r="AA26" t="s">
        <v>85</v>
      </c>
      <c r="AB26" t="s">
        <v>86</v>
      </c>
      <c r="AC26" t="s">
        <v>116</v>
      </c>
      <c r="AD26" t="s">
        <v>88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27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39</v>
      </c>
      <c r="M27" t="s">
        <v>22</v>
      </c>
      <c r="N27" t="s">
        <v>22</v>
      </c>
      <c r="O27" t="s">
        <v>82</v>
      </c>
      <c r="P27">
        <v>271245</v>
      </c>
      <c r="Q27" t="s">
        <v>90</v>
      </c>
      <c r="R27" t="s">
        <v>91</v>
      </c>
      <c r="S27" t="s">
        <v>83</v>
      </c>
      <c r="T27">
        <v>0</v>
      </c>
      <c r="U27">
        <v>8</v>
      </c>
      <c r="V27" s="2">
        <v>0.33333333333333331</v>
      </c>
      <c r="W27">
        <v>0</v>
      </c>
      <c r="AA27" t="s">
        <v>85</v>
      </c>
      <c r="AB27" t="s">
        <v>86</v>
      </c>
      <c r="AC27" t="s">
        <v>117</v>
      </c>
      <c r="AD27" t="s">
        <v>88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27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39</v>
      </c>
      <c r="M28" t="s">
        <v>22</v>
      </c>
      <c r="N28" t="s">
        <v>22</v>
      </c>
      <c r="O28" t="s">
        <v>82</v>
      </c>
      <c r="P28">
        <v>272781</v>
      </c>
      <c r="Q28" t="s">
        <v>90</v>
      </c>
      <c r="R28" t="s">
        <v>91</v>
      </c>
      <c r="S28" t="s">
        <v>83</v>
      </c>
      <c r="T28">
        <v>0</v>
      </c>
      <c r="U28">
        <v>2</v>
      </c>
      <c r="V28" s="2">
        <v>8.3333333333333329E-2</v>
      </c>
      <c r="W28">
        <v>0</v>
      </c>
      <c r="AA28" t="s">
        <v>85</v>
      </c>
      <c r="AB28" t="s">
        <v>86</v>
      </c>
      <c r="AC28" t="s">
        <v>118</v>
      </c>
      <c r="AD28" t="s">
        <v>88</v>
      </c>
      <c r="AE28">
        <f t="shared" si="0"/>
        <v>7</v>
      </c>
      <c r="AF28" t="str">
        <f t="shared" si="1"/>
        <v>July</v>
      </c>
    </row>
    <row r="29" spans="1:32">
      <c r="A29" s="1">
        <v>45495</v>
      </c>
      <c r="B29" t="s">
        <v>27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39</v>
      </c>
      <c r="M29" t="s">
        <v>22</v>
      </c>
      <c r="N29" t="s">
        <v>22</v>
      </c>
      <c r="O29" t="s">
        <v>82</v>
      </c>
      <c r="P29">
        <v>274534</v>
      </c>
      <c r="Q29" t="s">
        <v>90</v>
      </c>
      <c r="R29" t="s">
        <v>91</v>
      </c>
      <c r="S29" t="s">
        <v>83</v>
      </c>
      <c r="T29">
        <v>0</v>
      </c>
      <c r="U29">
        <v>0.5</v>
      </c>
      <c r="V29" s="2">
        <v>2.0833333333333332E-2</v>
      </c>
      <c r="W29">
        <v>0</v>
      </c>
      <c r="AA29" t="s">
        <v>85</v>
      </c>
      <c r="AB29" t="s">
        <v>86</v>
      </c>
      <c r="AC29" t="s">
        <v>119</v>
      </c>
      <c r="AD29" t="s">
        <v>88</v>
      </c>
      <c r="AE29">
        <f t="shared" si="0"/>
        <v>7</v>
      </c>
      <c r="AF29" t="str">
        <f t="shared" si="1"/>
        <v>July</v>
      </c>
    </row>
    <row r="30" spans="1:32">
      <c r="A30" s="1">
        <v>45496</v>
      </c>
      <c r="B30" t="s">
        <v>27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39</v>
      </c>
      <c r="M30" t="s">
        <v>22</v>
      </c>
      <c r="N30" t="s">
        <v>22</v>
      </c>
      <c r="O30" t="s">
        <v>82</v>
      </c>
      <c r="P30">
        <v>274786</v>
      </c>
      <c r="Q30" t="s">
        <v>16</v>
      </c>
      <c r="R30" t="s">
        <v>4</v>
      </c>
      <c r="S30" t="s">
        <v>83</v>
      </c>
      <c r="T30">
        <v>90</v>
      </c>
      <c r="U30">
        <v>4</v>
      </c>
      <c r="V30" s="2">
        <v>0.16666666666666666</v>
      </c>
      <c r="W30">
        <v>360</v>
      </c>
      <c r="X30">
        <v>346.89</v>
      </c>
      <c r="Y30">
        <v>-13.11</v>
      </c>
      <c r="Z30" t="s">
        <v>114</v>
      </c>
      <c r="AA30" t="s">
        <v>85</v>
      </c>
      <c r="AB30" t="s">
        <v>86</v>
      </c>
      <c r="AC30" t="s">
        <v>120</v>
      </c>
      <c r="AD30" t="s">
        <v>88</v>
      </c>
      <c r="AE30">
        <f t="shared" si="0"/>
        <v>7</v>
      </c>
      <c r="AF30" t="str">
        <f t="shared" si="1"/>
        <v>July</v>
      </c>
    </row>
    <row r="31" spans="1:32">
      <c r="A31" s="1">
        <v>45497</v>
      </c>
      <c r="B31" t="s">
        <v>27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39</v>
      </c>
      <c r="M31" t="s">
        <v>22</v>
      </c>
      <c r="N31" t="s">
        <v>22</v>
      </c>
      <c r="O31" t="s">
        <v>82</v>
      </c>
      <c r="P31">
        <v>277173</v>
      </c>
      <c r="Q31" t="s">
        <v>16</v>
      </c>
      <c r="R31" t="s">
        <v>4</v>
      </c>
      <c r="S31" t="s">
        <v>83</v>
      </c>
      <c r="T31">
        <v>90</v>
      </c>
      <c r="U31">
        <v>1</v>
      </c>
      <c r="V31" s="2">
        <v>4.1666666666666664E-2</v>
      </c>
      <c r="W31">
        <v>90</v>
      </c>
      <c r="X31">
        <v>86.72</v>
      </c>
      <c r="Y31">
        <v>-3.28</v>
      </c>
      <c r="Z31" t="s">
        <v>114</v>
      </c>
      <c r="AA31" t="s">
        <v>85</v>
      </c>
      <c r="AB31" t="s">
        <v>86</v>
      </c>
      <c r="AC31" t="s">
        <v>121</v>
      </c>
      <c r="AD31" t="s">
        <v>88</v>
      </c>
      <c r="AE31">
        <f t="shared" si="0"/>
        <v>7</v>
      </c>
      <c r="AF31" t="str">
        <f t="shared" si="1"/>
        <v>July</v>
      </c>
    </row>
    <row r="32" spans="1:32">
      <c r="A32" s="1">
        <v>45498</v>
      </c>
      <c r="B32" t="s">
        <v>27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39</v>
      </c>
      <c r="M32" t="s">
        <v>22</v>
      </c>
      <c r="N32" t="s">
        <v>22</v>
      </c>
      <c r="O32" t="s">
        <v>82</v>
      </c>
      <c r="P32">
        <v>276677</v>
      </c>
      <c r="Q32" t="s">
        <v>90</v>
      </c>
      <c r="R32" t="s">
        <v>91</v>
      </c>
      <c r="S32" t="s">
        <v>83</v>
      </c>
      <c r="T32">
        <v>0</v>
      </c>
      <c r="U32">
        <v>0.5</v>
      </c>
      <c r="V32" s="2">
        <v>2.0833333333333332E-2</v>
      </c>
      <c r="W32">
        <v>0</v>
      </c>
      <c r="AA32" t="s">
        <v>85</v>
      </c>
      <c r="AB32" t="s">
        <v>86</v>
      </c>
      <c r="AC32" t="s">
        <v>119</v>
      </c>
      <c r="AD32" t="s">
        <v>88</v>
      </c>
      <c r="AE32">
        <f t="shared" si="0"/>
        <v>7</v>
      </c>
      <c r="AF32" t="str">
        <f t="shared" si="1"/>
        <v>July</v>
      </c>
    </row>
    <row r="33" spans="1:32">
      <c r="A33" s="1">
        <v>45499</v>
      </c>
      <c r="B33" t="s">
        <v>27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39</v>
      </c>
      <c r="M33" t="s">
        <v>22</v>
      </c>
      <c r="N33" t="s">
        <v>22</v>
      </c>
      <c r="O33" t="s">
        <v>82</v>
      </c>
      <c r="P33">
        <v>276675</v>
      </c>
      <c r="Q33" t="s">
        <v>16</v>
      </c>
      <c r="R33" t="s">
        <v>4</v>
      </c>
      <c r="S33" t="s">
        <v>83</v>
      </c>
      <c r="T33">
        <v>90</v>
      </c>
      <c r="U33">
        <v>3</v>
      </c>
      <c r="V33" s="2">
        <v>0.125</v>
      </c>
      <c r="W33">
        <v>270</v>
      </c>
      <c r="X33">
        <v>260.17</v>
      </c>
      <c r="Y33">
        <v>-9.83</v>
      </c>
      <c r="Z33" t="s">
        <v>114</v>
      </c>
      <c r="AA33" t="s">
        <v>85</v>
      </c>
      <c r="AB33" t="s">
        <v>86</v>
      </c>
      <c r="AC33" t="s">
        <v>122</v>
      </c>
      <c r="AD33" t="s">
        <v>88</v>
      </c>
      <c r="AE33">
        <f t="shared" si="0"/>
        <v>7</v>
      </c>
      <c r="AF33" t="str">
        <f t="shared" si="1"/>
        <v>July</v>
      </c>
    </row>
    <row r="34" spans="1:32">
      <c r="A34" s="1">
        <v>45504</v>
      </c>
      <c r="B34" t="s">
        <v>27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39</v>
      </c>
      <c r="M34" t="s">
        <v>22</v>
      </c>
      <c r="N34" t="s">
        <v>22</v>
      </c>
      <c r="O34" t="s">
        <v>82</v>
      </c>
      <c r="P34">
        <v>278531</v>
      </c>
      <c r="Q34" t="s">
        <v>16</v>
      </c>
      <c r="R34" t="s">
        <v>4</v>
      </c>
      <c r="S34" t="s">
        <v>83</v>
      </c>
      <c r="T34">
        <v>90</v>
      </c>
      <c r="U34">
        <v>1</v>
      </c>
      <c r="V34" s="2">
        <v>4.1666666666666664E-2</v>
      </c>
      <c r="W34">
        <v>90</v>
      </c>
      <c r="X34">
        <v>86.72</v>
      </c>
      <c r="Y34">
        <v>-3.28</v>
      </c>
      <c r="Z34" t="s">
        <v>114</v>
      </c>
      <c r="AA34" t="s">
        <v>85</v>
      </c>
      <c r="AB34" t="s">
        <v>86</v>
      </c>
      <c r="AC34" t="s">
        <v>123</v>
      </c>
      <c r="AD34" t="s">
        <v>88</v>
      </c>
      <c r="AE34">
        <f t="shared" si="0"/>
        <v>7</v>
      </c>
      <c r="AF34" t="str">
        <f t="shared" si="1"/>
        <v>July</v>
      </c>
    </row>
    <row r="35" spans="1:32">
      <c r="A35" s="1">
        <v>45506</v>
      </c>
      <c r="B35" t="s">
        <v>27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39</v>
      </c>
      <c r="M35" t="s">
        <v>22</v>
      </c>
      <c r="N35" t="s">
        <v>22</v>
      </c>
      <c r="O35" t="s">
        <v>82</v>
      </c>
      <c r="P35">
        <v>280262</v>
      </c>
      <c r="Q35" t="s">
        <v>90</v>
      </c>
      <c r="R35" t="s">
        <v>91</v>
      </c>
      <c r="S35" t="s">
        <v>83</v>
      </c>
      <c r="T35">
        <v>0</v>
      </c>
      <c r="U35">
        <v>0.5</v>
      </c>
      <c r="V35" s="2">
        <v>2.0833333333333332E-2</v>
      </c>
      <c r="W35">
        <v>0</v>
      </c>
      <c r="AA35" t="s">
        <v>85</v>
      </c>
      <c r="AB35" t="s">
        <v>86</v>
      </c>
      <c r="AC35" t="s">
        <v>124</v>
      </c>
      <c r="AD35" t="s">
        <v>88</v>
      </c>
      <c r="AE35">
        <f t="shared" si="0"/>
        <v>8</v>
      </c>
      <c r="AF35" t="str">
        <f t="shared" si="1"/>
        <v>August</v>
      </c>
    </row>
    <row r="36" spans="1:32">
      <c r="A36" s="1">
        <v>45520</v>
      </c>
      <c r="B36" t="s">
        <v>27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39</v>
      </c>
      <c r="M36" t="s">
        <v>22</v>
      </c>
      <c r="N36" t="s">
        <v>22</v>
      </c>
      <c r="O36" t="s">
        <v>82</v>
      </c>
      <c r="P36">
        <v>285694</v>
      </c>
      <c r="Q36" t="s">
        <v>16</v>
      </c>
      <c r="R36" t="s">
        <v>4</v>
      </c>
      <c r="S36" t="s">
        <v>83</v>
      </c>
      <c r="T36">
        <v>90</v>
      </c>
      <c r="U36">
        <v>4.5</v>
      </c>
      <c r="V36" s="2">
        <v>0.1875</v>
      </c>
      <c r="W36">
        <v>405</v>
      </c>
      <c r="AA36" t="s">
        <v>85</v>
      </c>
      <c r="AC36" t="s">
        <v>125</v>
      </c>
      <c r="AD36" t="s">
        <v>88</v>
      </c>
      <c r="AE36">
        <f t="shared" si="0"/>
        <v>8</v>
      </c>
      <c r="AF36" t="str">
        <f t="shared" si="1"/>
        <v>August</v>
      </c>
    </row>
    <row r="37" spans="1:32">
      <c r="A37" s="1">
        <v>45521</v>
      </c>
      <c r="B37" t="s">
        <v>27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39</v>
      </c>
      <c r="M37" t="s">
        <v>22</v>
      </c>
      <c r="N37" t="s">
        <v>22</v>
      </c>
      <c r="O37" t="s">
        <v>82</v>
      </c>
      <c r="P37">
        <v>285695</v>
      </c>
      <c r="Q37" t="s">
        <v>16</v>
      </c>
      <c r="R37" t="s">
        <v>4</v>
      </c>
      <c r="S37" t="s">
        <v>83</v>
      </c>
      <c r="T37">
        <v>90</v>
      </c>
      <c r="U37">
        <v>1</v>
      </c>
      <c r="V37" s="2">
        <v>4.1666666666666664E-2</v>
      </c>
      <c r="W37">
        <v>90</v>
      </c>
      <c r="AA37" t="s">
        <v>85</v>
      </c>
      <c r="AC37" t="s">
        <v>126</v>
      </c>
      <c r="AD37" t="s">
        <v>88</v>
      </c>
      <c r="AE37">
        <f t="shared" si="0"/>
        <v>8</v>
      </c>
      <c r="AF37" t="str">
        <f t="shared" si="1"/>
        <v>August</v>
      </c>
    </row>
    <row r="38" spans="1:32">
      <c r="A38" s="1">
        <v>45432</v>
      </c>
      <c r="B38" t="s">
        <v>127</v>
      </c>
      <c r="C38" t="s">
        <v>128</v>
      </c>
      <c r="D38" t="s">
        <v>75</v>
      </c>
      <c r="E38" t="s">
        <v>129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39</v>
      </c>
      <c r="M38" t="s">
        <v>22</v>
      </c>
      <c r="N38" t="s">
        <v>130</v>
      </c>
      <c r="O38" t="s">
        <v>82</v>
      </c>
      <c r="P38">
        <v>249451</v>
      </c>
      <c r="Q38" t="s">
        <v>90</v>
      </c>
      <c r="R38" t="s">
        <v>91</v>
      </c>
      <c r="S38" t="s">
        <v>83</v>
      </c>
      <c r="T38">
        <v>0</v>
      </c>
      <c r="U38">
        <v>0.75</v>
      </c>
      <c r="V38" s="2">
        <v>3.125E-2</v>
      </c>
      <c r="W38">
        <v>0</v>
      </c>
      <c r="AA38" t="s">
        <v>85</v>
      </c>
      <c r="AB38" t="s">
        <v>86</v>
      </c>
      <c r="AC38" t="s">
        <v>131</v>
      </c>
      <c r="AD38" t="s">
        <v>88</v>
      </c>
      <c r="AE38">
        <f t="shared" si="0"/>
        <v>5</v>
      </c>
      <c r="AF38" t="str">
        <f t="shared" si="1"/>
        <v>May</v>
      </c>
    </row>
    <row r="39" spans="1:32">
      <c r="A39" s="1">
        <v>45436</v>
      </c>
      <c r="B39" t="s">
        <v>127</v>
      </c>
      <c r="C39" t="s">
        <v>128</v>
      </c>
      <c r="D39" t="s">
        <v>75</v>
      </c>
      <c r="E39" t="s">
        <v>129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39</v>
      </c>
      <c r="M39" t="s">
        <v>22</v>
      </c>
      <c r="N39" t="s">
        <v>130</v>
      </c>
      <c r="O39" t="s">
        <v>82</v>
      </c>
      <c r="P39">
        <v>251387</v>
      </c>
      <c r="Q39" t="s">
        <v>90</v>
      </c>
      <c r="R39" t="s">
        <v>91</v>
      </c>
      <c r="S39" t="s">
        <v>83</v>
      </c>
      <c r="T39">
        <v>0</v>
      </c>
      <c r="U39">
        <v>1</v>
      </c>
      <c r="V39" s="2">
        <v>4.1666666666666664E-2</v>
      </c>
      <c r="W39">
        <v>0</v>
      </c>
      <c r="AA39" t="s">
        <v>85</v>
      </c>
      <c r="AB39" t="s">
        <v>86</v>
      </c>
      <c r="AC39" t="s">
        <v>132</v>
      </c>
      <c r="AD39" t="s">
        <v>88</v>
      </c>
      <c r="AE39">
        <f t="shared" si="0"/>
        <v>5</v>
      </c>
      <c r="AF39" t="str">
        <f t="shared" si="1"/>
        <v>May</v>
      </c>
    </row>
    <row r="40" spans="1:32">
      <c r="A40" s="1">
        <v>45440</v>
      </c>
      <c r="B40" t="s">
        <v>127</v>
      </c>
      <c r="C40" t="s">
        <v>128</v>
      </c>
      <c r="D40" t="s">
        <v>75</v>
      </c>
      <c r="E40" t="s">
        <v>129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39</v>
      </c>
      <c r="M40" t="s">
        <v>22</v>
      </c>
      <c r="N40" t="s">
        <v>130</v>
      </c>
      <c r="O40" t="s">
        <v>82</v>
      </c>
      <c r="P40">
        <v>252336</v>
      </c>
      <c r="Q40" t="s">
        <v>90</v>
      </c>
      <c r="R40" t="s">
        <v>91</v>
      </c>
      <c r="S40" t="s">
        <v>83</v>
      </c>
      <c r="T40">
        <v>0</v>
      </c>
      <c r="U40">
        <v>0.25</v>
      </c>
      <c r="V40" s="2">
        <v>1.0416666666666666E-2</v>
      </c>
      <c r="W40">
        <v>0</v>
      </c>
      <c r="AA40" t="s">
        <v>85</v>
      </c>
      <c r="AB40" t="s">
        <v>86</v>
      </c>
      <c r="AC40" t="s">
        <v>133</v>
      </c>
      <c r="AD40" t="s">
        <v>88</v>
      </c>
      <c r="AE40">
        <f t="shared" si="0"/>
        <v>5</v>
      </c>
      <c r="AF40" t="str">
        <f t="shared" si="1"/>
        <v>May</v>
      </c>
    </row>
    <row r="41" spans="1:32">
      <c r="A41" s="1">
        <v>45448</v>
      </c>
      <c r="B41" t="s">
        <v>127</v>
      </c>
      <c r="C41" t="s">
        <v>128</v>
      </c>
      <c r="D41" t="s">
        <v>75</v>
      </c>
      <c r="E41" t="s">
        <v>129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39</v>
      </c>
      <c r="M41" t="s">
        <v>22</v>
      </c>
      <c r="N41" t="s">
        <v>130</v>
      </c>
      <c r="O41" t="s">
        <v>82</v>
      </c>
      <c r="P41">
        <v>255783</v>
      </c>
      <c r="Q41" t="s">
        <v>90</v>
      </c>
      <c r="R41" t="s">
        <v>91</v>
      </c>
      <c r="S41" t="s">
        <v>83</v>
      </c>
      <c r="T41">
        <v>0</v>
      </c>
      <c r="U41">
        <v>0.5</v>
      </c>
      <c r="V41" s="2">
        <v>2.0833333333333332E-2</v>
      </c>
      <c r="W41">
        <v>0</v>
      </c>
      <c r="AA41" t="s">
        <v>85</v>
      </c>
      <c r="AB41" t="s">
        <v>86</v>
      </c>
      <c r="AC41" t="s">
        <v>134</v>
      </c>
      <c r="AD41" t="s">
        <v>88</v>
      </c>
      <c r="AE41">
        <f t="shared" si="0"/>
        <v>6</v>
      </c>
      <c r="AF41" t="str">
        <f t="shared" si="1"/>
        <v>June</v>
      </c>
    </row>
    <row r="42" spans="1:32">
      <c r="A42" s="1">
        <v>45453</v>
      </c>
      <c r="B42" t="s">
        <v>127</v>
      </c>
      <c r="C42" t="s">
        <v>128</v>
      </c>
      <c r="D42" t="s">
        <v>75</v>
      </c>
      <c r="E42" t="s">
        <v>129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39</v>
      </c>
      <c r="M42" t="s">
        <v>22</v>
      </c>
      <c r="N42" t="s">
        <v>130</v>
      </c>
      <c r="O42" t="s">
        <v>82</v>
      </c>
      <c r="P42">
        <v>257333</v>
      </c>
      <c r="Q42" t="s">
        <v>90</v>
      </c>
      <c r="R42" t="s">
        <v>91</v>
      </c>
      <c r="S42" t="s">
        <v>83</v>
      </c>
      <c r="T42">
        <v>0</v>
      </c>
      <c r="U42">
        <v>0.25</v>
      </c>
      <c r="V42" s="2">
        <v>1.0416666666666666E-2</v>
      </c>
      <c r="W42">
        <v>0</v>
      </c>
      <c r="AA42" t="s">
        <v>85</v>
      </c>
      <c r="AB42" t="s">
        <v>86</v>
      </c>
      <c r="AC42" t="s">
        <v>133</v>
      </c>
      <c r="AD42" t="s">
        <v>88</v>
      </c>
      <c r="AE42">
        <f t="shared" si="0"/>
        <v>6</v>
      </c>
      <c r="AF42" t="str">
        <f t="shared" si="1"/>
        <v>June</v>
      </c>
    </row>
    <row r="43" spans="1:32">
      <c r="A43" s="1">
        <v>45461</v>
      </c>
      <c r="B43" t="s">
        <v>127</v>
      </c>
      <c r="C43" t="s">
        <v>128</v>
      </c>
      <c r="D43" t="s">
        <v>75</v>
      </c>
      <c r="E43" t="s">
        <v>129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39</v>
      </c>
      <c r="M43" t="s">
        <v>22</v>
      </c>
      <c r="N43" t="s">
        <v>130</v>
      </c>
      <c r="O43" t="s">
        <v>82</v>
      </c>
      <c r="P43">
        <v>260427</v>
      </c>
      <c r="Q43" t="s">
        <v>90</v>
      </c>
      <c r="R43" t="s">
        <v>91</v>
      </c>
      <c r="S43" t="s">
        <v>83</v>
      </c>
      <c r="T43">
        <v>0</v>
      </c>
      <c r="U43">
        <v>0.25</v>
      </c>
      <c r="V43" s="2">
        <v>1.0416666666666666E-2</v>
      </c>
      <c r="W43">
        <v>0</v>
      </c>
      <c r="AA43" t="s">
        <v>85</v>
      </c>
      <c r="AB43" t="s">
        <v>86</v>
      </c>
      <c r="AC43" t="s">
        <v>133</v>
      </c>
      <c r="AD43" t="s">
        <v>88</v>
      </c>
      <c r="AE43">
        <f t="shared" si="0"/>
        <v>6</v>
      </c>
      <c r="AF43" t="str">
        <f t="shared" si="1"/>
        <v>June</v>
      </c>
    </row>
    <row r="44" spans="1:32">
      <c r="A44" s="1">
        <v>45471</v>
      </c>
      <c r="B44" t="s">
        <v>127</v>
      </c>
      <c r="C44" t="s">
        <v>128</v>
      </c>
      <c r="D44" t="s">
        <v>75</v>
      </c>
      <c r="E44" t="s">
        <v>129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39</v>
      </c>
      <c r="M44" t="s">
        <v>22</v>
      </c>
      <c r="N44" t="s">
        <v>130</v>
      </c>
      <c r="O44" t="s">
        <v>82</v>
      </c>
      <c r="P44">
        <v>264860</v>
      </c>
      <c r="Q44" t="s">
        <v>90</v>
      </c>
      <c r="R44" t="s">
        <v>91</v>
      </c>
      <c r="S44" t="s">
        <v>83</v>
      </c>
      <c r="T44">
        <v>0</v>
      </c>
      <c r="U44">
        <v>0.25</v>
      </c>
      <c r="V44" s="2">
        <v>1.0416666666666666E-2</v>
      </c>
      <c r="W44">
        <v>0</v>
      </c>
      <c r="AA44" t="s">
        <v>85</v>
      </c>
      <c r="AB44" t="s">
        <v>86</v>
      </c>
      <c r="AC44" t="s">
        <v>135</v>
      </c>
      <c r="AD44" t="s">
        <v>88</v>
      </c>
      <c r="AE44">
        <f t="shared" ref="AE44:AE50" si="2">MONTH(A44)</f>
        <v>6</v>
      </c>
      <c r="AF44" t="str">
        <f t="shared" ref="AF44:AF50" si="3">IF(AE44=5,"May",IF(AE44=6,"June",IF(AE44=7,"July",IF(AE44=8,"August",IF(AE44=9,"September")))))</f>
        <v>June</v>
      </c>
    </row>
    <row r="45" spans="1:32">
      <c r="A45" s="1">
        <v>45474</v>
      </c>
      <c r="B45" t="s">
        <v>127</v>
      </c>
      <c r="C45" t="s">
        <v>128</v>
      </c>
      <c r="D45" t="s">
        <v>75</v>
      </c>
      <c r="E45" t="s">
        <v>129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39</v>
      </c>
      <c r="M45" t="s">
        <v>22</v>
      </c>
      <c r="N45" t="s">
        <v>130</v>
      </c>
      <c r="O45" t="s">
        <v>82</v>
      </c>
      <c r="P45">
        <v>266032</v>
      </c>
      <c r="Q45" t="s">
        <v>90</v>
      </c>
      <c r="R45" t="s">
        <v>91</v>
      </c>
      <c r="S45" t="s">
        <v>83</v>
      </c>
      <c r="T45">
        <v>0</v>
      </c>
      <c r="U45">
        <v>0.25</v>
      </c>
      <c r="V45" s="2">
        <v>1.0416666666666666E-2</v>
      </c>
      <c r="W45">
        <v>0</v>
      </c>
      <c r="AA45" t="s">
        <v>85</v>
      </c>
      <c r="AB45" t="s">
        <v>86</v>
      </c>
      <c r="AC45" t="s">
        <v>133</v>
      </c>
      <c r="AD45" t="s">
        <v>88</v>
      </c>
      <c r="AE45">
        <f t="shared" si="2"/>
        <v>7</v>
      </c>
      <c r="AF45" t="str">
        <f t="shared" si="3"/>
        <v>July</v>
      </c>
    </row>
    <row r="46" spans="1:32">
      <c r="A46" s="1">
        <v>45481</v>
      </c>
      <c r="B46" t="s">
        <v>127</v>
      </c>
      <c r="C46" t="s">
        <v>128</v>
      </c>
      <c r="D46" t="s">
        <v>75</v>
      </c>
      <c r="E46" t="s">
        <v>129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39</v>
      </c>
      <c r="M46" t="s">
        <v>22</v>
      </c>
      <c r="N46" t="s">
        <v>130</v>
      </c>
      <c r="O46" t="s">
        <v>82</v>
      </c>
      <c r="P46">
        <v>268395</v>
      </c>
      <c r="Q46" t="s">
        <v>90</v>
      </c>
      <c r="R46" t="s">
        <v>91</v>
      </c>
      <c r="S46" t="s">
        <v>83</v>
      </c>
      <c r="T46">
        <v>0</v>
      </c>
      <c r="U46">
        <v>0.5</v>
      </c>
      <c r="V46" s="2">
        <v>2.0833333333333332E-2</v>
      </c>
      <c r="W46">
        <v>0</v>
      </c>
      <c r="AA46" t="s">
        <v>85</v>
      </c>
      <c r="AB46" t="s">
        <v>86</v>
      </c>
      <c r="AC46" t="s">
        <v>133</v>
      </c>
      <c r="AD46" t="s">
        <v>88</v>
      </c>
      <c r="AE46">
        <f t="shared" si="2"/>
        <v>7</v>
      </c>
      <c r="AF46" t="str">
        <f t="shared" si="3"/>
        <v>July</v>
      </c>
    </row>
    <row r="47" spans="1:32">
      <c r="A47" s="1">
        <v>45495</v>
      </c>
      <c r="B47" t="s">
        <v>127</v>
      </c>
      <c r="C47" t="s">
        <v>128</v>
      </c>
      <c r="D47" t="s">
        <v>75</v>
      </c>
      <c r="E47" t="s">
        <v>129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39</v>
      </c>
      <c r="M47" t="s">
        <v>22</v>
      </c>
      <c r="N47" t="s">
        <v>130</v>
      </c>
      <c r="O47" t="s">
        <v>82</v>
      </c>
      <c r="P47">
        <v>274583</v>
      </c>
      <c r="Q47" t="s">
        <v>90</v>
      </c>
      <c r="R47" t="s">
        <v>91</v>
      </c>
      <c r="S47" t="s">
        <v>83</v>
      </c>
      <c r="T47">
        <v>0</v>
      </c>
      <c r="U47">
        <v>0.25</v>
      </c>
      <c r="V47" s="2">
        <v>1.0416666666666666E-2</v>
      </c>
      <c r="W47">
        <v>0</v>
      </c>
      <c r="AA47" t="s">
        <v>85</v>
      </c>
      <c r="AB47" t="s">
        <v>86</v>
      </c>
      <c r="AC47" t="s">
        <v>133</v>
      </c>
      <c r="AD47" t="s">
        <v>88</v>
      </c>
      <c r="AE47">
        <f t="shared" si="2"/>
        <v>7</v>
      </c>
      <c r="AF47" t="str">
        <f t="shared" si="3"/>
        <v>July</v>
      </c>
    </row>
    <row r="48" spans="1:32">
      <c r="A48" s="1">
        <v>45502</v>
      </c>
      <c r="B48" t="s">
        <v>127</v>
      </c>
      <c r="C48" t="s">
        <v>128</v>
      </c>
      <c r="D48" t="s">
        <v>75</v>
      </c>
      <c r="E48" t="s">
        <v>129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39</v>
      </c>
      <c r="M48" t="s">
        <v>22</v>
      </c>
      <c r="N48" t="s">
        <v>130</v>
      </c>
      <c r="O48" t="s">
        <v>82</v>
      </c>
      <c r="P48">
        <v>277810</v>
      </c>
      <c r="Q48" t="s">
        <v>90</v>
      </c>
      <c r="R48" t="s">
        <v>91</v>
      </c>
      <c r="S48" t="s">
        <v>83</v>
      </c>
      <c r="T48">
        <v>0</v>
      </c>
      <c r="U48">
        <v>0.25</v>
      </c>
      <c r="V48" s="2">
        <v>1.0416666666666666E-2</v>
      </c>
      <c r="W48">
        <v>0</v>
      </c>
      <c r="AA48" t="s">
        <v>85</v>
      </c>
      <c r="AB48" t="s">
        <v>86</v>
      </c>
      <c r="AC48" t="s">
        <v>136</v>
      </c>
      <c r="AD48" t="s">
        <v>88</v>
      </c>
      <c r="AE48">
        <f t="shared" si="2"/>
        <v>7</v>
      </c>
      <c r="AF48" t="str">
        <f t="shared" si="3"/>
        <v>July</v>
      </c>
    </row>
    <row r="49" spans="1:32">
      <c r="A49" s="1">
        <v>45509</v>
      </c>
      <c r="B49" t="s">
        <v>127</v>
      </c>
      <c r="C49" t="s">
        <v>128</v>
      </c>
      <c r="D49" t="s">
        <v>75</v>
      </c>
      <c r="E49" t="s">
        <v>129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39</v>
      </c>
      <c r="M49" t="s">
        <v>22</v>
      </c>
      <c r="N49" t="s">
        <v>130</v>
      </c>
      <c r="O49" t="s">
        <v>82</v>
      </c>
      <c r="P49">
        <v>281141</v>
      </c>
      <c r="Q49" t="s">
        <v>90</v>
      </c>
      <c r="R49" t="s">
        <v>91</v>
      </c>
      <c r="S49" t="s">
        <v>83</v>
      </c>
      <c r="T49">
        <v>0</v>
      </c>
      <c r="U49">
        <v>0.25</v>
      </c>
      <c r="V49" s="2">
        <v>1.0416666666666666E-2</v>
      </c>
      <c r="W49">
        <v>0</v>
      </c>
      <c r="AA49" t="s">
        <v>85</v>
      </c>
      <c r="AB49" t="s">
        <v>86</v>
      </c>
      <c r="AC49" t="s">
        <v>130</v>
      </c>
      <c r="AD49" t="s">
        <v>88</v>
      </c>
      <c r="AE49">
        <f t="shared" si="2"/>
        <v>8</v>
      </c>
      <c r="AF49" t="str">
        <f t="shared" si="3"/>
        <v>August</v>
      </c>
    </row>
    <row r="50" spans="1:32">
      <c r="A50" s="1">
        <v>45516</v>
      </c>
      <c r="B50" t="s">
        <v>127</v>
      </c>
      <c r="C50" t="s">
        <v>128</v>
      </c>
      <c r="D50" t="s">
        <v>75</v>
      </c>
      <c r="E50" t="s">
        <v>129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39</v>
      </c>
      <c r="M50" t="s">
        <v>22</v>
      </c>
      <c r="N50" t="s">
        <v>130</v>
      </c>
      <c r="O50" t="s">
        <v>82</v>
      </c>
      <c r="P50">
        <v>283501</v>
      </c>
      <c r="Q50" t="s">
        <v>90</v>
      </c>
      <c r="R50" t="s">
        <v>91</v>
      </c>
      <c r="S50" t="s">
        <v>83</v>
      </c>
      <c r="T50">
        <v>0</v>
      </c>
      <c r="U50">
        <v>0.25</v>
      </c>
      <c r="V50" s="2">
        <v>1.0416666666666666E-2</v>
      </c>
      <c r="W50">
        <v>0</v>
      </c>
      <c r="AA50" t="s">
        <v>85</v>
      </c>
      <c r="AB50" t="s">
        <v>86</v>
      </c>
      <c r="AC50" t="s">
        <v>133</v>
      </c>
      <c r="AD50" t="s">
        <v>88</v>
      </c>
      <c r="AE50">
        <f t="shared" si="2"/>
        <v>8</v>
      </c>
      <c r="AF50" t="str">
        <f t="shared" si="3"/>
        <v>August</v>
      </c>
    </row>
    <row r="51" spans="1:32">
      <c r="A51" s="1">
        <v>45496</v>
      </c>
      <c r="B51" t="s">
        <v>40</v>
      </c>
      <c r="C51" t="s">
        <v>128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39</v>
      </c>
      <c r="M51" t="s">
        <v>22</v>
      </c>
      <c r="N51" t="s">
        <v>22</v>
      </c>
      <c r="O51" t="s">
        <v>28</v>
      </c>
      <c r="P51">
        <v>275501</v>
      </c>
      <c r="Q51" t="s">
        <v>17</v>
      </c>
      <c r="R51" t="s">
        <v>4</v>
      </c>
      <c r="S51" t="s">
        <v>83</v>
      </c>
      <c r="T51">
        <v>90</v>
      </c>
      <c r="U51">
        <v>2</v>
      </c>
      <c r="V51" s="2">
        <v>8.3333333333333329E-2</v>
      </c>
      <c r="W51">
        <v>180</v>
      </c>
      <c r="X51">
        <v>0</v>
      </c>
      <c r="Y51">
        <v>-180</v>
      </c>
      <c r="Z51" t="s">
        <v>114</v>
      </c>
      <c r="AA51" t="s">
        <v>85</v>
      </c>
      <c r="AB51" t="s">
        <v>86</v>
      </c>
      <c r="AC51" t="s">
        <v>130</v>
      </c>
      <c r="AD51" t="s">
        <v>88</v>
      </c>
      <c r="AE51">
        <f t="shared" ref="AE51:AE73" si="4">MONTH(A51)</f>
        <v>7</v>
      </c>
      <c r="AF51" t="str">
        <f t="shared" ref="AF51:AF73" si="5">IF(AE51=5,"May",IF(AE51=6,"June",IF(AE51=7,"July",IF(AE51=8,"August",IF(AE51=9,"September")))))</f>
        <v>July</v>
      </c>
    </row>
    <row r="52" spans="1:32">
      <c r="A52" s="1">
        <v>45497</v>
      </c>
      <c r="B52" t="s">
        <v>40</v>
      </c>
      <c r="C52" t="s">
        <v>128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39</v>
      </c>
      <c r="M52" t="s">
        <v>22</v>
      </c>
      <c r="N52" t="s">
        <v>22</v>
      </c>
      <c r="O52" t="s">
        <v>28</v>
      </c>
      <c r="P52">
        <v>275500</v>
      </c>
      <c r="Q52" t="s">
        <v>17</v>
      </c>
      <c r="R52" t="s">
        <v>4</v>
      </c>
      <c r="S52" t="s">
        <v>83</v>
      </c>
      <c r="T52">
        <v>90</v>
      </c>
      <c r="U52">
        <v>1.75</v>
      </c>
      <c r="V52" s="2">
        <v>7.2916666666666671E-2</v>
      </c>
      <c r="W52">
        <v>157.5</v>
      </c>
      <c r="X52">
        <v>0</v>
      </c>
      <c r="Y52">
        <v>-157.5</v>
      </c>
      <c r="Z52" t="s">
        <v>114</v>
      </c>
      <c r="AA52" t="s">
        <v>85</v>
      </c>
      <c r="AB52" t="s">
        <v>86</v>
      </c>
      <c r="AC52" t="s">
        <v>130</v>
      </c>
      <c r="AD52" t="s">
        <v>88</v>
      </c>
      <c r="AE52">
        <f t="shared" si="4"/>
        <v>7</v>
      </c>
      <c r="AF52" t="str">
        <f t="shared" si="5"/>
        <v>July</v>
      </c>
    </row>
    <row r="53" spans="1:32">
      <c r="A53" s="1">
        <v>45498</v>
      </c>
      <c r="B53" t="s">
        <v>40</v>
      </c>
      <c r="C53" t="s">
        <v>128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39</v>
      </c>
      <c r="M53" t="s">
        <v>22</v>
      </c>
      <c r="N53" t="s">
        <v>22</v>
      </c>
      <c r="O53" t="s">
        <v>28</v>
      </c>
      <c r="P53">
        <v>276761</v>
      </c>
      <c r="Q53" t="s">
        <v>17</v>
      </c>
      <c r="R53" t="s">
        <v>4</v>
      </c>
      <c r="S53" t="s">
        <v>83</v>
      </c>
      <c r="T53">
        <v>90</v>
      </c>
      <c r="U53">
        <v>1</v>
      </c>
      <c r="V53" s="2">
        <v>4.1666666666666664E-2</v>
      </c>
      <c r="W53">
        <v>90</v>
      </c>
      <c r="X53">
        <v>0</v>
      </c>
      <c r="Y53">
        <v>-90</v>
      </c>
      <c r="Z53" t="s">
        <v>114</v>
      </c>
      <c r="AA53" t="s">
        <v>85</v>
      </c>
      <c r="AB53" t="s">
        <v>86</v>
      </c>
      <c r="AC53" t="s">
        <v>130</v>
      </c>
      <c r="AD53" t="s">
        <v>88</v>
      </c>
      <c r="AE53">
        <f t="shared" si="4"/>
        <v>7</v>
      </c>
      <c r="AF53" t="str">
        <f t="shared" si="5"/>
        <v>July</v>
      </c>
    </row>
    <row r="54" spans="1:32">
      <c r="A54" s="1">
        <v>45502</v>
      </c>
      <c r="B54" t="s">
        <v>40</v>
      </c>
      <c r="C54" t="s">
        <v>128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39</v>
      </c>
      <c r="M54" t="s">
        <v>22</v>
      </c>
      <c r="N54" t="s">
        <v>22</v>
      </c>
      <c r="O54" t="s">
        <v>28</v>
      </c>
      <c r="P54">
        <v>277489</v>
      </c>
      <c r="Q54" t="s">
        <v>17</v>
      </c>
      <c r="R54" t="s">
        <v>4</v>
      </c>
      <c r="S54" t="s">
        <v>83</v>
      </c>
      <c r="T54">
        <v>90</v>
      </c>
      <c r="U54">
        <v>1</v>
      </c>
      <c r="V54" s="2">
        <v>4.1666666666666664E-2</v>
      </c>
      <c r="W54">
        <v>90</v>
      </c>
      <c r="X54">
        <v>0</v>
      </c>
      <c r="Y54">
        <v>-90</v>
      </c>
      <c r="Z54" t="s">
        <v>114</v>
      </c>
      <c r="AA54" t="s">
        <v>85</v>
      </c>
      <c r="AB54" t="s">
        <v>86</v>
      </c>
      <c r="AC54" t="s">
        <v>130</v>
      </c>
      <c r="AD54" t="s">
        <v>88</v>
      </c>
      <c r="AE54">
        <f t="shared" si="4"/>
        <v>7</v>
      </c>
      <c r="AF54" t="str">
        <f t="shared" si="5"/>
        <v>July</v>
      </c>
    </row>
    <row r="55" spans="1:32">
      <c r="A55" s="1">
        <v>45506</v>
      </c>
      <c r="B55" t="s">
        <v>40</v>
      </c>
      <c r="C55" t="s">
        <v>128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39</v>
      </c>
      <c r="M55" t="s">
        <v>22</v>
      </c>
      <c r="N55" t="s">
        <v>22</v>
      </c>
      <c r="O55" t="s">
        <v>28</v>
      </c>
      <c r="P55">
        <v>280341</v>
      </c>
      <c r="Q55" t="s">
        <v>17</v>
      </c>
      <c r="R55" t="s">
        <v>4</v>
      </c>
      <c r="S55" t="s">
        <v>83</v>
      </c>
      <c r="T55">
        <v>90</v>
      </c>
      <c r="U55">
        <v>0.5</v>
      </c>
      <c r="V55" s="2">
        <v>2.0833333333333332E-2</v>
      </c>
      <c r="W55">
        <v>45</v>
      </c>
      <c r="AA55" t="s">
        <v>85</v>
      </c>
      <c r="AB55" t="s">
        <v>86</v>
      </c>
      <c r="AC55" t="s">
        <v>130</v>
      </c>
      <c r="AD55" t="s">
        <v>88</v>
      </c>
      <c r="AE55">
        <f t="shared" si="4"/>
        <v>8</v>
      </c>
      <c r="AF55" t="str">
        <f t="shared" si="5"/>
        <v>August</v>
      </c>
    </row>
    <row r="56" spans="1:32">
      <c r="A56" s="1">
        <v>45443</v>
      </c>
      <c r="B56" t="s">
        <v>34</v>
      </c>
      <c r="C56" t="s">
        <v>128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39</v>
      </c>
      <c r="M56" t="s">
        <v>22</v>
      </c>
      <c r="N56" t="s">
        <v>22</v>
      </c>
      <c r="O56" t="s">
        <v>82</v>
      </c>
      <c r="P56">
        <v>253990</v>
      </c>
      <c r="Q56" t="s">
        <v>90</v>
      </c>
      <c r="R56" t="s">
        <v>91</v>
      </c>
      <c r="S56" t="s">
        <v>83</v>
      </c>
      <c r="T56">
        <v>0</v>
      </c>
      <c r="U56">
        <v>1.5</v>
      </c>
      <c r="V56" s="2">
        <v>6.25E-2</v>
      </c>
      <c r="W56">
        <v>0</v>
      </c>
      <c r="AA56" t="s">
        <v>85</v>
      </c>
      <c r="AB56" t="s">
        <v>86</v>
      </c>
      <c r="AC56" t="e">
        <f ca="1">- GDPR session with Anjali _xludf.and Khonani _xludf.for QA - Create test data _xludf.for QA</f>
        <v>#NAME?</v>
      </c>
      <c r="AD56" t="s">
        <v>88</v>
      </c>
      <c r="AE56">
        <f t="shared" si="4"/>
        <v>5</v>
      </c>
      <c r="AF56" t="str">
        <f t="shared" si="5"/>
        <v>May</v>
      </c>
    </row>
    <row r="57" spans="1:32">
      <c r="A57" s="1">
        <v>45446</v>
      </c>
      <c r="B57" t="s">
        <v>34</v>
      </c>
      <c r="C57" t="s">
        <v>128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39</v>
      </c>
      <c r="M57" t="s">
        <v>22</v>
      </c>
      <c r="N57" t="s">
        <v>22</v>
      </c>
      <c r="O57" t="s">
        <v>82</v>
      </c>
      <c r="P57">
        <v>254953</v>
      </c>
      <c r="Q57" t="s">
        <v>90</v>
      </c>
      <c r="R57" t="s">
        <v>91</v>
      </c>
      <c r="S57" t="s">
        <v>83</v>
      </c>
      <c r="T57">
        <v>0</v>
      </c>
      <c r="U57">
        <v>0.5</v>
      </c>
      <c r="V57" s="2">
        <v>2.0833333333333332E-2</v>
      </c>
      <c r="W57">
        <v>0</v>
      </c>
      <c r="AA57" t="s">
        <v>85</v>
      </c>
      <c r="AB57" t="s">
        <v>86</v>
      </c>
      <c r="AC57" t="s">
        <v>137</v>
      </c>
      <c r="AD57" t="s">
        <v>88</v>
      </c>
      <c r="AE57">
        <f t="shared" si="4"/>
        <v>6</v>
      </c>
      <c r="AF57" t="str">
        <f t="shared" si="5"/>
        <v>June</v>
      </c>
    </row>
    <row r="58" spans="1:32">
      <c r="A58" s="1">
        <v>45447</v>
      </c>
      <c r="B58" t="s">
        <v>34</v>
      </c>
      <c r="C58" t="s">
        <v>128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39</v>
      </c>
      <c r="M58" t="s">
        <v>22</v>
      </c>
      <c r="N58" t="s">
        <v>22</v>
      </c>
      <c r="O58" t="s">
        <v>82</v>
      </c>
      <c r="P58">
        <v>254951</v>
      </c>
      <c r="Q58" t="s">
        <v>90</v>
      </c>
      <c r="R58" t="s">
        <v>91</v>
      </c>
      <c r="S58" t="s">
        <v>83</v>
      </c>
      <c r="T58">
        <v>0</v>
      </c>
      <c r="U58">
        <v>0.25</v>
      </c>
      <c r="V58" s="2">
        <v>1.0416666666666666E-2</v>
      </c>
      <c r="W58">
        <v>0</v>
      </c>
      <c r="AA58" t="s">
        <v>85</v>
      </c>
      <c r="AB58" t="s">
        <v>86</v>
      </c>
      <c r="AC58" t="s">
        <v>138</v>
      </c>
      <c r="AD58" t="s">
        <v>88</v>
      </c>
      <c r="AE58">
        <f t="shared" si="4"/>
        <v>6</v>
      </c>
      <c r="AF58" t="str">
        <f t="shared" si="5"/>
        <v>June</v>
      </c>
    </row>
    <row r="59" spans="1:32">
      <c r="A59" s="1">
        <v>45448</v>
      </c>
      <c r="B59" t="s">
        <v>34</v>
      </c>
      <c r="C59" t="s">
        <v>128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39</v>
      </c>
      <c r="M59" t="s">
        <v>22</v>
      </c>
      <c r="N59" t="s">
        <v>22</v>
      </c>
      <c r="O59" t="s">
        <v>82</v>
      </c>
      <c r="P59">
        <v>255687</v>
      </c>
      <c r="Q59" t="s">
        <v>90</v>
      </c>
      <c r="R59" t="s">
        <v>91</v>
      </c>
      <c r="S59" t="s">
        <v>83</v>
      </c>
      <c r="T59">
        <v>0</v>
      </c>
      <c r="U59">
        <v>0.5</v>
      </c>
      <c r="V59" s="2">
        <v>2.0833333333333332E-2</v>
      </c>
      <c r="W59">
        <v>0</v>
      </c>
      <c r="AA59" t="s">
        <v>85</v>
      </c>
      <c r="AB59" t="s">
        <v>86</v>
      </c>
      <c r="AC59" t="s">
        <v>139</v>
      </c>
      <c r="AD59" t="s">
        <v>88</v>
      </c>
      <c r="AE59">
        <f t="shared" si="4"/>
        <v>6</v>
      </c>
      <c r="AF59" t="str">
        <f t="shared" si="5"/>
        <v>June</v>
      </c>
    </row>
    <row r="60" spans="1:32">
      <c r="A60" s="1">
        <v>45448</v>
      </c>
      <c r="B60" t="s">
        <v>34</v>
      </c>
      <c r="C60" t="s">
        <v>128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39</v>
      </c>
      <c r="M60" t="s">
        <v>22</v>
      </c>
      <c r="N60" t="s">
        <v>22</v>
      </c>
      <c r="O60" t="s">
        <v>82</v>
      </c>
      <c r="P60">
        <v>255688</v>
      </c>
      <c r="Q60" t="s">
        <v>90</v>
      </c>
      <c r="R60" t="s">
        <v>91</v>
      </c>
      <c r="S60" t="s">
        <v>83</v>
      </c>
      <c r="T60">
        <v>0</v>
      </c>
      <c r="U60">
        <v>2.5</v>
      </c>
      <c r="V60" s="2">
        <v>0.10416666666666667</v>
      </c>
      <c r="W60">
        <v>0</v>
      </c>
      <c r="AA60" t="s">
        <v>85</v>
      </c>
      <c r="AB60" t="s">
        <v>86</v>
      </c>
      <c r="AC60" t="s">
        <v>140</v>
      </c>
      <c r="AD60" t="s">
        <v>88</v>
      </c>
      <c r="AE60">
        <f t="shared" si="4"/>
        <v>6</v>
      </c>
      <c r="AF60" t="str">
        <f t="shared" si="5"/>
        <v>June</v>
      </c>
    </row>
    <row r="61" spans="1:32">
      <c r="A61" s="1">
        <v>45450</v>
      </c>
      <c r="B61" t="s">
        <v>34</v>
      </c>
      <c r="C61" t="s">
        <v>128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39</v>
      </c>
      <c r="M61" t="s">
        <v>22</v>
      </c>
      <c r="N61" t="s">
        <v>22</v>
      </c>
      <c r="O61" t="s">
        <v>82</v>
      </c>
      <c r="P61">
        <v>256845</v>
      </c>
      <c r="Q61" t="s">
        <v>90</v>
      </c>
      <c r="R61" t="s">
        <v>91</v>
      </c>
      <c r="S61" t="s">
        <v>83</v>
      </c>
      <c r="T61">
        <v>0</v>
      </c>
      <c r="U61">
        <v>1</v>
      </c>
      <c r="V61" s="2">
        <v>4.1666666666666664E-2</v>
      </c>
      <c r="W61">
        <v>0</v>
      </c>
      <c r="AA61" t="s">
        <v>85</v>
      </c>
      <c r="AB61" t="s">
        <v>86</v>
      </c>
      <c r="AC61" t="s">
        <v>140</v>
      </c>
      <c r="AD61" t="s">
        <v>88</v>
      </c>
      <c r="AE61">
        <f t="shared" si="4"/>
        <v>6</v>
      </c>
      <c r="AF61" t="str">
        <f t="shared" si="5"/>
        <v>June</v>
      </c>
    </row>
    <row r="62" spans="1:32">
      <c r="A62" s="1">
        <v>45453</v>
      </c>
      <c r="B62" t="s">
        <v>34</v>
      </c>
      <c r="C62" t="s">
        <v>128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39</v>
      </c>
      <c r="M62" t="s">
        <v>22</v>
      </c>
      <c r="N62" t="s">
        <v>22</v>
      </c>
      <c r="O62" t="s">
        <v>82</v>
      </c>
      <c r="P62">
        <v>257213</v>
      </c>
      <c r="Q62" t="s">
        <v>90</v>
      </c>
      <c r="R62" t="s">
        <v>91</v>
      </c>
      <c r="S62" t="s">
        <v>83</v>
      </c>
      <c r="T62">
        <v>0</v>
      </c>
      <c r="U62">
        <v>2.25</v>
      </c>
      <c r="V62" s="2">
        <v>9.375E-2</v>
      </c>
      <c r="W62">
        <v>0</v>
      </c>
      <c r="AA62" t="s">
        <v>85</v>
      </c>
      <c r="AB62" t="s">
        <v>86</v>
      </c>
      <c r="AC62" t="s">
        <v>141</v>
      </c>
      <c r="AD62" t="s">
        <v>88</v>
      </c>
      <c r="AE62">
        <f t="shared" si="4"/>
        <v>6</v>
      </c>
      <c r="AF62" t="str">
        <f t="shared" si="5"/>
        <v>June</v>
      </c>
    </row>
    <row r="63" spans="1:32">
      <c r="A63" s="1">
        <v>45454</v>
      </c>
      <c r="B63" t="s">
        <v>34</v>
      </c>
      <c r="C63" t="s">
        <v>128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39</v>
      </c>
      <c r="M63" t="s">
        <v>22</v>
      </c>
      <c r="N63" t="s">
        <v>22</v>
      </c>
      <c r="O63" t="s">
        <v>82</v>
      </c>
      <c r="P63">
        <v>257683</v>
      </c>
      <c r="Q63" t="s">
        <v>90</v>
      </c>
      <c r="R63" t="s">
        <v>91</v>
      </c>
      <c r="S63" t="s">
        <v>83</v>
      </c>
      <c r="T63">
        <v>0</v>
      </c>
      <c r="U63">
        <v>1</v>
      </c>
      <c r="V63" s="2">
        <v>4.1666666666666664E-2</v>
      </c>
      <c r="W63">
        <v>0</v>
      </c>
      <c r="AA63" t="s">
        <v>85</v>
      </c>
      <c r="AB63" t="s">
        <v>86</v>
      </c>
      <c r="AC63" t="s">
        <v>130</v>
      </c>
      <c r="AD63" t="s">
        <v>88</v>
      </c>
      <c r="AE63">
        <f t="shared" si="4"/>
        <v>6</v>
      </c>
      <c r="AF63" t="str">
        <f t="shared" si="5"/>
        <v>June</v>
      </c>
    </row>
    <row r="64" spans="1:32">
      <c r="A64" s="1">
        <v>45455</v>
      </c>
      <c r="B64" t="s">
        <v>34</v>
      </c>
      <c r="C64" t="s">
        <v>128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39</v>
      </c>
      <c r="M64" t="s">
        <v>22</v>
      </c>
      <c r="N64" t="s">
        <v>22</v>
      </c>
      <c r="O64" t="s">
        <v>82</v>
      </c>
      <c r="P64">
        <v>258329</v>
      </c>
      <c r="Q64" t="s">
        <v>90</v>
      </c>
      <c r="R64" t="s">
        <v>91</v>
      </c>
      <c r="S64" t="s">
        <v>83</v>
      </c>
      <c r="T64">
        <v>0</v>
      </c>
      <c r="U64">
        <v>1.75</v>
      </c>
      <c r="V64" s="2">
        <v>7.2916666666666671E-2</v>
      </c>
      <c r="W64">
        <v>0</v>
      </c>
      <c r="AA64" t="s">
        <v>85</v>
      </c>
      <c r="AB64" t="s">
        <v>86</v>
      </c>
      <c r="AC64" t="s">
        <v>142</v>
      </c>
      <c r="AD64" t="s">
        <v>88</v>
      </c>
      <c r="AE64">
        <f t="shared" si="4"/>
        <v>6</v>
      </c>
      <c r="AF64" t="str">
        <f t="shared" si="5"/>
        <v>June</v>
      </c>
    </row>
    <row r="65" spans="1:32">
      <c r="A65" s="1">
        <v>45461</v>
      </c>
      <c r="B65" t="s">
        <v>34</v>
      </c>
      <c r="C65" t="s">
        <v>128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39</v>
      </c>
      <c r="M65" t="s">
        <v>22</v>
      </c>
      <c r="N65" t="s">
        <v>22</v>
      </c>
      <c r="O65" t="s">
        <v>82</v>
      </c>
      <c r="P65">
        <v>260522</v>
      </c>
      <c r="Q65" t="s">
        <v>16</v>
      </c>
      <c r="R65" t="s">
        <v>4</v>
      </c>
      <c r="S65" t="s">
        <v>83</v>
      </c>
      <c r="T65">
        <v>90</v>
      </c>
      <c r="U65">
        <v>0.5</v>
      </c>
      <c r="V65" s="2">
        <v>2.0833333333333332E-2</v>
      </c>
      <c r="W65">
        <v>45</v>
      </c>
      <c r="X65">
        <v>60</v>
      </c>
      <c r="Y65">
        <v>15</v>
      </c>
      <c r="Z65" t="s">
        <v>99</v>
      </c>
      <c r="AA65" t="s">
        <v>85</v>
      </c>
      <c r="AB65" t="s">
        <v>86</v>
      </c>
      <c r="AC65" t="s">
        <v>143</v>
      </c>
      <c r="AD65" t="s">
        <v>88</v>
      </c>
      <c r="AE65">
        <f t="shared" si="4"/>
        <v>6</v>
      </c>
      <c r="AF65" t="str">
        <f t="shared" si="5"/>
        <v>June</v>
      </c>
    </row>
    <row r="66" spans="1:32">
      <c r="A66" s="1">
        <v>45467</v>
      </c>
      <c r="B66" t="s">
        <v>34</v>
      </c>
      <c r="C66" t="s">
        <v>128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39</v>
      </c>
      <c r="M66" t="s">
        <v>22</v>
      </c>
      <c r="N66" t="s">
        <v>22</v>
      </c>
      <c r="O66" t="s">
        <v>82</v>
      </c>
      <c r="P66">
        <v>262814</v>
      </c>
      <c r="Q66" t="s">
        <v>16</v>
      </c>
      <c r="R66" t="s">
        <v>4</v>
      </c>
      <c r="S66" t="s">
        <v>83</v>
      </c>
      <c r="T66">
        <v>90</v>
      </c>
      <c r="U66">
        <v>0.25</v>
      </c>
      <c r="V66" s="2">
        <v>1.0416666666666666E-2</v>
      </c>
      <c r="W66">
        <v>22.5</v>
      </c>
      <c r="X66">
        <v>30</v>
      </c>
      <c r="Y66">
        <v>7.5</v>
      </c>
      <c r="Z66" t="s">
        <v>99</v>
      </c>
      <c r="AA66" t="s">
        <v>85</v>
      </c>
      <c r="AB66" t="s">
        <v>86</v>
      </c>
      <c r="AC66" t="s">
        <v>144</v>
      </c>
      <c r="AD66" t="s">
        <v>88</v>
      </c>
      <c r="AE66">
        <f t="shared" si="4"/>
        <v>6</v>
      </c>
      <c r="AF66" t="str">
        <f t="shared" si="5"/>
        <v>June</v>
      </c>
    </row>
    <row r="67" spans="1:32">
      <c r="A67" s="1">
        <v>45468</v>
      </c>
      <c r="B67" t="s">
        <v>34</v>
      </c>
      <c r="C67" t="s">
        <v>128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39</v>
      </c>
      <c r="M67" t="s">
        <v>22</v>
      </c>
      <c r="N67" t="s">
        <v>22</v>
      </c>
      <c r="O67" t="s">
        <v>82</v>
      </c>
      <c r="P67">
        <v>262817</v>
      </c>
      <c r="Q67" t="s">
        <v>16</v>
      </c>
      <c r="R67" t="s">
        <v>4</v>
      </c>
      <c r="S67" t="s">
        <v>83</v>
      </c>
      <c r="T67">
        <v>90</v>
      </c>
      <c r="U67">
        <v>0.5</v>
      </c>
      <c r="V67" s="2">
        <v>2.0833333333333332E-2</v>
      </c>
      <c r="W67">
        <v>45</v>
      </c>
      <c r="X67">
        <v>60</v>
      </c>
      <c r="Y67">
        <v>15</v>
      </c>
      <c r="Z67" t="s">
        <v>99</v>
      </c>
      <c r="AA67" t="s">
        <v>85</v>
      </c>
      <c r="AB67" t="s">
        <v>86</v>
      </c>
      <c r="AC67" t="s">
        <v>145</v>
      </c>
      <c r="AD67" t="s">
        <v>88</v>
      </c>
      <c r="AE67">
        <f t="shared" si="4"/>
        <v>6</v>
      </c>
      <c r="AF67" t="str">
        <f t="shared" si="5"/>
        <v>June</v>
      </c>
    </row>
    <row r="68" spans="1:32">
      <c r="A68" s="1">
        <v>45470</v>
      </c>
      <c r="B68" t="s">
        <v>34</v>
      </c>
      <c r="C68" t="s">
        <v>128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39</v>
      </c>
      <c r="M68" t="s">
        <v>22</v>
      </c>
      <c r="N68" t="s">
        <v>22</v>
      </c>
      <c r="O68" t="s">
        <v>82</v>
      </c>
      <c r="P68">
        <v>264220</v>
      </c>
      <c r="Q68" t="s">
        <v>16</v>
      </c>
      <c r="R68" t="s">
        <v>4</v>
      </c>
      <c r="S68" t="s">
        <v>83</v>
      </c>
      <c r="T68">
        <v>90</v>
      </c>
      <c r="U68">
        <v>0.75</v>
      </c>
      <c r="V68" s="2">
        <v>3.125E-2</v>
      </c>
      <c r="W68">
        <v>67.5</v>
      </c>
      <c r="X68">
        <v>90</v>
      </c>
      <c r="Y68">
        <v>22.5</v>
      </c>
      <c r="Z68" t="s">
        <v>99</v>
      </c>
      <c r="AA68" t="s">
        <v>85</v>
      </c>
      <c r="AB68" t="s">
        <v>86</v>
      </c>
      <c r="AC68" t="s">
        <v>146</v>
      </c>
      <c r="AD68" t="s">
        <v>88</v>
      </c>
      <c r="AE68">
        <f t="shared" si="4"/>
        <v>6</v>
      </c>
      <c r="AF68" t="str">
        <f t="shared" si="5"/>
        <v>June</v>
      </c>
    </row>
    <row r="69" spans="1:32">
      <c r="A69" s="1">
        <v>45478</v>
      </c>
      <c r="B69" t="s">
        <v>34</v>
      </c>
      <c r="C69" t="s">
        <v>128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39</v>
      </c>
      <c r="M69" t="s">
        <v>22</v>
      </c>
      <c r="N69" t="s">
        <v>22</v>
      </c>
      <c r="O69" t="s">
        <v>82</v>
      </c>
      <c r="P69">
        <v>271213</v>
      </c>
      <c r="Q69" t="s">
        <v>90</v>
      </c>
      <c r="R69" t="s">
        <v>91</v>
      </c>
      <c r="S69" t="s">
        <v>83</v>
      </c>
      <c r="T69">
        <v>0</v>
      </c>
      <c r="U69">
        <v>4</v>
      </c>
      <c r="V69" s="2">
        <v>0.16666666666666666</v>
      </c>
      <c r="W69">
        <v>0</v>
      </c>
      <c r="AA69" t="s">
        <v>85</v>
      </c>
      <c r="AB69" t="s">
        <v>86</v>
      </c>
      <c r="AC69" t="e">
        <f ca="1">- GDPR UAT Approach - GDPR Doc review with Anjali - GDPR User guide</f>
        <v>#NAME?</v>
      </c>
      <c r="AD69" t="s">
        <v>88</v>
      </c>
      <c r="AE69">
        <f t="shared" si="4"/>
        <v>7</v>
      </c>
      <c r="AF69" t="str">
        <f t="shared" si="5"/>
        <v>July</v>
      </c>
    </row>
    <row r="70" spans="1:32">
      <c r="A70" s="1">
        <v>45481</v>
      </c>
      <c r="B70" t="s">
        <v>34</v>
      </c>
      <c r="C70" t="s">
        <v>128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39</v>
      </c>
      <c r="M70" t="s">
        <v>22</v>
      </c>
      <c r="N70" t="s">
        <v>22</v>
      </c>
      <c r="O70" t="s">
        <v>82</v>
      </c>
      <c r="P70">
        <v>271214</v>
      </c>
      <c r="Q70" t="s">
        <v>16</v>
      </c>
      <c r="R70" t="s">
        <v>4</v>
      </c>
      <c r="S70" t="s">
        <v>83</v>
      </c>
      <c r="T70">
        <v>90</v>
      </c>
      <c r="U70">
        <v>5</v>
      </c>
      <c r="V70" s="2">
        <v>0.20833333333333334</v>
      </c>
      <c r="W70">
        <v>450</v>
      </c>
      <c r="X70">
        <v>433.61</v>
      </c>
      <c r="Y70">
        <v>-16.39</v>
      </c>
      <c r="Z70" t="s">
        <v>114</v>
      </c>
      <c r="AA70" t="s">
        <v>85</v>
      </c>
      <c r="AB70" t="s">
        <v>86</v>
      </c>
      <c r="AC70" t="s">
        <v>130</v>
      </c>
      <c r="AD70" t="s">
        <v>88</v>
      </c>
      <c r="AE70">
        <f t="shared" si="4"/>
        <v>7</v>
      </c>
      <c r="AF70" t="str">
        <f t="shared" si="5"/>
        <v>July</v>
      </c>
    </row>
    <row r="71" spans="1:32">
      <c r="A71" s="1">
        <v>45482</v>
      </c>
      <c r="B71" t="s">
        <v>34</v>
      </c>
      <c r="C71" t="s">
        <v>128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39</v>
      </c>
      <c r="M71" t="s">
        <v>22</v>
      </c>
      <c r="N71" t="s">
        <v>22</v>
      </c>
      <c r="O71" t="s">
        <v>82</v>
      </c>
      <c r="P71">
        <v>271215</v>
      </c>
      <c r="Q71" t="s">
        <v>90</v>
      </c>
      <c r="R71" t="s">
        <v>91</v>
      </c>
      <c r="S71" t="s">
        <v>83</v>
      </c>
      <c r="T71">
        <v>0</v>
      </c>
      <c r="U71">
        <v>1</v>
      </c>
      <c r="V71" s="2">
        <v>4.1666666666666664E-2</v>
      </c>
      <c r="W71">
        <v>0</v>
      </c>
      <c r="AA71" t="s">
        <v>85</v>
      </c>
      <c r="AB71" t="s">
        <v>86</v>
      </c>
      <c r="AC71" t="s">
        <v>147</v>
      </c>
      <c r="AD71" t="s">
        <v>88</v>
      </c>
      <c r="AE71">
        <f t="shared" si="4"/>
        <v>7</v>
      </c>
      <c r="AF71" t="str">
        <f t="shared" si="5"/>
        <v>July</v>
      </c>
    </row>
    <row r="72" spans="1:32">
      <c r="A72" s="1">
        <v>45483</v>
      </c>
      <c r="B72" t="s">
        <v>34</v>
      </c>
      <c r="C72" t="s">
        <v>128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39</v>
      </c>
      <c r="M72" t="s">
        <v>22</v>
      </c>
      <c r="N72" t="s">
        <v>22</v>
      </c>
      <c r="O72" t="s">
        <v>82</v>
      </c>
      <c r="P72">
        <v>271216</v>
      </c>
      <c r="Q72" t="s">
        <v>90</v>
      </c>
      <c r="R72" t="s">
        <v>91</v>
      </c>
      <c r="S72" t="s">
        <v>83</v>
      </c>
      <c r="T72">
        <v>0</v>
      </c>
      <c r="U72">
        <v>4.5</v>
      </c>
      <c r="V72" s="2">
        <v>0.1875</v>
      </c>
      <c r="W72">
        <v>0</v>
      </c>
      <c r="AA72" t="s">
        <v>85</v>
      </c>
      <c r="AB72" t="s">
        <v>86</v>
      </c>
      <c r="AC72" t="s">
        <v>130</v>
      </c>
      <c r="AD72" t="s">
        <v>88</v>
      </c>
      <c r="AE72">
        <f t="shared" si="4"/>
        <v>7</v>
      </c>
      <c r="AF72" t="str">
        <f t="shared" si="5"/>
        <v>July</v>
      </c>
    </row>
    <row r="73" spans="1:32">
      <c r="A73" s="1">
        <v>45484</v>
      </c>
      <c r="B73" t="s">
        <v>34</v>
      </c>
      <c r="C73" t="s">
        <v>128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39</v>
      </c>
      <c r="M73" t="s">
        <v>22</v>
      </c>
      <c r="N73" t="s">
        <v>22</v>
      </c>
      <c r="O73" t="s">
        <v>82</v>
      </c>
      <c r="P73">
        <v>271217</v>
      </c>
      <c r="Q73" t="s">
        <v>90</v>
      </c>
      <c r="R73" t="s">
        <v>91</v>
      </c>
      <c r="S73" t="s">
        <v>83</v>
      </c>
      <c r="T73">
        <v>0</v>
      </c>
      <c r="U73">
        <v>0.5</v>
      </c>
      <c r="V73" s="2">
        <v>2.0833333333333332E-2</v>
      </c>
      <c r="W73">
        <v>0</v>
      </c>
      <c r="AA73" t="s">
        <v>85</v>
      </c>
      <c r="AB73" t="s">
        <v>86</v>
      </c>
      <c r="AC73" t="s">
        <v>148</v>
      </c>
      <c r="AD73" t="s">
        <v>88</v>
      </c>
      <c r="AE73">
        <f t="shared" si="4"/>
        <v>7</v>
      </c>
      <c r="AF73" t="str">
        <f t="shared" si="5"/>
        <v>July</v>
      </c>
    </row>
    <row r="74" spans="1:32">
      <c r="A74" s="1">
        <v>45485</v>
      </c>
      <c r="B74" t="s">
        <v>34</v>
      </c>
      <c r="C74" t="s">
        <v>128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39</v>
      </c>
      <c r="M74" t="s">
        <v>22</v>
      </c>
      <c r="N74" t="s">
        <v>22</v>
      </c>
      <c r="O74" t="s">
        <v>82</v>
      </c>
      <c r="P74">
        <v>271218</v>
      </c>
      <c r="Q74" t="s">
        <v>90</v>
      </c>
      <c r="R74" t="s">
        <v>91</v>
      </c>
      <c r="S74" t="s">
        <v>83</v>
      </c>
      <c r="T74">
        <v>0</v>
      </c>
      <c r="U74">
        <v>2</v>
      </c>
      <c r="V74" s="2">
        <v>8.3333333333333329E-2</v>
      </c>
      <c r="W74">
        <v>0</v>
      </c>
      <c r="AA74" t="s">
        <v>85</v>
      </c>
      <c r="AB74" t="s">
        <v>86</v>
      </c>
      <c r="AC74" t="s">
        <v>130</v>
      </c>
      <c r="AD74" t="s">
        <v>88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45488</v>
      </c>
      <c r="B75" t="s">
        <v>34</v>
      </c>
      <c r="C75" t="s">
        <v>128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39</v>
      </c>
      <c r="M75" t="s">
        <v>22</v>
      </c>
      <c r="N75" t="s">
        <v>22</v>
      </c>
      <c r="O75" t="s">
        <v>82</v>
      </c>
      <c r="P75">
        <v>271586</v>
      </c>
      <c r="Q75" t="s">
        <v>16</v>
      </c>
      <c r="R75" t="s">
        <v>4</v>
      </c>
      <c r="S75" t="s">
        <v>83</v>
      </c>
      <c r="T75">
        <v>90</v>
      </c>
      <c r="U75">
        <v>1.25</v>
      </c>
      <c r="V75" s="2">
        <v>5.2083333333333336E-2</v>
      </c>
      <c r="W75">
        <v>112.5</v>
      </c>
      <c r="X75">
        <v>108.4</v>
      </c>
      <c r="Y75">
        <v>-4.0999999999999996</v>
      </c>
      <c r="Z75" t="s">
        <v>114</v>
      </c>
      <c r="AA75" t="s">
        <v>85</v>
      </c>
      <c r="AB75" t="s">
        <v>86</v>
      </c>
      <c r="AC75" t="s">
        <v>149</v>
      </c>
      <c r="AD75" t="s">
        <v>88</v>
      </c>
      <c r="AE75">
        <f t="shared" si="6"/>
        <v>7</v>
      </c>
      <c r="AF75" t="str">
        <f t="shared" si="7"/>
        <v>July</v>
      </c>
    </row>
    <row r="76" spans="1:32">
      <c r="A76" s="1">
        <v>45489</v>
      </c>
      <c r="B76" t="s">
        <v>34</v>
      </c>
      <c r="C76" t="s">
        <v>128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39</v>
      </c>
      <c r="M76" t="s">
        <v>22</v>
      </c>
      <c r="N76" t="s">
        <v>22</v>
      </c>
      <c r="O76" t="s">
        <v>82</v>
      </c>
      <c r="P76">
        <v>271640</v>
      </c>
      <c r="Q76" t="s">
        <v>16</v>
      </c>
      <c r="R76" t="s">
        <v>4</v>
      </c>
      <c r="S76" t="s">
        <v>83</v>
      </c>
      <c r="T76">
        <v>90</v>
      </c>
      <c r="U76">
        <v>1.25</v>
      </c>
      <c r="V76" s="2">
        <v>5.2083333333333336E-2</v>
      </c>
      <c r="W76">
        <v>112.5</v>
      </c>
      <c r="X76">
        <v>108.4</v>
      </c>
      <c r="Y76">
        <v>-4.0999999999999996</v>
      </c>
      <c r="Z76" t="s">
        <v>114</v>
      </c>
      <c r="AA76" t="s">
        <v>85</v>
      </c>
      <c r="AB76" t="s">
        <v>86</v>
      </c>
      <c r="AC76" t="s">
        <v>150</v>
      </c>
      <c r="AD76" t="s">
        <v>88</v>
      </c>
      <c r="AE76">
        <f t="shared" si="6"/>
        <v>7</v>
      </c>
      <c r="AF76" t="str">
        <f t="shared" si="7"/>
        <v>July</v>
      </c>
    </row>
    <row r="77" spans="1:32">
      <c r="A77" s="1">
        <v>45490</v>
      </c>
      <c r="B77" t="s">
        <v>34</v>
      </c>
      <c r="C77" t="s">
        <v>128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39</v>
      </c>
      <c r="M77" t="s">
        <v>22</v>
      </c>
      <c r="N77" t="s">
        <v>22</v>
      </c>
      <c r="O77" t="s">
        <v>82</v>
      </c>
      <c r="P77">
        <v>272341</v>
      </c>
      <c r="Q77" t="s">
        <v>16</v>
      </c>
      <c r="R77" t="s">
        <v>4</v>
      </c>
      <c r="S77" t="s">
        <v>83</v>
      </c>
      <c r="T77">
        <v>90</v>
      </c>
      <c r="U77">
        <v>0.5</v>
      </c>
      <c r="V77" s="2">
        <v>2.0833333333333332E-2</v>
      </c>
      <c r="W77">
        <v>45</v>
      </c>
      <c r="X77">
        <v>43.36</v>
      </c>
      <c r="Y77">
        <v>-1.64</v>
      </c>
      <c r="Z77" t="s">
        <v>114</v>
      </c>
      <c r="AA77" t="s">
        <v>85</v>
      </c>
      <c r="AB77" t="s">
        <v>86</v>
      </c>
      <c r="AC77" t="s">
        <v>130</v>
      </c>
      <c r="AD77" t="s">
        <v>88</v>
      </c>
      <c r="AE77">
        <f t="shared" si="6"/>
        <v>7</v>
      </c>
      <c r="AF77" t="str">
        <f t="shared" si="7"/>
        <v>July</v>
      </c>
    </row>
    <row r="78" spans="1:32">
      <c r="A78" s="1">
        <v>45491</v>
      </c>
      <c r="B78" t="s">
        <v>34</v>
      </c>
      <c r="C78" t="s">
        <v>128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39</v>
      </c>
      <c r="M78" t="s">
        <v>22</v>
      </c>
      <c r="N78" t="s">
        <v>22</v>
      </c>
      <c r="O78" t="s">
        <v>82</v>
      </c>
      <c r="P78">
        <v>272877</v>
      </c>
      <c r="Q78" t="s">
        <v>16</v>
      </c>
      <c r="R78" t="s">
        <v>4</v>
      </c>
      <c r="S78" t="s">
        <v>83</v>
      </c>
      <c r="T78">
        <v>90</v>
      </c>
      <c r="U78">
        <v>2.25</v>
      </c>
      <c r="V78" s="2">
        <v>9.375E-2</v>
      </c>
      <c r="W78">
        <v>202.5</v>
      </c>
      <c r="X78">
        <v>195.13</v>
      </c>
      <c r="Y78">
        <v>-7.37</v>
      </c>
      <c r="Z78" t="s">
        <v>114</v>
      </c>
      <c r="AA78" t="s">
        <v>85</v>
      </c>
      <c r="AB78" t="s">
        <v>86</v>
      </c>
      <c r="AC78" t="s">
        <v>130</v>
      </c>
      <c r="AD78" t="s">
        <v>88</v>
      </c>
      <c r="AE78">
        <f t="shared" si="6"/>
        <v>7</v>
      </c>
      <c r="AF78" t="str">
        <f t="shared" si="7"/>
        <v>July</v>
      </c>
    </row>
    <row r="79" spans="1:32">
      <c r="A79" s="1">
        <v>45496</v>
      </c>
      <c r="B79" t="s">
        <v>34</v>
      </c>
      <c r="C79" t="s">
        <v>128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39</v>
      </c>
      <c r="M79" t="s">
        <v>22</v>
      </c>
      <c r="N79" t="s">
        <v>22</v>
      </c>
      <c r="O79" t="s">
        <v>28</v>
      </c>
      <c r="P79">
        <v>274936</v>
      </c>
      <c r="Q79" t="s">
        <v>17</v>
      </c>
      <c r="R79" t="s">
        <v>4</v>
      </c>
      <c r="S79" t="s">
        <v>83</v>
      </c>
      <c r="T79">
        <v>90</v>
      </c>
      <c r="U79">
        <v>1</v>
      </c>
      <c r="V79" s="2">
        <v>4.1666666666666664E-2</v>
      </c>
      <c r="W79">
        <v>90</v>
      </c>
      <c r="X79">
        <v>0</v>
      </c>
      <c r="Y79">
        <v>-90</v>
      </c>
      <c r="Z79" t="s">
        <v>114</v>
      </c>
      <c r="AA79" t="s">
        <v>85</v>
      </c>
      <c r="AB79" t="s">
        <v>86</v>
      </c>
      <c r="AC79" t="s">
        <v>151</v>
      </c>
      <c r="AD79" t="s">
        <v>88</v>
      </c>
      <c r="AE79">
        <f t="shared" ref="AE79:AE93" si="8">MONTH(A79)</f>
        <v>7</v>
      </c>
      <c r="AF79" t="str">
        <f t="shared" ref="AF79:AF93" si="9">IF(AE79=5,"May",IF(AE79=6,"June",IF(AE79=7,"July",IF(AE79=8,"August",IF(AE79=9,"September")))))</f>
        <v>July</v>
      </c>
    </row>
    <row r="80" spans="1:32">
      <c r="A80" s="1">
        <v>45495</v>
      </c>
      <c r="B80" t="s">
        <v>152</v>
      </c>
      <c r="C80" t="s">
        <v>128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39</v>
      </c>
      <c r="M80" t="s">
        <v>22</v>
      </c>
      <c r="N80" t="s">
        <v>22</v>
      </c>
      <c r="O80" t="s">
        <v>82</v>
      </c>
      <c r="P80">
        <v>274230</v>
      </c>
      <c r="Q80" t="s">
        <v>90</v>
      </c>
      <c r="R80" t="s">
        <v>91</v>
      </c>
      <c r="S80" t="s">
        <v>83</v>
      </c>
      <c r="T80">
        <v>0</v>
      </c>
      <c r="U80" s="23" t="s">
        <v>153</v>
      </c>
      <c r="V80" s="2">
        <v>2.7777777777777776E-2</v>
      </c>
      <c r="W80">
        <v>0</v>
      </c>
      <c r="AA80" t="s">
        <v>85</v>
      </c>
      <c r="AB80" t="s">
        <v>86</v>
      </c>
      <c r="AC80" t="s">
        <v>130</v>
      </c>
      <c r="AD80" t="s">
        <v>88</v>
      </c>
      <c r="AE80">
        <f t="shared" si="8"/>
        <v>7</v>
      </c>
      <c r="AF80" t="str">
        <f t="shared" si="9"/>
        <v>July</v>
      </c>
    </row>
    <row r="81" spans="1:32">
      <c r="A81" s="1">
        <v>45496</v>
      </c>
      <c r="B81" t="s">
        <v>152</v>
      </c>
      <c r="C81" t="s">
        <v>128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39</v>
      </c>
      <c r="M81" t="s">
        <v>22</v>
      </c>
      <c r="N81" t="s">
        <v>22</v>
      </c>
      <c r="O81" t="s">
        <v>28</v>
      </c>
      <c r="P81">
        <v>274784</v>
      </c>
      <c r="Q81" t="s">
        <v>154</v>
      </c>
      <c r="R81" t="s">
        <v>91</v>
      </c>
      <c r="S81" t="s">
        <v>83</v>
      </c>
      <c r="T81">
        <v>0</v>
      </c>
      <c r="U81">
        <v>0.5</v>
      </c>
      <c r="V81" s="2">
        <v>2.0833333333333332E-2</v>
      </c>
      <c r="W81">
        <v>0</v>
      </c>
      <c r="AA81" t="s">
        <v>85</v>
      </c>
      <c r="AB81" t="s">
        <v>86</v>
      </c>
      <c r="AC81" t="s">
        <v>130</v>
      </c>
      <c r="AD81" t="s">
        <v>88</v>
      </c>
      <c r="AE81">
        <f t="shared" si="8"/>
        <v>7</v>
      </c>
      <c r="AF81" t="str">
        <f t="shared" si="9"/>
        <v>July</v>
      </c>
    </row>
    <row r="82" spans="1:32">
      <c r="A82" s="1">
        <v>45497</v>
      </c>
      <c r="B82" t="s">
        <v>152</v>
      </c>
      <c r="C82" t="s">
        <v>128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39</v>
      </c>
      <c r="M82" t="s">
        <v>22</v>
      </c>
      <c r="N82" t="s">
        <v>22</v>
      </c>
      <c r="O82" t="s">
        <v>28</v>
      </c>
      <c r="P82">
        <v>275357</v>
      </c>
      <c r="Q82" t="s">
        <v>154</v>
      </c>
      <c r="R82" t="s">
        <v>91</v>
      </c>
      <c r="S82" t="s">
        <v>83</v>
      </c>
      <c r="T82">
        <v>0</v>
      </c>
      <c r="U82">
        <v>0.5</v>
      </c>
      <c r="V82" s="2">
        <v>2.0833333333333332E-2</v>
      </c>
      <c r="W82">
        <v>0</v>
      </c>
      <c r="AA82" t="s">
        <v>85</v>
      </c>
      <c r="AB82" t="s">
        <v>86</v>
      </c>
      <c r="AC82" t="s">
        <v>130</v>
      </c>
      <c r="AD82" t="s">
        <v>88</v>
      </c>
      <c r="AE82">
        <f t="shared" si="8"/>
        <v>7</v>
      </c>
      <c r="AF82" t="str">
        <f t="shared" si="9"/>
        <v>July</v>
      </c>
    </row>
    <row r="83" spans="1:32">
      <c r="A83" s="1">
        <v>45498</v>
      </c>
      <c r="B83" t="s">
        <v>152</v>
      </c>
      <c r="C83" t="s">
        <v>128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39</v>
      </c>
      <c r="M83" t="s">
        <v>22</v>
      </c>
      <c r="N83" t="s">
        <v>22</v>
      </c>
      <c r="O83" t="s">
        <v>28</v>
      </c>
      <c r="P83">
        <v>275995</v>
      </c>
      <c r="Q83" t="s">
        <v>154</v>
      </c>
      <c r="R83" t="s">
        <v>91</v>
      </c>
      <c r="S83" t="s">
        <v>83</v>
      </c>
      <c r="T83">
        <v>0</v>
      </c>
      <c r="U83">
        <v>0.5</v>
      </c>
      <c r="V83" s="2">
        <v>2.0833333333333332E-2</v>
      </c>
      <c r="W83">
        <v>0</v>
      </c>
      <c r="AA83" t="s">
        <v>85</v>
      </c>
      <c r="AB83" t="s">
        <v>86</v>
      </c>
      <c r="AC83" t="s">
        <v>130</v>
      </c>
      <c r="AD83" t="s">
        <v>88</v>
      </c>
      <c r="AE83">
        <f t="shared" si="8"/>
        <v>7</v>
      </c>
      <c r="AF83" t="str">
        <f t="shared" si="9"/>
        <v>July</v>
      </c>
    </row>
    <row r="84" spans="1:32">
      <c r="A84" s="1">
        <v>45499</v>
      </c>
      <c r="B84" t="s">
        <v>152</v>
      </c>
      <c r="C84" t="s">
        <v>128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39</v>
      </c>
      <c r="M84" t="s">
        <v>22</v>
      </c>
      <c r="N84" t="s">
        <v>22</v>
      </c>
      <c r="O84" t="s">
        <v>28</v>
      </c>
      <c r="P84">
        <v>276590</v>
      </c>
      <c r="Q84" t="s">
        <v>154</v>
      </c>
      <c r="R84" t="s">
        <v>91</v>
      </c>
      <c r="S84" t="s">
        <v>83</v>
      </c>
      <c r="T84">
        <v>0</v>
      </c>
      <c r="U84">
        <v>0.5</v>
      </c>
      <c r="V84" s="2">
        <v>2.0833333333333332E-2</v>
      </c>
      <c r="W84">
        <v>0</v>
      </c>
      <c r="AA84" t="s">
        <v>85</v>
      </c>
      <c r="AB84" t="s">
        <v>86</v>
      </c>
      <c r="AC84" t="s">
        <v>130</v>
      </c>
      <c r="AD84" t="s">
        <v>88</v>
      </c>
      <c r="AE84">
        <f t="shared" si="8"/>
        <v>7</v>
      </c>
      <c r="AF84" t="str">
        <f t="shared" si="9"/>
        <v>July</v>
      </c>
    </row>
    <row r="85" spans="1:32">
      <c r="A85" s="1">
        <v>45502</v>
      </c>
      <c r="B85" t="s">
        <v>152</v>
      </c>
      <c r="C85" t="s">
        <v>128</v>
      </c>
      <c r="D85" t="s">
        <v>75</v>
      </c>
      <c r="E85" t="s">
        <v>76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39</v>
      </c>
      <c r="M85" t="s">
        <v>22</v>
      </c>
      <c r="N85" t="s">
        <v>22</v>
      </c>
      <c r="O85" t="s">
        <v>28</v>
      </c>
      <c r="P85">
        <v>277375</v>
      </c>
      <c r="Q85" t="s">
        <v>154</v>
      </c>
      <c r="R85" t="s">
        <v>91</v>
      </c>
      <c r="S85" t="s">
        <v>83</v>
      </c>
      <c r="T85">
        <v>0</v>
      </c>
      <c r="U85">
        <v>1</v>
      </c>
      <c r="V85" s="2">
        <v>4.1666666666666664E-2</v>
      </c>
      <c r="W85">
        <v>0</v>
      </c>
      <c r="AA85" t="s">
        <v>85</v>
      </c>
      <c r="AB85" t="s">
        <v>86</v>
      </c>
      <c r="AC85" t="s">
        <v>130</v>
      </c>
      <c r="AD85" t="s">
        <v>88</v>
      </c>
      <c r="AE85">
        <f t="shared" si="8"/>
        <v>7</v>
      </c>
      <c r="AF85" t="str">
        <f t="shared" si="9"/>
        <v>July</v>
      </c>
    </row>
    <row r="86" spans="1:32">
      <c r="A86" s="1">
        <v>45506</v>
      </c>
      <c r="B86" t="s">
        <v>152</v>
      </c>
      <c r="C86" t="s">
        <v>128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39</v>
      </c>
      <c r="M86" t="s">
        <v>22</v>
      </c>
      <c r="N86" t="s">
        <v>22</v>
      </c>
      <c r="O86" t="s">
        <v>28</v>
      </c>
      <c r="P86">
        <v>280096</v>
      </c>
      <c r="Q86" t="s">
        <v>154</v>
      </c>
      <c r="R86" t="s">
        <v>91</v>
      </c>
      <c r="S86" t="s">
        <v>83</v>
      </c>
      <c r="T86">
        <v>0</v>
      </c>
      <c r="U86">
        <v>0.5</v>
      </c>
      <c r="V86" s="2">
        <v>2.0833333333333332E-2</v>
      </c>
      <c r="W86">
        <v>0</v>
      </c>
      <c r="AA86" t="s">
        <v>85</v>
      </c>
      <c r="AB86" t="s">
        <v>86</v>
      </c>
      <c r="AC86" t="s">
        <v>130</v>
      </c>
      <c r="AD86" t="s">
        <v>88</v>
      </c>
      <c r="AE86">
        <f t="shared" si="8"/>
        <v>8</v>
      </c>
      <c r="AF86" t="str">
        <f t="shared" si="9"/>
        <v>August</v>
      </c>
    </row>
    <row r="87" spans="1:32">
      <c r="A87" s="1">
        <v>45516</v>
      </c>
      <c r="B87" t="s">
        <v>152</v>
      </c>
      <c r="C87" t="s">
        <v>128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39</v>
      </c>
      <c r="M87" t="s">
        <v>22</v>
      </c>
      <c r="N87" t="s">
        <v>22</v>
      </c>
      <c r="O87" t="s">
        <v>28</v>
      </c>
      <c r="P87">
        <v>283384</v>
      </c>
      <c r="Q87" t="s">
        <v>154</v>
      </c>
      <c r="R87" t="s">
        <v>91</v>
      </c>
      <c r="S87" t="s">
        <v>83</v>
      </c>
      <c r="T87">
        <v>0</v>
      </c>
      <c r="U87">
        <v>0.5</v>
      </c>
      <c r="V87" s="2">
        <v>2.0833333333333332E-2</v>
      </c>
      <c r="W87">
        <v>0</v>
      </c>
      <c r="AA87" t="s">
        <v>85</v>
      </c>
      <c r="AB87" t="s">
        <v>86</v>
      </c>
      <c r="AC87" t="s">
        <v>130</v>
      </c>
      <c r="AD87" t="s">
        <v>88</v>
      </c>
      <c r="AE87">
        <f t="shared" si="8"/>
        <v>8</v>
      </c>
      <c r="AF87" t="str">
        <f t="shared" si="9"/>
        <v>August</v>
      </c>
    </row>
    <row r="88" spans="1:32">
      <c r="A88" s="1">
        <v>45432</v>
      </c>
      <c r="B88" t="s">
        <v>29</v>
      </c>
      <c r="C88" t="s">
        <v>128</v>
      </c>
      <c r="D88" t="s">
        <v>75</v>
      </c>
      <c r="E88" t="s">
        <v>76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39</v>
      </c>
      <c r="M88" t="s">
        <v>22</v>
      </c>
      <c r="N88" t="s">
        <v>130</v>
      </c>
      <c r="O88" t="s">
        <v>82</v>
      </c>
      <c r="P88">
        <v>249510</v>
      </c>
      <c r="Q88" t="s">
        <v>90</v>
      </c>
      <c r="R88" t="s">
        <v>91</v>
      </c>
      <c r="S88" t="s">
        <v>83</v>
      </c>
      <c r="T88">
        <v>0</v>
      </c>
      <c r="U88">
        <v>0.5</v>
      </c>
      <c r="V88" s="2">
        <v>2.0833333333333332E-2</v>
      </c>
      <c r="W88">
        <v>0</v>
      </c>
      <c r="AA88" t="s">
        <v>85</v>
      </c>
      <c r="AB88" t="s">
        <v>86</v>
      </c>
      <c r="AC88" t="s">
        <v>130</v>
      </c>
      <c r="AD88" t="s">
        <v>88</v>
      </c>
      <c r="AE88">
        <f t="shared" si="8"/>
        <v>5</v>
      </c>
      <c r="AF88" t="str">
        <f t="shared" si="9"/>
        <v>May</v>
      </c>
    </row>
    <row r="89" spans="1:32">
      <c r="A89" s="1">
        <v>45433</v>
      </c>
      <c r="B89" t="s">
        <v>29</v>
      </c>
      <c r="C89" t="s">
        <v>128</v>
      </c>
      <c r="D89" t="s">
        <v>75</v>
      </c>
      <c r="E89" t="s">
        <v>76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39</v>
      </c>
      <c r="M89" t="s">
        <v>22</v>
      </c>
      <c r="N89" t="s">
        <v>130</v>
      </c>
      <c r="O89" t="s">
        <v>82</v>
      </c>
      <c r="P89">
        <v>249509</v>
      </c>
      <c r="Q89" t="s">
        <v>90</v>
      </c>
      <c r="R89" t="s">
        <v>91</v>
      </c>
      <c r="S89" t="s">
        <v>83</v>
      </c>
      <c r="T89">
        <v>0</v>
      </c>
      <c r="U89">
        <v>0.25</v>
      </c>
      <c r="V89" s="2">
        <v>1.0416666666666666E-2</v>
      </c>
      <c r="W89">
        <v>0</v>
      </c>
      <c r="AA89" t="s">
        <v>85</v>
      </c>
      <c r="AB89" t="s">
        <v>86</v>
      </c>
      <c r="AC89" t="s">
        <v>130</v>
      </c>
      <c r="AD89" t="s">
        <v>88</v>
      </c>
      <c r="AE89">
        <f t="shared" si="8"/>
        <v>5</v>
      </c>
      <c r="AF89" t="str">
        <f t="shared" si="9"/>
        <v>May</v>
      </c>
    </row>
    <row r="90" spans="1:32">
      <c r="A90" s="1">
        <v>45434</v>
      </c>
      <c r="B90" t="s">
        <v>29</v>
      </c>
      <c r="C90" t="s">
        <v>128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39</v>
      </c>
      <c r="M90" t="s">
        <v>22</v>
      </c>
      <c r="N90" t="s">
        <v>130</v>
      </c>
      <c r="O90" t="s">
        <v>82</v>
      </c>
      <c r="P90">
        <v>250689</v>
      </c>
      <c r="Q90" t="s">
        <v>90</v>
      </c>
      <c r="R90" t="s">
        <v>91</v>
      </c>
      <c r="S90" t="s">
        <v>83</v>
      </c>
      <c r="T90">
        <v>0</v>
      </c>
      <c r="U90">
        <v>0.25</v>
      </c>
      <c r="V90" s="2">
        <v>1.0416666666666666E-2</v>
      </c>
      <c r="W90">
        <v>0</v>
      </c>
      <c r="AA90" t="s">
        <v>85</v>
      </c>
      <c r="AB90" t="s">
        <v>86</v>
      </c>
      <c r="AC90" t="s">
        <v>130</v>
      </c>
      <c r="AD90" t="s">
        <v>88</v>
      </c>
      <c r="AE90">
        <f t="shared" si="8"/>
        <v>5</v>
      </c>
      <c r="AF90" t="str">
        <f t="shared" si="9"/>
        <v>May</v>
      </c>
    </row>
    <row r="91" spans="1:32">
      <c r="A91" s="1">
        <v>45435</v>
      </c>
      <c r="B91" t="s">
        <v>29</v>
      </c>
      <c r="C91" t="s">
        <v>128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39</v>
      </c>
      <c r="M91" t="s">
        <v>22</v>
      </c>
      <c r="N91" t="s">
        <v>130</v>
      </c>
      <c r="O91" t="s">
        <v>82</v>
      </c>
      <c r="P91">
        <v>250690</v>
      </c>
      <c r="Q91" t="s">
        <v>90</v>
      </c>
      <c r="R91" t="s">
        <v>91</v>
      </c>
      <c r="S91" t="s">
        <v>83</v>
      </c>
      <c r="T91">
        <v>0</v>
      </c>
      <c r="U91">
        <v>0.25</v>
      </c>
      <c r="V91" s="2">
        <v>1.0416666666666666E-2</v>
      </c>
      <c r="W91">
        <v>0</v>
      </c>
      <c r="AA91" t="s">
        <v>85</v>
      </c>
      <c r="AB91" t="s">
        <v>86</v>
      </c>
      <c r="AC91" t="s">
        <v>130</v>
      </c>
      <c r="AD91" t="s">
        <v>88</v>
      </c>
      <c r="AE91">
        <f t="shared" si="8"/>
        <v>5</v>
      </c>
      <c r="AF91" t="str">
        <f t="shared" si="9"/>
        <v>May</v>
      </c>
    </row>
    <row r="92" spans="1:32">
      <c r="A92" s="1">
        <v>45436</v>
      </c>
      <c r="B92" t="s">
        <v>29</v>
      </c>
      <c r="C92" t="s">
        <v>128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39</v>
      </c>
      <c r="M92" t="s">
        <v>22</v>
      </c>
      <c r="N92" t="s">
        <v>130</v>
      </c>
      <c r="O92" t="s">
        <v>82</v>
      </c>
      <c r="P92">
        <v>251355</v>
      </c>
      <c r="Q92" t="s">
        <v>90</v>
      </c>
      <c r="R92" t="s">
        <v>91</v>
      </c>
      <c r="S92" t="s">
        <v>83</v>
      </c>
      <c r="T92">
        <v>0</v>
      </c>
      <c r="U92">
        <v>1</v>
      </c>
      <c r="V92" s="2">
        <v>4.1666666666666664E-2</v>
      </c>
      <c r="W92">
        <v>0</v>
      </c>
      <c r="AA92" t="s">
        <v>85</v>
      </c>
      <c r="AB92" t="s">
        <v>86</v>
      </c>
      <c r="AC92" t="s">
        <v>130</v>
      </c>
      <c r="AD92" t="s">
        <v>88</v>
      </c>
      <c r="AE92">
        <f t="shared" si="8"/>
        <v>5</v>
      </c>
      <c r="AF92" t="str">
        <f t="shared" si="9"/>
        <v>May</v>
      </c>
    </row>
    <row r="93" spans="1:32">
      <c r="A93" s="1">
        <v>45443</v>
      </c>
      <c r="B93" t="s">
        <v>29</v>
      </c>
      <c r="C93" t="s">
        <v>128</v>
      </c>
      <c r="D93" t="s">
        <v>75</v>
      </c>
      <c r="E93" t="s">
        <v>76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39</v>
      </c>
      <c r="M93" t="s">
        <v>22</v>
      </c>
      <c r="N93" t="s">
        <v>130</v>
      </c>
      <c r="O93" t="s">
        <v>82</v>
      </c>
      <c r="P93">
        <v>254226</v>
      </c>
      <c r="Q93" t="s">
        <v>90</v>
      </c>
      <c r="R93" t="s">
        <v>91</v>
      </c>
      <c r="S93" t="s">
        <v>83</v>
      </c>
      <c r="T93">
        <v>0</v>
      </c>
      <c r="U93">
        <v>1</v>
      </c>
      <c r="V93" s="2">
        <v>4.1666666666666664E-2</v>
      </c>
      <c r="W93">
        <v>0</v>
      </c>
      <c r="AA93" t="s">
        <v>85</v>
      </c>
      <c r="AB93" t="s">
        <v>86</v>
      </c>
      <c r="AC93" t="s">
        <v>130</v>
      </c>
      <c r="AD93" t="s">
        <v>88</v>
      </c>
      <c r="AE93">
        <f t="shared" si="8"/>
        <v>5</v>
      </c>
      <c r="AF93" t="str">
        <f t="shared" si="9"/>
        <v>May</v>
      </c>
    </row>
    <row r="94" spans="1:32">
      <c r="A94" s="1">
        <v>45446</v>
      </c>
      <c r="B94" t="s">
        <v>29</v>
      </c>
      <c r="C94" t="s">
        <v>128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39</v>
      </c>
      <c r="M94" t="s">
        <v>22</v>
      </c>
      <c r="N94" t="s">
        <v>130</v>
      </c>
      <c r="O94" t="s">
        <v>82</v>
      </c>
      <c r="P94">
        <v>255337</v>
      </c>
      <c r="Q94" t="s">
        <v>90</v>
      </c>
      <c r="R94" t="s">
        <v>91</v>
      </c>
      <c r="S94" t="s">
        <v>83</v>
      </c>
      <c r="T94">
        <v>0</v>
      </c>
      <c r="U94">
        <v>0.25</v>
      </c>
      <c r="V94" s="2">
        <v>1.0416666666666666E-2</v>
      </c>
      <c r="W94">
        <v>0</v>
      </c>
      <c r="AA94" t="s">
        <v>85</v>
      </c>
      <c r="AB94" t="s">
        <v>86</v>
      </c>
      <c r="AC94" t="s">
        <v>130</v>
      </c>
      <c r="AD94" t="s">
        <v>88</v>
      </c>
      <c r="AE94">
        <f t="shared" ref="AE94:AE104" si="10">MONTH(A94)</f>
        <v>6</v>
      </c>
      <c r="AF94" t="str">
        <f t="shared" ref="AF94:AF104" si="11">IF(AE94=5,"May",IF(AE94=6,"June",IF(AE94=7,"July",IF(AE94=8,"August",IF(AE94=9,"September")))))</f>
        <v>June</v>
      </c>
    </row>
    <row r="95" spans="1:32">
      <c r="A95" s="1">
        <v>45447</v>
      </c>
      <c r="B95" t="s">
        <v>29</v>
      </c>
      <c r="C95" t="s">
        <v>128</v>
      </c>
      <c r="D95" t="s">
        <v>75</v>
      </c>
      <c r="E95" t="s">
        <v>76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39</v>
      </c>
      <c r="M95" t="s">
        <v>22</v>
      </c>
      <c r="N95" t="s">
        <v>130</v>
      </c>
      <c r="O95" t="s">
        <v>82</v>
      </c>
      <c r="P95">
        <v>255338</v>
      </c>
      <c r="Q95" t="s">
        <v>90</v>
      </c>
      <c r="R95" t="s">
        <v>91</v>
      </c>
      <c r="S95" t="s">
        <v>83</v>
      </c>
      <c r="T95">
        <v>0</v>
      </c>
      <c r="U95">
        <v>0.25</v>
      </c>
      <c r="V95" s="2">
        <v>1.0416666666666666E-2</v>
      </c>
      <c r="W95">
        <v>0</v>
      </c>
      <c r="AA95" t="s">
        <v>85</v>
      </c>
      <c r="AB95" t="s">
        <v>86</v>
      </c>
      <c r="AC95" t="s">
        <v>130</v>
      </c>
      <c r="AD95" t="s">
        <v>88</v>
      </c>
      <c r="AE95">
        <f t="shared" si="10"/>
        <v>6</v>
      </c>
      <c r="AF95" t="str">
        <f t="shared" si="11"/>
        <v>June</v>
      </c>
    </row>
    <row r="96" spans="1:32">
      <c r="A96" s="1">
        <v>45448</v>
      </c>
      <c r="B96" t="s">
        <v>29</v>
      </c>
      <c r="C96" t="s">
        <v>128</v>
      </c>
      <c r="D96" t="s">
        <v>75</v>
      </c>
      <c r="E96" t="s">
        <v>76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39</v>
      </c>
      <c r="M96" t="s">
        <v>22</v>
      </c>
      <c r="N96" t="s">
        <v>130</v>
      </c>
      <c r="O96" t="s">
        <v>82</v>
      </c>
      <c r="P96">
        <v>255719</v>
      </c>
      <c r="Q96" t="s">
        <v>90</v>
      </c>
      <c r="R96" t="s">
        <v>91</v>
      </c>
      <c r="S96" t="s">
        <v>83</v>
      </c>
      <c r="T96">
        <v>0</v>
      </c>
      <c r="U96">
        <v>0.75</v>
      </c>
      <c r="V96" s="2">
        <v>3.125E-2</v>
      </c>
      <c r="W96">
        <v>0</v>
      </c>
      <c r="AA96" t="s">
        <v>85</v>
      </c>
      <c r="AB96" t="s">
        <v>86</v>
      </c>
      <c r="AC96" t="s">
        <v>130</v>
      </c>
      <c r="AD96" t="s">
        <v>88</v>
      </c>
      <c r="AE96">
        <f t="shared" si="10"/>
        <v>6</v>
      </c>
      <c r="AF96" t="str">
        <f t="shared" si="11"/>
        <v>June</v>
      </c>
    </row>
    <row r="97" spans="1:32">
      <c r="A97" s="1">
        <v>45453</v>
      </c>
      <c r="B97" t="s">
        <v>29</v>
      </c>
      <c r="C97" t="s">
        <v>128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39</v>
      </c>
      <c r="M97" t="s">
        <v>22</v>
      </c>
      <c r="N97" t="s">
        <v>130</v>
      </c>
      <c r="O97" t="s">
        <v>82</v>
      </c>
      <c r="P97">
        <v>257502</v>
      </c>
      <c r="Q97" t="s">
        <v>90</v>
      </c>
      <c r="R97" t="s">
        <v>91</v>
      </c>
      <c r="S97" t="s">
        <v>83</v>
      </c>
      <c r="T97">
        <v>0</v>
      </c>
      <c r="U97">
        <v>0.25</v>
      </c>
      <c r="V97" s="2">
        <v>1.0416666666666666E-2</v>
      </c>
      <c r="W97">
        <v>0</v>
      </c>
      <c r="AA97" t="s">
        <v>85</v>
      </c>
      <c r="AB97" t="s">
        <v>86</v>
      </c>
      <c r="AC97" t="s">
        <v>130</v>
      </c>
      <c r="AD97" t="s">
        <v>88</v>
      </c>
      <c r="AE97">
        <f t="shared" si="10"/>
        <v>6</v>
      </c>
      <c r="AF97" t="str">
        <f t="shared" si="11"/>
        <v>June</v>
      </c>
    </row>
    <row r="98" spans="1:32">
      <c r="A98" s="1">
        <v>45454</v>
      </c>
      <c r="B98" t="s">
        <v>29</v>
      </c>
      <c r="C98" t="s">
        <v>128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39</v>
      </c>
      <c r="M98" t="s">
        <v>22</v>
      </c>
      <c r="N98" t="s">
        <v>130</v>
      </c>
      <c r="O98" t="s">
        <v>82</v>
      </c>
      <c r="P98">
        <v>257773</v>
      </c>
      <c r="Q98" t="s">
        <v>90</v>
      </c>
      <c r="R98" t="s">
        <v>91</v>
      </c>
      <c r="S98" t="s">
        <v>83</v>
      </c>
      <c r="T98">
        <v>0</v>
      </c>
      <c r="U98">
        <v>0.25</v>
      </c>
      <c r="V98" s="2">
        <v>1.0416666666666666E-2</v>
      </c>
      <c r="W98">
        <v>0</v>
      </c>
      <c r="AA98" t="s">
        <v>85</v>
      </c>
      <c r="AB98" t="s">
        <v>86</v>
      </c>
      <c r="AC98" t="s">
        <v>130</v>
      </c>
      <c r="AD98" t="s">
        <v>88</v>
      </c>
      <c r="AE98">
        <f t="shared" si="10"/>
        <v>6</v>
      </c>
      <c r="AF98" t="str">
        <f t="shared" si="11"/>
        <v>June</v>
      </c>
    </row>
    <row r="99" spans="1:32">
      <c r="A99" s="1">
        <v>45455</v>
      </c>
      <c r="B99" t="s">
        <v>29</v>
      </c>
      <c r="C99" t="s">
        <v>128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39</v>
      </c>
      <c r="M99" t="s">
        <v>22</v>
      </c>
      <c r="N99" t="s">
        <v>130</v>
      </c>
      <c r="O99" t="s">
        <v>82</v>
      </c>
      <c r="P99">
        <v>258866</v>
      </c>
      <c r="Q99" t="s">
        <v>90</v>
      </c>
      <c r="R99" t="s">
        <v>91</v>
      </c>
      <c r="S99" t="s">
        <v>83</v>
      </c>
      <c r="T99">
        <v>0</v>
      </c>
      <c r="U99">
        <v>0.25</v>
      </c>
      <c r="V99" s="2">
        <v>1.0416666666666666E-2</v>
      </c>
      <c r="W99">
        <v>0</v>
      </c>
      <c r="AA99" t="s">
        <v>85</v>
      </c>
      <c r="AB99" t="s">
        <v>86</v>
      </c>
      <c r="AC99" t="s">
        <v>130</v>
      </c>
      <c r="AD99" t="s">
        <v>88</v>
      </c>
      <c r="AE99">
        <f t="shared" si="10"/>
        <v>6</v>
      </c>
      <c r="AF99" t="str">
        <f t="shared" si="11"/>
        <v>June</v>
      </c>
    </row>
    <row r="100" spans="1:32">
      <c r="A100" s="1">
        <v>45456</v>
      </c>
      <c r="B100" t="s">
        <v>29</v>
      </c>
      <c r="C100" t="s">
        <v>128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39</v>
      </c>
      <c r="M100" t="s">
        <v>22</v>
      </c>
      <c r="N100" t="s">
        <v>130</v>
      </c>
      <c r="O100" t="s">
        <v>82</v>
      </c>
      <c r="P100">
        <v>258876</v>
      </c>
      <c r="Q100" t="s">
        <v>90</v>
      </c>
      <c r="R100" t="s">
        <v>91</v>
      </c>
      <c r="S100" t="s">
        <v>83</v>
      </c>
      <c r="T100">
        <v>0</v>
      </c>
      <c r="U100">
        <v>0.25</v>
      </c>
      <c r="V100" s="2">
        <v>1.0416666666666666E-2</v>
      </c>
      <c r="W100">
        <v>0</v>
      </c>
      <c r="AA100" t="s">
        <v>85</v>
      </c>
      <c r="AB100" t="s">
        <v>86</v>
      </c>
      <c r="AC100" t="s">
        <v>130</v>
      </c>
      <c r="AD100" t="s">
        <v>88</v>
      </c>
      <c r="AE100">
        <f t="shared" si="10"/>
        <v>6</v>
      </c>
      <c r="AF100" t="str">
        <f t="shared" si="11"/>
        <v>June</v>
      </c>
    </row>
    <row r="101" spans="1:32">
      <c r="A101" s="1">
        <v>45483</v>
      </c>
      <c r="B101" t="s">
        <v>29</v>
      </c>
      <c r="C101" t="s">
        <v>128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39</v>
      </c>
      <c r="M101" t="s">
        <v>22</v>
      </c>
      <c r="N101" t="s">
        <v>130</v>
      </c>
      <c r="O101" t="s">
        <v>82</v>
      </c>
      <c r="P101">
        <v>269386</v>
      </c>
      <c r="Q101" t="s">
        <v>16</v>
      </c>
      <c r="R101" t="s">
        <v>4</v>
      </c>
      <c r="S101" t="s">
        <v>83</v>
      </c>
      <c r="T101">
        <v>90</v>
      </c>
      <c r="U101">
        <v>0.5</v>
      </c>
      <c r="V101" s="2">
        <v>2.0833333333333332E-2</v>
      </c>
      <c r="W101">
        <v>45</v>
      </c>
      <c r="X101">
        <v>43.36</v>
      </c>
      <c r="Y101">
        <v>-1.64</v>
      </c>
      <c r="Z101" t="s">
        <v>114</v>
      </c>
      <c r="AA101" t="s">
        <v>85</v>
      </c>
      <c r="AB101" t="s">
        <v>86</v>
      </c>
      <c r="AC101" t="s">
        <v>130</v>
      </c>
      <c r="AD101" t="s">
        <v>88</v>
      </c>
      <c r="AE101">
        <f t="shared" si="10"/>
        <v>7</v>
      </c>
      <c r="AF101" t="str">
        <f t="shared" si="11"/>
        <v>July</v>
      </c>
    </row>
    <row r="102" spans="1:32">
      <c r="A102" s="1">
        <v>45432</v>
      </c>
      <c r="B102" t="s">
        <v>22</v>
      </c>
      <c r="C102" t="s">
        <v>128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39</v>
      </c>
      <c r="M102" t="s">
        <v>22</v>
      </c>
      <c r="N102" t="s">
        <v>130</v>
      </c>
      <c r="O102" t="s">
        <v>82</v>
      </c>
      <c r="P102">
        <v>251755</v>
      </c>
      <c r="Q102" t="s">
        <v>16</v>
      </c>
      <c r="R102" t="s">
        <v>4</v>
      </c>
      <c r="S102" t="s">
        <v>83</v>
      </c>
      <c r="T102">
        <v>90</v>
      </c>
      <c r="U102">
        <v>2</v>
      </c>
      <c r="V102" s="2">
        <v>8.3333333333333329E-2</v>
      </c>
      <c r="W102">
        <v>180</v>
      </c>
      <c r="X102">
        <v>240</v>
      </c>
      <c r="Y102">
        <v>60</v>
      </c>
      <c r="Z102" t="s">
        <v>84</v>
      </c>
      <c r="AA102" t="s">
        <v>85</v>
      </c>
      <c r="AB102" t="s">
        <v>86</v>
      </c>
      <c r="AC102" t="s">
        <v>155</v>
      </c>
      <c r="AD102" t="s">
        <v>88</v>
      </c>
      <c r="AE102">
        <f t="shared" si="10"/>
        <v>5</v>
      </c>
      <c r="AF102" t="str">
        <f t="shared" si="11"/>
        <v>May</v>
      </c>
    </row>
    <row r="103" spans="1:32">
      <c r="A103" s="1">
        <v>45436</v>
      </c>
      <c r="B103" t="s">
        <v>22</v>
      </c>
      <c r="C103" t="s">
        <v>128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39</v>
      </c>
      <c r="M103" t="s">
        <v>22</v>
      </c>
      <c r="N103" t="s">
        <v>130</v>
      </c>
      <c r="O103" t="s">
        <v>82</v>
      </c>
      <c r="P103">
        <v>251770</v>
      </c>
      <c r="Q103" t="s">
        <v>16</v>
      </c>
      <c r="R103" t="s">
        <v>4</v>
      </c>
      <c r="S103" t="s">
        <v>83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84</v>
      </c>
      <c r="AA103" t="s">
        <v>85</v>
      </c>
      <c r="AB103" t="s">
        <v>86</v>
      </c>
      <c r="AC103" t="s">
        <v>156</v>
      </c>
      <c r="AD103" t="s">
        <v>88</v>
      </c>
      <c r="AE103">
        <f t="shared" si="10"/>
        <v>5</v>
      </c>
      <c r="AF103" t="str">
        <f t="shared" si="11"/>
        <v>May</v>
      </c>
    </row>
    <row r="104" spans="1:32">
      <c r="A104" s="1">
        <v>45448</v>
      </c>
      <c r="B104" t="s">
        <v>22</v>
      </c>
      <c r="C104" t="s">
        <v>128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39</v>
      </c>
      <c r="M104" t="s">
        <v>22</v>
      </c>
      <c r="N104" t="s">
        <v>130</v>
      </c>
      <c r="O104" t="s">
        <v>82</v>
      </c>
      <c r="P104">
        <v>257260</v>
      </c>
      <c r="Q104" t="s">
        <v>90</v>
      </c>
      <c r="R104" t="s">
        <v>91</v>
      </c>
      <c r="S104" t="s">
        <v>83</v>
      </c>
      <c r="T104">
        <v>0</v>
      </c>
      <c r="U104">
        <v>0.5</v>
      </c>
      <c r="V104" s="2">
        <v>2.0833333333333332E-2</v>
      </c>
      <c r="W104">
        <v>0</v>
      </c>
      <c r="AA104" t="s">
        <v>85</v>
      </c>
      <c r="AB104" t="s">
        <v>86</v>
      </c>
      <c r="AC104" t="s">
        <v>157</v>
      </c>
      <c r="AD104" t="s">
        <v>88</v>
      </c>
      <c r="AE104">
        <f t="shared" si="10"/>
        <v>6</v>
      </c>
      <c r="AF104" t="str">
        <f t="shared" si="11"/>
        <v>June</v>
      </c>
    </row>
    <row r="105" spans="1:32">
      <c r="A105" s="1">
        <v>45460</v>
      </c>
      <c r="B105" t="s">
        <v>22</v>
      </c>
      <c r="C105" t="s">
        <v>128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39</v>
      </c>
      <c r="M105" t="s">
        <v>22</v>
      </c>
      <c r="N105" t="s">
        <v>130</v>
      </c>
      <c r="O105" t="s">
        <v>82</v>
      </c>
      <c r="P105">
        <v>260171</v>
      </c>
      <c r="Q105" t="s">
        <v>16</v>
      </c>
      <c r="R105" t="s">
        <v>4</v>
      </c>
      <c r="S105" t="s">
        <v>83</v>
      </c>
      <c r="T105">
        <v>90</v>
      </c>
      <c r="U105">
        <v>0.5</v>
      </c>
      <c r="V105" s="2">
        <v>2.0833333333333332E-2</v>
      </c>
      <c r="W105">
        <v>45</v>
      </c>
      <c r="X105">
        <v>60</v>
      </c>
      <c r="Y105">
        <v>15</v>
      </c>
      <c r="Z105" t="s">
        <v>99</v>
      </c>
      <c r="AA105" t="s">
        <v>85</v>
      </c>
      <c r="AB105" t="s">
        <v>86</v>
      </c>
      <c r="AC105" t="s">
        <v>158</v>
      </c>
      <c r="AD105" t="s">
        <v>88</v>
      </c>
      <c r="AE105">
        <f t="shared" ref="AE105:AE130" si="12">MONTH(A105)</f>
        <v>6</v>
      </c>
      <c r="AF105" t="str">
        <f t="shared" ref="AF105:AF130" si="13">IF(AE105=5,"May",IF(AE105=6,"June",IF(AE105=7,"July",IF(AE105=8,"August",IF(AE105=9,"September")))))</f>
        <v>June</v>
      </c>
    </row>
    <row r="106" spans="1:32">
      <c r="A106" s="1">
        <v>45483</v>
      </c>
      <c r="B106" t="s">
        <v>22</v>
      </c>
      <c r="C106" t="s">
        <v>128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39</v>
      </c>
      <c r="M106" t="s">
        <v>22</v>
      </c>
      <c r="N106" t="s">
        <v>130</v>
      </c>
      <c r="O106" t="s">
        <v>82</v>
      </c>
      <c r="P106">
        <v>270730</v>
      </c>
      <c r="Q106" t="s">
        <v>16</v>
      </c>
      <c r="R106" t="s">
        <v>4</v>
      </c>
      <c r="S106" t="s">
        <v>83</v>
      </c>
      <c r="T106">
        <v>90</v>
      </c>
      <c r="U106">
        <v>1</v>
      </c>
      <c r="V106" s="2">
        <v>4.1666666666666664E-2</v>
      </c>
      <c r="W106">
        <v>90</v>
      </c>
      <c r="X106">
        <v>86.72</v>
      </c>
      <c r="Y106">
        <v>-3.28</v>
      </c>
      <c r="Z106" t="s">
        <v>114</v>
      </c>
      <c r="AA106" t="s">
        <v>85</v>
      </c>
      <c r="AB106" t="s">
        <v>86</v>
      </c>
      <c r="AC106" t="s">
        <v>159</v>
      </c>
      <c r="AD106" t="s">
        <v>88</v>
      </c>
      <c r="AE106">
        <f t="shared" si="12"/>
        <v>7</v>
      </c>
      <c r="AF106" t="str">
        <f t="shared" si="13"/>
        <v>July</v>
      </c>
    </row>
    <row r="107" spans="1:32">
      <c r="A107" s="1">
        <v>45484</v>
      </c>
      <c r="B107" t="s">
        <v>22</v>
      </c>
      <c r="C107" t="s">
        <v>128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39</v>
      </c>
      <c r="M107" t="s">
        <v>22</v>
      </c>
      <c r="N107" t="s">
        <v>130</v>
      </c>
      <c r="O107" t="s">
        <v>82</v>
      </c>
      <c r="P107">
        <v>270739</v>
      </c>
      <c r="Q107" t="s">
        <v>16</v>
      </c>
      <c r="R107" t="s">
        <v>4</v>
      </c>
      <c r="S107" t="s">
        <v>83</v>
      </c>
      <c r="T107">
        <v>90</v>
      </c>
      <c r="U107">
        <v>0.5</v>
      </c>
      <c r="V107" s="2">
        <v>2.0833333333333332E-2</v>
      </c>
      <c r="W107">
        <v>45</v>
      </c>
      <c r="X107">
        <v>43.36</v>
      </c>
      <c r="Y107">
        <v>-1.64</v>
      </c>
      <c r="Z107" t="s">
        <v>114</v>
      </c>
      <c r="AA107" t="s">
        <v>85</v>
      </c>
      <c r="AB107" t="s">
        <v>86</v>
      </c>
      <c r="AC107" t="s">
        <v>160</v>
      </c>
      <c r="AD107" t="s">
        <v>88</v>
      </c>
      <c r="AE107">
        <f t="shared" si="12"/>
        <v>7</v>
      </c>
      <c r="AF107" t="str">
        <f t="shared" si="13"/>
        <v>July</v>
      </c>
    </row>
    <row r="108" spans="1:32">
      <c r="A108" s="1">
        <v>45495</v>
      </c>
      <c r="B108" t="s">
        <v>22</v>
      </c>
      <c r="C108" t="s">
        <v>128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39</v>
      </c>
      <c r="M108" t="s">
        <v>22</v>
      </c>
      <c r="N108" t="s">
        <v>130</v>
      </c>
      <c r="O108" t="s">
        <v>82</v>
      </c>
      <c r="P108">
        <v>277342</v>
      </c>
      <c r="Q108" t="s">
        <v>16</v>
      </c>
      <c r="R108" t="s">
        <v>4</v>
      </c>
      <c r="S108" t="s">
        <v>83</v>
      </c>
      <c r="T108">
        <v>90</v>
      </c>
      <c r="U108">
        <v>0.5</v>
      </c>
      <c r="V108" s="2">
        <v>2.0833333333333332E-2</v>
      </c>
      <c r="W108">
        <v>45</v>
      </c>
      <c r="X108">
        <v>43.36</v>
      </c>
      <c r="Y108">
        <v>-1.64</v>
      </c>
      <c r="Z108" t="s">
        <v>114</v>
      </c>
      <c r="AA108" t="s">
        <v>85</v>
      </c>
      <c r="AB108" t="s">
        <v>86</v>
      </c>
      <c r="AC108" t="s">
        <v>161</v>
      </c>
      <c r="AD108" t="s">
        <v>88</v>
      </c>
      <c r="AE108">
        <f t="shared" si="12"/>
        <v>7</v>
      </c>
      <c r="AF108" t="str">
        <f t="shared" si="13"/>
        <v>July</v>
      </c>
    </row>
    <row r="109" spans="1:32">
      <c r="A109" s="1">
        <v>45496</v>
      </c>
      <c r="B109" t="s">
        <v>22</v>
      </c>
      <c r="C109" t="s">
        <v>128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39</v>
      </c>
      <c r="M109" t="s">
        <v>22</v>
      </c>
      <c r="N109" t="s">
        <v>130</v>
      </c>
      <c r="O109" t="s">
        <v>82</v>
      </c>
      <c r="P109">
        <v>277343</v>
      </c>
      <c r="Q109" t="s">
        <v>16</v>
      </c>
      <c r="R109" t="s">
        <v>4</v>
      </c>
      <c r="S109" t="s">
        <v>83</v>
      </c>
      <c r="T109">
        <v>90</v>
      </c>
      <c r="U109">
        <v>0.5</v>
      </c>
      <c r="V109" s="2">
        <v>2.0833333333333332E-2</v>
      </c>
      <c r="W109">
        <v>45</v>
      </c>
      <c r="X109">
        <v>43.36</v>
      </c>
      <c r="Y109">
        <v>-1.64</v>
      </c>
      <c r="Z109" t="s">
        <v>114</v>
      </c>
      <c r="AA109" t="s">
        <v>85</v>
      </c>
      <c r="AB109" t="s">
        <v>86</v>
      </c>
      <c r="AC109" t="s">
        <v>161</v>
      </c>
      <c r="AD109" t="s">
        <v>88</v>
      </c>
      <c r="AE109">
        <f t="shared" si="12"/>
        <v>7</v>
      </c>
      <c r="AF109" t="str">
        <f t="shared" si="13"/>
        <v>July</v>
      </c>
    </row>
    <row r="110" spans="1:32">
      <c r="A110" s="1">
        <v>45497</v>
      </c>
      <c r="B110" t="s">
        <v>22</v>
      </c>
      <c r="C110" t="s">
        <v>128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39</v>
      </c>
      <c r="M110" t="s">
        <v>22</v>
      </c>
      <c r="N110" t="s">
        <v>130</v>
      </c>
      <c r="O110" t="s">
        <v>82</v>
      </c>
      <c r="P110">
        <v>277344</v>
      </c>
      <c r="Q110" t="s">
        <v>16</v>
      </c>
      <c r="R110" t="s">
        <v>4</v>
      </c>
      <c r="S110" t="s">
        <v>83</v>
      </c>
      <c r="T110">
        <v>90</v>
      </c>
      <c r="U110">
        <v>0.5</v>
      </c>
      <c r="V110" s="2">
        <v>2.0833333333333332E-2</v>
      </c>
      <c r="W110">
        <v>45</v>
      </c>
      <c r="X110">
        <v>43.36</v>
      </c>
      <c r="Y110">
        <v>-1.64</v>
      </c>
      <c r="Z110" t="s">
        <v>114</v>
      </c>
      <c r="AA110" t="s">
        <v>85</v>
      </c>
      <c r="AB110" t="s">
        <v>86</v>
      </c>
      <c r="AC110" t="s">
        <v>161</v>
      </c>
      <c r="AD110" t="s">
        <v>88</v>
      </c>
      <c r="AE110">
        <f t="shared" si="12"/>
        <v>7</v>
      </c>
      <c r="AF110" t="str">
        <f t="shared" si="13"/>
        <v>July</v>
      </c>
    </row>
    <row r="111" spans="1:32">
      <c r="A111" s="1">
        <v>45498</v>
      </c>
      <c r="B111" t="s">
        <v>22</v>
      </c>
      <c r="C111" t="s">
        <v>128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39</v>
      </c>
      <c r="M111" t="s">
        <v>22</v>
      </c>
      <c r="N111" t="s">
        <v>130</v>
      </c>
      <c r="O111" t="s">
        <v>82</v>
      </c>
      <c r="P111">
        <v>277345</v>
      </c>
      <c r="Q111" t="s">
        <v>16</v>
      </c>
      <c r="R111" t="s">
        <v>4</v>
      </c>
      <c r="S111" t="s">
        <v>83</v>
      </c>
      <c r="T111">
        <v>90</v>
      </c>
      <c r="U111">
        <v>0.5</v>
      </c>
      <c r="V111" s="2">
        <v>2.0833333333333332E-2</v>
      </c>
      <c r="W111">
        <v>45</v>
      </c>
      <c r="X111">
        <v>43.36</v>
      </c>
      <c r="Y111">
        <v>-1.64</v>
      </c>
      <c r="Z111" t="s">
        <v>114</v>
      </c>
      <c r="AA111" t="s">
        <v>85</v>
      </c>
      <c r="AB111" t="s">
        <v>86</v>
      </c>
      <c r="AC111" t="s">
        <v>161</v>
      </c>
      <c r="AD111" t="s">
        <v>88</v>
      </c>
      <c r="AE111">
        <f t="shared" si="12"/>
        <v>7</v>
      </c>
      <c r="AF111" t="str">
        <f t="shared" si="13"/>
        <v>July</v>
      </c>
    </row>
    <row r="112" spans="1:32">
      <c r="A112" s="1">
        <v>45499</v>
      </c>
      <c r="B112" t="s">
        <v>22</v>
      </c>
      <c r="C112" t="s">
        <v>128</v>
      </c>
      <c r="D112" t="s">
        <v>75</v>
      </c>
      <c r="E112" t="s">
        <v>76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39</v>
      </c>
      <c r="M112" t="s">
        <v>22</v>
      </c>
      <c r="N112" t="s">
        <v>130</v>
      </c>
      <c r="O112" t="s">
        <v>82</v>
      </c>
      <c r="P112">
        <v>277346</v>
      </c>
      <c r="Q112" t="s">
        <v>16</v>
      </c>
      <c r="R112" t="s">
        <v>4</v>
      </c>
      <c r="S112" t="s">
        <v>83</v>
      </c>
      <c r="T112">
        <v>90</v>
      </c>
      <c r="U112">
        <v>0.5</v>
      </c>
      <c r="V112" s="2">
        <v>2.0833333333333332E-2</v>
      </c>
      <c r="W112">
        <v>45</v>
      </c>
      <c r="X112">
        <v>43.36</v>
      </c>
      <c r="Y112">
        <v>-1.64</v>
      </c>
      <c r="Z112" t="s">
        <v>114</v>
      </c>
      <c r="AA112" t="s">
        <v>85</v>
      </c>
      <c r="AB112" t="s">
        <v>86</v>
      </c>
      <c r="AC112" t="s">
        <v>161</v>
      </c>
      <c r="AD112" t="s">
        <v>88</v>
      </c>
      <c r="AE112">
        <f t="shared" si="12"/>
        <v>7</v>
      </c>
      <c r="AF112" t="str">
        <f t="shared" si="13"/>
        <v>July</v>
      </c>
    </row>
    <row r="113" spans="1:32">
      <c r="A113" s="1">
        <v>45502</v>
      </c>
      <c r="B113" t="s">
        <v>22</v>
      </c>
      <c r="C113" t="s">
        <v>128</v>
      </c>
      <c r="D113" t="s">
        <v>75</v>
      </c>
      <c r="E113" t="s">
        <v>76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39</v>
      </c>
      <c r="M113" t="s">
        <v>22</v>
      </c>
      <c r="N113" t="s">
        <v>130</v>
      </c>
      <c r="O113" t="s">
        <v>82</v>
      </c>
      <c r="P113">
        <v>278845</v>
      </c>
      <c r="Q113" t="s">
        <v>16</v>
      </c>
      <c r="R113" t="s">
        <v>4</v>
      </c>
      <c r="S113" t="s">
        <v>83</v>
      </c>
      <c r="T113">
        <v>90</v>
      </c>
      <c r="U113">
        <v>0.75</v>
      </c>
      <c r="V113" s="2">
        <v>3.125E-2</v>
      </c>
      <c r="W113">
        <v>67.5</v>
      </c>
      <c r="X113">
        <v>65.040000000000006</v>
      </c>
      <c r="Y113">
        <v>-2.46</v>
      </c>
      <c r="Z113" t="s">
        <v>114</v>
      </c>
      <c r="AA113" t="s">
        <v>85</v>
      </c>
      <c r="AB113" t="s">
        <v>86</v>
      </c>
      <c r="AC113" t="s">
        <v>162</v>
      </c>
      <c r="AD113" t="s">
        <v>88</v>
      </c>
      <c r="AE113">
        <f t="shared" si="12"/>
        <v>7</v>
      </c>
      <c r="AF113" t="str">
        <f t="shared" si="13"/>
        <v>July</v>
      </c>
    </row>
    <row r="114" spans="1:32">
      <c r="A114" s="1">
        <v>45503</v>
      </c>
      <c r="B114" t="s">
        <v>22</v>
      </c>
      <c r="C114" t="s">
        <v>128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39</v>
      </c>
      <c r="M114" t="s">
        <v>22</v>
      </c>
      <c r="N114" t="s">
        <v>130</v>
      </c>
      <c r="O114" t="s">
        <v>82</v>
      </c>
      <c r="P114">
        <v>278846</v>
      </c>
      <c r="Q114" t="s">
        <v>16</v>
      </c>
      <c r="R114" t="s">
        <v>4</v>
      </c>
      <c r="S114" t="s">
        <v>83</v>
      </c>
      <c r="T114">
        <v>90</v>
      </c>
      <c r="U114">
        <v>0.75</v>
      </c>
      <c r="V114" s="2">
        <v>3.125E-2</v>
      </c>
      <c r="W114">
        <v>67.5</v>
      </c>
      <c r="X114">
        <v>65.040000000000006</v>
      </c>
      <c r="Y114">
        <v>-2.46</v>
      </c>
      <c r="Z114" t="s">
        <v>114</v>
      </c>
      <c r="AA114" t="s">
        <v>85</v>
      </c>
      <c r="AB114" t="s">
        <v>86</v>
      </c>
      <c r="AC114" t="s">
        <v>163</v>
      </c>
      <c r="AD114" t="s">
        <v>88</v>
      </c>
      <c r="AE114">
        <f t="shared" si="12"/>
        <v>7</v>
      </c>
      <c r="AF114" t="str">
        <f t="shared" si="13"/>
        <v>July</v>
      </c>
    </row>
    <row r="115" spans="1:32">
      <c r="A115" s="1">
        <v>45505</v>
      </c>
      <c r="B115" t="s">
        <v>22</v>
      </c>
      <c r="C115" t="s">
        <v>128</v>
      </c>
      <c r="D115" t="s">
        <v>75</v>
      </c>
      <c r="E115" t="s">
        <v>76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39</v>
      </c>
      <c r="M115" t="s">
        <v>22</v>
      </c>
      <c r="N115" t="s">
        <v>130</v>
      </c>
      <c r="O115" t="s">
        <v>82</v>
      </c>
      <c r="P115">
        <v>280169</v>
      </c>
      <c r="Q115" t="s">
        <v>16</v>
      </c>
      <c r="R115" t="s">
        <v>4</v>
      </c>
      <c r="S115" t="s">
        <v>83</v>
      </c>
      <c r="T115">
        <v>90</v>
      </c>
      <c r="U115">
        <v>1</v>
      </c>
      <c r="V115" s="2">
        <v>4.1666666666666664E-2</v>
      </c>
      <c r="W115">
        <v>90</v>
      </c>
      <c r="AA115" t="s">
        <v>85</v>
      </c>
      <c r="AB115" t="s">
        <v>86</v>
      </c>
      <c r="AC115" t="s">
        <v>164</v>
      </c>
      <c r="AD115" t="s">
        <v>88</v>
      </c>
      <c r="AE115">
        <f t="shared" si="12"/>
        <v>8</v>
      </c>
      <c r="AF115" t="str">
        <f t="shared" si="13"/>
        <v>August</v>
      </c>
    </row>
    <row r="116" spans="1:32">
      <c r="A116" s="1">
        <v>45516</v>
      </c>
      <c r="B116" t="s">
        <v>22</v>
      </c>
      <c r="C116" t="s">
        <v>128</v>
      </c>
      <c r="D116" t="s">
        <v>75</v>
      </c>
      <c r="E116" t="s">
        <v>76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39</v>
      </c>
      <c r="M116" t="s">
        <v>22</v>
      </c>
      <c r="N116" t="s">
        <v>130</v>
      </c>
      <c r="O116" t="s">
        <v>82</v>
      </c>
      <c r="P116">
        <v>286510</v>
      </c>
      <c r="Q116" t="s">
        <v>16</v>
      </c>
      <c r="R116" t="s">
        <v>4</v>
      </c>
      <c r="S116" t="s">
        <v>83</v>
      </c>
      <c r="T116">
        <v>90</v>
      </c>
      <c r="U116">
        <v>0.5</v>
      </c>
      <c r="V116" s="2">
        <v>2.0833333333333332E-2</v>
      </c>
      <c r="W116">
        <v>45</v>
      </c>
      <c r="AA116" t="s">
        <v>85</v>
      </c>
      <c r="AC116" t="s">
        <v>165</v>
      </c>
      <c r="AD116" t="s">
        <v>88</v>
      </c>
      <c r="AE116">
        <f t="shared" si="12"/>
        <v>8</v>
      </c>
      <c r="AF116" t="str">
        <f t="shared" si="13"/>
        <v>August</v>
      </c>
    </row>
    <row r="117" spans="1:32">
      <c r="A117" s="1">
        <v>45442</v>
      </c>
      <c r="B117" t="s">
        <v>39</v>
      </c>
      <c r="C117" t="s">
        <v>128</v>
      </c>
      <c r="D117" t="s">
        <v>75</v>
      </c>
      <c r="E117" t="s">
        <v>129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39</v>
      </c>
      <c r="M117" t="s">
        <v>22</v>
      </c>
      <c r="N117" t="s">
        <v>130</v>
      </c>
      <c r="O117" t="s">
        <v>82</v>
      </c>
      <c r="P117">
        <v>253324</v>
      </c>
      <c r="Q117" t="s">
        <v>16</v>
      </c>
      <c r="R117" t="s">
        <v>4</v>
      </c>
      <c r="S117" t="s">
        <v>83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84</v>
      </c>
      <c r="AA117" t="s">
        <v>85</v>
      </c>
      <c r="AB117" t="s">
        <v>86</v>
      </c>
      <c r="AC117" t="s">
        <v>130</v>
      </c>
      <c r="AD117" t="s">
        <v>88</v>
      </c>
      <c r="AE117">
        <f t="shared" si="12"/>
        <v>5</v>
      </c>
      <c r="AF117" t="str">
        <f t="shared" si="13"/>
        <v>May</v>
      </c>
    </row>
    <row r="118" spans="1:32">
      <c r="A118" s="1">
        <v>45443</v>
      </c>
      <c r="B118" t="s">
        <v>39</v>
      </c>
      <c r="C118" t="s">
        <v>128</v>
      </c>
      <c r="D118" t="s">
        <v>75</v>
      </c>
      <c r="E118" t="s">
        <v>129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39</v>
      </c>
      <c r="M118" t="s">
        <v>22</v>
      </c>
      <c r="N118" t="s">
        <v>130</v>
      </c>
      <c r="O118" t="s">
        <v>82</v>
      </c>
      <c r="P118">
        <v>253305</v>
      </c>
      <c r="Q118" t="s">
        <v>16</v>
      </c>
      <c r="R118" t="s">
        <v>4</v>
      </c>
      <c r="S118" t="s">
        <v>83</v>
      </c>
      <c r="T118">
        <v>90</v>
      </c>
      <c r="U118">
        <v>0.25</v>
      </c>
      <c r="V118" s="2">
        <v>1.0416666666666666E-2</v>
      </c>
      <c r="W118">
        <v>22.5</v>
      </c>
      <c r="X118">
        <v>30</v>
      </c>
      <c r="Y118">
        <v>7.5</v>
      </c>
      <c r="Z118" t="s">
        <v>84</v>
      </c>
      <c r="AA118" t="s">
        <v>85</v>
      </c>
      <c r="AB118" t="s">
        <v>86</v>
      </c>
      <c r="AC118" t="s">
        <v>130</v>
      </c>
      <c r="AD118" t="s">
        <v>88</v>
      </c>
      <c r="AE118">
        <f t="shared" si="12"/>
        <v>5</v>
      </c>
      <c r="AF118" t="str">
        <f t="shared" si="13"/>
        <v>May</v>
      </c>
    </row>
    <row r="119" spans="1:32">
      <c r="A119" s="1">
        <v>45443</v>
      </c>
      <c r="B119" t="s">
        <v>39</v>
      </c>
      <c r="C119" t="s">
        <v>128</v>
      </c>
      <c r="D119" t="s">
        <v>75</v>
      </c>
      <c r="E119" t="s">
        <v>129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39</v>
      </c>
      <c r="M119" t="s">
        <v>22</v>
      </c>
      <c r="N119" t="s">
        <v>130</v>
      </c>
      <c r="O119" t="s">
        <v>82</v>
      </c>
      <c r="P119">
        <v>253306</v>
      </c>
      <c r="Q119" t="s">
        <v>90</v>
      </c>
      <c r="R119" t="s">
        <v>91</v>
      </c>
      <c r="S119" t="s">
        <v>83</v>
      </c>
      <c r="T119">
        <v>0</v>
      </c>
      <c r="U119">
        <v>0.25</v>
      </c>
      <c r="V119" s="2">
        <v>1.0416666666666666E-2</v>
      </c>
      <c r="W119">
        <v>0</v>
      </c>
      <c r="AA119" t="s">
        <v>85</v>
      </c>
      <c r="AB119" t="s">
        <v>86</v>
      </c>
      <c r="AC119" t="s">
        <v>130</v>
      </c>
      <c r="AD119" t="s">
        <v>88</v>
      </c>
      <c r="AE119">
        <f t="shared" si="12"/>
        <v>5</v>
      </c>
      <c r="AF119" t="str">
        <f t="shared" si="13"/>
        <v>May</v>
      </c>
    </row>
    <row r="120" spans="1:32">
      <c r="A120" s="1">
        <v>45446</v>
      </c>
      <c r="B120" t="s">
        <v>39</v>
      </c>
      <c r="C120" t="s">
        <v>128</v>
      </c>
      <c r="D120" t="s">
        <v>75</v>
      </c>
      <c r="E120" t="s">
        <v>129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39</v>
      </c>
      <c r="M120" t="s">
        <v>22</v>
      </c>
      <c r="N120" t="s">
        <v>130</v>
      </c>
      <c r="O120" t="s">
        <v>82</v>
      </c>
      <c r="P120">
        <v>254874</v>
      </c>
      <c r="Q120" t="s">
        <v>90</v>
      </c>
      <c r="R120" t="s">
        <v>91</v>
      </c>
      <c r="S120" t="s">
        <v>83</v>
      </c>
      <c r="T120">
        <v>0</v>
      </c>
      <c r="U120">
        <v>0.25</v>
      </c>
      <c r="V120" s="2">
        <v>1.0416666666666666E-2</v>
      </c>
      <c r="W120">
        <v>0</v>
      </c>
      <c r="AA120" t="s">
        <v>85</v>
      </c>
      <c r="AB120" t="s">
        <v>86</v>
      </c>
      <c r="AC120" t="s">
        <v>130</v>
      </c>
      <c r="AD120" t="s">
        <v>88</v>
      </c>
      <c r="AE120">
        <f t="shared" si="12"/>
        <v>6</v>
      </c>
      <c r="AF120" t="str">
        <f t="shared" si="13"/>
        <v>June</v>
      </c>
    </row>
    <row r="121" spans="1:32">
      <c r="A121" s="1">
        <v>45447</v>
      </c>
      <c r="B121" t="s">
        <v>39</v>
      </c>
      <c r="C121" t="s">
        <v>128</v>
      </c>
      <c r="D121" t="s">
        <v>75</v>
      </c>
      <c r="E121" t="s">
        <v>129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39</v>
      </c>
      <c r="M121" t="s">
        <v>22</v>
      </c>
      <c r="N121" t="s">
        <v>130</v>
      </c>
      <c r="O121" t="s">
        <v>82</v>
      </c>
      <c r="P121">
        <v>255288</v>
      </c>
      <c r="Q121" t="s">
        <v>90</v>
      </c>
      <c r="R121" t="s">
        <v>91</v>
      </c>
      <c r="S121" t="s">
        <v>83</v>
      </c>
      <c r="T121">
        <v>0</v>
      </c>
      <c r="U121">
        <v>0.75</v>
      </c>
      <c r="V121" s="2">
        <v>3.125E-2</v>
      </c>
      <c r="W121">
        <v>0</v>
      </c>
      <c r="AA121" t="s">
        <v>85</v>
      </c>
      <c r="AB121" t="s">
        <v>86</v>
      </c>
      <c r="AC121" t="s">
        <v>130</v>
      </c>
      <c r="AD121" t="s">
        <v>88</v>
      </c>
      <c r="AE121">
        <f t="shared" si="12"/>
        <v>6</v>
      </c>
      <c r="AF121" t="str">
        <f t="shared" si="13"/>
        <v>June</v>
      </c>
    </row>
    <row r="122" spans="1:32">
      <c r="A122" s="1">
        <v>45448</v>
      </c>
      <c r="B122" t="s">
        <v>39</v>
      </c>
      <c r="C122" t="s">
        <v>128</v>
      </c>
      <c r="D122" t="s">
        <v>75</v>
      </c>
      <c r="E122" t="s">
        <v>129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39</v>
      </c>
      <c r="M122" t="s">
        <v>22</v>
      </c>
      <c r="N122" t="s">
        <v>130</v>
      </c>
      <c r="O122" t="s">
        <v>82</v>
      </c>
      <c r="P122">
        <v>256514</v>
      </c>
      <c r="Q122" t="s">
        <v>90</v>
      </c>
      <c r="R122" t="s">
        <v>91</v>
      </c>
      <c r="S122" t="s">
        <v>83</v>
      </c>
      <c r="T122">
        <v>0</v>
      </c>
      <c r="U122">
        <v>0.25</v>
      </c>
      <c r="V122" s="2">
        <v>1.0416666666666666E-2</v>
      </c>
      <c r="W122">
        <v>0</v>
      </c>
      <c r="AA122" t="s">
        <v>85</v>
      </c>
      <c r="AB122" t="s">
        <v>86</v>
      </c>
      <c r="AC122" t="s">
        <v>130</v>
      </c>
      <c r="AD122" t="s">
        <v>88</v>
      </c>
      <c r="AE122">
        <f t="shared" si="12"/>
        <v>6</v>
      </c>
      <c r="AF122" t="str">
        <f t="shared" si="13"/>
        <v>June</v>
      </c>
    </row>
    <row r="123" spans="1:32">
      <c r="A123" s="1">
        <v>45453</v>
      </c>
      <c r="B123" t="s">
        <v>39</v>
      </c>
      <c r="C123" t="s">
        <v>128</v>
      </c>
      <c r="D123" t="s">
        <v>75</v>
      </c>
      <c r="E123" t="s">
        <v>129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39</v>
      </c>
      <c r="M123" t="s">
        <v>22</v>
      </c>
      <c r="N123" t="s">
        <v>130</v>
      </c>
      <c r="O123" t="s">
        <v>82</v>
      </c>
      <c r="P123">
        <v>257351</v>
      </c>
      <c r="Q123" t="s">
        <v>90</v>
      </c>
      <c r="R123" t="s">
        <v>91</v>
      </c>
      <c r="S123" t="s">
        <v>83</v>
      </c>
      <c r="T123">
        <v>0</v>
      </c>
      <c r="U123">
        <v>0.5</v>
      </c>
      <c r="V123" s="2">
        <v>2.0833333333333332E-2</v>
      </c>
      <c r="W123">
        <v>0</v>
      </c>
      <c r="AA123" t="s">
        <v>85</v>
      </c>
      <c r="AB123" t="s">
        <v>86</v>
      </c>
      <c r="AC123" t="s">
        <v>130</v>
      </c>
      <c r="AD123" t="s">
        <v>88</v>
      </c>
      <c r="AE123">
        <f t="shared" si="12"/>
        <v>6</v>
      </c>
      <c r="AF123" t="str">
        <f t="shared" si="13"/>
        <v>June</v>
      </c>
    </row>
    <row r="124" spans="1:32">
      <c r="A124" s="1">
        <v>45454</v>
      </c>
      <c r="B124" t="s">
        <v>39</v>
      </c>
      <c r="C124" t="s">
        <v>128</v>
      </c>
      <c r="D124" t="s">
        <v>75</v>
      </c>
      <c r="E124" t="s">
        <v>129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39</v>
      </c>
      <c r="M124" t="s">
        <v>22</v>
      </c>
      <c r="N124" t="s">
        <v>130</v>
      </c>
      <c r="O124" t="s">
        <v>82</v>
      </c>
      <c r="P124">
        <v>257823</v>
      </c>
      <c r="Q124" t="s">
        <v>90</v>
      </c>
      <c r="R124" t="s">
        <v>91</v>
      </c>
      <c r="S124" t="s">
        <v>83</v>
      </c>
      <c r="T124">
        <v>0</v>
      </c>
      <c r="U124">
        <v>0.25</v>
      </c>
      <c r="V124" s="2">
        <v>1.0416666666666666E-2</v>
      </c>
      <c r="W124">
        <v>0</v>
      </c>
      <c r="AA124" t="s">
        <v>85</v>
      </c>
      <c r="AB124" t="s">
        <v>86</v>
      </c>
      <c r="AC124" t="s">
        <v>130</v>
      </c>
      <c r="AD124" t="s">
        <v>88</v>
      </c>
      <c r="AE124">
        <f t="shared" si="12"/>
        <v>6</v>
      </c>
      <c r="AF124" t="str">
        <f t="shared" si="13"/>
        <v>June</v>
      </c>
    </row>
    <row r="125" spans="1:32">
      <c r="A125" s="1">
        <v>45455</v>
      </c>
      <c r="B125" t="s">
        <v>39</v>
      </c>
      <c r="C125" t="s">
        <v>128</v>
      </c>
      <c r="D125" t="s">
        <v>75</v>
      </c>
      <c r="E125" t="s">
        <v>129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39</v>
      </c>
      <c r="M125" t="s">
        <v>22</v>
      </c>
      <c r="N125" t="s">
        <v>130</v>
      </c>
      <c r="O125" t="s">
        <v>82</v>
      </c>
      <c r="P125">
        <v>258628</v>
      </c>
      <c r="Q125" t="s">
        <v>90</v>
      </c>
      <c r="R125" t="s">
        <v>91</v>
      </c>
      <c r="S125" t="s">
        <v>83</v>
      </c>
      <c r="T125">
        <v>0</v>
      </c>
      <c r="U125">
        <v>0.5</v>
      </c>
      <c r="V125" s="2">
        <v>2.0833333333333332E-2</v>
      </c>
      <c r="W125">
        <v>0</v>
      </c>
      <c r="AA125" t="s">
        <v>85</v>
      </c>
      <c r="AB125" t="s">
        <v>86</v>
      </c>
      <c r="AC125" t="s">
        <v>130</v>
      </c>
      <c r="AD125" t="s">
        <v>88</v>
      </c>
      <c r="AE125">
        <f t="shared" si="12"/>
        <v>6</v>
      </c>
      <c r="AF125" t="str">
        <f t="shared" si="13"/>
        <v>June</v>
      </c>
    </row>
    <row r="126" spans="1:32">
      <c r="A126" s="1">
        <v>45456</v>
      </c>
      <c r="B126" t="s">
        <v>39</v>
      </c>
      <c r="C126" t="s">
        <v>128</v>
      </c>
      <c r="D126" t="s">
        <v>75</v>
      </c>
      <c r="E126" t="s">
        <v>129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39</v>
      </c>
      <c r="M126" t="s">
        <v>22</v>
      </c>
      <c r="N126" t="s">
        <v>130</v>
      </c>
      <c r="O126" t="s">
        <v>82</v>
      </c>
      <c r="P126">
        <v>258997</v>
      </c>
      <c r="Q126" t="s">
        <v>90</v>
      </c>
      <c r="R126" t="s">
        <v>91</v>
      </c>
      <c r="S126" t="s">
        <v>83</v>
      </c>
      <c r="T126">
        <v>0</v>
      </c>
      <c r="U126">
        <v>0.25</v>
      </c>
      <c r="V126" s="2">
        <v>1.0416666666666666E-2</v>
      </c>
      <c r="W126">
        <v>0</v>
      </c>
      <c r="AA126" t="s">
        <v>85</v>
      </c>
      <c r="AB126" t="s">
        <v>86</v>
      </c>
      <c r="AC126" t="s">
        <v>130</v>
      </c>
      <c r="AD126" t="s">
        <v>88</v>
      </c>
      <c r="AE126">
        <f t="shared" si="12"/>
        <v>6</v>
      </c>
      <c r="AF126" t="str">
        <f t="shared" si="13"/>
        <v>June</v>
      </c>
    </row>
    <row r="127" spans="1:32">
      <c r="A127" s="1">
        <v>45457</v>
      </c>
      <c r="B127" t="s">
        <v>39</v>
      </c>
      <c r="C127" t="s">
        <v>128</v>
      </c>
      <c r="D127" t="s">
        <v>75</v>
      </c>
      <c r="E127" t="s">
        <v>129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39</v>
      </c>
      <c r="M127" t="s">
        <v>22</v>
      </c>
      <c r="N127" t="s">
        <v>130</v>
      </c>
      <c r="O127" t="s">
        <v>82</v>
      </c>
      <c r="P127">
        <v>259540</v>
      </c>
      <c r="Q127" t="s">
        <v>90</v>
      </c>
      <c r="R127" t="s">
        <v>91</v>
      </c>
      <c r="S127" t="s">
        <v>83</v>
      </c>
      <c r="T127">
        <v>0</v>
      </c>
      <c r="U127">
        <v>0.25</v>
      </c>
      <c r="V127" s="2">
        <v>1.0416666666666666E-2</v>
      </c>
      <c r="W127">
        <v>0</v>
      </c>
      <c r="AA127" t="s">
        <v>85</v>
      </c>
      <c r="AB127" t="s">
        <v>86</v>
      </c>
      <c r="AC127" t="s">
        <v>130</v>
      </c>
      <c r="AD127" t="s">
        <v>88</v>
      </c>
      <c r="AE127">
        <f t="shared" si="12"/>
        <v>6</v>
      </c>
      <c r="AF127" t="str">
        <f t="shared" si="13"/>
        <v>June</v>
      </c>
    </row>
    <row r="128" spans="1:32">
      <c r="A128" s="1">
        <v>45471</v>
      </c>
      <c r="B128" t="s">
        <v>39</v>
      </c>
      <c r="C128" t="s">
        <v>128</v>
      </c>
      <c r="D128" t="s">
        <v>75</v>
      </c>
      <c r="E128" t="s">
        <v>129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39</v>
      </c>
      <c r="M128" t="s">
        <v>22</v>
      </c>
      <c r="N128" t="s">
        <v>130</v>
      </c>
      <c r="O128" t="s">
        <v>82</v>
      </c>
      <c r="P128">
        <v>265119</v>
      </c>
      <c r="Q128" t="s">
        <v>90</v>
      </c>
      <c r="R128" t="s">
        <v>91</v>
      </c>
      <c r="S128" t="s">
        <v>83</v>
      </c>
      <c r="T128">
        <v>0</v>
      </c>
      <c r="U128">
        <v>0.25</v>
      </c>
      <c r="V128" s="2">
        <v>1.0416666666666666E-2</v>
      </c>
      <c r="W128">
        <v>0</v>
      </c>
      <c r="AA128" t="s">
        <v>85</v>
      </c>
      <c r="AB128" t="s">
        <v>86</v>
      </c>
      <c r="AC128" t="s">
        <v>130</v>
      </c>
      <c r="AD128" t="s">
        <v>88</v>
      </c>
      <c r="AE128">
        <f t="shared" si="12"/>
        <v>6</v>
      </c>
      <c r="AF128" t="str">
        <f t="shared" si="13"/>
        <v>June</v>
      </c>
    </row>
    <row r="129" spans="1:32">
      <c r="A129" s="1">
        <v>45477</v>
      </c>
      <c r="B129" t="s">
        <v>39</v>
      </c>
      <c r="C129" t="s">
        <v>128</v>
      </c>
      <c r="D129" t="s">
        <v>75</v>
      </c>
      <c r="E129" t="s">
        <v>129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39</v>
      </c>
      <c r="M129" t="s">
        <v>22</v>
      </c>
      <c r="N129" t="s">
        <v>130</v>
      </c>
      <c r="O129" t="s">
        <v>82</v>
      </c>
      <c r="P129">
        <v>267320</v>
      </c>
      <c r="Q129" t="s">
        <v>90</v>
      </c>
      <c r="R129" t="s">
        <v>91</v>
      </c>
      <c r="S129" t="s">
        <v>83</v>
      </c>
      <c r="T129">
        <v>0</v>
      </c>
      <c r="U129">
        <v>0.75</v>
      </c>
      <c r="V129" s="2">
        <v>3.125E-2</v>
      </c>
      <c r="W129">
        <v>0</v>
      </c>
      <c r="AA129" t="s">
        <v>85</v>
      </c>
      <c r="AB129" t="s">
        <v>86</v>
      </c>
      <c r="AC129" t="s">
        <v>130</v>
      </c>
      <c r="AD129" t="s">
        <v>88</v>
      </c>
      <c r="AE129">
        <f t="shared" si="12"/>
        <v>7</v>
      </c>
      <c r="AF129" t="str">
        <f t="shared" si="13"/>
        <v>July</v>
      </c>
    </row>
    <row r="130" spans="1:32">
      <c r="A130" s="1">
        <v>45478</v>
      </c>
      <c r="B130" t="s">
        <v>39</v>
      </c>
      <c r="C130" t="s">
        <v>128</v>
      </c>
      <c r="D130" t="s">
        <v>75</v>
      </c>
      <c r="E130" t="s">
        <v>129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39</v>
      </c>
      <c r="M130" t="s">
        <v>22</v>
      </c>
      <c r="N130" t="s">
        <v>130</v>
      </c>
      <c r="O130" t="s">
        <v>82</v>
      </c>
      <c r="P130">
        <v>267935</v>
      </c>
      <c r="Q130" t="s">
        <v>90</v>
      </c>
      <c r="R130" t="s">
        <v>91</v>
      </c>
      <c r="S130" t="s">
        <v>83</v>
      </c>
      <c r="T130">
        <v>0</v>
      </c>
      <c r="U130">
        <v>2</v>
      </c>
      <c r="V130" s="2">
        <v>8.3333333333333329E-2</v>
      </c>
      <c r="W130">
        <v>0</v>
      </c>
      <c r="AA130" t="s">
        <v>85</v>
      </c>
      <c r="AB130" t="s">
        <v>86</v>
      </c>
      <c r="AC130" t="s">
        <v>130</v>
      </c>
      <c r="AD130" t="s">
        <v>88</v>
      </c>
      <c r="AE130">
        <f t="shared" si="12"/>
        <v>7</v>
      </c>
      <c r="AF130" t="str">
        <f t="shared" si="13"/>
        <v>July</v>
      </c>
    </row>
    <row r="131" spans="1:32">
      <c r="A131" s="1">
        <v>45481</v>
      </c>
      <c r="B131" t="s">
        <v>39</v>
      </c>
      <c r="C131" t="s">
        <v>128</v>
      </c>
      <c r="D131" t="s">
        <v>75</v>
      </c>
      <c r="E131" t="s">
        <v>129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75</v>
      </c>
      <c r="L131" t="s">
        <v>39</v>
      </c>
      <c r="M131" t="s">
        <v>22</v>
      </c>
      <c r="N131" t="s">
        <v>130</v>
      </c>
      <c r="O131" t="s">
        <v>82</v>
      </c>
      <c r="P131">
        <v>268575</v>
      </c>
      <c r="Q131" t="s">
        <v>90</v>
      </c>
      <c r="R131" t="s">
        <v>91</v>
      </c>
      <c r="S131" t="s">
        <v>83</v>
      </c>
      <c r="T131">
        <v>0</v>
      </c>
      <c r="U131">
        <v>1</v>
      </c>
      <c r="V131" s="2">
        <v>4.1666666666666664E-2</v>
      </c>
      <c r="W131">
        <v>0</v>
      </c>
      <c r="AA131" t="s">
        <v>85</v>
      </c>
      <c r="AB131" t="s">
        <v>86</v>
      </c>
      <c r="AC131" t="s">
        <v>130</v>
      </c>
      <c r="AD131" t="s">
        <v>88</v>
      </c>
      <c r="AE131">
        <f t="shared" ref="AE131:AE143" si="14">MONTH(A131)</f>
        <v>7</v>
      </c>
      <c r="AF131" t="str">
        <f t="shared" ref="AF131:AF143" si="15">IF(AE131=5,"May",IF(AE131=6,"June",IF(AE131=7,"July",IF(AE131=8,"August",IF(AE131=9,"September")))))</f>
        <v>July</v>
      </c>
    </row>
    <row r="132" spans="1:32">
      <c r="A132" s="1">
        <v>45482</v>
      </c>
      <c r="B132" t="s">
        <v>39</v>
      </c>
      <c r="C132" t="s">
        <v>128</v>
      </c>
      <c r="D132" t="s">
        <v>75</v>
      </c>
      <c r="E132" t="s">
        <v>129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75</v>
      </c>
      <c r="L132" t="s">
        <v>39</v>
      </c>
      <c r="M132" t="s">
        <v>22</v>
      </c>
      <c r="N132" t="s">
        <v>130</v>
      </c>
      <c r="O132" t="s">
        <v>82</v>
      </c>
      <c r="P132">
        <v>269041</v>
      </c>
      <c r="Q132" t="s">
        <v>90</v>
      </c>
      <c r="R132" t="s">
        <v>91</v>
      </c>
      <c r="S132" t="s">
        <v>83</v>
      </c>
      <c r="T132">
        <v>0</v>
      </c>
      <c r="U132">
        <v>1</v>
      </c>
      <c r="V132" s="2">
        <v>4.1666666666666664E-2</v>
      </c>
      <c r="W132">
        <v>0</v>
      </c>
      <c r="AA132" t="s">
        <v>85</v>
      </c>
      <c r="AB132" t="s">
        <v>86</v>
      </c>
      <c r="AC132" t="s">
        <v>130</v>
      </c>
      <c r="AD132" t="s">
        <v>88</v>
      </c>
      <c r="AE132">
        <f t="shared" si="14"/>
        <v>7</v>
      </c>
      <c r="AF132" t="str">
        <f t="shared" si="15"/>
        <v>July</v>
      </c>
    </row>
    <row r="133" spans="1:32">
      <c r="A133" s="1">
        <v>45483</v>
      </c>
      <c r="B133" t="s">
        <v>39</v>
      </c>
      <c r="C133" t="s">
        <v>128</v>
      </c>
      <c r="D133" t="s">
        <v>75</v>
      </c>
      <c r="E133" t="s">
        <v>129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75</v>
      </c>
      <c r="L133" t="s">
        <v>39</v>
      </c>
      <c r="M133" t="s">
        <v>22</v>
      </c>
      <c r="N133" t="s">
        <v>130</v>
      </c>
      <c r="O133" t="s">
        <v>82</v>
      </c>
      <c r="P133">
        <v>269553</v>
      </c>
      <c r="Q133" t="s">
        <v>90</v>
      </c>
      <c r="R133" t="s">
        <v>91</v>
      </c>
      <c r="S133" t="s">
        <v>83</v>
      </c>
      <c r="T133">
        <v>0</v>
      </c>
      <c r="U133">
        <v>0.25</v>
      </c>
      <c r="V133" s="2">
        <v>1.0416666666666666E-2</v>
      </c>
      <c r="W133">
        <v>0</v>
      </c>
      <c r="AA133" t="s">
        <v>85</v>
      </c>
      <c r="AB133" t="s">
        <v>86</v>
      </c>
      <c r="AC133" t="s">
        <v>130</v>
      </c>
      <c r="AD133" t="s">
        <v>88</v>
      </c>
      <c r="AE133">
        <f t="shared" si="14"/>
        <v>7</v>
      </c>
      <c r="AF133" t="str">
        <f t="shared" si="15"/>
        <v>July</v>
      </c>
    </row>
    <row r="134" spans="1:32">
      <c r="A134" s="1">
        <v>45484</v>
      </c>
      <c r="B134" t="s">
        <v>39</v>
      </c>
      <c r="C134" t="s">
        <v>128</v>
      </c>
      <c r="D134" t="s">
        <v>75</v>
      </c>
      <c r="E134" t="s">
        <v>129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75</v>
      </c>
      <c r="L134" t="s">
        <v>39</v>
      </c>
      <c r="M134" t="s">
        <v>22</v>
      </c>
      <c r="N134" t="s">
        <v>130</v>
      </c>
      <c r="O134" t="s">
        <v>82</v>
      </c>
      <c r="P134">
        <v>269992</v>
      </c>
      <c r="Q134" t="s">
        <v>90</v>
      </c>
      <c r="R134" t="s">
        <v>91</v>
      </c>
      <c r="S134" t="s">
        <v>83</v>
      </c>
      <c r="T134">
        <v>0</v>
      </c>
      <c r="U134">
        <v>0.25</v>
      </c>
      <c r="V134" s="2">
        <v>1.0416666666666666E-2</v>
      </c>
      <c r="W134">
        <v>0</v>
      </c>
      <c r="AA134" t="s">
        <v>85</v>
      </c>
      <c r="AB134" t="s">
        <v>86</v>
      </c>
      <c r="AC134" t="s">
        <v>130</v>
      </c>
      <c r="AD134" t="s">
        <v>88</v>
      </c>
      <c r="AE134">
        <f t="shared" si="14"/>
        <v>7</v>
      </c>
      <c r="AF134" t="str">
        <f t="shared" si="15"/>
        <v>July</v>
      </c>
    </row>
    <row r="135" spans="1:32">
      <c r="A135" s="1">
        <v>45485</v>
      </c>
      <c r="B135" t="s">
        <v>39</v>
      </c>
      <c r="C135" t="s">
        <v>128</v>
      </c>
      <c r="D135" t="s">
        <v>75</v>
      </c>
      <c r="E135" t="s">
        <v>129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75</v>
      </c>
      <c r="L135" t="s">
        <v>39</v>
      </c>
      <c r="M135" t="s">
        <v>22</v>
      </c>
      <c r="N135" t="s">
        <v>130</v>
      </c>
      <c r="O135" t="s">
        <v>82</v>
      </c>
      <c r="P135">
        <v>270564</v>
      </c>
      <c r="Q135" t="s">
        <v>90</v>
      </c>
      <c r="R135" t="s">
        <v>91</v>
      </c>
      <c r="S135" t="s">
        <v>83</v>
      </c>
      <c r="T135">
        <v>0</v>
      </c>
      <c r="U135">
        <v>0.25</v>
      </c>
      <c r="V135" s="2">
        <v>1.0416666666666666E-2</v>
      </c>
      <c r="W135">
        <v>0</v>
      </c>
      <c r="AA135" t="s">
        <v>85</v>
      </c>
      <c r="AB135" t="s">
        <v>86</v>
      </c>
      <c r="AC135" t="s">
        <v>130</v>
      </c>
      <c r="AD135" t="s">
        <v>88</v>
      </c>
      <c r="AE135">
        <f t="shared" si="14"/>
        <v>7</v>
      </c>
      <c r="AF135" t="str">
        <f t="shared" si="15"/>
        <v>July</v>
      </c>
    </row>
    <row r="136" spans="1:32">
      <c r="A136" s="1">
        <v>45488</v>
      </c>
      <c r="B136" t="s">
        <v>39</v>
      </c>
      <c r="C136" t="s">
        <v>128</v>
      </c>
      <c r="D136" t="s">
        <v>75</v>
      </c>
      <c r="E136" t="s">
        <v>129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75</v>
      </c>
      <c r="L136" t="s">
        <v>39</v>
      </c>
      <c r="M136" t="s">
        <v>22</v>
      </c>
      <c r="N136" t="s">
        <v>130</v>
      </c>
      <c r="O136" t="s">
        <v>82</v>
      </c>
      <c r="P136">
        <v>271449</v>
      </c>
      <c r="Q136" t="s">
        <v>90</v>
      </c>
      <c r="R136" t="s">
        <v>91</v>
      </c>
      <c r="S136" t="s">
        <v>83</v>
      </c>
      <c r="T136">
        <v>0</v>
      </c>
      <c r="U136">
        <v>0.5</v>
      </c>
      <c r="V136" s="2">
        <v>2.0833333333333332E-2</v>
      </c>
      <c r="W136">
        <v>0</v>
      </c>
      <c r="AA136" t="s">
        <v>85</v>
      </c>
      <c r="AB136" t="s">
        <v>86</v>
      </c>
      <c r="AC136" t="s">
        <v>130</v>
      </c>
      <c r="AD136" t="s">
        <v>88</v>
      </c>
      <c r="AE136">
        <f t="shared" si="14"/>
        <v>7</v>
      </c>
      <c r="AF136" t="str">
        <f t="shared" si="15"/>
        <v>July</v>
      </c>
    </row>
    <row r="137" spans="1:32">
      <c r="A137" s="1">
        <v>45489</v>
      </c>
      <c r="B137" t="s">
        <v>39</v>
      </c>
      <c r="C137" t="s">
        <v>128</v>
      </c>
      <c r="D137" t="s">
        <v>75</v>
      </c>
      <c r="E137" t="s">
        <v>129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75</v>
      </c>
      <c r="L137" t="s">
        <v>39</v>
      </c>
      <c r="M137" t="s">
        <v>22</v>
      </c>
      <c r="N137" t="s">
        <v>130</v>
      </c>
      <c r="O137" t="s">
        <v>82</v>
      </c>
      <c r="P137">
        <v>271997</v>
      </c>
      <c r="Q137" t="s">
        <v>90</v>
      </c>
      <c r="R137" t="s">
        <v>91</v>
      </c>
      <c r="S137" t="s">
        <v>83</v>
      </c>
      <c r="T137">
        <v>0</v>
      </c>
      <c r="U137">
        <v>1.25</v>
      </c>
      <c r="V137" s="2">
        <v>5.2083333333333336E-2</v>
      </c>
      <c r="W137">
        <v>0</v>
      </c>
      <c r="AA137" t="s">
        <v>85</v>
      </c>
      <c r="AB137" t="s">
        <v>86</v>
      </c>
      <c r="AC137" t="s">
        <v>130</v>
      </c>
      <c r="AD137" t="s">
        <v>88</v>
      </c>
      <c r="AE137">
        <f t="shared" si="14"/>
        <v>7</v>
      </c>
      <c r="AF137" t="str">
        <f t="shared" si="15"/>
        <v>July</v>
      </c>
    </row>
    <row r="138" spans="1:32">
      <c r="A138" s="1">
        <v>45490</v>
      </c>
      <c r="B138" t="s">
        <v>39</v>
      </c>
      <c r="C138" t="s">
        <v>128</v>
      </c>
      <c r="D138" t="s">
        <v>75</v>
      </c>
      <c r="E138" t="s">
        <v>129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75</v>
      </c>
      <c r="L138" t="s">
        <v>39</v>
      </c>
      <c r="M138" t="s">
        <v>22</v>
      </c>
      <c r="N138" t="s">
        <v>130</v>
      </c>
      <c r="O138" t="s">
        <v>82</v>
      </c>
      <c r="P138">
        <v>272502</v>
      </c>
      <c r="Q138" t="s">
        <v>90</v>
      </c>
      <c r="R138" t="s">
        <v>91</v>
      </c>
      <c r="S138" t="s">
        <v>83</v>
      </c>
      <c r="T138">
        <v>0</v>
      </c>
      <c r="U138">
        <v>0.75</v>
      </c>
      <c r="V138" s="2">
        <v>3.125E-2</v>
      </c>
      <c r="W138">
        <v>0</v>
      </c>
      <c r="AA138" t="s">
        <v>85</v>
      </c>
      <c r="AB138" t="s">
        <v>86</v>
      </c>
      <c r="AC138" t="s">
        <v>130</v>
      </c>
      <c r="AD138" t="s">
        <v>88</v>
      </c>
      <c r="AE138">
        <f t="shared" si="14"/>
        <v>7</v>
      </c>
      <c r="AF138" t="str">
        <f t="shared" si="15"/>
        <v>July</v>
      </c>
    </row>
    <row r="139" spans="1:32">
      <c r="A139" s="1">
        <v>45491</v>
      </c>
      <c r="B139" t="s">
        <v>39</v>
      </c>
      <c r="C139" t="s">
        <v>128</v>
      </c>
      <c r="D139" t="s">
        <v>75</v>
      </c>
      <c r="E139" t="s">
        <v>129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75</v>
      </c>
      <c r="L139" t="s">
        <v>39</v>
      </c>
      <c r="M139" t="s">
        <v>22</v>
      </c>
      <c r="N139" t="s">
        <v>130</v>
      </c>
      <c r="O139" t="s">
        <v>82</v>
      </c>
      <c r="P139">
        <v>273044</v>
      </c>
      <c r="Q139" t="s">
        <v>90</v>
      </c>
      <c r="R139" t="s">
        <v>91</v>
      </c>
      <c r="S139" t="s">
        <v>83</v>
      </c>
      <c r="T139">
        <v>0</v>
      </c>
      <c r="U139">
        <v>0.75</v>
      </c>
      <c r="V139" s="2">
        <v>3.125E-2</v>
      </c>
      <c r="W139">
        <v>0</v>
      </c>
      <c r="AA139" t="s">
        <v>85</v>
      </c>
      <c r="AB139" t="s">
        <v>86</v>
      </c>
      <c r="AC139" t="s">
        <v>130</v>
      </c>
      <c r="AD139" t="s">
        <v>88</v>
      </c>
      <c r="AE139">
        <f t="shared" si="14"/>
        <v>7</v>
      </c>
      <c r="AF139" t="str">
        <f t="shared" si="15"/>
        <v>July</v>
      </c>
    </row>
    <row r="140" spans="1:32">
      <c r="A140" s="1">
        <v>45492</v>
      </c>
      <c r="B140" t="s">
        <v>39</v>
      </c>
      <c r="C140" t="s">
        <v>128</v>
      </c>
      <c r="D140" t="s">
        <v>75</v>
      </c>
      <c r="E140" t="s">
        <v>129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75</v>
      </c>
      <c r="L140" t="s">
        <v>39</v>
      </c>
      <c r="M140" t="s">
        <v>22</v>
      </c>
      <c r="N140" t="s">
        <v>130</v>
      </c>
      <c r="O140" t="s">
        <v>82</v>
      </c>
      <c r="P140">
        <v>273582</v>
      </c>
      <c r="Q140" t="s">
        <v>90</v>
      </c>
      <c r="R140" t="s">
        <v>91</v>
      </c>
      <c r="S140" t="s">
        <v>83</v>
      </c>
      <c r="T140">
        <v>0</v>
      </c>
      <c r="U140">
        <v>0.5</v>
      </c>
      <c r="V140" s="2">
        <v>2.0833333333333332E-2</v>
      </c>
      <c r="W140">
        <v>0</v>
      </c>
      <c r="AA140" t="s">
        <v>85</v>
      </c>
      <c r="AB140" t="s">
        <v>86</v>
      </c>
      <c r="AC140" t="s">
        <v>130</v>
      </c>
      <c r="AD140" t="s">
        <v>88</v>
      </c>
      <c r="AE140">
        <f t="shared" si="14"/>
        <v>7</v>
      </c>
      <c r="AF140" t="str">
        <f t="shared" si="15"/>
        <v>July</v>
      </c>
    </row>
    <row r="141" spans="1:32">
      <c r="A141" s="1">
        <v>45495</v>
      </c>
      <c r="B141" t="s">
        <v>39</v>
      </c>
      <c r="C141" t="s">
        <v>128</v>
      </c>
      <c r="D141" t="s">
        <v>75</v>
      </c>
      <c r="E141" t="s">
        <v>129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75</v>
      </c>
      <c r="L141" t="s">
        <v>39</v>
      </c>
      <c r="M141" t="s">
        <v>22</v>
      </c>
      <c r="N141" t="s">
        <v>130</v>
      </c>
      <c r="O141" t="s">
        <v>82</v>
      </c>
      <c r="P141">
        <v>274619</v>
      </c>
      <c r="Q141" t="s">
        <v>90</v>
      </c>
      <c r="R141" t="s">
        <v>91</v>
      </c>
      <c r="S141" t="s">
        <v>83</v>
      </c>
      <c r="T141">
        <v>0</v>
      </c>
      <c r="U141">
        <v>1.25</v>
      </c>
      <c r="V141" s="2">
        <v>5.2083333333333336E-2</v>
      </c>
      <c r="W141">
        <v>0</v>
      </c>
      <c r="AA141" t="s">
        <v>85</v>
      </c>
      <c r="AB141" t="s">
        <v>86</v>
      </c>
      <c r="AC141" t="s">
        <v>130</v>
      </c>
      <c r="AD141" t="s">
        <v>88</v>
      </c>
      <c r="AE141">
        <f t="shared" si="14"/>
        <v>7</v>
      </c>
      <c r="AF141" t="str">
        <f t="shared" si="15"/>
        <v>July</v>
      </c>
    </row>
    <row r="142" spans="1:32">
      <c r="A142" s="1">
        <v>45496</v>
      </c>
      <c r="B142" t="s">
        <v>39</v>
      </c>
      <c r="C142" t="s">
        <v>128</v>
      </c>
      <c r="D142" t="s">
        <v>75</v>
      </c>
      <c r="E142" t="s">
        <v>129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75</v>
      </c>
      <c r="L142" t="s">
        <v>39</v>
      </c>
      <c r="M142" t="s">
        <v>22</v>
      </c>
      <c r="N142" t="s">
        <v>130</v>
      </c>
      <c r="O142" t="s">
        <v>82</v>
      </c>
      <c r="P142">
        <v>274610</v>
      </c>
      <c r="Q142" t="s">
        <v>90</v>
      </c>
      <c r="R142" t="s">
        <v>91</v>
      </c>
      <c r="S142" t="s">
        <v>83</v>
      </c>
      <c r="T142">
        <v>0</v>
      </c>
      <c r="U142">
        <v>0.5</v>
      </c>
      <c r="V142" s="2">
        <v>2.0833333333333332E-2</v>
      </c>
      <c r="W142">
        <v>0</v>
      </c>
      <c r="AA142" t="s">
        <v>85</v>
      </c>
      <c r="AB142" t="s">
        <v>86</v>
      </c>
      <c r="AC142" t="s">
        <v>130</v>
      </c>
      <c r="AD142" t="s">
        <v>88</v>
      </c>
      <c r="AE142">
        <f t="shared" si="14"/>
        <v>7</v>
      </c>
      <c r="AF142" t="str">
        <f t="shared" si="15"/>
        <v>July</v>
      </c>
    </row>
    <row r="143" spans="1:32">
      <c r="A143" s="1">
        <v>45498</v>
      </c>
      <c r="B143" t="s">
        <v>39</v>
      </c>
      <c r="C143" t="s">
        <v>128</v>
      </c>
      <c r="D143" t="s">
        <v>75</v>
      </c>
      <c r="E143" t="s">
        <v>129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75</v>
      </c>
      <c r="L143" t="s">
        <v>39</v>
      </c>
      <c r="M143" t="s">
        <v>22</v>
      </c>
      <c r="N143" t="s">
        <v>130</v>
      </c>
      <c r="O143" t="s">
        <v>82</v>
      </c>
      <c r="P143">
        <v>276230</v>
      </c>
      <c r="Q143" t="s">
        <v>90</v>
      </c>
      <c r="R143" t="s">
        <v>91</v>
      </c>
      <c r="S143" t="s">
        <v>83</v>
      </c>
      <c r="T143">
        <v>0</v>
      </c>
      <c r="U143">
        <v>0.5</v>
      </c>
      <c r="V143" s="2">
        <v>2.0833333333333332E-2</v>
      </c>
      <c r="W143">
        <v>0</v>
      </c>
      <c r="AA143" t="s">
        <v>85</v>
      </c>
      <c r="AB143" t="s">
        <v>86</v>
      </c>
      <c r="AC143" t="s">
        <v>130</v>
      </c>
      <c r="AD143" t="s">
        <v>88</v>
      </c>
      <c r="AE143">
        <f t="shared" si="14"/>
        <v>7</v>
      </c>
      <c r="AF143" t="str">
        <f t="shared" si="15"/>
        <v>July</v>
      </c>
    </row>
    <row r="144" spans="1:32">
      <c r="A144" s="1">
        <v>45499</v>
      </c>
      <c r="B144" t="s">
        <v>39</v>
      </c>
      <c r="C144" t="s">
        <v>128</v>
      </c>
      <c r="D144" t="s">
        <v>75</v>
      </c>
      <c r="E144" t="s">
        <v>129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75</v>
      </c>
      <c r="L144" t="s">
        <v>39</v>
      </c>
      <c r="M144" t="s">
        <v>22</v>
      </c>
      <c r="N144" t="s">
        <v>130</v>
      </c>
      <c r="O144" t="s">
        <v>82</v>
      </c>
      <c r="P144">
        <v>276999</v>
      </c>
      <c r="Q144" t="s">
        <v>90</v>
      </c>
      <c r="R144" t="s">
        <v>91</v>
      </c>
      <c r="S144" t="s">
        <v>83</v>
      </c>
      <c r="T144">
        <v>0</v>
      </c>
      <c r="U144">
        <v>0.25</v>
      </c>
      <c r="V144" s="2">
        <v>1.0416666666666666E-2</v>
      </c>
      <c r="W144">
        <v>0</v>
      </c>
      <c r="AA144" t="s">
        <v>85</v>
      </c>
      <c r="AB144" t="s">
        <v>86</v>
      </c>
      <c r="AC144" t="s">
        <v>130</v>
      </c>
      <c r="AD144" t="s">
        <v>88</v>
      </c>
      <c r="AE144">
        <f t="shared" ref="AE144:AE148" si="16">MONTH(A144)</f>
        <v>7</v>
      </c>
      <c r="AF144" t="str">
        <f t="shared" ref="AF144:AF148" si="17">IF(AE144=5,"May",IF(AE144=6,"June",IF(AE144=7,"July",IF(AE144=8,"August",IF(AE144=9,"September")))))</f>
        <v>July</v>
      </c>
    </row>
    <row r="145" spans="1:32">
      <c r="A145" s="1">
        <v>45502</v>
      </c>
      <c r="B145" t="s">
        <v>39</v>
      </c>
      <c r="C145" t="s">
        <v>128</v>
      </c>
      <c r="D145" t="s">
        <v>75</v>
      </c>
      <c r="E145" t="s">
        <v>129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75</v>
      </c>
      <c r="L145" t="s">
        <v>39</v>
      </c>
      <c r="M145" t="s">
        <v>22</v>
      </c>
      <c r="N145" t="s">
        <v>130</v>
      </c>
      <c r="O145" t="s">
        <v>82</v>
      </c>
      <c r="P145">
        <v>277745</v>
      </c>
      <c r="Q145" t="s">
        <v>90</v>
      </c>
      <c r="R145" t="s">
        <v>91</v>
      </c>
      <c r="S145" t="s">
        <v>83</v>
      </c>
      <c r="T145">
        <v>0</v>
      </c>
      <c r="U145">
        <v>0.25</v>
      </c>
      <c r="V145" s="2">
        <v>1.0416666666666666E-2</v>
      </c>
      <c r="W145">
        <v>0</v>
      </c>
      <c r="AA145" t="s">
        <v>85</v>
      </c>
      <c r="AB145" t="s">
        <v>86</v>
      </c>
      <c r="AC145" t="s">
        <v>130</v>
      </c>
      <c r="AD145" t="s">
        <v>88</v>
      </c>
      <c r="AE145">
        <f t="shared" si="16"/>
        <v>7</v>
      </c>
      <c r="AF145" t="str">
        <f t="shared" si="17"/>
        <v>July</v>
      </c>
    </row>
    <row r="146" spans="1:32">
      <c r="A146" s="1">
        <v>45503</v>
      </c>
      <c r="B146" t="s">
        <v>39</v>
      </c>
      <c r="C146" t="s">
        <v>128</v>
      </c>
      <c r="D146" t="s">
        <v>75</v>
      </c>
      <c r="E146" t="s">
        <v>129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75</v>
      </c>
      <c r="L146" t="s">
        <v>39</v>
      </c>
      <c r="M146" t="s">
        <v>22</v>
      </c>
      <c r="N146" t="s">
        <v>130</v>
      </c>
      <c r="O146" t="s">
        <v>82</v>
      </c>
      <c r="P146">
        <v>278238</v>
      </c>
      <c r="Q146" t="s">
        <v>90</v>
      </c>
      <c r="R146" t="s">
        <v>91</v>
      </c>
      <c r="S146" t="s">
        <v>83</v>
      </c>
      <c r="T146">
        <v>0</v>
      </c>
      <c r="U146">
        <v>0.25</v>
      </c>
      <c r="V146" s="2">
        <v>1.0416666666666666E-2</v>
      </c>
      <c r="W146">
        <v>0</v>
      </c>
      <c r="AA146" t="s">
        <v>85</v>
      </c>
      <c r="AB146" t="s">
        <v>86</v>
      </c>
      <c r="AC146" t="s">
        <v>130</v>
      </c>
      <c r="AD146" t="s">
        <v>88</v>
      </c>
      <c r="AE146">
        <f t="shared" si="16"/>
        <v>7</v>
      </c>
      <c r="AF146" t="str">
        <f t="shared" si="17"/>
        <v>July</v>
      </c>
    </row>
    <row r="147" spans="1:32">
      <c r="A147" s="1">
        <v>45504</v>
      </c>
      <c r="B147" t="s">
        <v>39</v>
      </c>
      <c r="C147" t="s">
        <v>128</v>
      </c>
      <c r="D147" t="s">
        <v>75</v>
      </c>
      <c r="E147" t="s">
        <v>129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75</v>
      </c>
      <c r="L147" t="s">
        <v>39</v>
      </c>
      <c r="M147" t="s">
        <v>22</v>
      </c>
      <c r="N147" t="s">
        <v>130</v>
      </c>
      <c r="O147" t="s">
        <v>82</v>
      </c>
      <c r="P147">
        <v>279689</v>
      </c>
      <c r="Q147" t="s">
        <v>90</v>
      </c>
      <c r="R147" t="s">
        <v>91</v>
      </c>
      <c r="S147" t="s">
        <v>83</v>
      </c>
      <c r="T147">
        <v>0</v>
      </c>
      <c r="U147">
        <v>0.5</v>
      </c>
      <c r="V147" s="2">
        <v>2.0833333333333332E-2</v>
      </c>
      <c r="W147">
        <v>0</v>
      </c>
      <c r="AA147" t="s">
        <v>85</v>
      </c>
      <c r="AB147" t="s">
        <v>86</v>
      </c>
      <c r="AC147" t="s">
        <v>130</v>
      </c>
      <c r="AD147" t="s">
        <v>88</v>
      </c>
      <c r="AE147">
        <f t="shared" si="16"/>
        <v>7</v>
      </c>
      <c r="AF147" t="str">
        <f t="shared" si="17"/>
        <v>July</v>
      </c>
    </row>
    <row r="148" spans="1:32">
      <c r="A148" s="1">
        <v>45505</v>
      </c>
      <c r="B148" t="s">
        <v>39</v>
      </c>
      <c r="C148" t="s">
        <v>128</v>
      </c>
      <c r="D148" t="s">
        <v>75</v>
      </c>
      <c r="E148" t="s">
        <v>129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75</v>
      </c>
      <c r="L148" t="s">
        <v>39</v>
      </c>
      <c r="M148" t="s">
        <v>22</v>
      </c>
      <c r="N148" t="s">
        <v>130</v>
      </c>
      <c r="O148" t="s">
        <v>82</v>
      </c>
      <c r="P148">
        <v>280269</v>
      </c>
      <c r="Q148" t="s">
        <v>90</v>
      </c>
      <c r="R148" t="s">
        <v>91</v>
      </c>
      <c r="S148" t="s">
        <v>83</v>
      </c>
      <c r="T148">
        <v>0</v>
      </c>
      <c r="U148">
        <v>0.75</v>
      </c>
      <c r="V148" s="2">
        <v>3.125E-2</v>
      </c>
      <c r="W148">
        <v>0</v>
      </c>
      <c r="AA148" t="s">
        <v>85</v>
      </c>
      <c r="AB148" t="s">
        <v>86</v>
      </c>
      <c r="AC148" t="s">
        <v>130</v>
      </c>
      <c r="AD148" t="s">
        <v>88</v>
      </c>
      <c r="AE148">
        <f t="shared" si="16"/>
        <v>8</v>
      </c>
      <c r="AF148" t="str">
        <f t="shared" si="17"/>
        <v>August</v>
      </c>
    </row>
    <row r="149" spans="1:32">
      <c r="A149" s="1">
        <v>45506</v>
      </c>
      <c r="B149" t="s">
        <v>39</v>
      </c>
      <c r="C149" t="s">
        <v>128</v>
      </c>
      <c r="D149" t="s">
        <v>75</v>
      </c>
      <c r="E149" t="s">
        <v>129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75</v>
      </c>
      <c r="L149" t="s">
        <v>39</v>
      </c>
      <c r="M149" t="s">
        <v>22</v>
      </c>
      <c r="N149" t="s">
        <v>130</v>
      </c>
      <c r="O149" t="s">
        <v>82</v>
      </c>
      <c r="P149">
        <v>280786</v>
      </c>
      <c r="Q149" t="s">
        <v>90</v>
      </c>
      <c r="R149" t="s">
        <v>91</v>
      </c>
      <c r="S149" t="s">
        <v>83</v>
      </c>
      <c r="T149">
        <v>0</v>
      </c>
      <c r="U149">
        <v>1</v>
      </c>
      <c r="V149" s="2">
        <v>4.1666666666666664E-2</v>
      </c>
      <c r="W149">
        <v>0</v>
      </c>
      <c r="AA149" t="s">
        <v>85</v>
      </c>
      <c r="AB149" t="s">
        <v>86</v>
      </c>
      <c r="AC149" t="s">
        <v>130</v>
      </c>
      <c r="AD149" t="s">
        <v>88</v>
      </c>
      <c r="AE149">
        <f t="shared" ref="AE149:AE158" si="18">MONTH(A149)</f>
        <v>8</v>
      </c>
      <c r="AF149" t="str">
        <f t="shared" ref="AF149:AF158" si="19">IF(AE149=5,"May",IF(AE149=6,"June",IF(AE149=7,"July",IF(AE149=8,"August",IF(AE149=9,"September")))))</f>
        <v>August</v>
      </c>
    </row>
    <row r="150" spans="1:32">
      <c r="A150" s="1">
        <v>45509</v>
      </c>
      <c r="B150" t="s">
        <v>39</v>
      </c>
      <c r="C150" t="s">
        <v>128</v>
      </c>
      <c r="D150" t="s">
        <v>75</v>
      </c>
      <c r="E150" t="s">
        <v>129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75</v>
      </c>
      <c r="L150" t="s">
        <v>39</v>
      </c>
      <c r="M150" t="s">
        <v>22</v>
      </c>
      <c r="N150" t="s">
        <v>130</v>
      </c>
      <c r="O150" t="s">
        <v>82</v>
      </c>
      <c r="P150">
        <v>281278</v>
      </c>
      <c r="Q150" t="s">
        <v>90</v>
      </c>
      <c r="R150" t="s">
        <v>91</v>
      </c>
      <c r="S150" t="s">
        <v>83</v>
      </c>
      <c r="T150">
        <v>0</v>
      </c>
      <c r="U150">
        <v>0.25</v>
      </c>
      <c r="V150" s="2">
        <v>1.0416666666666666E-2</v>
      </c>
      <c r="W150">
        <v>0</v>
      </c>
      <c r="AA150" t="s">
        <v>85</v>
      </c>
      <c r="AB150" t="s">
        <v>86</v>
      </c>
      <c r="AC150" t="s">
        <v>130</v>
      </c>
      <c r="AD150" t="s">
        <v>88</v>
      </c>
      <c r="AE150">
        <f t="shared" si="18"/>
        <v>8</v>
      </c>
      <c r="AF150" t="str">
        <f t="shared" si="19"/>
        <v>August</v>
      </c>
    </row>
    <row r="151" spans="1:32">
      <c r="A151" s="1">
        <v>45510</v>
      </c>
      <c r="B151" t="s">
        <v>39</v>
      </c>
      <c r="C151" t="s">
        <v>128</v>
      </c>
      <c r="D151" t="s">
        <v>75</v>
      </c>
      <c r="E151" t="s">
        <v>129</v>
      </c>
      <c r="F151" t="s">
        <v>77</v>
      </c>
      <c r="G151" t="s">
        <v>78</v>
      </c>
      <c r="H151" t="s">
        <v>79</v>
      </c>
      <c r="I151" t="s">
        <v>80</v>
      </c>
      <c r="J151" t="s">
        <v>81</v>
      </c>
      <c r="K151" t="s">
        <v>75</v>
      </c>
      <c r="L151" t="s">
        <v>39</v>
      </c>
      <c r="M151" t="s">
        <v>22</v>
      </c>
      <c r="N151" t="s">
        <v>130</v>
      </c>
      <c r="O151" t="s">
        <v>82</v>
      </c>
      <c r="P151">
        <v>281584</v>
      </c>
      <c r="Q151" t="s">
        <v>90</v>
      </c>
      <c r="R151" t="s">
        <v>91</v>
      </c>
      <c r="S151" t="s">
        <v>83</v>
      </c>
      <c r="T151">
        <v>0</v>
      </c>
      <c r="U151">
        <v>0.25</v>
      </c>
      <c r="V151" s="2">
        <v>1.0416666666666666E-2</v>
      </c>
      <c r="W151">
        <v>0</v>
      </c>
      <c r="AA151" t="s">
        <v>85</v>
      </c>
      <c r="AB151" t="s">
        <v>86</v>
      </c>
      <c r="AC151" t="s">
        <v>130</v>
      </c>
      <c r="AD151" t="s">
        <v>88</v>
      </c>
      <c r="AE151">
        <f t="shared" si="18"/>
        <v>8</v>
      </c>
      <c r="AF151" t="str">
        <f t="shared" si="19"/>
        <v>August</v>
      </c>
    </row>
    <row r="152" spans="1:32">
      <c r="A152" s="1">
        <v>45511</v>
      </c>
      <c r="B152" t="s">
        <v>39</v>
      </c>
      <c r="C152" t="s">
        <v>128</v>
      </c>
      <c r="D152" t="s">
        <v>75</v>
      </c>
      <c r="E152" t="s">
        <v>129</v>
      </c>
      <c r="F152" t="s">
        <v>77</v>
      </c>
      <c r="G152" t="s">
        <v>78</v>
      </c>
      <c r="H152" t="s">
        <v>79</v>
      </c>
      <c r="I152" t="s">
        <v>80</v>
      </c>
      <c r="J152" t="s">
        <v>81</v>
      </c>
      <c r="K152" t="s">
        <v>75</v>
      </c>
      <c r="L152" t="s">
        <v>39</v>
      </c>
      <c r="M152" t="s">
        <v>22</v>
      </c>
      <c r="N152" t="s">
        <v>130</v>
      </c>
      <c r="O152" t="s">
        <v>82</v>
      </c>
      <c r="P152">
        <v>282185</v>
      </c>
      <c r="Q152" t="s">
        <v>90</v>
      </c>
      <c r="R152" t="s">
        <v>91</v>
      </c>
      <c r="S152" t="s">
        <v>83</v>
      </c>
      <c r="T152">
        <v>0</v>
      </c>
      <c r="U152">
        <v>0.5</v>
      </c>
      <c r="V152" s="2">
        <v>2.0833333333333332E-2</v>
      </c>
      <c r="W152">
        <v>0</v>
      </c>
      <c r="AA152" t="s">
        <v>85</v>
      </c>
      <c r="AB152" t="s">
        <v>86</v>
      </c>
      <c r="AC152" t="s">
        <v>130</v>
      </c>
      <c r="AD152" t="s">
        <v>88</v>
      </c>
      <c r="AE152">
        <f t="shared" si="18"/>
        <v>8</v>
      </c>
      <c r="AF152" t="str">
        <f t="shared" si="19"/>
        <v>August</v>
      </c>
    </row>
    <row r="153" spans="1:32">
      <c r="A153" s="1">
        <v>45512</v>
      </c>
      <c r="B153" t="s">
        <v>39</v>
      </c>
      <c r="C153" t="s">
        <v>128</v>
      </c>
      <c r="D153" t="s">
        <v>75</v>
      </c>
      <c r="E153" t="s">
        <v>129</v>
      </c>
      <c r="F153" t="s">
        <v>77</v>
      </c>
      <c r="G153" t="s">
        <v>78</v>
      </c>
      <c r="H153" t="s">
        <v>79</v>
      </c>
      <c r="I153" t="s">
        <v>80</v>
      </c>
      <c r="J153" t="s">
        <v>81</v>
      </c>
      <c r="K153" t="s">
        <v>75</v>
      </c>
      <c r="L153" t="s">
        <v>39</v>
      </c>
      <c r="M153" t="s">
        <v>22</v>
      </c>
      <c r="N153" t="s">
        <v>130</v>
      </c>
      <c r="O153" t="s">
        <v>82</v>
      </c>
      <c r="P153">
        <v>282605</v>
      </c>
      <c r="Q153" t="s">
        <v>90</v>
      </c>
      <c r="R153" t="s">
        <v>91</v>
      </c>
      <c r="S153" t="s">
        <v>83</v>
      </c>
      <c r="T153">
        <v>0</v>
      </c>
      <c r="U153">
        <v>0.5</v>
      </c>
      <c r="V153" s="2">
        <v>2.0833333333333332E-2</v>
      </c>
      <c r="W153">
        <v>0</v>
      </c>
      <c r="AA153" t="s">
        <v>85</v>
      </c>
      <c r="AB153" t="s">
        <v>86</v>
      </c>
      <c r="AC153" t="s">
        <v>130</v>
      </c>
      <c r="AD153" t="s">
        <v>88</v>
      </c>
      <c r="AE153">
        <f t="shared" si="18"/>
        <v>8</v>
      </c>
      <c r="AF153" t="str">
        <f t="shared" si="19"/>
        <v>August</v>
      </c>
    </row>
    <row r="154" spans="1:32">
      <c r="A154" s="1">
        <v>45517</v>
      </c>
      <c r="B154" t="s">
        <v>39</v>
      </c>
      <c r="C154" t="s">
        <v>128</v>
      </c>
      <c r="D154" t="s">
        <v>75</v>
      </c>
      <c r="E154" t="s">
        <v>129</v>
      </c>
      <c r="F154" t="s">
        <v>77</v>
      </c>
      <c r="G154" t="s">
        <v>78</v>
      </c>
      <c r="H154" t="s">
        <v>79</v>
      </c>
      <c r="I154" t="s">
        <v>80</v>
      </c>
      <c r="J154" t="s">
        <v>81</v>
      </c>
      <c r="K154" t="s">
        <v>75</v>
      </c>
      <c r="L154" t="s">
        <v>39</v>
      </c>
      <c r="M154" t="s">
        <v>22</v>
      </c>
      <c r="N154" t="s">
        <v>130</v>
      </c>
      <c r="O154" t="s">
        <v>82</v>
      </c>
      <c r="P154">
        <v>284258</v>
      </c>
      <c r="Q154" t="s">
        <v>90</v>
      </c>
      <c r="R154" t="s">
        <v>91</v>
      </c>
      <c r="S154" t="s">
        <v>83</v>
      </c>
      <c r="T154">
        <v>0</v>
      </c>
      <c r="U154">
        <v>0.5</v>
      </c>
      <c r="V154" s="2">
        <v>2.0833333333333332E-2</v>
      </c>
      <c r="W154">
        <v>0</v>
      </c>
      <c r="AA154" t="s">
        <v>85</v>
      </c>
      <c r="AB154" t="s">
        <v>86</v>
      </c>
      <c r="AC154" t="s">
        <v>130</v>
      </c>
      <c r="AD154" t="s">
        <v>88</v>
      </c>
      <c r="AE154">
        <f t="shared" si="18"/>
        <v>8</v>
      </c>
      <c r="AF154" t="str">
        <f t="shared" si="19"/>
        <v>August</v>
      </c>
    </row>
    <row r="155" spans="1:32">
      <c r="A155" s="1">
        <v>45518</v>
      </c>
      <c r="B155" t="s">
        <v>39</v>
      </c>
      <c r="C155" t="s">
        <v>128</v>
      </c>
      <c r="D155" t="s">
        <v>75</v>
      </c>
      <c r="E155" t="s">
        <v>129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75</v>
      </c>
      <c r="L155" t="s">
        <v>39</v>
      </c>
      <c r="M155" t="s">
        <v>22</v>
      </c>
      <c r="N155" t="s">
        <v>130</v>
      </c>
      <c r="O155" t="s">
        <v>82</v>
      </c>
      <c r="P155">
        <v>284629</v>
      </c>
      <c r="Q155" t="s">
        <v>90</v>
      </c>
      <c r="R155" t="s">
        <v>91</v>
      </c>
      <c r="S155" t="s">
        <v>83</v>
      </c>
      <c r="T155">
        <v>0</v>
      </c>
      <c r="U155">
        <v>0.5</v>
      </c>
      <c r="V155" s="2">
        <v>2.0833333333333332E-2</v>
      </c>
      <c r="W155">
        <v>0</v>
      </c>
      <c r="AA155" t="s">
        <v>85</v>
      </c>
      <c r="AB155" t="s">
        <v>86</v>
      </c>
      <c r="AC155" t="s">
        <v>130</v>
      </c>
      <c r="AD155" t="s">
        <v>88</v>
      </c>
      <c r="AE155">
        <f t="shared" si="18"/>
        <v>8</v>
      </c>
      <c r="AF155" t="str">
        <f t="shared" si="19"/>
        <v>August</v>
      </c>
    </row>
    <row r="156" spans="1:32">
      <c r="A156" s="1">
        <v>45519</v>
      </c>
      <c r="B156" t="s">
        <v>39</v>
      </c>
      <c r="C156" t="s">
        <v>128</v>
      </c>
      <c r="D156" t="s">
        <v>75</v>
      </c>
      <c r="E156" t="s">
        <v>129</v>
      </c>
      <c r="F156" t="s">
        <v>77</v>
      </c>
      <c r="G156" t="s">
        <v>78</v>
      </c>
      <c r="H156" t="s">
        <v>79</v>
      </c>
      <c r="I156" t="s">
        <v>80</v>
      </c>
      <c r="J156" t="s">
        <v>81</v>
      </c>
      <c r="K156" t="s">
        <v>75</v>
      </c>
      <c r="L156" t="s">
        <v>39</v>
      </c>
      <c r="M156" t="s">
        <v>22</v>
      </c>
      <c r="N156" t="s">
        <v>130</v>
      </c>
      <c r="O156" t="s">
        <v>82</v>
      </c>
      <c r="P156">
        <v>285225</v>
      </c>
      <c r="Q156" t="s">
        <v>90</v>
      </c>
      <c r="R156" t="s">
        <v>91</v>
      </c>
      <c r="S156" t="s">
        <v>83</v>
      </c>
      <c r="T156">
        <v>0</v>
      </c>
      <c r="U156">
        <v>0.25</v>
      </c>
      <c r="V156" s="2">
        <v>1.0416666666666666E-2</v>
      </c>
      <c r="W156">
        <v>0</v>
      </c>
      <c r="AA156" t="s">
        <v>85</v>
      </c>
      <c r="AC156" t="s">
        <v>130</v>
      </c>
      <c r="AD156" t="s">
        <v>88</v>
      </c>
      <c r="AE156">
        <f t="shared" si="18"/>
        <v>8</v>
      </c>
      <c r="AF156" t="str">
        <f t="shared" si="19"/>
        <v>August</v>
      </c>
    </row>
    <row r="157" spans="1:32">
      <c r="A157" s="1">
        <v>45520</v>
      </c>
      <c r="B157" t="s">
        <v>39</v>
      </c>
      <c r="C157" t="s">
        <v>128</v>
      </c>
      <c r="D157" t="s">
        <v>75</v>
      </c>
      <c r="E157" t="s">
        <v>129</v>
      </c>
      <c r="F157" t="s">
        <v>77</v>
      </c>
      <c r="G157" t="s">
        <v>78</v>
      </c>
      <c r="H157" t="s">
        <v>79</v>
      </c>
      <c r="I157" t="s">
        <v>80</v>
      </c>
      <c r="J157" t="s">
        <v>81</v>
      </c>
      <c r="K157" t="s">
        <v>75</v>
      </c>
      <c r="L157" t="s">
        <v>39</v>
      </c>
      <c r="M157" t="s">
        <v>22</v>
      </c>
      <c r="N157" t="s">
        <v>130</v>
      </c>
      <c r="O157" t="s">
        <v>82</v>
      </c>
      <c r="P157">
        <v>285646</v>
      </c>
      <c r="Q157" t="s">
        <v>90</v>
      </c>
      <c r="R157" t="s">
        <v>91</v>
      </c>
      <c r="S157" t="s">
        <v>83</v>
      </c>
      <c r="T157">
        <v>0</v>
      </c>
      <c r="U157">
        <v>0.5</v>
      </c>
      <c r="V157" s="2">
        <v>2.0833333333333332E-2</v>
      </c>
      <c r="W157">
        <v>0</v>
      </c>
      <c r="AA157" t="s">
        <v>85</v>
      </c>
      <c r="AC157" t="s">
        <v>130</v>
      </c>
      <c r="AD157" t="s">
        <v>88</v>
      </c>
      <c r="AE157">
        <f t="shared" si="18"/>
        <v>8</v>
      </c>
      <c r="AF157" t="str">
        <f t="shared" si="19"/>
        <v>August</v>
      </c>
    </row>
    <row r="158" spans="1:32">
      <c r="A158" s="1">
        <v>45523</v>
      </c>
      <c r="B158" t="s">
        <v>39</v>
      </c>
      <c r="C158" t="s">
        <v>128</v>
      </c>
      <c r="D158" t="s">
        <v>75</v>
      </c>
      <c r="E158" t="s">
        <v>129</v>
      </c>
      <c r="F158" t="s">
        <v>77</v>
      </c>
      <c r="G158" t="s">
        <v>78</v>
      </c>
      <c r="H158" t="s">
        <v>79</v>
      </c>
      <c r="I158" t="s">
        <v>80</v>
      </c>
      <c r="J158" t="s">
        <v>81</v>
      </c>
      <c r="K158" t="s">
        <v>75</v>
      </c>
      <c r="L158" t="s">
        <v>39</v>
      </c>
      <c r="M158" t="s">
        <v>22</v>
      </c>
      <c r="N158" t="s">
        <v>130</v>
      </c>
      <c r="O158" t="s">
        <v>82</v>
      </c>
      <c r="P158">
        <v>286550</v>
      </c>
      <c r="Q158" t="s">
        <v>90</v>
      </c>
      <c r="R158" t="s">
        <v>91</v>
      </c>
      <c r="S158" t="s">
        <v>83</v>
      </c>
      <c r="T158">
        <v>0</v>
      </c>
      <c r="U158">
        <v>0.25</v>
      </c>
      <c r="V158" s="2">
        <v>1.0416666666666666E-2</v>
      </c>
      <c r="W158">
        <v>0</v>
      </c>
      <c r="AA158" t="s">
        <v>85</v>
      </c>
      <c r="AC158" t="s">
        <v>130</v>
      </c>
      <c r="AD158" t="s">
        <v>88</v>
      </c>
      <c r="AE158">
        <f t="shared" si="18"/>
        <v>8</v>
      </c>
      <c r="AF158" t="str">
        <f t="shared" si="19"/>
        <v>August</v>
      </c>
    </row>
    <row r="159" spans="1:32">
      <c r="A159" s="1"/>
      <c r="V159" s="2"/>
    </row>
    <row r="160" spans="1:3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BCBD75-AAAD-4CEB-8551-E7F36C115D91}"/>
</file>

<file path=customXml/itemProps2.xml><?xml version="1.0" encoding="utf-8"?>
<ds:datastoreItem xmlns:ds="http://schemas.openxmlformats.org/officeDocument/2006/customXml" ds:itemID="{EFFEA5A5-7856-4B82-9871-7331446E776D}"/>
</file>

<file path=customXml/itemProps3.xml><?xml version="1.0" encoding="utf-8"?>
<ds:datastoreItem xmlns:ds="http://schemas.openxmlformats.org/officeDocument/2006/customXml" ds:itemID="{DB70BA1A-C56A-4A45-994A-B94CE467E1C1}"/>
</file>

<file path=customXml/itemProps4.xml><?xml version="1.0" encoding="utf-8"?>
<ds:datastoreItem xmlns:ds="http://schemas.openxmlformats.org/officeDocument/2006/customXml" ds:itemID="{E9A8D8A4-AB2F-43E5-9FC5-6D66A5F95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2024-08-20T15:49:43Z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