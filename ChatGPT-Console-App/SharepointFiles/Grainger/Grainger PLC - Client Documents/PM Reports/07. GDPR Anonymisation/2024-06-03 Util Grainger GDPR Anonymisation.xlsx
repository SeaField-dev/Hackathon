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09" documentId="13_ncr:40009_{BBCEBA60-E38F-4EE1-BDB9-DA93CE793831}" xr6:coauthVersionLast="47" xr6:coauthVersionMax="47" xr10:uidLastSave="{E51B0FEF-F188-4F4D-B5CC-10CF412526CD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calcPr calcId="191028"/>
  <pivotCaches>
    <pivotCache cacheId="69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" i="1" l="1"/>
  <c r="AF15" i="1"/>
  <c r="AE16" i="1"/>
  <c r="AF16" i="1"/>
  <c r="AE17" i="1"/>
  <c r="AF17" i="1"/>
  <c r="AE18" i="1"/>
  <c r="AF18" i="1"/>
  <c r="AE19" i="1"/>
  <c r="AF19" i="1"/>
  <c r="AE20" i="1"/>
  <c r="AF20" i="1"/>
  <c r="AE21" i="1"/>
  <c r="AF21" i="1"/>
  <c r="AE22" i="1"/>
  <c r="AF22" i="1"/>
  <c r="AE23" i="1"/>
  <c r="AF23" i="1"/>
  <c r="AE24" i="1"/>
  <c r="AF24" i="1"/>
  <c r="AC13" i="1"/>
  <c r="AE3" i="1"/>
  <c r="AF3" i="1" s="1"/>
  <c r="AE4" i="1"/>
  <c r="AF4" i="1" s="1"/>
  <c r="AE5" i="1"/>
  <c r="AF5" i="1" s="1"/>
  <c r="AE6" i="1"/>
  <c r="AF6" i="1" s="1"/>
  <c r="AE7" i="1"/>
  <c r="AF7" i="1"/>
  <c r="AE8" i="1"/>
  <c r="AF8" i="1"/>
  <c r="AE9" i="1"/>
  <c r="AF9" i="1"/>
  <c r="AE10" i="1"/>
  <c r="AF10" i="1" s="1"/>
  <c r="AE11" i="1"/>
  <c r="AF11" i="1" s="1"/>
  <c r="AE12" i="1"/>
  <c r="AF12" i="1" s="1"/>
  <c r="AE13" i="1"/>
  <c r="AF13" i="1"/>
  <c r="AE14" i="1"/>
  <c r="AF14" i="1" s="1"/>
  <c r="AE2" i="1" l="1"/>
  <c r="AF2" i="1" s="1"/>
</calcChain>
</file>

<file path=xl/sharedStrings.xml><?xml version="1.0" encoding="utf-8"?>
<sst xmlns="http://schemas.openxmlformats.org/spreadsheetml/2006/main" count="556" uniqueCount="100">
  <si>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</si>
  <si>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</si>
  <si>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</si>
  <si>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</si>
  <si>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</si>
  <si>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</si>
  <si>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</si>
  <si>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</si>
  <si>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</si>
  <si>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</si>
  <si>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</si>
  <si>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</si>
  <si>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</si>
  <si>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</si>
  <si>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</si>
  <si>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</si>
  <si>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</si>
  <si>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</si>
  <si>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</si>
  <si>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</si>
  <si>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</si>
  <si>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</si>
  <si>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</si>
  <si>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</si>
  <si>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</si>
  <si>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</si>
  <si>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</si>
  <si>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</si>
  <si>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Shaun Barrett</t>
  </si>
  <si>
    <t>Production</t>
  </si>
  <si>
    <t>5 - 6.5</t>
  </si>
  <si>
    <t xml:space="preserve">£600 </t>
  </si>
  <si>
    <t xml:space="preserve"> £780 </t>
  </si>
  <si>
    <t>Total</t>
  </si>
  <si>
    <t>65 - 80</t>
  </si>
  <si>
    <t xml:space="preserve">£7,800 </t>
  </si>
  <si>
    <t xml:space="preserve"> £9,540 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</si>
  <si>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</si>
  <si>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</si>
  <si>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</si>
  <si>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</si>
  <si>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</si>
  <si>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</si>
  <si>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</si>
  <si>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</si>
  <si>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</si>
  <si>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</si>
  <si>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</si>
  <si>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</si>
  <si>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</si>
  <si>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</si>
  <si>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</si>
  <si>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</si>
  <si>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</si>
  <si>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</si>
  <si>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</si>
  <si>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</si>
  <si>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</si>
  <si>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</si>
  <si>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</si>
  <si>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</si>
  <si>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</si>
  <si>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</si>
  <si>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</si>
  <si>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</si>
  <si>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</si>
  <si>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</si>
  <si>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</si>
  <si>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</si>
  <si>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</si>
  <si>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</si>
  <si>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</si>
  <si>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</t>
  </si>
  <si>
    <t>Billable</t>
  </si>
  <si>
    <t>Delivery</t>
  </si>
  <si>
    <t>Standard Timecode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</si>
  <si>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</si>
  <si>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</si>
  <si>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</si>
  <si>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</si>
  <si>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</si>
  <si>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</si>
  <si>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</si>
  <si>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</si>
  <si>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</si>
  <si>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</si>
  <si>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</si>
  <si>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</si>
  <si>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</si>
  <si>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</si>
  <si>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</si>
  <si>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</si>
  <si>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</si>
  <si>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</si>
  <si>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</si>
  <si>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</si>
  <si>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Dillan Landsberg</t>
  </si>
  <si>
    <t>Khonani Davhana</t>
  </si>
  <si>
    <t>Implementation approach</t>
  </si>
  <si>
    <t>Refinement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</si>
</sst>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446.299618518518" createdVersion="8" refreshedVersion="8" minRefreshableVersion="3" recordCount="23" xr:uid="{BE4C69EA-68CD-42E0-9132-1DE4F85F0C52}">
  <cacheSource type="worksheet">
    <worksheetSource ref="A1:AF24" sheet="Project Timesheets"/>
  </cacheSource>
  <cacheFields count="32">
    <cacheField name="Date" numFmtId="15">
      <sharedItems containsSemiMixedTypes="0" containsNonDate="0" containsDate="1" containsString="0" minDate="2024-05-20T00:00:00" maxDate="2024-06-01T00:00:00"/>
    </cacheField>
    <cacheField name="Person" numFmtId="0">
      <sharedItems count="6">
        <s v="Anjali Salecha"/>
        <s v="Carami Le Grange"/>
        <s v="Dillan Landsberg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54226"/>
    </cacheField>
    <cacheField name="Timecode Name" numFmtId="0">
      <sharedItems count="2">
        <s v="Build"/>
        <s v="Delivery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/>
    </cacheField>
    <cacheField name="Invoiced Delta" numFmtId="0">
      <sharedItems containsString="0" containsBlank="1"/>
    </cacheField>
    <cacheField name="Invoice #" numFmtId="0">
      <sharedItems containsString="0"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5"/>
    </cacheField>
    <cacheField name="Month" numFmtId="0">
      <sharedItems containsBlank="1" count="2">
        <s v="May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d v="2024-05-22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m/>
    <m/>
    <m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m/>
    <m/>
    <m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m/>
    <m/>
    <m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m/>
    <m/>
    <m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m/>
    <m/>
    <m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m/>
    <m/>
    <m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m/>
    <m/>
    <m/>
    <s v="GBP"/>
    <s v="Reviewed"/>
    <s v="Daily standup. GDPR session. Testing GA-8 and GA-3"/>
    <s v="Not submitted"/>
    <n v="5"/>
    <x v="0"/>
  </r>
  <r>
    <d v="2024-05-20T00:00:00"/>
    <x v="1"/>
    <s v="Salaried / Fixed"/>
    <s v="Open Box Software (Pty) Ltd (Open Box SA)"/>
    <s v="Custom Software"/>
    <s v="SA"/>
    <s v="Grainger PLC"/>
    <s v="OB-000654"/>
    <s v="GDPR Anonymisation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5-31T00:00:00"/>
    <x v="2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5-20T00:00:00"/>
    <x v="3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3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3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3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3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3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20T00:00:00"/>
    <x v="4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m/>
    <m/>
    <m/>
    <s v="GBP"/>
    <s v="Reviewed"/>
    <s v="Implementation approach"/>
    <s v="Not submitted"/>
    <n v="5"/>
    <x v="0"/>
  </r>
  <r>
    <d v="2024-05-24T00:00:00"/>
    <x v="4"/>
    <s v="Salaried / Fixed"/>
    <s v="Open Box Software (Pty) Ltd (Open Box SA)"/>
    <s v="Salesforce"/>
    <s v="SA"/>
    <s v="Grainger PLC"/>
    <s v="OB-000654"/>
    <s v="GDPR Anonymisation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m/>
    <m/>
    <m/>
    <s v="GBP"/>
    <s v="Reviewed"/>
    <s v="Refinement session"/>
    <s v="Not submitted"/>
    <n v="5"/>
    <x v="0"/>
  </r>
  <r>
    <d v="2024-05-30T00:00:00"/>
    <x v="5"/>
    <s v="Salaried / Fixed"/>
    <s v="Open Box Software (Pty) Ltd (Open Box SA)"/>
    <s v="Custom Software"/>
    <s v="SA"/>
    <s v="Grainger PLC"/>
    <s v="OB-000654"/>
    <s v="GDPR Anonymisation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m/>
    <m/>
    <m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m/>
    <m/>
    <m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D6208-BA6B-4540-BB3B-AF0A62EB0537}" name="PivotTable1" cacheId="69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9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m="1" x="1"/>
        <item t="default"/>
      </items>
    </pivotField>
  </pivotFields>
  <rowFields count="1">
    <field x="1"/>
  </rowFields>
  <rowItems count="4">
    <i>
      <x/>
    </i>
    <i>
      <x v="1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/>
  </sheetViews>
  <sheetFormatPr defaultRowHeight="14.45"/>
  <cols>
    <col min="1" max="1" width="16.42578125" bestFit="1" customWidth="1"/>
    <col min="2" max="2" width="19.28515625" bestFit="1" customWidth="1"/>
    <col min="3" max="3" width="11.42578125" style="17" bestFit="1" customWidth="1"/>
    <col min="4" max="4" width="16.28515625" bestFit="1" customWidth="1"/>
    <col min="5" max="6" width="10.5703125" bestFit="1" customWidth="1"/>
    <col min="7" max="7" width="12" customWidth="1"/>
    <col min="8" max="8" width="21.42578125" customWidth="1"/>
    <col min="9" max="11" width="16.42578125" customWidth="1"/>
  </cols>
  <sheetData>
    <row r="1" spans="1:11">
      <c r="A1" s="4" t="s">
        <v>0</v>
      </c>
      <c r="B1" t="s">
        <v>1</v>
      </c>
      <c r="D1" s="15" t="s">
        <v>2</v>
      </c>
    </row>
    <row r="2" spans="1:11" ht="15" thickBot="1">
      <c r="A2" s="4" t="s">
        <v>3</v>
      </c>
      <c r="B2" t="s">
        <v>4</v>
      </c>
    </row>
    <row r="3" spans="1:11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1" ht="15">
      <c r="A4" s="4" t="s">
        <v>9</v>
      </c>
      <c r="B4" s="4" t="s">
        <v>10</v>
      </c>
      <c r="H4" s="9" t="s">
        <v>11</v>
      </c>
      <c r="I4" s="19" t="s">
        <v>12</v>
      </c>
      <c r="J4" s="11" t="s">
        <v>13</v>
      </c>
      <c r="K4" s="11" t="s">
        <v>14</v>
      </c>
    </row>
    <row r="5" spans="1:11" ht="15" thickBot="1">
      <c r="A5" s="4" t="s">
        <v>15</v>
      </c>
      <c r="B5" t="s">
        <v>16</v>
      </c>
      <c r="C5" t="s">
        <v>17</v>
      </c>
      <c r="H5" s="9" t="s">
        <v>16</v>
      </c>
      <c r="I5" s="10" t="s">
        <v>18</v>
      </c>
      <c r="J5" s="11" t="s">
        <v>19</v>
      </c>
      <c r="K5" s="11" t="s">
        <v>20</v>
      </c>
    </row>
    <row r="6" spans="1:11" ht="15" thickBot="1">
      <c r="A6" s="5" t="s">
        <v>21</v>
      </c>
      <c r="B6" s="18">
        <v>3</v>
      </c>
      <c r="C6" s="18">
        <v>3</v>
      </c>
      <c r="H6" s="9" t="s">
        <v>22</v>
      </c>
      <c r="I6" s="20" t="s">
        <v>23</v>
      </c>
      <c r="J6" s="11" t="s">
        <v>24</v>
      </c>
      <c r="K6" s="11" t="s">
        <v>25</v>
      </c>
    </row>
    <row r="7" spans="1:11" ht="15" thickBot="1">
      <c r="A7" s="5" t="s">
        <v>26</v>
      </c>
      <c r="B7" s="18">
        <v>44</v>
      </c>
      <c r="C7" s="18">
        <v>44</v>
      </c>
      <c r="H7" s="9" t="s">
        <v>27</v>
      </c>
      <c r="I7" s="21" t="s">
        <v>12</v>
      </c>
      <c r="J7" s="11" t="s">
        <v>13</v>
      </c>
      <c r="K7" s="11" t="s">
        <v>14</v>
      </c>
    </row>
    <row r="8" spans="1:11" ht="15" thickBot="1">
      <c r="A8" s="5" t="s">
        <v>28</v>
      </c>
      <c r="B8" s="18">
        <v>0.5</v>
      </c>
      <c r="C8" s="18">
        <v>0.5</v>
      </c>
      <c r="H8" s="9" t="s">
        <v>29</v>
      </c>
      <c r="I8" s="10" t="s">
        <v>30</v>
      </c>
      <c r="J8" s="11" t="s">
        <v>31</v>
      </c>
      <c r="K8" s="11" t="s">
        <v>32</v>
      </c>
    </row>
    <row r="9" spans="1:11" ht="15" thickBot="1">
      <c r="A9" s="5" t="s">
        <v>17</v>
      </c>
      <c r="B9" s="18">
        <v>47.5</v>
      </c>
      <c r="C9" s="18">
        <v>47.5</v>
      </c>
      <c r="H9" s="12" t="s">
        <v>33</v>
      </c>
      <c r="I9" s="13" t="s">
        <v>34</v>
      </c>
      <c r="J9" s="14" t="s">
        <v>35</v>
      </c>
      <c r="K9" s="14" t="s">
        <v>36</v>
      </c>
    </row>
    <row r="10" spans="1:11" ht="15" thickTop="1">
      <c r="C10"/>
    </row>
    <row r="11" spans="1:11">
      <c r="C11"/>
    </row>
    <row r="12" spans="1:11">
      <c r="C12"/>
    </row>
    <row r="13" spans="1:11">
      <c r="C13"/>
    </row>
    <row r="14" spans="1:11">
      <c r="C14"/>
    </row>
    <row r="15" spans="1:11">
      <c r="C15"/>
    </row>
    <row r="16" spans="1:11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J1" workbookViewId="0">
      <pane ySplit="1" topLeftCell="A2" activePane="bottomLeft" state="frozen"/>
      <selection pane="bottomLeft"/>
    </sheetView>
  </sheetViews>
  <sheetFormatPr defaultRowHeight="14.45"/>
  <sheetData>
    <row r="1" spans="1:3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3</v>
      </c>
      <c r="S1" t="s">
        <v>54</v>
      </c>
      <c r="T1" t="s">
        <v>55</v>
      </c>
      <c r="U1" t="s">
        <v>6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s="3" t="s">
        <v>65</v>
      </c>
      <c r="AF1" s="3" t="s">
        <v>0</v>
      </c>
    </row>
    <row r="2" spans="1:32">
      <c r="A2" s="1">
        <v>45434</v>
      </c>
      <c r="B2" t="s">
        <v>26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67</v>
      </c>
      <c r="L2" t="s">
        <v>28</v>
      </c>
      <c r="M2" t="s">
        <v>21</v>
      </c>
      <c r="N2" t="s">
        <v>21</v>
      </c>
      <c r="O2" t="s">
        <v>74</v>
      </c>
      <c r="P2">
        <v>250098</v>
      </c>
      <c r="Q2" t="s">
        <v>16</v>
      </c>
      <c r="R2" t="s">
        <v>4</v>
      </c>
      <c r="S2" t="s">
        <v>75</v>
      </c>
      <c r="T2">
        <v>90</v>
      </c>
      <c r="U2">
        <v>8</v>
      </c>
      <c r="V2" s="2">
        <v>0.33333333333333331</v>
      </c>
      <c r="W2">
        <v>720</v>
      </c>
      <c r="AA2" t="s">
        <v>76</v>
      </c>
      <c r="AB2" t="s">
        <v>77</v>
      </c>
      <c r="AC2" t="s">
        <v>78</v>
      </c>
      <c r="AD2" t="s">
        <v>79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26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67</v>
      </c>
      <c r="L3" t="s">
        <v>28</v>
      </c>
      <c r="M3" t="s">
        <v>21</v>
      </c>
      <c r="N3" t="s">
        <v>21</v>
      </c>
      <c r="O3" t="s">
        <v>74</v>
      </c>
      <c r="P3">
        <v>251587</v>
      </c>
      <c r="Q3" t="s">
        <v>16</v>
      </c>
      <c r="R3" t="s">
        <v>4</v>
      </c>
      <c r="S3" t="s">
        <v>75</v>
      </c>
      <c r="T3">
        <v>90</v>
      </c>
      <c r="U3">
        <v>3</v>
      </c>
      <c r="V3" s="2">
        <v>0.125</v>
      </c>
      <c r="W3">
        <v>270</v>
      </c>
      <c r="AA3" t="s">
        <v>76</v>
      </c>
      <c r="AB3" t="s">
        <v>77</v>
      </c>
      <c r="AC3" t="s">
        <v>80</v>
      </c>
      <c r="AD3" t="s">
        <v>79</v>
      </c>
      <c r="AE3">
        <f t="shared" ref="AE3:AE14" si="0">MONTH(A3)</f>
        <v>5</v>
      </c>
      <c r="AF3" t="str">
        <f t="shared" ref="AF3:AF14" si="1">IF(AE3=5,"May",IF(AE3=6,"June",IF(AE3=7,"July",IF(AE3=8,"August",IF(AE3=9,"September")))))</f>
        <v>May</v>
      </c>
    </row>
    <row r="4" spans="1:32">
      <c r="A4" s="1">
        <v>45436</v>
      </c>
      <c r="B4" t="s">
        <v>26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67</v>
      </c>
      <c r="L4" t="s">
        <v>28</v>
      </c>
      <c r="M4" t="s">
        <v>21</v>
      </c>
      <c r="N4" t="s">
        <v>21</v>
      </c>
      <c r="O4" t="s">
        <v>74</v>
      </c>
      <c r="P4">
        <v>251329</v>
      </c>
      <c r="Q4" t="s">
        <v>81</v>
      </c>
      <c r="R4" t="s">
        <v>82</v>
      </c>
      <c r="S4" t="s">
        <v>75</v>
      </c>
      <c r="T4">
        <v>0</v>
      </c>
      <c r="U4">
        <v>1</v>
      </c>
      <c r="V4" s="2">
        <v>4.1666666666666664E-2</v>
      </c>
      <c r="W4">
        <v>0</v>
      </c>
      <c r="AA4" t="s">
        <v>76</v>
      </c>
      <c r="AB4" t="s">
        <v>77</v>
      </c>
      <c r="AC4" t="s">
        <v>83</v>
      </c>
      <c r="AD4" t="s">
        <v>79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26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67</v>
      </c>
      <c r="L5" t="s">
        <v>28</v>
      </c>
      <c r="M5" t="s">
        <v>21</v>
      </c>
      <c r="N5" t="s">
        <v>21</v>
      </c>
      <c r="O5" t="s">
        <v>74</v>
      </c>
      <c r="P5">
        <v>251984</v>
      </c>
      <c r="Q5" t="s">
        <v>16</v>
      </c>
      <c r="R5" t="s">
        <v>4</v>
      </c>
      <c r="S5" t="s">
        <v>75</v>
      </c>
      <c r="T5">
        <v>90</v>
      </c>
      <c r="U5">
        <v>2.5</v>
      </c>
      <c r="V5" s="2">
        <v>0.10416666666666667</v>
      </c>
      <c r="W5">
        <v>225</v>
      </c>
      <c r="AA5" t="s">
        <v>76</v>
      </c>
      <c r="AB5" t="s">
        <v>77</v>
      </c>
      <c r="AC5" t="s">
        <v>84</v>
      </c>
      <c r="AD5" t="s">
        <v>79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26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67</v>
      </c>
      <c r="L6" t="s">
        <v>28</v>
      </c>
      <c r="M6" t="s">
        <v>21</v>
      </c>
      <c r="N6" t="s">
        <v>21</v>
      </c>
      <c r="O6" t="s">
        <v>74</v>
      </c>
      <c r="P6">
        <v>252496</v>
      </c>
      <c r="Q6" t="s">
        <v>16</v>
      </c>
      <c r="R6" t="s">
        <v>4</v>
      </c>
      <c r="S6" t="s">
        <v>75</v>
      </c>
      <c r="T6">
        <v>90</v>
      </c>
      <c r="U6">
        <v>7.5</v>
      </c>
      <c r="V6" s="2">
        <v>0.3125</v>
      </c>
      <c r="W6">
        <v>675</v>
      </c>
      <c r="AA6" t="s">
        <v>76</v>
      </c>
      <c r="AB6" t="s">
        <v>77</v>
      </c>
      <c r="AC6" t="s">
        <v>85</v>
      </c>
      <c r="AD6" t="s">
        <v>79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26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67</v>
      </c>
      <c r="L7" t="s">
        <v>28</v>
      </c>
      <c r="M7" t="s">
        <v>21</v>
      </c>
      <c r="N7" t="s">
        <v>21</v>
      </c>
      <c r="O7" t="s">
        <v>74</v>
      </c>
      <c r="P7">
        <v>252835</v>
      </c>
      <c r="Q7" t="s">
        <v>16</v>
      </c>
      <c r="R7" t="s">
        <v>4</v>
      </c>
      <c r="S7" t="s">
        <v>75</v>
      </c>
      <c r="T7">
        <v>90</v>
      </c>
      <c r="U7">
        <v>8</v>
      </c>
      <c r="V7" s="2">
        <v>0.33333333333333331</v>
      </c>
      <c r="W7">
        <v>720</v>
      </c>
      <c r="AA7" t="s">
        <v>76</v>
      </c>
      <c r="AB7" t="s">
        <v>77</v>
      </c>
      <c r="AC7" t="s">
        <v>86</v>
      </c>
      <c r="AD7" t="s">
        <v>79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26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67</v>
      </c>
      <c r="L8" t="s">
        <v>28</v>
      </c>
      <c r="M8" t="s">
        <v>21</v>
      </c>
      <c r="N8" t="s">
        <v>21</v>
      </c>
      <c r="O8" t="s">
        <v>74</v>
      </c>
      <c r="P8">
        <v>253547</v>
      </c>
      <c r="Q8" t="s">
        <v>16</v>
      </c>
      <c r="R8" t="s">
        <v>4</v>
      </c>
      <c r="S8" t="s">
        <v>75</v>
      </c>
      <c r="T8">
        <v>90</v>
      </c>
      <c r="U8">
        <v>8</v>
      </c>
      <c r="V8" s="2">
        <v>0.33333333333333331</v>
      </c>
      <c r="W8">
        <v>720</v>
      </c>
      <c r="AA8" t="s">
        <v>76</v>
      </c>
      <c r="AB8" t="s">
        <v>77</v>
      </c>
      <c r="AC8" t="s">
        <v>87</v>
      </c>
      <c r="AD8" t="s">
        <v>79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26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  <c r="K9" t="s">
        <v>67</v>
      </c>
      <c r="L9" t="s">
        <v>28</v>
      </c>
      <c r="M9" t="s">
        <v>21</v>
      </c>
      <c r="N9" t="s">
        <v>21</v>
      </c>
      <c r="O9" t="s">
        <v>74</v>
      </c>
      <c r="P9">
        <v>253549</v>
      </c>
      <c r="Q9" t="s">
        <v>16</v>
      </c>
      <c r="R9" t="s">
        <v>4</v>
      </c>
      <c r="S9" t="s">
        <v>75</v>
      </c>
      <c r="T9">
        <v>90</v>
      </c>
      <c r="U9">
        <v>7</v>
      </c>
      <c r="V9" s="2">
        <v>0.29166666666666669</v>
      </c>
      <c r="W9">
        <v>630</v>
      </c>
      <c r="AA9" t="s">
        <v>76</v>
      </c>
      <c r="AB9" t="s">
        <v>77</v>
      </c>
      <c r="AC9" t="s">
        <v>88</v>
      </c>
      <c r="AD9" t="s">
        <v>79</v>
      </c>
      <c r="AE9">
        <f t="shared" si="0"/>
        <v>5</v>
      </c>
      <c r="AF9" t="str">
        <f t="shared" si="1"/>
        <v>May</v>
      </c>
    </row>
    <row r="10" spans="1:32">
      <c r="A10" s="1">
        <v>45432</v>
      </c>
      <c r="B10" t="s">
        <v>89</v>
      </c>
      <c r="C10" t="s">
        <v>90</v>
      </c>
      <c r="D10" t="s">
        <v>67</v>
      </c>
      <c r="E10" t="s">
        <v>91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67</v>
      </c>
      <c r="L10" t="s">
        <v>28</v>
      </c>
      <c r="M10" t="s">
        <v>21</v>
      </c>
      <c r="N10" t="s">
        <v>92</v>
      </c>
      <c r="O10" t="s">
        <v>74</v>
      </c>
      <c r="P10">
        <v>249451</v>
      </c>
      <c r="Q10" t="s">
        <v>81</v>
      </c>
      <c r="R10" t="s">
        <v>82</v>
      </c>
      <c r="S10" t="s">
        <v>75</v>
      </c>
      <c r="T10">
        <v>0</v>
      </c>
      <c r="U10">
        <v>0.75</v>
      </c>
      <c r="V10" s="2">
        <v>3.125E-2</v>
      </c>
      <c r="W10">
        <v>0</v>
      </c>
      <c r="AA10" t="s">
        <v>76</v>
      </c>
      <c r="AB10" t="s">
        <v>77</v>
      </c>
      <c r="AC10" t="s">
        <v>93</v>
      </c>
      <c r="AD10" t="s">
        <v>79</v>
      </c>
      <c r="AE10">
        <f t="shared" si="0"/>
        <v>5</v>
      </c>
      <c r="AF10" t="str">
        <f t="shared" si="1"/>
        <v>May</v>
      </c>
    </row>
    <row r="11" spans="1:32">
      <c r="A11" s="1">
        <v>45436</v>
      </c>
      <c r="B11" t="s">
        <v>89</v>
      </c>
      <c r="C11" t="s">
        <v>90</v>
      </c>
      <c r="D11" t="s">
        <v>67</v>
      </c>
      <c r="E11" t="s">
        <v>91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  <c r="K11" t="s">
        <v>67</v>
      </c>
      <c r="L11" t="s">
        <v>28</v>
      </c>
      <c r="M11" t="s">
        <v>21</v>
      </c>
      <c r="N11" t="s">
        <v>92</v>
      </c>
      <c r="O11" t="s">
        <v>74</v>
      </c>
      <c r="P11">
        <v>251387</v>
      </c>
      <c r="Q11" t="s">
        <v>81</v>
      </c>
      <c r="R11" t="s">
        <v>82</v>
      </c>
      <c r="S11" t="s">
        <v>75</v>
      </c>
      <c r="T11">
        <v>0</v>
      </c>
      <c r="U11">
        <v>1</v>
      </c>
      <c r="V11" s="2">
        <v>4.1666666666666664E-2</v>
      </c>
      <c r="W11">
        <v>0</v>
      </c>
      <c r="AA11" t="s">
        <v>76</v>
      </c>
      <c r="AB11" t="s">
        <v>77</v>
      </c>
      <c r="AC11" t="s">
        <v>94</v>
      </c>
      <c r="AD11" t="s">
        <v>79</v>
      </c>
      <c r="AE11">
        <f t="shared" si="0"/>
        <v>5</v>
      </c>
      <c r="AF11" t="str">
        <f t="shared" si="1"/>
        <v>May</v>
      </c>
    </row>
    <row r="12" spans="1:32">
      <c r="A12" s="1">
        <v>45440</v>
      </c>
      <c r="B12" t="s">
        <v>89</v>
      </c>
      <c r="C12" t="s">
        <v>90</v>
      </c>
      <c r="D12" t="s">
        <v>67</v>
      </c>
      <c r="E12" t="s">
        <v>91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  <c r="K12" t="s">
        <v>67</v>
      </c>
      <c r="L12" t="s">
        <v>28</v>
      </c>
      <c r="M12" t="s">
        <v>21</v>
      </c>
      <c r="N12" t="s">
        <v>92</v>
      </c>
      <c r="O12" t="s">
        <v>74</v>
      </c>
      <c r="P12">
        <v>252336</v>
      </c>
      <c r="Q12" t="s">
        <v>81</v>
      </c>
      <c r="R12" t="s">
        <v>82</v>
      </c>
      <c r="S12" t="s">
        <v>75</v>
      </c>
      <c r="T12">
        <v>0</v>
      </c>
      <c r="U12">
        <v>0.25</v>
      </c>
      <c r="V12" s="2">
        <v>1.0416666666666666E-2</v>
      </c>
      <c r="W12">
        <v>0</v>
      </c>
      <c r="AA12" t="s">
        <v>76</v>
      </c>
      <c r="AB12" t="s">
        <v>77</v>
      </c>
      <c r="AC12" t="s">
        <v>95</v>
      </c>
      <c r="AD12" t="s">
        <v>79</v>
      </c>
      <c r="AE12">
        <f t="shared" si="0"/>
        <v>5</v>
      </c>
      <c r="AF12" t="str">
        <f t="shared" si="1"/>
        <v>May</v>
      </c>
    </row>
    <row r="13" spans="1:32">
      <c r="A13" s="1">
        <v>45443</v>
      </c>
      <c r="B13" t="s">
        <v>96</v>
      </c>
      <c r="C13" t="s">
        <v>90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  <c r="K13" t="s">
        <v>67</v>
      </c>
      <c r="L13" t="s">
        <v>28</v>
      </c>
      <c r="M13" t="s">
        <v>21</v>
      </c>
      <c r="N13" t="s">
        <v>21</v>
      </c>
      <c r="O13" t="s">
        <v>74</v>
      </c>
      <c r="P13">
        <v>253990</v>
      </c>
      <c r="Q13" t="s">
        <v>81</v>
      </c>
      <c r="R13" t="s">
        <v>82</v>
      </c>
      <c r="S13" t="s">
        <v>75</v>
      </c>
      <c r="T13">
        <v>0</v>
      </c>
      <c r="U13">
        <v>1.5</v>
      </c>
      <c r="V13" s="2">
        <v>6.25E-2</v>
      </c>
      <c r="W13">
        <v>0</v>
      </c>
      <c r="AA13" t="s">
        <v>76</v>
      </c>
      <c r="AB13" t="s">
        <v>77</v>
      </c>
      <c r="AC13" t="e">
        <f ca="1">- GDPR session with Anjali _xludf.and Khonani _xludf.for QA - Create test data _xludf.for QA</f>
        <v>#NAME?</v>
      </c>
      <c r="AD13" t="s">
        <v>79</v>
      </c>
      <c r="AE13">
        <f t="shared" si="0"/>
        <v>5</v>
      </c>
      <c r="AF13" t="str">
        <f t="shared" si="1"/>
        <v>May</v>
      </c>
    </row>
    <row r="14" spans="1:32">
      <c r="A14" s="1">
        <v>45432</v>
      </c>
      <c r="B14" t="s">
        <v>97</v>
      </c>
      <c r="C14" t="s">
        <v>90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67</v>
      </c>
      <c r="L14" t="s">
        <v>28</v>
      </c>
      <c r="M14" t="s">
        <v>21</v>
      </c>
      <c r="N14" t="s">
        <v>92</v>
      </c>
      <c r="O14" t="s">
        <v>74</v>
      </c>
      <c r="P14">
        <v>249510</v>
      </c>
      <c r="Q14" t="s">
        <v>81</v>
      </c>
      <c r="R14" t="s">
        <v>82</v>
      </c>
      <c r="S14" t="s">
        <v>75</v>
      </c>
      <c r="T14">
        <v>0</v>
      </c>
      <c r="U14">
        <v>0.5</v>
      </c>
      <c r="V14" s="2">
        <v>2.0833333333333332E-2</v>
      </c>
      <c r="W14">
        <v>0</v>
      </c>
      <c r="AA14" t="s">
        <v>76</v>
      </c>
      <c r="AB14" t="s">
        <v>77</v>
      </c>
      <c r="AC14" t="s">
        <v>92</v>
      </c>
      <c r="AD14" t="s">
        <v>79</v>
      </c>
      <c r="AE14">
        <f t="shared" si="0"/>
        <v>5</v>
      </c>
      <c r="AF14" t="str">
        <f t="shared" si="1"/>
        <v>May</v>
      </c>
    </row>
    <row r="15" spans="1:32">
      <c r="A15" s="1">
        <v>45433</v>
      </c>
      <c r="B15" t="s">
        <v>97</v>
      </c>
      <c r="C15" t="s">
        <v>90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72</v>
      </c>
      <c r="J15" t="s">
        <v>73</v>
      </c>
      <c r="K15" t="s">
        <v>67</v>
      </c>
      <c r="L15" t="s">
        <v>28</v>
      </c>
      <c r="M15" t="s">
        <v>21</v>
      </c>
      <c r="N15" t="s">
        <v>92</v>
      </c>
      <c r="O15" t="s">
        <v>74</v>
      </c>
      <c r="P15">
        <v>249509</v>
      </c>
      <c r="Q15" t="s">
        <v>81</v>
      </c>
      <c r="R15" t="s">
        <v>82</v>
      </c>
      <c r="S15" t="s">
        <v>75</v>
      </c>
      <c r="T15">
        <v>0</v>
      </c>
      <c r="U15">
        <v>0.25</v>
      </c>
      <c r="V15" s="2">
        <v>1.0416666666666666E-2</v>
      </c>
      <c r="W15">
        <v>0</v>
      </c>
      <c r="AA15" t="s">
        <v>76</v>
      </c>
      <c r="AB15" t="s">
        <v>77</v>
      </c>
      <c r="AC15" t="s">
        <v>92</v>
      </c>
      <c r="AD15" t="s">
        <v>79</v>
      </c>
      <c r="AE15">
        <f t="shared" ref="AE15:AE24" si="2">MONTH(A15)</f>
        <v>5</v>
      </c>
      <c r="AF15" t="str">
        <f t="shared" ref="AF15:AF24" si="3">IF(AE15=5,"May",IF(AE15=6,"June",IF(AE15=7,"July",IF(AE15=8,"August",IF(AE15=9,"September")))))</f>
        <v>May</v>
      </c>
    </row>
    <row r="16" spans="1:32">
      <c r="A16" s="1">
        <v>45434</v>
      </c>
      <c r="B16" t="s">
        <v>97</v>
      </c>
      <c r="C16" t="s">
        <v>90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  <c r="J16" t="s">
        <v>73</v>
      </c>
      <c r="K16" t="s">
        <v>67</v>
      </c>
      <c r="L16" t="s">
        <v>28</v>
      </c>
      <c r="M16" t="s">
        <v>21</v>
      </c>
      <c r="N16" t="s">
        <v>92</v>
      </c>
      <c r="O16" t="s">
        <v>74</v>
      </c>
      <c r="P16">
        <v>250689</v>
      </c>
      <c r="Q16" t="s">
        <v>81</v>
      </c>
      <c r="R16" t="s">
        <v>82</v>
      </c>
      <c r="S16" t="s">
        <v>75</v>
      </c>
      <c r="T16">
        <v>0</v>
      </c>
      <c r="U16">
        <v>0.25</v>
      </c>
      <c r="V16" s="2">
        <v>1.0416666666666666E-2</v>
      </c>
      <c r="W16">
        <v>0</v>
      </c>
      <c r="AA16" t="s">
        <v>76</v>
      </c>
      <c r="AB16" t="s">
        <v>77</v>
      </c>
      <c r="AC16" t="s">
        <v>92</v>
      </c>
      <c r="AD16" t="s">
        <v>79</v>
      </c>
      <c r="AE16">
        <f t="shared" si="2"/>
        <v>5</v>
      </c>
      <c r="AF16" t="str">
        <f t="shared" si="3"/>
        <v>May</v>
      </c>
    </row>
    <row r="17" spans="1:32">
      <c r="A17" s="1">
        <v>45435</v>
      </c>
      <c r="B17" t="s">
        <v>97</v>
      </c>
      <c r="C17" t="s">
        <v>90</v>
      </c>
      <c r="D17" t="s">
        <v>67</v>
      </c>
      <c r="E17" t="s">
        <v>68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67</v>
      </c>
      <c r="L17" t="s">
        <v>28</v>
      </c>
      <c r="M17" t="s">
        <v>21</v>
      </c>
      <c r="N17" t="s">
        <v>92</v>
      </c>
      <c r="O17" t="s">
        <v>74</v>
      </c>
      <c r="P17">
        <v>250690</v>
      </c>
      <c r="Q17" t="s">
        <v>81</v>
      </c>
      <c r="R17" t="s">
        <v>82</v>
      </c>
      <c r="S17" t="s">
        <v>75</v>
      </c>
      <c r="T17">
        <v>0</v>
      </c>
      <c r="U17">
        <v>0.25</v>
      </c>
      <c r="V17" s="2">
        <v>1.0416666666666666E-2</v>
      </c>
      <c r="W17">
        <v>0</v>
      </c>
      <c r="AA17" t="s">
        <v>76</v>
      </c>
      <c r="AB17" t="s">
        <v>77</v>
      </c>
      <c r="AC17" t="s">
        <v>92</v>
      </c>
      <c r="AD17" t="s">
        <v>79</v>
      </c>
      <c r="AE17">
        <f t="shared" si="2"/>
        <v>5</v>
      </c>
      <c r="AF17" t="str">
        <f t="shared" si="3"/>
        <v>May</v>
      </c>
    </row>
    <row r="18" spans="1:32">
      <c r="A18" s="1">
        <v>45436</v>
      </c>
      <c r="B18" t="s">
        <v>97</v>
      </c>
      <c r="C18" t="s">
        <v>90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67</v>
      </c>
      <c r="L18" t="s">
        <v>28</v>
      </c>
      <c r="M18" t="s">
        <v>21</v>
      </c>
      <c r="N18" t="s">
        <v>92</v>
      </c>
      <c r="O18" t="s">
        <v>74</v>
      </c>
      <c r="P18">
        <v>251355</v>
      </c>
      <c r="Q18" t="s">
        <v>81</v>
      </c>
      <c r="R18" t="s">
        <v>82</v>
      </c>
      <c r="S18" t="s">
        <v>75</v>
      </c>
      <c r="T18">
        <v>0</v>
      </c>
      <c r="U18">
        <v>1</v>
      </c>
      <c r="V18" s="2">
        <v>4.1666666666666664E-2</v>
      </c>
      <c r="W18">
        <v>0</v>
      </c>
      <c r="AA18" t="s">
        <v>76</v>
      </c>
      <c r="AB18" t="s">
        <v>77</v>
      </c>
      <c r="AC18" t="s">
        <v>92</v>
      </c>
      <c r="AD18" t="s">
        <v>79</v>
      </c>
      <c r="AE18">
        <f t="shared" si="2"/>
        <v>5</v>
      </c>
      <c r="AF18" t="str">
        <f t="shared" si="3"/>
        <v>May</v>
      </c>
    </row>
    <row r="19" spans="1:32">
      <c r="A19" s="1">
        <v>45443</v>
      </c>
      <c r="B19" t="s">
        <v>97</v>
      </c>
      <c r="C19" t="s">
        <v>90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67</v>
      </c>
      <c r="L19" t="s">
        <v>28</v>
      </c>
      <c r="M19" t="s">
        <v>21</v>
      </c>
      <c r="N19" t="s">
        <v>92</v>
      </c>
      <c r="O19" t="s">
        <v>74</v>
      </c>
      <c r="P19">
        <v>254226</v>
      </c>
      <c r="Q19" t="s">
        <v>81</v>
      </c>
      <c r="R19" t="s">
        <v>82</v>
      </c>
      <c r="S19" t="s">
        <v>75</v>
      </c>
      <c r="T19">
        <v>0</v>
      </c>
      <c r="U19">
        <v>1</v>
      </c>
      <c r="V19" s="2">
        <v>4.1666666666666664E-2</v>
      </c>
      <c r="W19">
        <v>0</v>
      </c>
      <c r="AA19" t="s">
        <v>76</v>
      </c>
      <c r="AB19" t="s">
        <v>77</v>
      </c>
      <c r="AC19" t="s">
        <v>92</v>
      </c>
      <c r="AD19" t="s">
        <v>79</v>
      </c>
      <c r="AE19">
        <f t="shared" si="2"/>
        <v>5</v>
      </c>
      <c r="AF19" t="str">
        <f t="shared" si="3"/>
        <v>May</v>
      </c>
    </row>
    <row r="20" spans="1:32">
      <c r="A20" s="1">
        <v>45432</v>
      </c>
      <c r="B20" t="s">
        <v>21</v>
      </c>
      <c r="C20" t="s">
        <v>90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67</v>
      </c>
      <c r="L20" t="s">
        <v>28</v>
      </c>
      <c r="M20" t="s">
        <v>21</v>
      </c>
      <c r="N20" t="s">
        <v>92</v>
      </c>
      <c r="O20" t="s">
        <v>74</v>
      </c>
      <c r="P20">
        <v>251755</v>
      </c>
      <c r="Q20" t="s">
        <v>16</v>
      </c>
      <c r="R20" t="s">
        <v>4</v>
      </c>
      <c r="S20" t="s">
        <v>75</v>
      </c>
      <c r="T20">
        <v>90</v>
      </c>
      <c r="U20">
        <v>2</v>
      </c>
      <c r="V20" s="2">
        <v>8.3333333333333329E-2</v>
      </c>
      <c r="W20">
        <v>180</v>
      </c>
      <c r="AA20" t="s">
        <v>76</v>
      </c>
      <c r="AB20" t="s">
        <v>77</v>
      </c>
      <c r="AC20" t="s">
        <v>98</v>
      </c>
      <c r="AD20" t="s">
        <v>79</v>
      </c>
      <c r="AE20">
        <f t="shared" si="2"/>
        <v>5</v>
      </c>
      <c r="AF20" t="str">
        <f t="shared" si="3"/>
        <v>May</v>
      </c>
    </row>
    <row r="21" spans="1:32">
      <c r="A21" s="1">
        <v>45436</v>
      </c>
      <c r="B21" t="s">
        <v>21</v>
      </c>
      <c r="C21" t="s">
        <v>90</v>
      </c>
      <c r="D21" t="s">
        <v>67</v>
      </c>
      <c r="E21" t="s">
        <v>68</v>
      </c>
      <c r="F21" t="s">
        <v>69</v>
      </c>
      <c r="G21" t="s">
        <v>70</v>
      </c>
      <c r="H21" t="s">
        <v>71</v>
      </c>
      <c r="I21" t="s">
        <v>72</v>
      </c>
      <c r="J21" t="s">
        <v>73</v>
      </c>
      <c r="K21" t="s">
        <v>67</v>
      </c>
      <c r="L21" t="s">
        <v>28</v>
      </c>
      <c r="M21" t="s">
        <v>21</v>
      </c>
      <c r="N21" t="s">
        <v>92</v>
      </c>
      <c r="O21" t="s">
        <v>74</v>
      </c>
      <c r="P21">
        <v>251770</v>
      </c>
      <c r="Q21" t="s">
        <v>16</v>
      </c>
      <c r="R21" t="s">
        <v>4</v>
      </c>
      <c r="S21" t="s">
        <v>75</v>
      </c>
      <c r="T21">
        <v>90</v>
      </c>
      <c r="U21">
        <v>1</v>
      </c>
      <c r="V21" s="2">
        <v>4.1666666666666664E-2</v>
      </c>
      <c r="W21">
        <v>90</v>
      </c>
      <c r="AA21" t="s">
        <v>76</v>
      </c>
      <c r="AB21" t="s">
        <v>77</v>
      </c>
      <c r="AC21" t="s">
        <v>99</v>
      </c>
      <c r="AD21" t="s">
        <v>79</v>
      </c>
      <c r="AE21">
        <f t="shared" si="2"/>
        <v>5</v>
      </c>
      <c r="AF21" t="str">
        <f t="shared" si="3"/>
        <v>May</v>
      </c>
    </row>
    <row r="22" spans="1:32">
      <c r="A22" s="1">
        <v>45442</v>
      </c>
      <c r="B22" t="s">
        <v>28</v>
      </c>
      <c r="C22" t="s">
        <v>90</v>
      </c>
      <c r="D22" t="s">
        <v>67</v>
      </c>
      <c r="E22" t="s">
        <v>91</v>
      </c>
      <c r="F22" t="s">
        <v>69</v>
      </c>
      <c r="G22" t="s">
        <v>70</v>
      </c>
      <c r="H22" t="s">
        <v>71</v>
      </c>
      <c r="I22" t="s">
        <v>72</v>
      </c>
      <c r="J22" t="s">
        <v>73</v>
      </c>
      <c r="K22" t="s">
        <v>67</v>
      </c>
      <c r="L22" t="s">
        <v>28</v>
      </c>
      <c r="M22" t="s">
        <v>21</v>
      </c>
      <c r="N22" t="s">
        <v>92</v>
      </c>
      <c r="O22" t="s">
        <v>74</v>
      </c>
      <c r="P22">
        <v>253324</v>
      </c>
      <c r="Q22" t="s">
        <v>16</v>
      </c>
      <c r="R22" t="s">
        <v>4</v>
      </c>
      <c r="S22" t="s">
        <v>75</v>
      </c>
      <c r="T22">
        <v>90</v>
      </c>
      <c r="U22">
        <v>0.25</v>
      </c>
      <c r="V22" s="2">
        <v>1.0416666666666666E-2</v>
      </c>
      <c r="W22">
        <v>22.5</v>
      </c>
      <c r="AA22" t="s">
        <v>76</v>
      </c>
      <c r="AB22" t="s">
        <v>77</v>
      </c>
      <c r="AC22" t="s">
        <v>92</v>
      </c>
      <c r="AD22" t="s">
        <v>79</v>
      </c>
      <c r="AE22">
        <f t="shared" si="2"/>
        <v>5</v>
      </c>
      <c r="AF22" t="str">
        <f t="shared" si="3"/>
        <v>May</v>
      </c>
    </row>
    <row r="23" spans="1:32">
      <c r="A23" s="1">
        <v>45443</v>
      </c>
      <c r="B23" t="s">
        <v>28</v>
      </c>
      <c r="C23" t="s">
        <v>90</v>
      </c>
      <c r="D23" t="s">
        <v>67</v>
      </c>
      <c r="E23" t="s">
        <v>91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67</v>
      </c>
      <c r="L23" t="s">
        <v>28</v>
      </c>
      <c r="M23" t="s">
        <v>21</v>
      </c>
      <c r="N23" t="s">
        <v>92</v>
      </c>
      <c r="O23" t="s">
        <v>74</v>
      </c>
      <c r="P23">
        <v>253305</v>
      </c>
      <c r="Q23" t="s">
        <v>16</v>
      </c>
      <c r="R23" t="s">
        <v>4</v>
      </c>
      <c r="S23" t="s">
        <v>75</v>
      </c>
      <c r="T23">
        <v>90</v>
      </c>
      <c r="U23">
        <v>0.25</v>
      </c>
      <c r="V23" s="2">
        <v>1.0416666666666666E-2</v>
      </c>
      <c r="W23">
        <v>22.5</v>
      </c>
      <c r="AA23" t="s">
        <v>76</v>
      </c>
      <c r="AB23" t="s">
        <v>77</v>
      </c>
      <c r="AC23" t="s">
        <v>92</v>
      </c>
      <c r="AD23" t="s">
        <v>79</v>
      </c>
      <c r="AE23">
        <f t="shared" si="2"/>
        <v>5</v>
      </c>
      <c r="AF23" t="str">
        <f t="shared" si="3"/>
        <v>May</v>
      </c>
    </row>
    <row r="24" spans="1:32">
      <c r="A24" s="1">
        <v>45443</v>
      </c>
      <c r="B24" t="s">
        <v>28</v>
      </c>
      <c r="C24" t="s">
        <v>90</v>
      </c>
      <c r="D24" t="s">
        <v>67</v>
      </c>
      <c r="E24" t="s">
        <v>91</v>
      </c>
      <c r="F24" t="s">
        <v>69</v>
      </c>
      <c r="G24" t="s">
        <v>70</v>
      </c>
      <c r="H24" t="s">
        <v>71</v>
      </c>
      <c r="I24" t="s">
        <v>72</v>
      </c>
      <c r="J24" t="s">
        <v>73</v>
      </c>
      <c r="K24" t="s">
        <v>67</v>
      </c>
      <c r="L24" t="s">
        <v>28</v>
      </c>
      <c r="M24" t="s">
        <v>21</v>
      </c>
      <c r="N24" t="s">
        <v>92</v>
      </c>
      <c r="O24" t="s">
        <v>74</v>
      </c>
      <c r="P24">
        <v>253306</v>
      </c>
      <c r="Q24" t="s">
        <v>81</v>
      </c>
      <c r="R24" t="s">
        <v>82</v>
      </c>
      <c r="S24" t="s">
        <v>75</v>
      </c>
      <c r="T24">
        <v>0</v>
      </c>
      <c r="U24">
        <v>0.25</v>
      </c>
      <c r="V24" s="2">
        <v>1.0416666666666666E-2</v>
      </c>
      <c r="W24">
        <v>0</v>
      </c>
      <c r="AA24" t="s">
        <v>76</v>
      </c>
      <c r="AB24" t="s">
        <v>77</v>
      </c>
      <c r="AC24" t="s">
        <v>92</v>
      </c>
      <c r="AD24" t="s">
        <v>79</v>
      </c>
      <c r="AE24">
        <f t="shared" si="2"/>
        <v>5</v>
      </c>
      <c r="AF24" t="str">
        <f t="shared" si="3"/>
        <v>May</v>
      </c>
    </row>
    <row r="25" spans="1:32">
      <c r="A25" s="1"/>
      <c r="V25" s="2"/>
    </row>
    <row r="26" spans="1:32">
      <c r="A26" s="1"/>
      <c r="V26" s="2"/>
    </row>
    <row r="27" spans="1:32">
      <c r="A27" s="1"/>
      <c r="V27" s="2"/>
    </row>
    <row r="28" spans="1:32">
      <c r="A28" s="1"/>
      <c r="V28" s="2"/>
    </row>
    <row r="29" spans="1:32">
      <c r="A29" s="1"/>
      <c r="V29" s="2"/>
    </row>
    <row r="30" spans="1:32">
      <c r="A30" s="1"/>
      <c r="V30" s="2"/>
    </row>
    <row r="31" spans="1:32">
      <c r="A31" s="1"/>
      <c r="V31" s="2"/>
    </row>
    <row r="32" spans="1:32">
      <c r="A32" s="1"/>
      <c r="V32" s="2"/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92A74039-3504-4B10-B587-93B0B8826CD4}"/>
</file>

<file path=customXml/itemProps2.xml><?xml version="1.0" encoding="utf-8"?>
<ds:datastoreItem xmlns:ds="http://schemas.openxmlformats.org/officeDocument/2006/customXml" ds:itemID="{C4D31455-7E35-4FB2-970D-B143DB858284}"/>
</file>

<file path=customXml/itemProps3.xml><?xml version="1.0" encoding="utf-8"?>
<ds:datastoreItem xmlns:ds="http://schemas.openxmlformats.org/officeDocument/2006/customXml" ds:itemID="{EA636035-C7AF-4EB3-A8C7-BA0CAA3BE73A}"/>
</file>

<file path=customXml/itemProps4.xml><?xml version="1.0" encoding="utf-8"?>
<ds:datastoreItem xmlns:ds="http://schemas.openxmlformats.org/officeDocument/2006/customXml" ds:itemID="{6E8ED428-F902-4916-AB82-808AFFA7E5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2024-06-11T08:18:27Z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