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75" documentId="8_{167E9527-0BDB-4F80-917D-937C202D374A}" xr6:coauthVersionLast="47" xr6:coauthVersionMax="47" xr10:uidLastSave="{CFF2F06C-1EC5-4317-8211-E34D123F479D}"/>
  <bookViews>
    <workbookView xWindow="57480" yWindow="-2040" windowWidth="29040" windowHeight="15720" activeTab="2" xr2:uid="{00000000-000D-0000-FFFF-FFFF00000000}"/>
  </bookViews>
  <sheets>
    <sheet name="Pivot" sheetId="2" r:id="rId1"/>
    <sheet name="Delivery Timesheets" sheetId="3" r:id="rId2"/>
    <sheet name="Sprint 0 Timesheets" sheetId="1" r:id="rId3"/>
  </sheets>
  <calcPr calcId="191028"/>
  <pivotCaches>
    <pivotCache cacheId="6863" r:id="rId4"/>
    <pivotCache cacheId="686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1" l="1"/>
  <c r="AE20" i="3"/>
  <c r="AF20" i="3"/>
  <c r="AE21" i="3"/>
  <c r="AF21" i="3" s="1"/>
  <c r="AE22" i="3"/>
  <c r="AF22" i="3"/>
  <c r="AE23" i="3"/>
  <c r="AF23" i="3"/>
  <c r="AE24" i="3"/>
  <c r="AF24" i="3"/>
  <c r="AE25" i="3"/>
  <c r="AF25" i="3"/>
  <c r="AE26" i="3"/>
  <c r="AF26" i="3"/>
  <c r="AE27" i="3"/>
  <c r="AF27" i="3" s="1"/>
  <c r="AE28" i="3"/>
  <c r="AF28" i="3"/>
  <c r="AE29" i="3"/>
  <c r="AF29" i="3"/>
  <c r="AE30" i="3"/>
  <c r="AF30" i="3"/>
  <c r="AE31" i="3"/>
  <c r="AF31" i="3"/>
  <c r="AE32" i="3"/>
  <c r="AF32" i="3"/>
  <c r="AE33" i="3"/>
  <c r="AF33" i="3" s="1"/>
  <c r="AE34" i="3"/>
  <c r="AF34" i="3"/>
  <c r="AE4" i="3"/>
  <c r="AF4" i="3" s="1"/>
  <c r="AE5" i="3"/>
  <c r="AF5" i="3" s="1"/>
  <c r="AE6" i="3"/>
  <c r="AF6" i="3" s="1"/>
  <c r="AE7" i="3"/>
  <c r="AF7" i="3"/>
  <c r="AE8" i="3"/>
  <c r="AF8" i="3"/>
  <c r="AE9" i="3"/>
  <c r="AF9" i="3"/>
  <c r="AE10" i="3"/>
  <c r="AF10" i="3" s="1"/>
  <c r="AE11" i="3"/>
  <c r="AF11" i="3" s="1"/>
  <c r="AE12" i="3"/>
  <c r="AF12" i="3"/>
  <c r="AE13" i="3"/>
  <c r="AF13" i="3" s="1"/>
  <c r="AE14" i="3"/>
  <c r="AF14" i="3" s="1"/>
  <c r="AE15" i="3"/>
  <c r="AF15" i="3" s="1"/>
  <c r="AE16" i="3"/>
  <c r="AF16" i="3" s="1"/>
  <c r="AE17" i="3"/>
  <c r="AF17" i="3"/>
  <c r="AE18" i="3"/>
  <c r="AF18" i="3" s="1"/>
  <c r="AE19" i="3"/>
  <c r="AF19" i="3"/>
  <c r="AE43" i="1"/>
  <c r="AF43" i="1" s="1"/>
  <c r="AE44" i="1"/>
  <c r="AF44" i="1" s="1"/>
  <c r="AE45" i="1"/>
  <c r="AF45" i="1"/>
  <c r="AE46" i="1"/>
  <c r="AF46" i="1"/>
  <c r="AE47" i="1"/>
  <c r="AF47" i="1"/>
  <c r="AE48" i="1"/>
  <c r="AF48" i="1" s="1"/>
  <c r="AE49" i="1"/>
  <c r="AF49" i="1" s="1"/>
  <c r="AE50" i="1"/>
  <c r="AF50" i="1" s="1"/>
  <c r="AE51" i="1"/>
  <c r="AF51" i="1" s="1"/>
  <c r="AE52" i="1"/>
  <c r="AF52" i="1"/>
  <c r="AE53" i="1"/>
  <c r="AF53" i="1"/>
  <c r="AE3" i="3" l="1"/>
  <c r="AF3" i="3" s="1"/>
  <c r="AE2" i="3"/>
  <c r="AF2" i="3" s="1"/>
  <c r="AE33" i="1"/>
  <c r="AF33" i="1" s="1"/>
  <c r="AE34" i="1"/>
  <c r="AF34" i="1"/>
  <c r="AE35" i="1"/>
  <c r="AF35" i="1" s="1"/>
  <c r="AE36" i="1"/>
  <c r="AF36" i="1"/>
  <c r="AE37" i="1"/>
  <c r="AF37" i="1"/>
  <c r="AE38" i="1"/>
  <c r="AF38" i="1" s="1"/>
  <c r="AE39" i="1"/>
  <c r="AF39" i="1" s="1"/>
  <c r="AE40" i="1"/>
  <c r="AF40" i="1"/>
  <c r="AE41" i="1"/>
  <c r="AF41" i="1" s="1"/>
  <c r="AE42" i="1"/>
  <c r="AF42" i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3" i="1"/>
  <c r="AF3" i="1" s="1"/>
  <c r="AE4" i="1"/>
  <c r="AF4" i="1" s="1"/>
  <c r="AE5" i="1"/>
  <c r="AF5" i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2" i="1"/>
</calcChain>
</file>

<file path=xl/sharedStrings.xml><?xml version="1.0" encoding="utf-8"?>
<sst xmlns="http://schemas.openxmlformats.org/spreadsheetml/2006/main" count="1919" uniqueCount="109">
  <si>
    <t>Sprint 0</t>
  </si>
  <si>
    <t>Month</t>
  </si>
  <si>
    <t>(All)</t>
  </si>
  <si>
    <t>&lt;- Filter By Month</t>
  </si>
  <si>
    <t>Billable Timecode</t>
  </si>
  <si>
    <t>Billable timecode</t>
  </si>
  <si>
    <t>Sum of Hours</t>
  </si>
  <si>
    <t>Column Labels</t>
  </si>
  <si>
    <t>Row Labels</t>
  </si>
  <si>
    <t>Delivery</t>
  </si>
  <si>
    <t>Grand Total</t>
  </si>
  <si>
    <t>Sam Duncan</t>
  </si>
  <si>
    <t>Nikki Papenfus</t>
  </si>
  <si>
    <r>
      <t>Project Phases</t>
    </r>
    <r>
      <rPr>
        <sz val="9"/>
        <color rgb="FFFFFFFF"/>
        <rFont val="Verdana"/>
        <family val="2"/>
      </rPr>
      <t> </t>
    </r>
  </si>
  <si>
    <t>Duration</t>
  </si>
  <si>
    <t>Lower Bound</t>
  </si>
  <si>
    <t>Upper Bound</t>
  </si>
  <si>
    <t>Delivery (Non-Billable)</t>
  </si>
  <si>
    <t>Sprint 0 Overrun</t>
  </si>
  <si>
    <t>Sprint 0 </t>
  </si>
  <si>
    <t>2-3 weeks </t>
  </si>
  <si>
    <t xml:space="preserve">£6,000 </t>
  </si>
  <si>
    <t xml:space="preserve"> £9,000 </t>
  </si>
  <si>
    <t>Shaun Barrett</t>
  </si>
  <si>
    <t>Sprint 1 - 2</t>
  </si>
  <si>
    <t>3-6 weeks</t>
  </si>
  <si>
    <t xml:space="preserve">£23,400 </t>
  </si>
  <si>
    <t xml:space="preserve"> £46,800 </t>
  </si>
  <si>
    <t>Jacob Smycz</t>
  </si>
  <si>
    <t>UAT </t>
  </si>
  <si>
    <t>2 weeks </t>
  </si>
  <si>
    <t xml:space="preserve">£3,600 </t>
  </si>
  <si>
    <t xml:space="preserve"> £3,600 </t>
  </si>
  <si>
    <t>Khonani Davhana</t>
  </si>
  <si>
    <t>Production Deployment &amp; Post Go-Live Support </t>
  </si>
  <si>
    <t>User guide creation</t>
  </si>
  <si>
    <t>Done in parallel with sprints </t>
  </si>
  <si>
    <t xml:space="preserve">£3,150 </t>
  </si>
  <si>
    <t xml:space="preserve"> £3,150 </t>
  </si>
  <si>
    <t>Tafadzwa Toro</t>
  </si>
  <si>
    <t>Total</t>
  </si>
  <si>
    <t>9 -13 weeks</t>
  </si>
  <si>
    <t xml:space="preserve">£39,750 </t>
  </si>
  <si>
    <t xml:space="preserve"> £66,150 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</si>
  <si>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</si>
  <si>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</si>
  <si>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</si>
  <si>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</si>
  <si>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</si>
  <si>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</si>
  <si>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</si>
  <si>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</si>
  <si>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</si>
  <si>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</si>
  <si>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</si>
  <si>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</si>
  <si>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</si>
  <si>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</si>
  <si>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</si>
  <si>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</si>
  <si>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</si>
  <si>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</si>
  <si>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</si>
  <si>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</si>
  <si>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</si>
  <si>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</si>
  <si>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</si>
  <si>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</si>
  <si>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</si>
  <si>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</si>
  <si>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</si>
  <si>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</si>
  <si>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</si>
  <si>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</si>
  <si>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Salaried / Fixed</t>
  </si>
  <si>
    <t>Open Box Software (Pty) Ltd (Open Box SA)</t>
  </si>
  <si>
    <t>Salesforce</t>
  </si>
  <si>
    <t>SA</t>
  </si>
  <si>
    <t>Grainger PLC</t>
  </si>
  <si>
    <t>OB-000726</t>
  </si>
  <si>
    <t>Right to Rent - Delivery (FC)</t>
  </si>
  <si>
    <t>Billable</t>
  </si>
  <si>
    <t>Non-billable timecode</t>
  </si>
  <si>
    <t>Standard Timecode</t>
  </si>
  <si>
    <t>GBP</t>
  </si>
  <si>
    <t>Reviewed</t>
  </si>
  <si>
    <t xml:space="preserve"> </t>
  </si>
  <si>
    <t>Not submitted</t>
  </si>
  <si>
    <t>Custom Software</t>
  </si>
  <si>
    <t>Andrew Pollock</t>
  </si>
  <si>
    <t>Story point estimation (1h45)</t>
  </si>
  <si>
    <t>Estimation</t>
  </si>
  <si>
    <t>Carami Viljoen</t>
  </si>
  <si>
    <t>OB-000720</t>
  </si>
  <si>
    <t>Right to Rent - Sprint 0 (T&amp;M)</t>
  </si>
  <si>
    <t>Time Report</t>
  </si>
  <si>
    <t>time report</t>
  </si>
  <si>
    <t>Kick off Meeting</t>
  </si>
  <si>
    <t>IN08605</t>
  </si>
  <si>
    <t xml:space="preserve">Sachin  Deshmukh </t>
  </si>
  <si>
    <t>Hourly</t>
  </si>
  <si>
    <t>Project Intro</t>
  </si>
  <si>
    <t>Sprint Estimation</t>
  </si>
  <si>
    <t>Right to Rent Estimation #2</t>
  </si>
  <si>
    <t>Kickoff call</t>
  </si>
  <si>
    <t>Design session with Nikki</t>
  </si>
  <si>
    <t>Brainstorm with Nikki (1 hour)</t>
  </si>
  <si>
    <t>Internal kickoff (30 mins) Final alignment (1 hour</t>
  </si>
  <si>
    <t>Scoping session with Nikki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</si>
</sst>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FFFFFF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12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19" fillId="0" borderId="0" xfId="0" applyFont="1"/>
    <xf numFmtId="164" fontId="0" fillId="0" borderId="0" xfId="0" applyNumberFormat="1"/>
    <xf numFmtId="0" fontId="20" fillId="0" borderId="10" xfId="0" applyFont="1" applyBorder="1"/>
    <xf numFmtId="0" fontId="21" fillId="0" borderId="0" xfId="0" applyFont="1"/>
    <xf numFmtId="0" fontId="23" fillId="0" borderId="0" xfId="0" applyFont="1"/>
    <xf numFmtId="0" fontId="24" fillId="0" borderId="10" xfId="0" applyFont="1" applyBorder="1"/>
    <xf numFmtId="0" fontId="25" fillId="0" borderId="11" xfId="0" applyFont="1" applyBorder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87.456893287039" createdVersion="8" refreshedVersion="8" minRefreshableVersion="3" recordCount="52" xr:uid="{9B5C09EB-B415-4EBA-92E3-F74C715E3564}">
  <cacheSource type="worksheet">
    <worksheetSource ref="A1:AF53" sheet="Sprint 0 Timesheets"/>
  </cacheSource>
  <cacheFields count="32">
    <cacheField name="Date" numFmtId="15">
      <sharedItems containsSemiMixedTypes="0" containsNonDate="0" containsDate="1" containsString="0" minDate="2024-09-09T00:00:00" maxDate="2024-10-16T00:00:00"/>
    </cacheField>
    <cacheField name="Person" numFmtId="0">
      <sharedItems count="6">
        <s v="Carami Viljoen"/>
        <s v="Jacob Smycz"/>
        <s v="Nikki Papenfus"/>
        <s v="Sachin  Deshmukh 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95307" maxValue="312316"/>
    </cacheField>
    <cacheField name="Timecode Name" numFmtId="0">
      <sharedItems count="2">
        <s v="Delivery (Non-Billable)"/>
        <s v="Deliver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"/>
    </cacheField>
    <cacheField name="Time" numFmtId="20">
      <sharedItems containsSemiMixedTypes="0" containsNonDate="0" containsDate="1" containsString="0" minDate="1899-12-30T00:15:00" maxDate="1899-12-30T07:00:00"/>
    </cacheField>
    <cacheField name="Worked Amount" numFmtId="0">
      <sharedItems containsSemiMixedTypes="0" containsString="0" containsNumber="1" minValue="0" maxValue="630"/>
    </cacheField>
    <cacheField name="Invoiced Amount" numFmtId="0">
      <sharedItems containsString="0" containsBlank="1" containsNumber="1" minValue="37.5" maxValue="1050"/>
    </cacheField>
    <cacheField name="Invoiced Delta" numFmtId="0">
      <sharedItems containsString="0" containsBlank="1" containsNumber="1" containsInteger="1" minValue="15" maxValue="4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9" maxValue="10"/>
    </cacheField>
    <cacheField name="Month" numFmtId="0">
      <sharedItems count="2">
        <s v="September"/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87.457502083336" createdVersion="8" refreshedVersion="8" minRefreshableVersion="3" recordCount="33" xr:uid="{CC18EAD1-0E8D-432A-B24F-1A59AAE458C5}">
  <cacheSource type="worksheet">
    <worksheetSource ref="A1:AF34" sheet="Delivery Timesheets"/>
  </cacheSource>
  <cacheFields count="32">
    <cacheField name="Date" numFmtId="15">
      <sharedItems containsSemiMixedTypes="0" containsNonDate="0" containsDate="1" containsString="0" minDate="2024-10-02T00:00:00" maxDate="2024-10-22T00:00:00"/>
    </cacheField>
    <cacheField name="Person" numFmtId="0">
      <sharedItems count="6">
        <s v="Jacob Smycz"/>
        <s v="Khonani Davhana"/>
        <s v="Nikki Papenfus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5483" maxValue="312545"/>
    </cacheField>
    <cacheField name="Timecode Name" numFmtId="0">
      <sharedItems count="3">
        <s v="Delivery (Non-Billable)"/>
        <s v="Delivery"/>
        <s v="Sprint 0 Overrun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.75"/>
    </cacheField>
    <cacheField name="Time" numFmtId="20">
      <sharedItems containsSemiMixedTypes="0" containsNonDate="0" containsDate="1" containsString="0" minDate="1899-12-30T00:15:00" maxDate="1899-12-30T04:45:00"/>
    </cacheField>
    <cacheField name="Worked Amount" numFmtId="0">
      <sharedItems containsSemiMixedTypes="0" containsString="0" containsNumber="1" minValue="0" maxValue="42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0" maxValue="10"/>
    </cacheField>
    <cacheField name="Month" numFmtId="0">
      <sharedItems count="1"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d v="2024-09-23T00:00:00"/>
    <x v="0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0856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0"/>
  </r>
  <r>
    <d v="2024-09-30T00:00:00"/>
    <x v="0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4593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0"/>
  </r>
  <r>
    <d v="2024-10-07T00:00:00"/>
    <x v="0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7189"/>
    <x v="0"/>
    <x v="0"/>
    <s v="Standard Timecode"/>
    <n v="0"/>
    <n v="0.25"/>
    <d v="1899-12-30T00:15:00"/>
    <n v="0"/>
    <m/>
    <m/>
    <m/>
    <s v="GBP"/>
    <s v="Reviewed"/>
    <s v="Time Report"/>
    <s v="Not submitted"/>
    <n v="10"/>
    <x v="1"/>
  </r>
  <r>
    <d v="2024-10-14T00:00:00"/>
    <x v="0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9575"/>
    <x v="0"/>
    <x v="0"/>
    <s v="Standard Timecode"/>
    <n v="0"/>
    <n v="0.25"/>
    <d v="1899-12-30T00:15:00"/>
    <n v="0"/>
    <m/>
    <m/>
    <m/>
    <s v="GBP"/>
    <s v="Reviewed"/>
    <s v="Time Report"/>
    <s v="Not submitted"/>
    <n v="10"/>
    <x v="1"/>
  </r>
  <r>
    <d v="2024-09-10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295597"/>
    <x v="0"/>
    <x v="0"/>
    <s v="Standard Timecode"/>
    <n v="0"/>
    <n v="1"/>
    <d v="1899-12-30T01:00:00"/>
    <n v="0"/>
    <m/>
    <m/>
    <m/>
    <s v="GBP"/>
    <s v="Reviewed"/>
    <s v="Kick off Meeting"/>
    <s v="Not submitted"/>
    <n v="9"/>
    <x v="0"/>
  </r>
  <r>
    <d v="2024-09-12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296751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20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0039"/>
    <x v="0"/>
    <x v="0"/>
    <s v="Standard Timecode"/>
    <n v="0"/>
    <n v="1"/>
    <d v="1899-12-30T01:00:00"/>
    <n v="0"/>
    <m/>
    <m/>
    <m/>
    <s v="GBP"/>
    <s v="Reviewed"/>
    <s v=" "/>
    <s v="Not submitted"/>
    <n v="9"/>
    <x v="0"/>
  </r>
  <r>
    <d v="2024-09-26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1819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  <r>
    <d v="2024-10-01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5367"/>
    <x v="0"/>
    <x v="0"/>
    <s v="Standard Timecode"/>
    <n v="0"/>
    <n v="1"/>
    <d v="1899-12-30T01:00:00"/>
    <n v="0"/>
    <m/>
    <m/>
    <m/>
    <s v="GBP"/>
    <s v="Reviewed"/>
    <s v=" "/>
    <s v="Not submitted"/>
    <n v="10"/>
    <x v="1"/>
  </r>
  <r>
    <d v="2024-10-03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5842"/>
    <x v="0"/>
    <x v="0"/>
    <s v="Standard Timecode"/>
    <n v="0"/>
    <n v="1"/>
    <d v="1899-12-30T01:00:00"/>
    <n v="0"/>
    <m/>
    <m/>
    <m/>
    <s v="GBP"/>
    <s v="Reviewed"/>
    <s v=" "/>
    <s v="Not submitted"/>
    <n v="10"/>
    <x v="1"/>
  </r>
  <r>
    <d v="2024-10-08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7716"/>
    <x v="0"/>
    <x v="0"/>
    <s v="Standard Timecode"/>
    <n v="0"/>
    <n v="1"/>
    <d v="1899-12-30T01:00:00"/>
    <n v="0"/>
    <m/>
    <m/>
    <m/>
    <s v="GBP"/>
    <s v="Reviewed"/>
    <s v=" "/>
    <s v="Not submitted"/>
    <n v="10"/>
    <x v="1"/>
  </r>
  <r>
    <d v="2024-10-10T00:00:00"/>
    <x v="1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8436"/>
    <x v="0"/>
    <x v="0"/>
    <s v="Standard Timecode"/>
    <n v="0"/>
    <n v="0.5"/>
    <d v="1899-12-30T00:30:00"/>
    <n v="0"/>
    <m/>
    <m/>
    <m/>
    <s v="GBP"/>
    <s v="Reviewed"/>
    <s v=" "/>
    <s v="Not submitted"/>
    <n v="10"/>
    <x v="1"/>
  </r>
  <r>
    <d v="2024-09-09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5307"/>
    <x v="1"/>
    <x v="1"/>
    <s v="Standard Timecode"/>
    <n v="90"/>
    <n v="2.25"/>
    <d v="1899-12-30T02:15:00"/>
    <n v="202.5"/>
    <n v="337.5"/>
    <n v="135"/>
    <s v="IN08605"/>
    <s v="GBP"/>
    <s v="Reviewed"/>
    <s v=" "/>
    <s v="Not submitted"/>
    <n v="9"/>
    <x v="0"/>
  </r>
  <r>
    <d v="2024-09-10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5796"/>
    <x v="1"/>
    <x v="1"/>
    <s v="Standard Timecode"/>
    <n v="90"/>
    <n v="1.25"/>
    <d v="1899-12-30T01:15:00"/>
    <n v="112.5"/>
    <n v="187.5"/>
    <n v="75"/>
    <s v="IN08605"/>
    <s v="GBP"/>
    <s v="Reviewed"/>
    <s v=" "/>
    <s v="Not submitted"/>
    <n v="9"/>
    <x v="0"/>
  </r>
  <r>
    <d v="2024-09-11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6231"/>
    <x v="1"/>
    <x v="1"/>
    <s v="Standard Timecode"/>
    <n v="90"/>
    <n v="0.25"/>
    <d v="1899-12-30T00:15:00"/>
    <n v="22.5"/>
    <n v="37.5"/>
    <n v="15"/>
    <s v="IN08605"/>
    <s v="GBP"/>
    <s v="Reviewed"/>
    <s v=" "/>
    <s v="Not submitted"/>
    <n v="9"/>
    <x v="0"/>
  </r>
  <r>
    <d v="2024-09-12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6762"/>
    <x v="1"/>
    <x v="1"/>
    <s v="Standard Timecode"/>
    <n v="90"/>
    <n v="4.75"/>
    <d v="1899-12-30T04:45:00"/>
    <n v="427.5"/>
    <n v="712.5"/>
    <n v="285"/>
    <s v="IN08605"/>
    <s v="GBP"/>
    <s v="Reviewed"/>
    <s v=" "/>
    <s v="Not submitted"/>
    <n v="9"/>
    <x v="0"/>
  </r>
  <r>
    <d v="2024-09-13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7337"/>
    <x v="1"/>
    <x v="1"/>
    <s v="Standard Timecode"/>
    <n v="90"/>
    <n v="2"/>
    <d v="1899-12-30T02:00:00"/>
    <n v="180"/>
    <n v="300"/>
    <n v="120"/>
    <s v="IN08605"/>
    <s v="GBP"/>
    <s v="Reviewed"/>
    <s v=" "/>
    <s v="Not submitted"/>
    <n v="9"/>
    <x v="0"/>
  </r>
  <r>
    <d v="2024-09-16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8126"/>
    <x v="1"/>
    <x v="1"/>
    <s v="Standard Timecode"/>
    <n v="90"/>
    <n v="0.25"/>
    <d v="1899-12-30T00:15:00"/>
    <n v="22.5"/>
    <n v="37.5"/>
    <n v="15"/>
    <s v="IN08605"/>
    <s v="GBP"/>
    <s v="Reviewed"/>
    <s v=" "/>
    <s v="Not submitted"/>
    <n v="9"/>
    <x v="0"/>
  </r>
  <r>
    <d v="2024-09-17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8527"/>
    <x v="1"/>
    <x v="1"/>
    <s v="Standard Timecode"/>
    <n v="90"/>
    <n v="3"/>
    <d v="1899-12-30T03:00:00"/>
    <n v="270"/>
    <n v="450"/>
    <n v="180"/>
    <s v="IN08605"/>
    <s v="GBP"/>
    <s v="Reviewed"/>
    <s v=" "/>
    <s v="Not submitted"/>
    <n v="9"/>
    <x v="0"/>
  </r>
  <r>
    <d v="2024-09-18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9113"/>
    <x v="1"/>
    <x v="1"/>
    <s v="Standard Timecode"/>
    <n v="90"/>
    <n v="4"/>
    <d v="1899-12-30T04:00:00"/>
    <n v="360"/>
    <n v="600"/>
    <n v="240"/>
    <s v="IN08605"/>
    <s v="GBP"/>
    <s v="Reviewed"/>
    <s v=" "/>
    <s v="Not submitted"/>
    <n v="9"/>
    <x v="0"/>
  </r>
  <r>
    <d v="2024-09-19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9601"/>
    <x v="1"/>
    <x v="1"/>
    <s v="Standard Timecode"/>
    <n v="90"/>
    <n v="7"/>
    <d v="1899-12-30T07:00:00"/>
    <n v="630"/>
    <n v="1050"/>
    <n v="420"/>
    <s v="IN08605"/>
    <s v="GBP"/>
    <s v="Reviewed"/>
    <s v=" "/>
    <s v="Not submitted"/>
    <n v="9"/>
    <x v="0"/>
  </r>
  <r>
    <d v="2024-09-20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0229"/>
    <x v="1"/>
    <x v="1"/>
    <s v="Standard Timecode"/>
    <n v="90"/>
    <n v="5.75"/>
    <d v="1899-12-30T05:45:00"/>
    <n v="517.5"/>
    <n v="862.5"/>
    <n v="345"/>
    <s v="IN08605"/>
    <s v="GBP"/>
    <s v="Reviewed"/>
    <s v=" "/>
    <s v="Not submitted"/>
    <n v="9"/>
    <x v="0"/>
  </r>
  <r>
    <d v="2024-09-23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0824"/>
    <x v="1"/>
    <x v="1"/>
    <s v="Standard Timecode"/>
    <n v="90"/>
    <n v="5"/>
    <d v="1899-12-30T05:00:00"/>
    <n v="450"/>
    <n v="750"/>
    <n v="300"/>
    <s v="IN08605"/>
    <s v="GBP"/>
    <s v="Reviewed"/>
    <s v=" "/>
    <s v="Not submitted"/>
    <n v="9"/>
    <x v="0"/>
  </r>
  <r>
    <d v="2024-09-24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1042"/>
    <x v="1"/>
    <x v="1"/>
    <s v="Standard Timecode"/>
    <n v="90"/>
    <n v="4.5"/>
    <d v="1899-12-30T04:30:00"/>
    <n v="405"/>
    <n v="675"/>
    <n v="270"/>
    <s v="IN08605"/>
    <s v="GBP"/>
    <s v="Reviewed"/>
    <s v=" "/>
    <s v="Not submitted"/>
    <n v="9"/>
    <x v="0"/>
  </r>
  <r>
    <d v="2024-09-26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2000"/>
    <x v="1"/>
    <x v="1"/>
    <s v="Standard Timecode"/>
    <n v="90"/>
    <n v="3.5"/>
    <d v="1899-12-30T03:30:00"/>
    <n v="315"/>
    <n v="525"/>
    <n v="210"/>
    <s v="IN08605"/>
    <s v="GBP"/>
    <s v="Reviewed"/>
    <s v=" "/>
    <s v="Not submitted"/>
    <n v="9"/>
    <x v="0"/>
  </r>
  <r>
    <d v="2024-09-27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2531"/>
    <x v="1"/>
    <x v="1"/>
    <s v="Standard Timecode"/>
    <n v="90"/>
    <n v="1"/>
    <d v="1899-12-30T01:00:00"/>
    <n v="90"/>
    <n v="150"/>
    <n v="60"/>
    <s v="IN08605"/>
    <s v="GBP"/>
    <s v="Reviewed"/>
    <s v=" "/>
    <s v="Not submitted"/>
    <n v="9"/>
    <x v="0"/>
  </r>
  <r>
    <d v="2024-10-01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5286"/>
    <x v="1"/>
    <x v="1"/>
    <s v="Standard Timecode"/>
    <n v="90"/>
    <n v="3.25"/>
    <d v="1899-12-30T03:15:00"/>
    <n v="292.5"/>
    <m/>
    <m/>
    <m/>
    <s v="GBP"/>
    <s v="Reviewed"/>
    <s v=" "/>
    <s v="Not submitted"/>
    <n v="10"/>
    <x v="1"/>
  </r>
  <r>
    <d v="2024-10-03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5978"/>
    <x v="1"/>
    <x v="1"/>
    <s v="Standard Timecode"/>
    <n v="90"/>
    <n v="5.75"/>
    <d v="1899-12-30T05:45:00"/>
    <n v="517.5"/>
    <m/>
    <m/>
    <m/>
    <s v="GBP"/>
    <s v="Reviewed"/>
    <s v=" "/>
    <s v="Not submitted"/>
    <n v="10"/>
    <x v="1"/>
  </r>
  <r>
    <d v="2024-10-08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6903"/>
    <x v="1"/>
    <x v="1"/>
    <s v="Standard Timecode"/>
    <n v="90"/>
    <n v="2.25"/>
    <d v="1899-12-30T02:15:00"/>
    <n v="202.5"/>
    <m/>
    <m/>
    <m/>
    <s v="GBP"/>
    <s v="Reviewed"/>
    <s v=" "/>
    <s v="Not submitted"/>
    <n v="10"/>
    <x v="1"/>
  </r>
  <r>
    <d v="2024-10-11T00:00:00"/>
    <x v="2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9544"/>
    <x v="1"/>
    <x v="1"/>
    <s v="Standard Timecode"/>
    <n v="90"/>
    <n v="0.75"/>
    <d v="1899-12-30T00:45:00"/>
    <n v="67.5"/>
    <m/>
    <m/>
    <m/>
    <s v="GBP"/>
    <s v="Reviewed"/>
    <s v=" "/>
    <s v="Not submitted"/>
    <n v="10"/>
    <x v="1"/>
  </r>
  <r>
    <d v="2024-10-08T00:00:00"/>
    <x v="3"/>
    <s v="Hourly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8703"/>
    <x v="0"/>
    <x v="0"/>
    <s v="Standard Timecode"/>
    <n v="0"/>
    <n v="0.5"/>
    <d v="1899-12-30T00:30:00"/>
    <n v="0"/>
    <m/>
    <m/>
    <m/>
    <s v="GBP"/>
    <s v="Reviewed"/>
    <s v="Project Intro"/>
    <s v="Not submitted"/>
    <n v="10"/>
    <x v="1"/>
  </r>
  <r>
    <d v="2024-10-09T00:00:00"/>
    <x v="3"/>
    <s v="Hourly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8706"/>
    <x v="0"/>
    <x v="0"/>
    <s v="Standard Timecode"/>
    <n v="0"/>
    <n v="1"/>
    <d v="1899-12-30T01:00:00"/>
    <n v="0"/>
    <m/>
    <m/>
    <m/>
    <s v="GBP"/>
    <s v="Reviewed"/>
    <s v="Sprint Estimation"/>
    <s v="Not submitted"/>
    <n v="10"/>
    <x v="1"/>
  </r>
  <r>
    <d v="2024-10-10T00:00:00"/>
    <x v="3"/>
    <s v="Hourly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8714"/>
    <x v="0"/>
    <x v="0"/>
    <s v="Standard Timecode"/>
    <n v="0"/>
    <n v="1.5"/>
    <d v="1899-12-30T01:30:00"/>
    <n v="0"/>
    <m/>
    <m/>
    <m/>
    <s v="GBP"/>
    <s v="Reviewed"/>
    <s v="Right to Rent Estimation #2"/>
    <s v="Not submitted"/>
    <n v="10"/>
    <x v="1"/>
  </r>
  <r>
    <d v="2024-09-10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512"/>
    <x v="1"/>
    <x v="1"/>
    <s v="Standard Timecode"/>
    <n v="90"/>
    <n v="1"/>
    <d v="1899-12-30T01:00:00"/>
    <n v="90"/>
    <n v="150"/>
    <n v="60"/>
    <s v="IN08605"/>
    <s v="GBP"/>
    <s v="Reviewed"/>
    <s v="Kickoff call"/>
    <s v="Not submitted"/>
    <n v="9"/>
    <x v="0"/>
  </r>
  <r>
    <d v="2024-09-23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2552"/>
    <x v="1"/>
    <x v="1"/>
    <s v="Standard Timecode"/>
    <n v="90"/>
    <n v="0.5"/>
    <d v="1899-12-30T00:30:00"/>
    <n v="45"/>
    <n v="75"/>
    <n v="30"/>
    <s v="IN08605"/>
    <s v="GBP"/>
    <s v="Reviewed"/>
    <s v="Design session with Nikki"/>
    <s v="Not submitted"/>
    <n v="9"/>
    <x v="0"/>
  </r>
  <r>
    <d v="2024-09-24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2555"/>
    <x v="1"/>
    <x v="1"/>
    <s v="Standard Timecode"/>
    <n v="90"/>
    <n v="0.5"/>
    <d v="1899-12-30T00:30:00"/>
    <n v="45"/>
    <n v="75"/>
    <n v="30"/>
    <s v="IN08605"/>
    <s v="GBP"/>
    <s v="Reviewed"/>
    <s v="Design session with Nikki"/>
    <s v="Not submitted"/>
    <n v="9"/>
    <x v="0"/>
  </r>
  <r>
    <d v="2024-10-02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6787"/>
    <x v="1"/>
    <x v="1"/>
    <s v="Standard Timecode"/>
    <n v="90"/>
    <n v="1"/>
    <d v="1899-12-30T01:00:00"/>
    <n v="90"/>
    <m/>
    <m/>
    <m/>
    <s v="GBP"/>
    <s v="Reviewed"/>
    <s v="Brainstorm with Nikki (1 hour)"/>
    <s v="Not submitted"/>
    <n v="10"/>
    <x v="1"/>
  </r>
  <r>
    <d v="2024-10-07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9475"/>
    <x v="1"/>
    <x v="1"/>
    <s v="Standard Timecode"/>
    <n v="90"/>
    <n v="0.5"/>
    <d v="1899-12-30T00:30:00"/>
    <n v="45"/>
    <m/>
    <m/>
    <m/>
    <s v="GBP"/>
    <s v="Reviewed"/>
    <s v="Internal kickoff (30 mins) Final alignment (1 hour"/>
    <s v="Not submitted"/>
    <n v="10"/>
    <x v="1"/>
  </r>
  <r>
    <d v="2024-10-15T00:00:00"/>
    <x v="4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12316"/>
    <x v="1"/>
    <x v="1"/>
    <s v="Standard Timecode"/>
    <n v="90"/>
    <n v="0.5"/>
    <d v="1899-12-30T00:30:00"/>
    <n v="45"/>
    <m/>
    <m/>
    <m/>
    <s v="GBP"/>
    <m/>
    <s v="Scoping session with Nikki"/>
    <s v="Not submitted"/>
    <n v="10"/>
    <x v="1"/>
  </r>
  <r>
    <d v="2024-09-10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5853"/>
    <x v="0"/>
    <x v="0"/>
    <s v="Standard Timecode"/>
    <n v="0"/>
    <n v="1.25"/>
    <d v="1899-12-30T01:15:00"/>
    <n v="0"/>
    <m/>
    <m/>
    <m/>
    <s v="GBP"/>
    <s v="Reviewed"/>
    <s v=" "/>
    <s v="Not submitted"/>
    <n v="9"/>
    <x v="0"/>
  </r>
  <r>
    <d v="2024-09-11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5852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2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013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3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291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  <r>
    <d v="2024-09-16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8099"/>
    <x v="0"/>
    <x v="0"/>
    <s v="Standard Timecode"/>
    <n v="0"/>
    <n v="0.75"/>
    <d v="1899-12-30T00:45:00"/>
    <n v="0"/>
    <m/>
    <m/>
    <m/>
    <s v="GBP"/>
    <s v="Reviewed"/>
    <s v=" "/>
    <s v="Not submitted"/>
    <n v="9"/>
    <x v="0"/>
  </r>
  <r>
    <d v="2024-09-17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8904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8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9339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9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9694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  <r>
    <d v="2024-09-20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0199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  <r>
    <d v="2024-10-01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5631"/>
    <x v="0"/>
    <x v="0"/>
    <s v="Standard Timecode"/>
    <n v="0"/>
    <n v="0.25"/>
    <d v="1899-12-30T00:15:00"/>
    <n v="0"/>
    <m/>
    <m/>
    <m/>
    <s v="GBP"/>
    <s v="Reviewed"/>
    <s v=" "/>
    <s v="Not submitted"/>
    <n v="10"/>
    <x v="1"/>
  </r>
  <r>
    <d v="2024-10-02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5633"/>
    <x v="0"/>
    <x v="0"/>
    <s v="Standard Timecode"/>
    <n v="0"/>
    <n v="1"/>
    <d v="1899-12-30T01:00:00"/>
    <n v="0"/>
    <m/>
    <m/>
    <m/>
    <s v="GBP"/>
    <s v="Reviewed"/>
    <s v=" "/>
    <s v="Not submitted"/>
    <n v="10"/>
    <x v="1"/>
  </r>
  <r>
    <d v="2024-10-03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6041"/>
    <x v="0"/>
    <x v="0"/>
    <s v="Standard Timecode"/>
    <n v="0"/>
    <n v="0.5"/>
    <d v="1899-12-30T00:30:00"/>
    <n v="0"/>
    <m/>
    <m/>
    <m/>
    <s v="GBP"/>
    <s v="Reviewed"/>
    <s v=" "/>
    <s v="Not submitted"/>
    <n v="10"/>
    <x v="1"/>
  </r>
  <r>
    <d v="2024-10-07T00:00:00"/>
    <x v="5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7311"/>
    <x v="0"/>
    <x v="0"/>
    <s v="Standard Timecode"/>
    <n v="0"/>
    <n v="0.25"/>
    <d v="1899-12-30T00:15:00"/>
    <n v="0"/>
    <m/>
    <m/>
    <m/>
    <s v="GBP"/>
    <s v="Reviewed"/>
    <s v=" "/>
    <s v="Not submitted"/>
    <n v="1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24-10-08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7718"/>
    <x v="0"/>
    <x v="0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09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7733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10T00:00:00"/>
    <x v="0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8431"/>
    <x v="0"/>
    <x v="0"/>
    <s v="Standard Timecode"/>
    <n v="0"/>
    <n v="1.75"/>
    <d v="1899-12-30T01:45:00"/>
    <n v="0"/>
    <m/>
    <m/>
    <m/>
    <s v="GBP"/>
    <s v="Reviewed"/>
    <s v=" "/>
    <s v="Not submitted"/>
    <n v="10"/>
    <x v="0"/>
  </r>
  <r>
    <d v="2024-10-08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946"/>
    <x v="1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09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945"/>
    <x v="1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10T00:00:00"/>
    <x v="1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690"/>
    <x v="1"/>
    <x v="1"/>
    <s v="Standard Timecode"/>
    <n v="90"/>
    <n v="2"/>
    <d v="1899-12-30T02:00:00"/>
    <n v="180"/>
    <m/>
    <m/>
    <m/>
    <s v="GBP"/>
    <s v="Reviewed"/>
    <s v=" "/>
    <s v="Not submitted"/>
    <n v="10"/>
    <x v="0"/>
  </r>
  <r>
    <d v="2024-10-02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5483"/>
    <x v="2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07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6897"/>
    <x v="2"/>
    <x v="1"/>
    <s v="Standard Timecode"/>
    <n v="90"/>
    <n v="4.75"/>
    <d v="1899-12-30T04:45:00"/>
    <n v="427.5"/>
    <m/>
    <m/>
    <m/>
    <s v="GBP"/>
    <s v="Reviewed"/>
    <s v=" "/>
    <s v="Not submitted"/>
    <n v="10"/>
    <x v="0"/>
  </r>
  <r>
    <d v="2024-10-08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7499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0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8468"/>
    <x v="2"/>
    <x v="1"/>
    <s v="Standard Timecode"/>
    <n v="90"/>
    <n v="2.5"/>
    <d v="1899-12-30T02:30:00"/>
    <n v="225"/>
    <m/>
    <m/>
    <m/>
    <s v="GBP"/>
    <s v="Reviewed"/>
    <s v=" "/>
    <s v="Not submitted"/>
    <n v="10"/>
    <x v="0"/>
  </r>
  <r>
    <d v="2024-10-11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9119"/>
    <x v="2"/>
    <x v="1"/>
    <s v="Standard Timecode"/>
    <n v="90"/>
    <n v="0.75"/>
    <d v="1899-12-30T00:45:00"/>
    <n v="67.5"/>
    <m/>
    <m/>
    <m/>
    <s v="GBP"/>
    <s v="Reviewed"/>
    <s v=" "/>
    <s v="Not submitted"/>
    <n v="10"/>
    <x v="0"/>
  </r>
  <r>
    <d v="2024-10-14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09509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5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0138"/>
    <x v="2"/>
    <x v="1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16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0630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7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1051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8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1593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21T00:00:00"/>
    <x v="2"/>
    <s v="Salaried / Fixed"/>
    <s v="Open Box Software (Pty) Ltd (Open Box SA)"/>
    <s v="Custom Software"/>
    <s v="SA"/>
    <s v="Grainger PLC"/>
    <s v="OB-000726"/>
    <s v="Right to Rent - Delivery (FC)"/>
    <s v="Billable"/>
    <s v="Open Box Software (Pty) Ltd (Open Box SA)"/>
    <s v="Shaun Barrett"/>
    <s v="Sam Duncan"/>
    <s v="Andrew Pollock"/>
    <s v="Delivery"/>
    <n v="312097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0T00:00:00"/>
    <x v="3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488"/>
    <x v="2"/>
    <x v="1"/>
    <s v="Standard Timecode"/>
    <n v="90"/>
    <n v="1.75"/>
    <d v="1899-12-30T01:45:00"/>
    <n v="157.5"/>
    <m/>
    <m/>
    <m/>
    <s v="GBP"/>
    <s v="Reviewed"/>
    <s v="Story point estimation (1h45)"/>
    <s v="Not submitted"/>
    <n v="10"/>
    <x v="0"/>
  </r>
  <r>
    <d v="2024-10-03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50"/>
    <x v="0"/>
    <x v="0"/>
    <s v="Standard Timecode"/>
    <n v="0"/>
    <n v="1.5"/>
    <d v="1899-12-30T01:30:00"/>
    <n v="0"/>
    <m/>
    <m/>
    <m/>
    <s v="GBP"/>
    <s v="Reviewed"/>
    <s v=" "/>
    <s v="Not submitted"/>
    <n v="10"/>
    <x v="0"/>
  </r>
  <r>
    <d v="2024-10-04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6049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07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7310"/>
    <x v="0"/>
    <x v="0"/>
    <s v="Standard Timecode"/>
    <n v="0"/>
    <n v="1"/>
    <d v="1899-12-30T01:00:00"/>
    <n v="0"/>
    <m/>
    <m/>
    <m/>
    <s v="GBP"/>
    <s v="Reviewed"/>
    <s v=" "/>
    <s v="Not submitted"/>
    <n v="10"/>
    <x v="0"/>
  </r>
  <r>
    <d v="2024-10-08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6"/>
    <x v="2"/>
    <x v="1"/>
    <s v="Standard Timecode"/>
    <n v="90"/>
    <n v="1"/>
    <d v="1899-12-30T01:00:00"/>
    <n v="90"/>
    <m/>
    <m/>
    <m/>
    <s v="GBP"/>
    <s v="Reviewed"/>
    <s v=" "/>
    <s v="Not submitted"/>
    <n v="10"/>
    <x v="0"/>
  </r>
  <r>
    <d v="2024-10-09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7"/>
    <x v="2"/>
    <x v="1"/>
    <s v="Standard Timecode"/>
    <n v="90"/>
    <n v="1.75"/>
    <d v="1899-12-30T01:45:00"/>
    <n v="157.5"/>
    <m/>
    <m/>
    <m/>
    <s v="GBP"/>
    <s v="Reviewed"/>
    <s v=" "/>
    <s v="Not submitted"/>
    <n v="10"/>
    <x v="0"/>
  </r>
  <r>
    <d v="2024-10-10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8255"/>
    <x v="2"/>
    <x v="1"/>
    <s v="Standard Timecode"/>
    <n v="90"/>
    <n v="1.5"/>
    <d v="1899-12-30T01:30:00"/>
    <n v="135"/>
    <m/>
    <m/>
    <m/>
    <s v="GBP"/>
    <s v="Reviewed"/>
    <s v=" "/>
    <s v="Not submitted"/>
    <n v="10"/>
    <x v="0"/>
  </r>
  <r>
    <d v="2024-10-11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015"/>
    <x v="0"/>
    <x v="0"/>
    <s v="Standard Timecode"/>
    <n v="0"/>
    <n v="0.25"/>
    <d v="1899-12-30T00:15:00"/>
    <n v="0"/>
    <m/>
    <m/>
    <m/>
    <s v="GBP"/>
    <s v="Reviewed"/>
    <s v=" "/>
    <s v="Not submitted"/>
    <n v="10"/>
    <x v="0"/>
  </r>
  <r>
    <d v="2024-10-14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09675"/>
    <x v="2"/>
    <x v="1"/>
    <s v="Standard Timecode"/>
    <n v="90"/>
    <n v="0.5"/>
    <d v="1899-12-30T00:30:00"/>
    <n v="45"/>
    <m/>
    <m/>
    <m/>
    <s v="GBP"/>
    <s v="Reviewed"/>
    <s v=" "/>
    <s v="Not submitted"/>
    <n v="10"/>
    <x v="0"/>
  </r>
  <r>
    <d v="2024-10-15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0185"/>
    <x v="2"/>
    <x v="1"/>
    <s v="Standard Timecode"/>
    <n v="90"/>
    <n v="0.75"/>
    <d v="1899-12-30T00:45:00"/>
    <n v="67.5"/>
    <m/>
    <m/>
    <m/>
    <s v="GBP"/>
    <s v="Reviewed"/>
    <s v=" "/>
    <s v="Not submitted"/>
    <n v="10"/>
    <x v="0"/>
  </r>
  <r>
    <d v="2024-10-16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0850"/>
    <x v="2"/>
    <x v="1"/>
    <s v="Standard Timecode"/>
    <n v="90"/>
    <n v="0.25"/>
    <d v="1899-12-30T00:15:00"/>
    <n v="22.5"/>
    <m/>
    <m/>
    <m/>
    <s v="GBP"/>
    <m/>
    <s v=" "/>
    <s v="Not submitted"/>
    <n v="10"/>
    <x v="0"/>
  </r>
  <r>
    <d v="2024-10-17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1171"/>
    <x v="2"/>
    <x v="1"/>
    <s v="Standard Timecode"/>
    <n v="90"/>
    <n v="0.5"/>
    <d v="1899-12-30T00:30:00"/>
    <n v="45"/>
    <m/>
    <m/>
    <m/>
    <s v="GBP"/>
    <m/>
    <s v=" "/>
    <s v="Not submitted"/>
    <n v="10"/>
    <x v="0"/>
  </r>
  <r>
    <d v="2024-10-18T00:00:00"/>
    <x v="4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 "/>
    <s v="Delivery"/>
    <n v="312545"/>
    <x v="2"/>
    <x v="1"/>
    <s v="Standard Timecode"/>
    <n v="90"/>
    <n v="1"/>
    <d v="1899-12-30T01:00:00"/>
    <n v="90"/>
    <m/>
    <m/>
    <m/>
    <s v="GBP"/>
    <m/>
    <s v=" "/>
    <s v="Not submitted"/>
    <n v="10"/>
    <x v="0"/>
  </r>
  <r>
    <d v="2024-10-08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53"/>
    <x v="0"/>
    <x v="0"/>
    <s v="Standard Timecode"/>
    <n v="0"/>
    <n v="0.5"/>
    <d v="1899-12-30T00:30:00"/>
    <n v="0"/>
    <m/>
    <m/>
    <m/>
    <s v="GBP"/>
    <s v="Reviewed"/>
    <s v=" "/>
    <s v="Not submitted"/>
    <n v="10"/>
    <x v="0"/>
  </r>
  <r>
    <d v="2024-10-09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60"/>
    <x v="0"/>
    <x v="0"/>
    <s v="Standard Timecode"/>
    <n v="0"/>
    <n v="1"/>
    <d v="1899-12-30T01:00:00"/>
    <n v="0"/>
    <m/>
    <m/>
    <m/>
    <s v="GBP"/>
    <s v="Reviewed"/>
    <s v="Estimation"/>
    <s v="Not submitted"/>
    <n v="10"/>
    <x v="0"/>
  </r>
  <r>
    <d v="2024-10-10T00:00:00"/>
    <x v="5"/>
    <s v="Salaried / Fixed"/>
    <s v="Open Box Software (Pty) Ltd (Open Box SA)"/>
    <s v="Salesforce"/>
    <s v="SA"/>
    <s v="Grainger PLC"/>
    <s v="OB-000726"/>
    <s v="Right to Rent - Delivery (FC)"/>
    <s v="Billable"/>
    <s v="Open Box Software (Pty) Ltd (Open Box SA)"/>
    <s v="Shaun Barrett"/>
    <s v="Sam Duncan"/>
    <s v="Sam Duncan"/>
    <s v="Delivery"/>
    <n v="309066"/>
    <x v="0"/>
    <x v="0"/>
    <s v="Standard Timecode"/>
    <n v="0"/>
    <n v="1.75"/>
    <d v="1899-12-30T01:45:00"/>
    <n v="0"/>
    <m/>
    <m/>
    <m/>
    <s v="GBP"/>
    <s v="Reviewed"/>
    <s v="Estimation"/>
    <s v="Not submitted"/>
    <n v="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22400-753B-431B-A87F-579E2854A4E3}" name="PivotTable1" cacheId="68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10" firstHeaderRow="1" firstDataRow="2" firstDataCol="1" rowPageCount="2" colPageCount="1"/>
  <pivotFields count="32">
    <pivotField numFmtId="15" showAll="0"/>
    <pivotField axis="axisRow" showAll="0">
      <items count="7">
        <item x="4"/>
        <item x="5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56D29-3CF9-4020-895C-E712391205C4}" name="PivotTable2" cacheId="68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E27" firstHeaderRow="1" firstDataRow="2" firstDataCol="1" rowPageCount="2" colPageCount="1"/>
  <pivotFields count="32">
    <pivotField numFmtId="15" showAll="0"/>
    <pivotField axis="axisRow" showAll="0">
      <items count="7">
        <item x="4"/>
        <item x="0"/>
        <item x="1"/>
        <item x="2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pageFields count="2">
    <pageField fld="31" hier="-1"/>
    <pageField fld="17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opLeftCell="A14" workbookViewId="0">
      <selection activeCell="A14" sqref="A14"/>
    </sheetView>
  </sheetViews>
  <sheetFormatPr defaultRowHeight="14.45"/>
  <cols>
    <col min="1" max="1" width="16.28515625" bestFit="1" customWidth="1"/>
    <col min="2" max="2" width="21.28515625" bestFit="1" customWidth="1"/>
    <col min="3" max="3" width="8.28515625" style="8" bestFit="1" customWidth="1"/>
    <col min="4" max="4" width="15.28515625" bestFit="1" customWidth="1"/>
    <col min="5" max="5" width="11" bestFit="1" customWidth="1"/>
    <col min="6" max="6" width="10.5703125" bestFit="1" customWidth="1"/>
    <col min="7" max="7" width="12" customWidth="1"/>
    <col min="8" max="8" width="43.7109375" bestFit="1" customWidth="1"/>
    <col min="9" max="9" width="26.5703125" bestFit="1" customWidth="1"/>
    <col min="10" max="10" width="13.42578125" bestFit="1" customWidth="1"/>
    <col min="11" max="11" width="13.28515625" bestFit="1" customWidth="1"/>
  </cols>
  <sheetData>
    <row r="1" spans="1:7" hidden="1">
      <c r="A1" s="15" t="s">
        <v>0</v>
      </c>
    </row>
    <row r="2" spans="1:7" hidden="1"/>
    <row r="3" spans="1:7" hidden="1">
      <c r="A3" s="4" t="s">
        <v>1</v>
      </c>
      <c r="B3" t="s">
        <v>2</v>
      </c>
      <c r="D3" s="6" t="s">
        <v>3</v>
      </c>
    </row>
    <row r="4" spans="1:7" hidden="1">
      <c r="A4" s="4" t="s">
        <v>4</v>
      </c>
      <c r="B4" t="s">
        <v>5</v>
      </c>
    </row>
    <row r="5" spans="1:7" hidden="1">
      <c r="C5"/>
      <c r="G5" s="7"/>
    </row>
    <row r="6" spans="1:7" hidden="1">
      <c r="A6" s="4" t="s">
        <v>6</v>
      </c>
      <c r="B6" s="4" t="s">
        <v>7</v>
      </c>
    </row>
    <row r="7" spans="1:7" hidden="1">
      <c r="A7" s="4" t="s">
        <v>8</v>
      </c>
      <c r="B7" t="s">
        <v>9</v>
      </c>
      <c r="C7" t="s">
        <v>10</v>
      </c>
    </row>
    <row r="8" spans="1:7" hidden="1">
      <c r="A8" s="5" t="s">
        <v>11</v>
      </c>
      <c r="B8" s="9">
        <v>4</v>
      </c>
      <c r="C8" s="9">
        <v>4</v>
      </c>
    </row>
    <row r="9" spans="1:7" hidden="1">
      <c r="A9" s="5" t="s">
        <v>12</v>
      </c>
      <c r="B9" s="9">
        <v>56.5</v>
      </c>
      <c r="C9" s="9">
        <v>56.5</v>
      </c>
    </row>
    <row r="10" spans="1:7" hidden="1">
      <c r="A10" s="5" t="s">
        <v>10</v>
      </c>
      <c r="B10" s="9">
        <v>60.5</v>
      </c>
      <c r="C10" s="9">
        <v>60.5</v>
      </c>
    </row>
    <row r="11" spans="1:7" hidden="1">
      <c r="C11"/>
    </row>
    <row r="12" spans="1:7" hidden="1">
      <c r="C12"/>
    </row>
    <row r="13" spans="1:7" hidden="1">
      <c r="C13"/>
    </row>
    <row r="14" spans="1:7">
      <c r="A14" s="15" t="s">
        <v>9</v>
      </c>
      <c r="C14"/>
    </row>
    <row r="15" spans="1:7">
      <c r="C15"/>
    </row>
    <row r="16" spans="1:7">
      <c r="A16" s="4" t="s">
        <v>1</v>
      </c>
      <c r="B16" t="s">
        <v>2</v>
      </c>
      <c r="C16"/>
    </row>
    <row r="17" spans="1:11">
      <c r="A17" s="4" t="s">
        <v>4</v>
      </c>
      <c r="B17" t="s">
        <v>2</v>
      </c>
      <c r="C17"/>
    </row>
    <row r="18" spans="1:11">
      <c r="C18"/>
    </row>
    <row r="19" spans="1:11">
      <c r="A19" s="4" t="s">
        <v>6</v>
      </c>
      <c r="B19" s="4" t="s">
        <v>7</v>
      </c>
      <c r="C19"/>
      <c r="H19" s="11" t="s">
        <v>13</v>
      </c>
      <c r="I19" s="12" t="s">
        <v>14</v>
      </c>
      <c r="J19" s="12" t="s">
        <v>15</v>
      </c>
      <c r="K19" s="12" t="s">
        <v>16</v>
      </c>
    </row>
    <row r="20" spans="1:11">
      <c r="A20" s="4" t="s">
        <v>8</v>
      </c>
      <c r="B20" t="s">
        <v>17</v>
      </c>
      <c r="C20" t="s">
        <v>9</v>
      </c>
      <c r="D20" t="s">
        <v>18</v>
      </c>
      <c r="E20" t="s">
        <v>10</v>
      </c>
      <c r="H20" s="13" t="s">
        <v>19</v>
      </c>
      <c r="I20" s="13" t="s">
        <v>20</v>
      </c>
      <c r="J20" s="13" t="s">
        <v>21</v>
      </c>
      <c r="K20" s="13" t="s">
        <v>22</v>
      </c>
    </row>
    <row r="21" spans="1:11">
      <c r="A21" s="5" t="s">
        <v>23</v>
      </c>
      <c r="B21">
        <v>3.75</v>
      </c>
      <c r="C21"/>
      <c r="D21">
        <v>7.25</v>
      </c>
      <c r="E21">
        <v>11</v>
      </c>
      <c r="H21" s="13" t="s">
        <v>24</v>
      </c>
      <c r="I21" s="13" t="s">
        <v>25</v>
      </c>
      <c r="J21" s="13" t="s">
        <v>26</v>
      </c>
      <c r="K21" s="13" t="s">
        <v>27</v>
      </c>
    </row>
    <row r="22" spans="1:11">
      <c r="A22" s="5" t="s">
        <v>28</v>
      </c>
      <c r="B22">
        <v>3.25</v>
      </c>
      <c r="C22"/>
      <c r="E22">
        <v>3.25</v>
      </c>
      <c r="H22" s="13" t="s">
        <v>29</v>
      </c>
      <c r="I22" s="13" t="s">
        <v>30</v>
      </c>
      <c r="J22" s="13" t="s">
        <v>31</v>
      </c>
      <c r="K22" s="13" t="s">
        <v>32</v>
      </c>
    </row>
    <row r="23" spans="1:11">
      <c r="A23" s="5" t="s">
        <v>33</v>
      </c>
      <c r="C23">
        <v>3.5</v>
      </c>
      <c r="E23">
        <v>3.5</v>
      </c>
      <c r="H23" s="13" t="s">
        <v>34</v>
      </c>
      <c r="I23" s="13" t="s">
        <v>30</v>
      </c>
      <c r="J23" s="13" t="s">
        <v>31</v>
      </c>
      <c r="K23" s="13" t="s">
        <v>32</v>
      </c>
    </row>
    <row r="24" spans="1:11">
      <c r="A24" s="5" t="s">
        <v>12</v>
      </c>
      <c r="C24"/>
      <c r="D24">
        <v>12.5</v>
      </c>
      <c r="E24">
        <v>12.5</v>
      </c>
      <c r="H24" s="13" t="s">
        <v>35</v>
      </c>
      <c r="I24" s="13" t="s">
        <v>36</v>
      </c>
      <c r="J24" s="13" t="s">
        <v>37</v>
      </c>
      <c r="K24" s="13" t="s">
        <v>38</v>
      </c>
    </row>
    <row r="25" spans="1:11" ht="15.6">
      <c r="A25" s="5" t="s">
        <v>39</v>
      </c>
      <c r="B25">
        <v>3.25</v>
      </c>
      <c r="C25"/>
      <c r="E25">
        <v>3.25</v>
      </c>
      <c r="H25" s="10"/>
      <c r="I25" s="10"/>
      <c r="J25" s="10"/>
      <c r="K25" s="10"/>
    </row>
    <row r="26" spans="1:11" ht="16.149999999999999" thickBot="1">
      <c r="A26" s="5" t="s">
        <v>11</v>
      </c>
      <c r="C26"/>
      <c r="D26">
        <v>1.75</v>
      </c>
      <c r="E26">
        <v>1.75</v>
      </c>
      <c r="H26" s="14" t="s">
        <v>40</v>
      </c>
      <c r="I26" s="14" t="s">
        <v>41</v>
      </c>
      <c r="J26" s="14" t="s">
        <v>42</v>
      </c>
      <c r="K26" s="14" t="s">
        <v>43</v>
      </c>
    </row>
    <row r="27" spans="1:11" ht="15" thickTop="1">
      <c r="A27" s="5" t="s">
        <v>10</v>
      </c>
      <c r="B27">
        <v>10.25</v>
      </c>
      <c r="C27">
        <v>3.5</v>
      </c>
      <c r="D27">
        <v>21.5</v>
      </c>
      <c r="E27">
        <v>35.25</v>
      </c>
    </row>
    <row r="28" spans="1:11">
      <c r="C28"/>
    </row>
    <row r="29" spans="1:11">
      <c r="C29"/>
    </row>
    <row r="30" spans="1:11">
      <c r="C30"/>
    </row>
    <row r="31" spans="1:11">
      <c r="C31"/>
    </row>
    <row r="32" spans="1:11">
      <c r="C32"/>
    </row>
    <row r="33" spans="3:3">
      <c r="C33"/>
    </row>
    <row r="34" spans="3:3">
      <c r="C34"/>
    </row>
    <row r="35" spans="3:3">
      <c r="C35"/>
    </row>
    <row r="36" spans="3:3">
      <c r="C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34"/>
  <sheetViews>
    <sheetView topLeftCell="D1" workbookViewId="0"/>
  </sheetViews>
  <sheetFormatPr defaultRowHeight="14.45"/>
  <sheetData>
    <row r="1" spans="1:32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4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s="3" t="s">
        <v>73</v>
      </c>
      <c r="AF1" s="3" t="s">
        <v>1</v>
      </c>
    </row>
    <row r="2" spans="1:32">
      <c r="A2" s="1">
        <v>45573</v>
      </c>
      <c r="B2" t="s">
        <v>28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75</v>
      </c>
      <c r="L2" t="s">
        <v>23</v>
      </c>
      <c r="M2" t="s">
        <v>11</v>
      </c>
      <c r="N2" t="s">
        <v>11</v>
      </c>
      <c r="O2" t="s">
        <v>9</v>
      </c>
      <c r="P2">
        <v>307718</v>
      </c>
      <c r="Q2" t="s">
        <v>17</v>
      </c>
      <c r="R2" t="s">
        <v>82</v>
      </c>
      <c r="S2" t="s">
        <v>83</v>
      </c>
      <c r="T2">
        <v>0</v>
      </c>
      <c r="U2">
        <v>0.5</v>
      </c>
      <c r="V2" s="2">
        <v>2.0833333333333332E-2</v>
      </c>
      <c r="W2">
        <v>0</v>
      </c>
      <c r="AA2" t="s">
        <v>84</v>
      </c>
      <c r="AB2" t="s">
        <v>85</v>
      </c>
      <c r="AC2" t="s">
        <v>86</v>
      </c>
      <c r="AD2" t="s">
        <v>87</v>
      </c>
      <c r="AE2">
        <f>MONTH(A2)</f>
        <v>10</v>
      </c>
      <c r="AF2" t="str">
        <f>IF(AE2=7,"July",IF(AE2=8,"August",IF(AE2=9,"September",IF(AE2=10,"October",IF(AE2=11,"November")))))</f>
        <v>October</v>
      </c>
    </row>
    <row r="3" spans="1:32">
      <c r="A3" s="1">
        <v>45574</v>
      </c>
      <c r="B3" t="s">
        <v>28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75</v>
      </c>
      <c r="L3" t="s">
        <v>23</v>
      </c>
      <c r="M3" t="s">
        <v>11</v>
      </c>
      <c r="N3" t="s">
        <v>11</v>
      </c>
      <c r="O3" t="s">
        <v>9</v>
      </c>
      <c r="P3">
        <v>307733</v>
      </c>
      <c r="Q3" t="s">
        <v>17</v>
      </c>
      <c r="R3" t="s">
        <v>82</v>
      </c>
      <c r="S3" t="s">
        <v>83</v>
      </c>
      <c r="T3">
        <v>0</v>
      </c>
      <c r="U3">
        <v>1</v>
      </c>
      <c r="V3" s="2">
        <v>4.1666666666666664E-2</v>
      </c>
      <c r="W3">
        <v>0</v>
      </c>
      <c r="AA3" t="s">
        <v>84</v>
      </c>
      <c r="AB3" t="s">
        <v>85</v>
      </c>
      <c r="AC3" t="s">
        <v>86</v>
      </c>
      <c r="AD3" t="s">
        <v>87</v>
      </c>
      <c r="AE3">
        <f>MONTH(A3)</f>
        <v>10</v>
      </c>
      <c r="AF3" t="str">
        <f>IF(AE3=7,"July",IF(AE3=8,"August",IF(AE3=9,"September",IF(AE3=10,"October",IF(AE3=11,"November")))))</f>
        <v>October</v>
      </c>
    </row>
    <row r="4" spans="1:32">
      <c r="A4" s="1">
        <v>45575</v>
      </c>
      <c r="B4" t="s">
        <v>28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75</v>
      </c>
      <c r="L4" t="s">
        <v>23</v>
      </c>
      <c r="M4" t="s">
        <v>11</v>
      </c>
      <c r="N4" t="s">
        <v>11</v>
      </c>
      <c r="O4" t="s">
        <v>9</v>
      </c>
      <c r="P4">
        <v>308431</v>
      </c>
      <c r="Q4" t="s">
        <v>17</v>
      </c>
      <c r="R4" t="s">
        <v>82</v>
      </c>
      <c r="S4" t="s">
        <v>83</v>
      </c>
      <c r="T4">
        <v>0</v>
      </c>
      <c r="U4">
        <v>1.75</v>
      </c>
      <c r="V4" s="2">
        <v>7.2916666666666671E-2</v>
      </c>
      <c r="W4">
        <v>0</v>
      </c>
      <c r="AA4" t="s">
        <v>84</v>
      </c>
      <c r="AB4" t="s">
        <v>85</v>
      </c>
      <c r="AC4" t="s">
        <v>86</v>
      </c>
      <c r="AD4" t="s">
        <v>87</v>
      </c>
      <c r="AE4">
        <f t="shared" ref="AE4:AE19" si="0">MONTH(A4)</f>
        <v>10</v>
      </c>
      <c r="AF4" t="str">
        <f t="shared" ref="AF4:AF19" si="1">IF(AE4=7,"July",IF(AE4=8,"August",IF(AE4=9,"September",IF(AE4=10,"October",IF(AE4=11,"November")))))</f>
        <v>October</v>
      </c>
    </row>
    <row r="5" spans="1:32">
      <c r="A5" s="1">
        <v>45573</v>
      </c>
      <c r="B5" t="s">
        <v>33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75</v>
      </c>
      <c r="L5" t="s">
        <v>23</v>
      </c>
      <c r="M5" t="s">
        <v>11</v>
      </c>
      <c r="N5" t="s">
        <v>86</v>
      </c>
      <c r="O5" t="s">
        <v>9</v>
      </c>
      <c r="P5">
        <v>307946</v>
      </c>
      <c r="Q5" t="s">
        <v>9</v>
      </c>
      <c r="R5" t="s">
        <v>5</v>
      </c>
      <c r="S5" t="s">
        <v>83</v>
      </c>
      <c r="T5">
        <v>90</v>
      </c>
      <c r="U5">
        <v>0.5</v>
      </c>
      <c r="V5" s="2">
        <v>2.0833333333333332E-2</v>
      </c>
      <c r="W5">
        <v>45</v>
      </c>
      <c r="AA5" t="s">
        <v>84</v>
      </c>
      <c r="AB5" t="s">
        <v>85</v>
      </c>
      <c r="AC5" t="s">
        <v>86</v>
      </c>
      <c r="AD5" t="s">
        <v>87</v>
      </c>
      <c r="AE5">
        <f t="shared" si="0"/>
        <v>10</v>
      </c>
      <c r="AF5" t="str">
        <f t="shared" si="1"/>
        <v>October</v>
      </c>
    </row>
    <row r="6" spans="1:32">
      <c r="A6" s="1">
        <v>45574</v>
      </c>
      <c r="B6" t="s">
        <v>33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75</v>
      </c>
      <c r="L6" t="s">
        <v>23</v>
      </c>
      <c r="M6" t="s">
        <v>11</v>
      </c>
      <c r="N6" t="s">
        <v>86</v>
      </c>
      <c r="O6" t="s">
        <v>9</v>
      </c>
      <c r="P6">
        <v>307945</v>
      </c>
      <c r="Q6" t="s">
        <v>9</v>
      </c>
      <c r="R6" t="s">
        <v>5</v>
      </c>
      <c r="S6" t="s">
        <v>83</v>
      </c>
      <c r="T6">
        <v>90</v>
      </c>
      <c r="U6">
        <v>1</v>
      </c>
      <c r="V6" s="2">
        <v>4.1666666666666664E-2</v>
      </c>
      <c r="W6">
        <v>90</v>
      </c>
      <c r="AA6" t="s">
        <v>84</v>
      </c>
      <c r="AB6" t="s">
        <v>85</v>
      </c>
      <c r="AC6" t="s">
        <v>86</v>
      </c>
      <c r="AD6" t="s">
        <v>87</v>
      </c>
      <c r="AE6">
        <f t="shared" si="0"/>
        <v>10</v>
      </c>
      <c r="AF6" t="str">
        <f t="shared" si="1"/>
        <v>October</v>
      </c>
    </row>
    <row r="7" spans="1:32">
      <c r="A7" s="1">
        <v>45575</v>
      </c>
      <c r="B7" t="s">
        <v>33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75</v>
      </c>
      <c r="L7" t="s">
        <v>23</v>
      </c>
      <c r="M7" t="s">
        <v>11</v>
      </c>
      <c r="N7" t="s">
        <v>86</v>
      </c>
      <c r="O7" t="s">
        <v>9</v>
      </c>
      <c r="P7">
        <v>308690</v>
      </c>
      <c r="Q7" t="s">
        <v>9</v>
      </c>
      <c r="R7" t="s">
        <v>5</v>
      </c>
      <c r="S7" t="s">
        <v>83</v>
      </c>
      <c r="T7">
        <v>90</v>
      </c>
      <c r="U7">
        <v>2</v>
      </c>
      <c r="V7" s="2">
        <v>8.3333333333333329E-2</v>
      </c>
      <c r="W7">
        <v>180</v>
      </c>
      <c r="AA7" t="s">
        <v>84</v>
      </c>
      <c r="AB7" t="s">
        <v>85</v>
      </c>
      <c r="AC7" t="s">
        <v>86</v>
      </c>
      <c r="AD7" t="s">
        <v>87</v>
      </c>
      <c r="AE7">
        <f t="shared" si="0"/>
        <v>10</v>
      </c>
      <c r="AF7" t="str">
        <f t="shared" si="1"/>
        <v>October</v>
      </c>
    </row>
    <row r="8" spans="1:32">
      <c r="A8" s="1">
        <v>45567</v>
      </c>
      <c r="B8" t="s">
        <v>12</v>
      </c>
      <c r="C8" t="s">
        <v>74</v>
      </c>
      <c r="D8" t="s">
        <v>75</v>
      </c>
      <c r="E8" t="s">
        <v>88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75</v>
      </c>
      <c r="L8" t="s">
        <v>23</v>
      </c>
      <c r="M8" t="s">
        <v>11</v>
      </c>
      <c r="N8" t="s">
        <v>89</v>
      </c>
      <c r="O8" t="s">
        <v>9</v>
      </c>
      <c r="P8">
        <v>305483</v>
      </c>
      <c r="Q8" t="s">
        <v>18</v>
      </c>
      <c r="R8" t="s">
        <v>5</v>
      </c>
      <c r="S8" t="s">
        <v>83</v>
      </c>
      <c r="T8">
        <v>90</v>
      </c>
      <c r="U8">
        <v>1</v>
      </c>
      <c r="V8" s="2">
        <v>4.1666666666666664E-2</v>
      </c>
      <c r="W8">
        <v>90</v>
      </c>
      <c r="AA8" t="s">
        <v>84</v>
      </c>
      <c r="AB8" t="s">
        <v>85</v>
      </c>
      <c r="AC8" t="s">
        <v>86</v>
      </c>
      <c r="AD8" t="s">
        <v>87</v>
      </c>
      <c r="AE8">
        <f t="shared" si="0"/>
        <v>10</v>
      </c>
      <c r="AF8" t="str">
        <f t="shared" si="1"/>
        <v>October</v>
      </c>
    </row>
    <row r="9" spans="1:32">
      <c r="A9" s="1">
        <v>45572</v>
      </c>
      <c r="B9" t="s">
        <v>12</v>
      </c>
      <c r="C9" t="s">
        <v>74</v>
      </c>
      <c r="D9" t="s">
        <v>75</v>
      </c>
      <c r="E9" t="s">
        <v>88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75</v>
      </c>
      <c r="L9" t="s">
        <v>23</v>
      </c>
      <c r="M9" t="s">
        <v>11</v>
      </c>
      <c r="N9" t="s">
        <v>89</v>
      </c>
      <c r="O9" t="s">
        <v>9</v>
      </c>
      <c r="P9">
        <v>306897</v>
      </c>
      <c r="Q9" t="s">
        <v>18</v>
      </c>
      <c r="R9" t="s">
        <v>5</v>
      </c>
      <c r="S9" t="s">
        <v>83</v>
      </c>
      <c r="T9">
        <v>90</v>
      </c>
      <c r="U9">
        <v>4.75</v>
      </c>
      <c r="V9" s="2">
        <v>0.19791666666666666</v>
      </c>
      <c r="W9">
        <v>427.5</v>
      </c>
      <c r="AA9" t="s">
        <v>84</v>
      </c>
      <c r="AB9" t="s">
        <v>85</v>
      </c>
      <c r="AC9" t="s">
        <v>86</v>
      </c>
      <c r="AD9" t="s">
        <v>87</v>
      </c>
      <c r="AE9">
        <f t="shared" si="0"/>
        <v>10</v>
      </c>
      <c r="AF9" t="str">
        <f t="shared" si="1"/>
        <v>October</v>
      </c>
    </row>
    <row r="10" spans="1:32">
      <c r="A10" s="1">
        <v>45573</v>
      </c>
      <c r="B10" t="s">
        <v>12</v>
      </c>
      <c r="C10" t="s">
        <v>74</v>
      </c>
      <c r="D10" t="s">
        <v>75</v>
      </c>
      <c r="E10" t="s">
        <v>88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75</v>
      </c>
      <c r="L10" t="s">
        <v>23</v>
      </c>
      <c r="M10" t="s">
        <v>11</v>
      </c>
      <c r="N10" t="s">
        <v>89</v>
      </c>
      <c r="O10" t="s">
        <v>9</v>
      </c>
      <c r="P10">
        <v>307499</v>
      </c>
      <c r="Q10" t="s">
        <v>18</v>
      </c>
      <c r="R10" t="s">
        <v>5</v>
      </c>
      <c r="S10" t="s">
        <v>83</v>
      </c>
      <c r="T10">
        <v>90</v>
      </c>
      <c r="U10">
        <v>0.5</v>
      </c>
      <c r="V10" s="2">
        <v>2.0833333333333332E-2</v>
      </c>
      <c r="W10">
        <v>45</v>
      </c>
      <c r="AA10" t="s">
        <v>84</v>
      </c>
      <c r="AB10" t="s">
        <v>85</v>
      </c>
      <c r="AC10" t="s">
        <v>86</v>
      </c>
      <c r="AD10" t="s">
        <v>87</v>
      </c>
      <c r="AE10">
        <f t="shared" si="0"/>
        <v>10</v>
      </c>
      <c r="AF10" t="str">
        <f t="shared" si="1"/>
        <v>October</v>
      </c>
    </row>
    <row r="11" spans="1:32">
      <c r="A11" s="1">
        <v>45575</v>
      </c>
      <c r="B11" t="s">
        <v>12</v>
      </c>
      <c r="C11" t="s">
        <v>74</v>
      </c>
      <c r="D11" t="s">
        <v>75</v>
      </c>
      <c r="E11" t="s">
        <v>88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75</v>
      </c>
      <c r="L11" t="s">
        <v>23</v>
      </c>
      <c r="M11" t="s">
        <v>11</v>
      </c>
      <c r="N11" t="s">
        <v>89</v>
      </c>
      <c r="O11" t="s">
        <v>9</v>
      </c>
      <c r="P11">
        <v>308468</v>
      </c>
      <c r="Q11" t="s">
        <v>18</v>
      </c>
      <c r="R11" t="s">
        <v>5</v>
      </c>
      <c r="S11" t="s">
        <v>83</v>
      </c>
      <c r="T11">
        <v>90</v>
      </c>
      <c r="U11">
        <v>2.5</v>
      </c>
      <c r="V11" s="2">
        <v>0.10416666666666667</v>
      </c>
      <c r="W11">
        <v>225</v>
      </c>
      <c r="AA11" t="s">
        <v>84</v>
      </c>
      <c r="AB11" t="s">
        <v>85</v>
      </c>
      <c r="AC11" t="s">
        <v>86</v>
      </c>
      <c r="AD11" t="s">
        <v>87</v>
      </c>
      <c r="AE11">
        <f t="shared" si="0"/>
        <v>10</v>
      </c>
      <c r="AF11" t="str">
        <f t="shared" si="1"/>
        <v>October</v>
      </c>
    </row>
    <row r="12" spans="1:32">
      <c r="A12" s="1">
        <v>45576</v>
      </c>
      <c r="B12" t="s">
        <v>12</v>
      </c>
      <c r="C12" t="s">
        <v>74</v>
      </c>
      <c r="D12" t="s">
        <v>75</v>
      </c>
      <c r="E12" t="s">
        <v>88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75</v>
      </c>
      <c r="L12" t="s">
        <v>23</v>
      </c>
      <c r="M12" t="s">
        <v>11</v>
      </c>
      <c r="N12" t="s">
        <v>89</v>
      </c>
      <c r="O12" t="s">
        <v>9</v>
      </c>
      <c r="P12">
        <v>309119</v>
      </c>
      <c r="Q12" t="s">
        <v>18</v>
      </c>
      <c r="R12" t="s">
        <v>5</v>
      </c>
      <c r="S12" t="s">
        <v>83</v>
      </c>
      <c r="T12">
        <v>90</v>
      </c>
      <c r="U12">
        <v>0.75</v>
      </c>
      <c r="V12" s="2">
        <v>3.125E-2</v>
      </c>
      <c r="W12">
        <v>67.5</v>
      </c>
      <c r="AA12" t="s">
        <v>84</v>
      </c>
      <c r="AB12" t="s">
        <v>85</v>
      </c>
      <c r="AC12" t="s">
        <v>86</v>
      </c>
      <c r="AD12" t="s">
        <v>87</v>
      </c>
      <c r="AE12">
        <f t="shared" si="0"/>
        <v>10</v>
      </c>
      <c r="AF12" t="str">
        <f t="shared" si="1"/>
        <v>October</v>
      </c>
    </row>
    <row r="13" spans="1:32">
      <c r="A13" s="1">
        <v>45579</v>
      </c>
      <c r="B13" t="s">
        <v>12</v>
      </c>
      <c r="C13" t="s">
        <v>74</v>
      </c>
      <c r="D13" t="s">
        <v>75</v>
      </c>
      <c r="E13" t="s">
        <v>88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K13" t="s">
        <v>75</v>
      </c>
      <c r="L13" t="s">
        <v>23</v>
      </c>
      <c r="M13" t="s">
        <v>11</v>
      </c>
      <c r="N13" t="s">
        <v>89</v>
      </c>
      <c r="O13" t="s">
        <v>9</v>
      </c>
      <c r="P13">
        <v>309509</v>
      </c>
      <c r="Q13" t="s">
        <v>18</v>
      </c>
      <c r="R13" t="s">
        <v>5</v>
      </c>
      <c r="S13" t="s">
        <v>83</v>
      </c>
      <c r="T13">
        <v>90</v>
      </c>
      <c r="U13">
        <v>0.5</v>
      </c>
      <c r="V13" s="2">
        <v>2.0833333333333332E-2</v>
      </c>
      <c r="W13">
        <v>45</v>
      </c>
      <c r="AA13" t="s">
        <v>84</v>
      </c>
      <c r="AB13" t="s">
        <v>85</v>
      </c>
      <c r="AC13" t="s">
        <v>86</v>
      </c>
      <c r="AD13" t="s">
        <v>87</v>
      </c>
      <c r="AE13">
        <f t="shared" si="0"/>
        <v>10</v>
      </c>
      <c r="AF13" t="str">
        <f t="shared" si="1"/>
        <v>October</v>
      </c>
    </row>
    <row r="14" spans="1:32">
      <c r="A14" s="1">
        <v>45580</v>
      </c>
      <c r="B14" t="s">
        <v>12</v>
      </c>
      <c r="C14" t="s">
        <v>74</v>
      </c>
      <c r="D14" t="s">
        <v>75</v>
      </c>
      <c r="E14" t="s">
        <v>88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75</v>
      </c>
      <c r="L14" t="s">
        <v>23</v>
      </c>
      <c r="M14" t="s">
        <v>11</v>
      </c>
      <c r="N14" t="s">
        <v>89</v>
      </c>
      <c r="O14" t="s">
        <v>9</v>
      </c>
      <c r="P14">
        <v>310138</v>
      </c>
      <c r="Q14" t="s">
        <v>18</v>
      </c>
      <c r="R14" t="s">
        <v>5</v>
      </c>
      <c r="S14" t="s">
        <v>83</v>
      </c>
      <c r="T14">
        <v>90</v>
      </c>
      <c r="U14">
        <v>1.5</v>
      </c>
      <c r="V14" s="2">
        <v>6.25E-2</v>
      </c>
      <c r="W14">
        <v>135</v>
      </c>
      <c r="AA14" t="s">
        <v>84</v>
      </c>
      <c r="AB14" t="s">
        <v>85</v>
      </c>
      <c r="AC14" t="s">
        <v>86</v>
      </c>
      <c r="AD14" t="s">
        <v>87</v>
      </c>
      <c r="AE14">
        <f t="shared" si="0"/>
        <v>10</v>
      </c>
      <c r="AF14" t="str">
        <f t="shared" si="1"/>
        <v>October</v>
      </c>
    </row>
    <row r="15" spans="1:32">
      <c r="A15" s="1">
        <v>45581</v>
      </c>
      <c r="B15" t="s">
        <v>12</v>
      </c>
      <c r="C15" t="s">
        <v>74</v>
      </c>
      <c r="D15" t="s">
        <v>75</v>
      </c>
      <c r="E15" t="s">
        <v>88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75</v>
      </c>
      <c r="L15" t="s">
        <v>23</v>
      </c>
      <c r="M15" t="s">
        <v>11</v>
      </c>
      <c r="N15" t="s">
        <v>89</v>
      </c>
      <c r="O15" t="s">
        <v>9</v>
      </c>
      <c r="P15">
        <v>310630</v>
      </c>
      <c r="Q15" t="s">
        <v>18</v>
      </c>
      <c r="R15" t="s">
        <v>5</v>
      </c>
      <c r="S15" t="s">
        <v>83</v>
      </c>
      <c r="T15">
        <v>90</v>
      </c>
      <c r="U15">
        <v>0.25</v>
      </c>
      <c r="V15" s="2">
        <v>1.0416666666666666E-2</v>
      </c>
      <c r="W15">
        <v>22.5</v>
      </c>
      <c r="AA15" t="s">
        <v>84</v>
      </c>
      <c r="AC15" t="s">
        <v>86</v>
      </c>
      <c r="AD15" t="s">
        <v>87</v>
      </c>
      <c r="AE15">
        <f t="shared" si="0"/>
        <v>10</v>
      </c>
      <c r="AF15" t="str">
        <f t="shared" si="1"/>
        <v>October</v>
      </c>
    </row>
    <row r="16" spans="1:32">
      <c r="A16" s="1">
        <v>45582</v>
      </c>
      <c r="B16" t="s">
        <v>12</v>
      </c>
      <c r="C16" t="s">
        <v>74</v>
      </c>
      <c r="D16" t="s">
        <v>75</v>
      </c>
      <c r="E16" t="s">
        <v>88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75</v>
      </c>
      <c r="L16" t="s">
        <v>23</v>
      </c>
      <c r="M16" t="s">
        <v>11</v>
      </c>
      <c r="N16" t="s">
        <v>89</v>
      </c>
      <c r="O16" t="s">
        <v>9</v>
      </c>
      <c r="P16">
        <v>311051</v>
      </c>
      <c r="Q16" t="s">
        <v>18</v>
      </c>
      <c r="R16" t="s">
        <v>5</v>
      </c>
      <c r="S16" t="s">
        <v>83</v>
      </c>
      <c r="T16">
        <v>90</v>
      </c>
      <c r="U16">
        <v>0.25</v>
      </c>
      <c r="V16" s="2">
        <v>1.0416666666666666E-2</v>
      </c>
      <c r="W16">
        <v>22.5</v>
      </c>
      <c r="AA16" t="s">
        <v>84</v>
      </c>
      <c r="AC16" t="s">
        <v>86</v>
      </c>
      <c r="AD16" t="s">
        <v>87</v>
      </c>
      <c r="AE16">
        <f t="shared" si="0"/>
        <v>10</v>
      </c>
      <c r="AF16" t="str">
        <f t="shared" si="1"/>
        <v>October</v>
      </c>
    </row>
    <row r="17" spans="1:32">
      <c r="A17" s="1">
        <v>45583</v>
      </c>
      <c r="B17" t="s">
        <v>12</v>
      </c>
      <c r="C17" t="s">
        <v>74</v>
      </c>
      <c r="D17" t="s">
        <v>75</v>
      </c>
      <c r="E17" t="s">
        <v>88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75</v>
      </c>
      <c r="L17" t="s">
        <v>23</v>
      </c>
      <c r="M17" t="s">
        <v>11</v>
      </c>
      <c r="N17" t="s">
        <v>89</v>
      </c>
      <c r="O17" t="s">
        <v>9</v>
      </c>
      <c r="P17">
        <v>311593</v>
      </c>
      <c r="Q17" t="s">
        <v>18</v>
      </c>
      <c r="R17" t="s">
        <v>5</v>
      </c>
      <c r="S17" t="s">
        <v>83</v>
      </c>
      <c r="T17">
        <v>90</v>
      </c>
      <c r="U17">
        <v>0.25</v>
      </c>
      <c r="V17" s="2">
        <v>1.0416666666666666E-2</v>
      </c>
      <c r="W17">
        <v>22.5</v>
      </c>
      <c r="AA17" t="s">
        <v>84</v>
      </c>
      <c r="AC17" t="s">
        <v>86</v>
      </c>
      <c r="AD17" t="s">
        <v>87</v>
      </c>
      <c r="AE17">
        <f t="shared" si="0"/>
        <v>10</v>
      </c>
      <c r="AF17" t="str">
        <f t="shared" si="1"/>
        <v>October</v>
      </c>
    </row>
    <row r="18" spans="1:32">
      <c r="A18" s="1">
        <v>45586</v>
      </c>
      <c r="B18" t="s">
        <v>12</v>
      </c>
      <c r="C18" t="s">
        <v>74</v>
      </c>
      <c r="D18" t="s">
        <v>75</v>
      </c>
      <c r="E18" t="s">
        <v>88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75</v>
      </c>
      <c r="L18" t="s">
        <v>23</v>
      </c>
      <c r="M18" t="s">
        <v>11</v>
      </c>
      <c r="N18" t="s">
        <v>89</v>
      </c>
      <c r="O18" t="s">
        <v>9</v>
      </c>
      <c r="P18">
        <v>312097</v>
      </c>
      <c r="Q18" t="s">
        <v>18</v>
      </c>
      <c r="R18" t="s">
        <v>5</v>
      </c>
      <c r="S18" t="s">
        <v>83</v>
      </c>
      <c r="T18">
        <v>90</v>
      </c>
      <c r="U18">
        <v>0.25</v>
      </c>
      <c r="V18" s="2">
        <v>1.0416666666666666E-2</v>
      </c>
      <c r="W18">
        <v>22.5</v>
      </c>
      <c r="AA18" t="s">
        <v>84</v>
      </c>
      <c r="AC18" t="s">
        <v>86</v>
      </c>
      <c r="AD18" t="s">
        <v>87</v>
      </c>
      <c r="AE18">
        <f t="shared" si="0"/>
        <v>10</v>
      </c>
      <c r="AF18" t="str">
        <f t="shared" si="1"/>
        <v>October</v>
      </c>
    </row>
    <row r="19" spans="1:32">
      <c r="A19" s="1">
        <v>45575</v>
      </c>
      <c r="B19" t="s">
        <v>11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75</v>
      </c>
      <c r="L19" t="s">
        <v>23</v>
      </c>
      <c r="M19" t="s">
        <v>11</v>
      </c>
      <c r="N19" t="s">
        <v>86</v>
      </c>
      <c r="O19" t="s">
        <v>9</v>
      </c>
      <c r="P19">
        <v>309488</v>
      </c>
      <c r="Q19" t="s">
        <v>18</v>
      </c>
      <c r="R19" t="s">
        <v>5</v>
      </c>
      <c r="S19" t="s">
        <v>83</v>
      </c>
      <c r="T19">
        <v>90</v>
      </c>
      <c r="U19">
        <v>1.75</v>
      </c>
      <c r="V19" s="2">
        <v>7.2916666666666671E-2</v>
      </c>
      <c r="W19">
        <v>157.5</v>
      </c>
      <c r="AA19" t="s">
        <v>84</v>
      </c>
      <c r="AB19" t="s">
        <v>85</v>
      </c>
      <c r="AC19" t="s">
        <v>90</v>
      </c>
      <c r="AD19" t="s">
        <v>87</v>
      </c>
      <c r="AE19">
        <f t="shared" si="0"/>
        <v>10</v>
      </c>
      <c r="AF19" t="str">
        <f t="shared" si="1"/>
        <v>October</v>
      </c>
    </row>
    <row r="20" spans="1:32">
      <c r="A20" s="1">
        <v>45568</v>
      </c>
      <c r="B20" t="s">
        <v>23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75</v>
      </c>
      <c r="L20" t="s">
        <v>23</v>
      </c>
      <c r="M20" t="s">
        <v>11</v>
      </c>
      <c r="N20" t="s">
        <v>86</v>
      </c>
      <c r="O20" t="s">
        <v>9</v>
      </c>
      <c r="P20">
        <v>306050</v>
      </c>
      <c r="Q20" t="s">
        <v>17</v>
      </c>
      <c r="R20" t="s">
        <v>82</v>
      </c>
      <c r="S20" t="s">
        <v>83</v>
      </c>
      <c r="T20">
        <v>0</v>
      </c>
      <c r="U20">
        <v>1.5</v>
      </c>
      <c r="V20" s="2">
        <v>6.25E-2</v>
      </c>
      <c r="W20">
        <v>0</v>
      </c>
      <c r="AA20" t="s">
        <v>84</v>
      </c>
      <c r="AB20" t="s">
        <v>85</v>
      </c>
      <c r="AC20" t="s">
        <v>86</v>
      </c>
      <c r="AD20" t="s">
        <v>87</v>
      </c>
      <c r="AE20">
        <f t="shared" ref="AE20:AE34" si="2">MONTH(A20)</f>
        <v>10</v>
      </c>
      <c r="AF20" t="str">
        <f t="shared" ref="AF20:AF34" si="3">IF(AE20=7,"July",IF(AE20=8,"August",IF(AE20=9,"September",IF(AE20=10,"October",IF(AE20=11,"November")))))</f>
        <v>October</v>
      </c>
    </row>
    <row r="21" spans="1:32">
      <c r="A21" s="1">
        <v>45569</v>
      </c>
      <c r="B21" t="s">
        <v>23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75</v>
      </c>
      <c r="L21" t="s">
        <v>23</v>
      </c>
      <c r="M21" t="s">
        <v>11</v>
      </c>
      <c r="N21" t="s">
        <v>86</v>
      </c>
      <c r="O21" t="s">
        <v>9</v>
      </c>
      <c r="P21">
        <v>306049</v>
      </c>
      <c r="Q21" t="s">
        <v>17</v>
      </c>
      <c r="R21" t="s">
        <v>82</v>
      </c>
      <c r="S21" t="s">
        <v>83</v>
      </c>
      <c r="T21">
        <v>0</v>
      </c>
      <c r="U21">
        <v>1</v>
      </c>
      <c r="V21" s="2">
        <v>4.1666666666666664E-2</v>
      </c>
      <c r="W21">
        <v>0</v>
      </c>
      <c r="AA21" t="s">
        <v>84</v>
      </c>
      <c r="AB21" t="s">
        <v>85</v>
      </c>
      <c r="AC21" t="s">
        <v>86</v>
      </c>
      <c r="AD21" t="s">
        <v>87</v>
      </c>
      <c r="AE21">
        <f t="shared" si="2"/>
        <v>10</v>
      </c>
      <c r="AF21" t="str">
        <f t="shared" si="3"/>
        <v>October</v>
      </c>
    </row>
    <row r="22" spans="1:32">
      <c r="A22" s="1">
        <v>45572</v>
      </c>
      <c r="B22" t="s">
        <v>23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75</v>
      </c>
      <c r="L22" t="s">
        <v>23</v>
      </c>
      <c r="M22" t="s">
        <v>11</v>
      </c>
      <c r="N22" t="s">
        <v>86</v>
      </c>
      <c r="O22" t="s">
        <v>9</v>
      </c>
      <c r="P22">
        <v>307310</v>
      </c>
      <c r="Q22" t="s">
        <v>17</v>
      </c>
      <c r="R22" t="s">
        <v>82</v>
      </c>
      <c r="S22" t="s">
        <v>83</v>
      </c>
      <c r="T22">
        <v>0</v>
      </c>
      <c r="U22">
        <v>1</v>
      </c>
      <c r="V22" s="2">
        <v>4.1666666666666664E-2</v>
      </c>
      <c r="W22">
        <v>0</v>
      </c>
      <c r="AA22" t="s">
        <v>84</v>
      </c>
      <c r="AB22" t="s">
        <v>85</v>
      </c>
      <c r="AC22" t="s">
        <v>86</v>
      </c>
      <c r="AD22" t="s">
        <v>87</v>
      </c>
      <c r="AE22">
        <f t="shared" si="2"/>
        <v>10</v>
      </c>
      <c r="AF22" t="str">
        <f t="shared" si="3"/>
        <v>October</v>
      </c>
    </row>
    <row r="23" spans="1:32">
      <c r="A23" s="1">
        <v>45573</v>
      </c>
      <c r="B23" t="s">
        <v>23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75</v>
      </c>
      <c r="L23" t="s">
        <v>23</v>
      </c>
      <c r="M23" t="s">
        <v>11</v>
      </c>
      <c r="N23" t="s">
        <v>86</v>
      </c>
      <c r="O23" t="s">
        <v>9</v>
      </c>
      <c r="P23">
        <v>308256</v>
      </c>
      <c r="Q23" t="s">
        <v>18</v>
      </c>
      <c r="R23" t="s">
        <v>5</v>
      </c>
      <c r="S23" t="s">
        <v>83</v>
      </c>
      <c r="T23">
        <v>90</v>
      </c>
      <c r="U23">
        <v>1</v>
      </c>
      <c r="V23" s="2">
        <v>4.1666666666666664E-2</v>
      </c>
      <c r="W23">
        <v>90</v>
      </c>
      <c r="AA23" t="s">
        <v>84</v>
      </c>
      <c r="AB23" t="s">
        <v>85</v>
      </c>
      <c r="AC23" t="s">
        <v>86</v>
      </c>
      <c r="AD23" t="s">
        <v>87</v>
      </c>
      <c r="AE23">
        <f t="shared" si="2"/>
        <v>10</v>
      </c>
      <c r="AF23" t="str">
        <f t="shared" si="3"/>
        <v>October</v>
      </c>
    </row>
    <row r="24" spans="1:32">
      <c r="A24" s="1">
        <v>45574</v>
      </c>
      <c r="B24" t="s">
        <v>23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75</v>
      </c>
      <c r="L24" t="s">
        <v>23</v>
      </c>
      <c r="M24" t="s">
        <v>11</v>
      </c>
      <c r="N24" t="s">
        <v>86</v>
      </c>
      <c r="O24" t="s">
        <v>9</v>
      </c>
      <c r="P24">
        <v>308257</v>
      </c>
      <c r="Q24" t="s">
        <v>18</v>
      </c>
      <c r="R24" t="s">
        <v>5</v>
      </c>
      <c r="S24" t="s">
        <v>83</v>
      </c>
      <c r="T24">
        <v>90</v>
      </c>
      <c r="U24">
        <v>1.75</v>
      </c>
      <c r="V24" s="2">
        <v>7.2916666666666671E-2</v>
      </c>
      <c r="W24">
        <v>157.5</v>
      </c>
      <c r="AA24" t="s">
        <v>84</v>
      </c>
      <c r="AB24" t="s">
        <v>85</v>
      </c>
      <c r="AC24" t="s">
        <v>86</v>
      </c>
      <c r="AD24" t="s">
        <v>87</v>
      </c>
      <c r="AE24">
        <f t="shared" si="2"/>
        <v>10</v>
      </c>
      <c r="AF24" t="str">
        <f t="shared" si="3"/>
        <v>October</v>
      </c>
    </row>
    <row r="25" spans="1:32">
      <c r="A25" s="1">
        <v>45575</v>
      </c>
      <c r="B25" t="s">
        <v>23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75</v>
      </c>
      <c r="L25" t="s">
        <v>23</v>
      </c>
      <c r="M25" t="s">
        <v>11</v>
      </c>
      <c r="N25" t="s">
        <v>86</v>
      </c>
      <c r="O25" t="s">
        <v>9</v>
      </c>
      <c r="P25">
        <v>308255</v>
      </c>
      <c r="Q25" t="s">
        <v>18</v>
      </c>
      <c r="R25" t="s">
        <v>5</v>
      </c>
      <c r="S25" t="s">
        <v>83</v>
      </c>
      <c r="T25">
        <v>90</v>
      </c>
      <c r="U25">
        <v>1.5</v>
      </c>
      <c r="V25" s="2">
        <v>6.25E-2</v>
      </c>
      <c r="W25">
        <v>135</v>
      </c>
      <c r="AA25" t="s">
        <v>84</v>
      </c>
      <c r="AB25" t="s">
        <v>85</v>
      </c>
      <c r="AC25" t="s">
        <v>86</v>
      </c>
      <c r="AD25" t="s">
        <v>87</v>
      </c>
      <c r="AE25">
        <f t="shared" si="2"/>
        <v>10</v>
      </c>
      <c r="AF25" t="str">
        <f t="shared" si="3"/>
        <v>October</v>
      </c>
    </row>
    <row r="26" spans="1:32">
      <c r="A26" s="1">
        <v>45576</v>
      </c>
      <c r="B26" t="s">
        <v>23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80</v>
      </c>
      <c r="J26" t="s">
        <v>81</v>
      </c>
      <c r="K26" t="s">
        <v>75</v>
      </c>
      <c r="L26" t="s">
        <v>23</v>
      </c>
      <c r="M26" t="s">
        <v>11</v>
      </c>
      <c r="N26" t="s">
        <v>86</v>
      </c>
      <c r="O26" t="s">
        <v>9</v>
      </c>
      <c r="P26">
        <v>309015</v>
      </c>
      <c r="Q26" t="s">
        <v>17</v>
      </c>
      <c r="R26" t="s">
        <v>82</v>
      </c>
      <c r="S26" t="s">
        <v>83</v>
      </c>
      <c r="T26">
        <v>0</v>
      </c>
      <c r="U26">
        <v>0.25</v>
      </c>
      <c r="V26" s="2">
        <v>1.0416666666666666E-2</v>
      </c>
      <c r="W26">
        <v>0</v>
      </c>
      <c r="AA26" t="s">
        <v>84</v>
      </c>
      <c r="AB26" t="s">
        <v>85</v>
      </c>
      <c r="AC26" t="s">
        <v>86</v>
      </c>
      <c r="AD26" t="s">
        <v>87</v>
      </c>
      <c r="AE26">
        <f t="shared" si="2"/>
        <v>10</v>
      </c>
      <c r="AF26" t="str">
        <f t="shared" si="3"/>
        <v>October</v>
      </c>
    </row>
    <row r="27" spans="1:32">
      <c r="A27" s="1">
        <v>45579</v>
      </c>
      <c r="B27" t="s">
        <v>23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80</v>
      </c>
      <c r="J27" t="s">
        <v>81</v>
      </c>
      <c r="K27" t="s">
        <v>75</v>
      </c>
      <c r="L27" t="s">
        <v>23</v>
      </c>
      <c r="M27" t="s">
        <v>11</v>
      </c>
      <c r="N27" t="s">
        <v>86</v>
      </c>
      <c r="O27" t="s">
        <v>9</v>
      </c>
      <c r="P27">
        <v>309675</v>
      </c>
      <c r="Q27" t="s">
        <v>18</v>
      </c>
      <c r="R27" t="s">
        <v>5</v>
      </c>
      <c r="S27" t="s">
        <v>83</v>
      </c>
      <c r="T27">
        <v>90</v>
      </c>
      <c r="U27">
        <v>0.5</v>
      </c>
      <c r="V27" s="2">
        <v>2.0833333333333332E-2</v>
      </c>
      <c r="W27">
        <v>45</v>
      </c>
      <c r="AA27" t="s">
        <v>84</v>
      </c>
      <c r="AB27" t="s">
        <v>85</v>
      </c>
      <c r="AC27" t="s">
        <v>86</v>
      </c>
      <c r="AD27" t="s">
        <v>87</v>
      </c>
      <c r="AE27">
        <f t="shared" si="2"/>
        <v>10</v>
      </c>
      <c r="AF27" t="str">
        <f t="shared" si="3"/>
        <v>October</v>
      </c>
    </row>
    <row r="28" spans="1:32">
      <c r="A28" s="1">
        <v>45580</v>
      </c>
      <c r="B28" t="s">
        <v>23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80</v>
      </c>
      <c r="J28" t="s">
        <v>81</v>
      </c>
      <c r="K28" t="s">
        <v>75</v>
      </c>
      <c r="L28" t="s">
        <v>23</v>
      </c>
      <c r="M28" t="s">
        <v>11</v>
      </c>
      <c r="N28" t="s">
        <v>86</v>
      </c>
      <c r="O28" t="s">
        <v>9</v>
      </c>
      <c r="P28">
        <v>310185</v>
      </c>
      <c r="Q28" t="s">
        <v>18</v>
      </c>
      <c r="R28" t="s">
        <v>5</v>
      </c>
      <c r="S28" t="s">
        <v>83</v>
      </c>
      <c r="T28">
        <v>90</v>
      </c>
      <c r="U28">
        <v>0.75</v>
      </c>
      <c r="V28" s="2">
        <v>3.125E-2</v>
      </c>
      <c r="W28">
        <v>67.5</v>
      </c>
      <c r="AA28" t="s">
        <v>84</v>
      </c>
      <c r="AB28" t="s">
        <v>85</v>
      </c>
      <c r="AC28" t="s">
        <v>86</v>
      </c>
      <c r="AD28" t="s">
        <v>87</v>
      </c>
      <c r="AE28">
        <f t="shared" si="2"/>
        <v>10</v>
      </c>
      <c r="AF28" t="str">
        <f t="shared" si="3"/>
        <v>October</v>
      </c>
    </row>
    <row r="29" spans="1:32">
      <c r="A29" s="1">
        <v>45581</v>
      </c>
      <c r="B29" t="s">
        <v>23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80</v>
      </c>
      <c r="J29" t="s">
        <v>81</v>
      </c>
      <c r="K29" t="s">
        <v>75</v>
      </c>
      <c r="L29" t="s">
        <v>23</v>
      </c>
      <c r="M29" t="s">
        <v>11</v>
      </c>
      <c r="N29" t="s">
        <v>86</v>
      </c>
      <c r="O29" t="s">
        <v>9</v>
      </c>
      <c r="P29">
        <v>310850</v>
      </c>
      <c r="Q29" t="s">
        <v>18</v>
      </c>
      <c r="R29" t="s">
        <v>5</v>
      </c>
      <c r="S29" t="s">
        <v>83</v>
      </c>
      <c r="T29">
        <v>90</v>
      </c>
      <c r="U29">
        <v>0.25</v>
      </c>
      <c r="V29" s="2">
        <v>1.0416666666666666E-2</v>
      </c>
      <c r="W29">
        <v>22.5</v>
      </c>
      <c r="AA29" t="s">
        <v>84</v>
      </c>
      <c r="AC29" t="s">
        <v>86</v>
      </c>
      <c r="AD29" t="s">
        <v>87</v>
      </c>
      <c r="AE29">
        <f t="shared" si="2"/>
        <v>10</v>
      </c>
      <c r="AF29" t="str">
        <f t="shared" si="3"/>
        <v>October</v>
      </c>
    </row>
    <row r="30" spans="1:32">
      <c r="A30" s="1">
        <v>45582</v>
      </c>
      <c r="B30" t="s">
        <v>23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80</v>
      </c>
      <c r="J30" t="s">
        <v>81</v>
      </c>
      <c r="K30" t="s">
        <v>75</v>
      </c>
      <c r="L30" t="s">
        <v>23</v>
      </c>
      <c r="M30" t="s">
        <v>11</v>
      </c>
      <c r="N30" t="s">
        <v>86</v>
      </c>
      <c r="O30" t="s">
        <v>9</v>
      </c>
      <c r="P30">
        <v>311171</v>
      </c>
      <c r="Q30" t="s">
        <v>18</v>
      </c>
      <c r="R30" t="s">
        <v>5</v>
      </c>
      <c r="S30" t="s">
        <v>83</v>
      </c>
      <c r="T30">
        <v>90</v>
      </c>
      <c r="U30">
        <v>0.5</v>
      </c>
      <c r="V30" s="2">
        <v>2.0833333333333332E-2</v>
      </c>
      <c r="W30">
        <v>45</v>
      </c>
      <c r="AA30" t="s">
        <v>84</v>
      </c>
      <c r="AC30" t="s">
        <v>86</v>
      </c>
      <c r="AD30" t="s">
        <v>87</v>
      </c>
      <c r="AE30">
        <f t="shared" si="2"/>
        <v>10</v>
      </c>
      <c r="AF30" t="str">
        <f t="shared" si="3"/>
        <v>October</v>
      </c>
    </row>
    <row r="31" spans="1:32">
      <c r="A31" s="1">
        <v>45583</v>
      </c>
      <c r="B31" t="s">
        <v>23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80</v>
      </c>
      <c r="J31" t="s">
        <v>81</v>
      </c>
      <c r="K31" t="s">
        <v>75</v>
      </c>
      <c r="L31" t="s">
        <v>23</v>
      </c>
      <c r="M31" t="s">
        <v>11</v>
      </c>
      <c r="N31" t="s">
        <v>86</v>
      </c>
      <c r="O31" t="s">
        <v>9</v>
      </c>
      <c r="P31">
        <v>312545</v>
      </c>
      <c r="Q31" t="s">
        <v>18</v>
      </c>
      <c r="R31" t="s">
        <v>5</v>
      </c>
      <c r="S31" t="s">
        <v>83</v>
      </c>
      <c r="T31">
        <v>90</v>
      </c>
      <c r="U31">
        <v>1</v>
      </c>
      <c r="V31" s="2">
        <v>4.1666666666666664E-2</v>
      </c>
      <c r="W31">
        <v>90</v>
      </c>
      <c r="AA31" t="s">
        <v>84</v>
      </c>
      <c r="AC31" t="s">
        <v>86</v>
      </c>
      <c r="AD31" t="s">
        <v>87</v>
      </c>
      <c r="AE31">
        <f t="shared" si="2"/>
        <v>10</v>
      </c>
      <c r="AF31" t="str">
        <f t="shared" si="3"/>
        <v>October</v>
      </c>
    </row>
    <row r="32" spans="1:32">
      <c r="A32" s="1">
        <v>45573</v>
      </c>
      <c r="B32" t="s">
        <v>39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79</v>
      </c>
      <c r="I32" t="s">
        <v>80</v>
      </c>
      <c r="J32" t="s">
        <v>81</v>
      </c>
      <c r="K32" t="s">
        <v>75</v>
      </c>
      <c r="L32" t="s">
        <v>23</v>
      </c>
      <c r="M32" t="s">
        <v>11</v>
      </c>
      <c r="N32" t="s">
        <v>11</v>
      </c>
      <c r="O32" t="s">
        <v>9</v>
      </c>
      <c r="P32">
        <v>309053</v>
      </c>
      <c r="Q32" t="s">
        <v>17</v>
      </c>
      <c r="R32" t="s">
        <v>82</v>
      </c>
      <c r="S32" t="s">
        <v>83</v>
      </c>
      <c r="T32">
        <v>0</v>
      </c>
      <c r="U32">
        <v>0.5</v>
      </c>
      <c r="V32" s="2">
        <v>2.0833333333333332E-2</v>
      </c>
      <c r="W32">
        <v>0</v>
      </c>
      <c r="AA32" t="s">
        <v>84</v>
      </c>
      <c r="AB32" t="s">
        <v>85</v>
      </c>
      <c r="AC32" t="s">
        <v>86</v>
      </c>
      <c r="AD32" t="s">
        <v>87</v>
      </c>
      <c r="AE32">
        <f t="shared" si="2"/>
        <v>10</v>
      </c>
      <c r="AF32" t="str">
        <f t="shared" si="3"/>
        <v>October</v>
      </c>
    </row>
    <row r="33" spans="1:32">
      <c r="A33" s="1">
        <v>45574</v>
      </c>
      <c r="B33" t="s">
        <v>39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80</v>
      </c>
      <c r="J33" t="s">
        <v>81</v>
      </c>
      <c r="K33" t="s">
        <v>75</v>
      </c>
      <c r="L33" t="s">
        <v>23</v>
      </c>
      <c r="M33" t="s">
        <v>11</v>
      </c>
      <c r="N33" t="s">
        <v>11</v>
      </c>
      <c r="O33" t="s">
        <v>9</v>
      </c>
      <c r="P33">
        <v>309060</v>
      </c>
      <c r="Q33" t="s">
        <v>17</v>
      </c>
      <c r="R33" t="s">
        <v>82</v>
      </c>
      <c r="S33" t="s">
        <v>83</v>
      </c>
      <c r="T33">
        <v>0</v>
      </c>
      <c r="U33">
        <v>1</v>
      </c>
      <c r="V33" s="2">
        <v>4.1666666666666664E-2</v>
      </c>
      <c r="W33">
        <v>0</v>
      </c>
      <c r="AA33" t="s">
        <v>84</v>
      </c>
      <c r="AB33" t="s">
        <v>85</v>
      </c>
      <c r="AC33" t="s">
        <v>91</v>
      </c>
      <c r="AD33" t="s">
        <v>87</v>
      </c>
      <c r="AE33">
        <f t="shared" si="2"/>
        <v>10</v>
      </c>
      <c r="AF33" t="str">
        <f t="shared" si="3"/>
        <v>October</v>
      </c>
    </row>
    <row r="34" spans="1:32">
      <c r="A34" s="1">
        <v>45575</v>
      </c>
      <c r="B34" t="s">
        <v>39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79</v>
      </c>
      <c r="I34" t="s">
        <v>80</v>
      </c>
      <c r="J34" t="s">
        <v>81</v>
      </c>
      <c r="K34" t="s">
        <v>75</v>
      </c>
      <c r="L34" t="s">
        <v>23</v>
      </c>
      <c r="M34" t="s">
        <v>11</v>
      </c>
      <c r="N34" t="s">
        <v>11</v>
      </c>
      <c r="O34" t="s">
        <v>9</v>
      </c>
      <c r="P34">
        <v>309066</v>
      </c>
      <c r="Q34" t="s">
        <v>17</v>
      </c>
      <c r="R34" t="s">
        <v>82</v>
      </c>
      <c r="S34" t="s">
        <v>83</v>
      </c>
      <c r="T34">
        <v>0</v>
      </c>
      <c r="U34">
        <v>1.75</v>
      </c>
      <c r="V34" s="2">
        <v>7.2916666666666671E-2</v>
      </c>
      <c r="W34">
        <v>0</v>
      </c>
      <c r="AA34" t="s">
        <v>84</v>
      </c>
      <c r="AB34" t="s">
        <v>85</v>
      </c>
      <c r="AC34" t="s">
        <v>91</v>
      </c>
      <c r="AD34" t="s">
        <v>87</v>
      </c>
      <c r="AE34">
        <f t="shared" si="2"/>
        <v>10</v>
      </c>
      <c r="AF34" t="str">
        <f t="shared" si="3"/>
        <v>October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abSelected="1" topLeftCell="N1" workbookViewId="0">
      <pane ySplit="1" topLeftCell="L2" activePane="bottomLeft" state="frozen"/>
      <selection pane="bottomLeft" activeCell="AF2" sqref="AF2"/>
    </sheetView>
  </sheetViews>
  <sheetFormatPr defaultRowHeight="14.45"/>
  <cols>
    <col min="1" max="1" width="9.28515625" bestFit="1" customWidth="1"/>
    <col min="2" max="2" width="14" bestFit="1" customWidth="1"/>
    <col min="3" max="3" width="14.42578125" bestFit="1" customWidth="1"/>
    <col min="4" max="4" width="37.28515625" bestFit="1" customWidth="1"/>
    <col min="5" max="5" width="15.42578125" bestFit="1" customWidth="1"/>
    <col min="6" max="6" width="14.85546875" bestFit="1" customWidth="1"/>
    <col min="7" max="7" width="14.7109375" bestFit="1" customWidth="1"/>
    <col min="8" max="8" width="14.42578125" bestFit="1" customWidth="1"/>
    <col min="9" max="9" width="25.5703125" bestFit="1" customWidth="1"/>
    <col min="10" max="10" width="11.28515625" bestFit="1" customWidth="1"/>
    <col min="11" max="11" width="37.28515625" bestFit="1" customWidth="1"/>
    <col min="12" max="12" width="15" bestFit="1" customWidth="1"/>
    <col min="13" max="13" width="16" bestFit="1" customWidth="1"/>
    <col min="14" max="14" width="14.28515625" bestFit="1" customWidth="1"/>
    <col min="15" max="15" width="12.28515625" bestFit="1" customWidth="1"/>
    <col min="16" max="16" width="11.85546875" bestFit="1" customWidth="1"/>
    <col min="17" max="17" width="20.5703125" bestFit="1" customWidth="1"/>
    <col min="18" max="18" width="20.42578125" bestFit="1" customWidth="1"/>
    <col min="19" max="19" width="17.7109375" bestFit="1" customWidth="1"/>
    <col min="20" max="20" width="13.5703125" bestFit="1" customWidth="1"/>
    <col min="21" max="21" width="6.140625" bestFit="1" customWidth="1"/>
    <col min="22" max="22" width="5.5703125" bestFit="1" customWidth="1"/>
    <col min="23" max="23" width="14.7109375" bestFit="1" customWidth="1"/>
    <col min="24" max="24" width="15.42578125" bestFit="1" customWidth="1"/>
    <col min="25" max="25" width="13.28515625" bestFit="1" customWidth="1"/>
    <col min="26" max="27" width="8.42578125" bestFit="1" customWidth="1"/>
    <col min="28" max="28" width="14.7109375" bestFit="1" customWidth="1"/>
    <col min="29" max="29" width="14.42578125" bestFit="1" customWidth="1"/>
    <col min="30" max="30" width="15.5703125" bestFit="1" customWidth="1"/>
    <col min="31" max="31" width="6.7109375" bestFit="1" customWidth="1"/>
    <col min="32" max="32" width="10" bestFit="1" customWidth="1"/>
  </cols>
  <sheetData>
    <row r="1" spans="1:32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4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s="3" t="s">
        <v>73</v>
      </c>
      <c r="AF1" s="3" t="s">
        <v>1</v>
      </c>
    </row>
    <row r="2" spans="1:32">
      <c r="A2" s="1">
        <v>45558</v>
      </c>
      <c r="B2" t="s">
        <v>92</v>
      </c>
      <c r="C2" t="s">
        <v>74</v>
      </c>
      <c r="D2" t="s">
        <v>75</v>
      </c>
      <c r="E2" t="s">
        <v>88</v>
      </c>
      <c r="F2" t="s">
        <v>77</v>
      </c>
      <c r="G2" t="s">
        <v>78</v>
      </c>
      <c r="H2" t="s">
        <v>93</v>
      </c>
      <c r="I2" t="s">
        <v>94</v>
      </c>
      <c r="J2" t="s">
        <v>81</v>
      </c>
      <c r="K2" t="s">
        <v>75</v>
      </c>
      <c r="L2" t="s">
        <v>23</v>
      </c>
      <c r="M2" t="s">
        <v>11</v>
      </c>
      <c r="N2" t="s">
        <v>86</v>
      </c>
      <c r="O2" t="s">
        <v>0</v>
      </c>
      <c r="P2">
        <v>300856</v>
      </c>
      <c r="Q2" t="s">
        <v>17</v>
      </c>
      <c r="R2" t="s">
        <v>82</v>
      </c>
      <c r="S2" t="s">
        <v>83</v>
      </c>
      <c r="T2">
        <v>0</v>
      </c>
      <c r="U2">
        <v>0.25</v>
      </c>
      <c r="V2" s="2">
        <v>1.0416666666666666E-2</v>
      </c>
      <c r="W2">
        <v>0</v>
      </c>
      <c r="AA2" t="s">
        <v>84</v>
      </c>
      <c r="AB2" t="s">
        <v>85</v>
      </c>
      <c r="AC2" t="s">
        <v>95</v>
      </c>
      <c r="AD2" t="s">
        <v>87</v>
      </c>
      <c r="AE2">
        <f>MONTH(A2)</f>
        <v>9</v>
      </c>
      <c r="AF2" t="str">
        <f>IF(AE2=7,"July",IF(AE2=8,"August",IF(AE2=9,"September",IF(AE2=10,"October",IF(AE2=11,"November")))))</f>
        <v>September</v>
      </c>
    </row>
    <row r="3" spans="1:32">
      <c r="A3" s="1">
        <v>45565</v>
      </c>
      <c r="B3" t="s">
        <v>92</v>
      </c>
      <c r="C3" t="s">
        <v>74</v>
      </c>
      <c r="D3" t="s">
        <v>75</v>
      </c>
      <c r="E3" t="s">
        <v>88</v>
      </c>
      <c r="F3" t="s">
        <v>77</v>
      </c>
      <c r="G3" t="s">
        <v>78</v>
      </c>
      <c r="H3" t="s">
        <v>93</v>
      </c>
      <c r="I3" t="s">
        <v>94</v>
      </c>
      <c r="J3" t="s">
        <v>81</v>
      </c>
      <c r="K3" t="s">
        <v>75</v>
      </c>
      <c r="L3" t="s">
        <v>23</v>
      </c>
      <c r="M3" t="s">
        <v>11</v>
      </c>
      <c r="N3" t="s">
        <v>86</v>
      </c>
      <c r="O3" t="s">
        <v>0</v>
      </c>
      <c r="P3">
        <v>304593</v>
      </c>
      <c r="Q3" t="s">
        <v>17</v>
      </c>
      <c r="R3" t="s">
        <v>82</v>
      </c>
      <c r="S3" t="s">
        <v>83</v>
      </c>
      <c r="T3">
        <v>0</v>
      </c>
      <c r="U3">
        <v>0.25</v>
      </c>
      <c r="V3" s="2">
        <v>1.0416666666666666E-2</v>
      </c>
      <c r="W3">
        <v>0</v>
      </c>
      <c r="AA3" t="s">
        <v>84</v>
      </c>
      <c r="AB3" t="s">
        <v>85</v>
      </c>
      <c r="AC3" t="s">
        <v>96</v>
      </c>
      <c r="AD3" t="s">
        <v>87</v>
      </c>
      <c r="AE3">
        <f t="shared" ref="AE3:AE13" si="0">MONTH(A3)</f>
        <v>9</v>
      </c>
      <c r="AF3" t="str">
        <f t="shared" ref="AF3:AF13" si="1">IF(AE3=7,"July",IF(AE3=8,"August",IF(AE3=9,"September",IF(AE3=10,"October",IF(AE3=11,"November")))))</f>
        <v>September</v>
      </c>
    </row>
    <row r="4" spans="1:32">
      <c r="A4" s="1">
        <v>45572</v>
      </c>
      <c r="B4" t="s">
        <v>92</v>
      </c>
      <c r="C4" t="s">
        <v>74</v>
      </c>
      <c r="D4" t="s">
        <v>75</v>
      </c>
      <c r="E4" t="s">
        <v>88</v>
      </c>
      <c r="F4" t="s">
        <v>77</v>
      </c>
      <c r="G4" t="s">
        <v>78</v>
      </c>
      <c r="H4" t="s">
        <v>93</v>
      </c>
      <c r="I4" t="s">
        <v>94</v>
      </c>
      <c r="J4" t="s">
        <v>81</v>
      </c>
      <c r="K4" t="s">
        <v>75</v>
      </c>
      <c r="L4" t="s">
        <v>23</v>
      </c>
      <c r="M4" t="s">
        <v>11</v>
      </c>
      <c r="N4" t="s">
        <v>86</v>
      </c>
      <c r="O4" t="s">
        <v>0</v>
      </c>
      <c r="P4">
        <v>307189</v>
      </c>
      <c r="Q4" t="s">
        <v>17</v>
      </c>
      <c r="R4" t="s">
        <v>82</v>
      </c>
      <c r="S4" t="s">
        <v>83</v>
      </c>
      <c r="T4">
        <v>0</v>
      </c>
      <c r="U4">
        <v>0.25</v>
      </c>
      <c r="V4" s="2">
        <v>1.0416666666666666E-2</v>
      </c>
      <c r="W4">
        <v>0</v>
      </c>
      <c r="AA4" t="s">
        <v>84</v>
      </c>
      <c r="AB4" t="s">
        <v>85</v>
      </c>
      <c r="AC4" t="s">
        <v>95</v>
      </c>
      <c r="AD4" t="s">
        <v>87</v>
      </c>
      <c r="AE4">
        <f t="shared" si="0"/>
        <v>10</v>
      </c>
      <c r="AF4" t="str">
        <f t="shared" si="1"/>
        <v>October</v>
      </c>
    </row>
    <row r="5" spans="1:32">
      <c r="A5" s="1">
        <v>45579</v>
      </c>
      <c r="B5" t="s">
        <v>92</v>
      </c>
      <c r="C5" t="s">
        <v>74</v>
      </c>
      <c r="D5" t="s">
        <v>75</v>
      </c>
      <c r="E5" t="s">
        <v>88</v>
      </c>
      <c r="F5" t="s">
        <v>77</v>
      </c>
      <c r="G5" t="s">
        <v>78</v>
      </c>
      <c r="H5" t="s">
        <v>93</v>
      </c>
      <c r="I5" t="s">
        <v>94</v>
      </c>
      <c r="J5" t="s">
        <v>81</v>
      </c>
      <c r="K5" t="s">
        <v>75</v>
      </c>
      <c r="L5" t="s">
        <v>23</v>
      </c>
      <c r="M5" t="s">
        <v>11</v>
      </c>
      <c r="N5" t="s">
        <v>86</v>
      </c>
      <c r="O5" t="s">
        <v>0</v>
      </c>
      <c r="P5">
        <v>309575</v>
      </c>
      <c r="Q5" t="s">
        <v>17</v>
      </c>
      <c r="R5" t="s">
        <v>82</v>
      </c>
      <c r="S5" t="s">
        <v>83</v>
      </c>
      <c r="T5">
        <v>0</v>
      </c>
      <c r="U5">
        <v>0.25</v>
      </c>
      <c r="V5" s="2">
        <v>1.0416666666666666E-2</v>
      </c>
      <c r="W5">
        <v>0</v>
      </c>
      <c r="AA5" t="s">
        <v>84</v>
      </c>
      <c r="AB5" t="s">
        <v>85</v>
      </c>
      <c r="AC5" t="s">
        <v>95</v>
      </c>
      <c r="AD5" t="s">
        <v>87</v>
      </c>
      <c r="AE5">
        <f t="shared" si="0"/>
        <v>10</v>
      </c>
      <c r="AF5" t="str">
        <f t="shared" si="1"/>
        <v>October</v>
      </c>
    </row>
    <row r="6" spans="1:32">
      <c r="A6" s="1">
        <v>45545</v>
      </c>
      <c r="B6" t="s">
        <v>28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93</v>
      </c>
      <c r="I6" t="s">
        <v>94</v>
      </c>
      <c r="J6" t="s">
        <v>81</v>
      </c>
      <c r="K6" t="s">
        <v>75</v>
      </c>
      <c r="L6" t="s">
        <v>23</v>
      </c>
      <c r="M6" t="s">
        <v>11</v>
      </c>
      <c r="N6" t="s">
        <v>11</v>
      </c>
      <c r="O6" t="s">
        <v>0</v>
      </c>
      <c r="P6">
        <v>295597</v>
      </c>
      <c r="Q6" t="s">
        <v>17</v>
      </c>
      <c r="R6" t="s">
        <v>82</v>
      </c>
      <c r="S6" t="s">
        <v>83</v>
      </c>
      <c r="T6">
        <v>0</v>
      </c>
      <c r="U6">
        <v>1</v>
      </c>
      <c r="V6" s="2">
        <v>4.1666666666666664E-2</v>
      </c>
      <c r="W6">
        <v>0</v>
      </c>
      <c r="AA6" t="s">
        <v>84</v>
      </c>
      <c r="AB6" t="s">
        <v>85</v>
      </c>
      <c r="AC6" t="s">
        <v>97</v>
      </c>
      <c r="AD6" t="s">
        <v>87</v>
      </c>
      <c r="AE6">
        <f t="shared" si="0"/>
        <v>9</v>
      </c>
      <c r="AF6" t="str">
        <f t="shared" si="1"/>
        <v>September</v>
      </c>
    </row>
    <row r="7" spans="1:32">
      <c r="A7" s="1">
        <v>45547</v>
      </c>
      <c r="B7" t="s">
        <v>28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93</v>
      </c>
      <c r="I7" t="s">
        <v>94</v>
      </c>
      <c r="J7" t="s">
        <v>81</v>
      </c>
      <c r="K7" t="s">
        <v>75</v>
      </c>
      <c r="L7" t="s">
        <v>23</v>
      </c>
      <c r="M7" t="s">
        <v>11</v>
      </c>
      <c r="N7" t="s">
        <v>11</v>
      </c>
      <c r="O7" t="s">
        <v>0</v>
      </c>
      <c r="P7">
        <v>296751</v>
      </c>
      <c r="Q7" t="s">
        <v>17</v>
      </c>
      <c r="R7" t="s">
        <v>82</v>
      </c>
      <c r="S7" t="s">
        <v>83</v>
      </c>
      <c r="T7">
        <v>0</v>
      </c>
      <c r="U7">
        <v>0.5</v>
      </c>
      <c r="V7" s="2">
        <v>2.0833333333333332E-2</v>
      </c>
      <c r="W7">
        <v>0</v>
      </c>
      <c r="AA7" t="s">
        <v>84</v>
      </c>
      <c r="AB7" t="s">
        <v>85</v>
      </c>
      <c r="AC7" t="s">
        <v>86</v>
      </c>
      <c r="AD7" t="s">
        <v>87</v>
      </c>
      <c r="AE7">
        <f t="shared" si="0"/>
        <v>9</v>
      </c>
      <c r="AF7" t="str">
        <f t="shared" si="1"/>
        <v>September</v>
      </c>
    </row>
    <row r="8" spans="1:32">
      <c r="A8" s="1">
        <v>45555</v>
      </c>
      <c r="B8" t="s">
        <v>28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93</v>
      </c>
      <c r="I8" t="s">
        <v>94</v>
      </c>
      <c r="J8" t="s">
        <v>81</v>
      </c>
      <c r="K8" t="s">
        <v>75</v>
      </c>
      <c r="L8" t="s">
        <v>23</v>
      </c>
      <c r="M8" t="s">
        <v>11</v>
      </c>
      <c r="N8" t="s">
        <v>11</v>
      </c>
      <c r="O8" t="s">
        <v>0</v>
      </c>
      <c r="P8">
        <v>300039</v>
      </c>
      <c r="Q8" t="s">
        <v>17</v>
      </c>
      <c r="R8" t="s">
        <v>82</v>
      </c>
      <c r="S8" t="s">
        <v>83</v>
      </c>
      <c r="T8">
        <v>0</v>
      </c>
      <c r="U8">
        <v>1</v>
      </c>
      <c r="V8" s="2">
        <v>4.1666666666666664E-2</v>
      </c>
      <c r="W8">
        <v>0</v>
      </c>
      <c r="AA8" t="s">
        <v>84</v>
      </c>
      <c r="AB8" t="s">
        <v>85</v>
      </c>
      <c r="AC8" t="s">
        <v>86</v>
      </c>
      <c r="AD8" t="s">
        <v>87</v>
      </c>
      <c r="AE8">
        <f t="shared" si="0"/>
        <v>9</v>
      </c>
      <c r="AF8" t="str">
        <f t="shared" si="1"/>
        <v>September</v>
      </c>
    </row>
    <row r="9" spans="1:32">
      <c r="A9" s="1">
        <v>45561</v>
      </c>
      <c r="B9" t="s">
        <v>28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93</v>
      </c>
      <c r="I9" t="s">
        <v>94</v>
      </c>
      <c r="J9" t="s">
        <v>81</v>
      </c>
      <c r="K9" t="s">
        <v>75</v>
      </c>
      <c r="L9" t="s">
        <v>23</v>
      </c>
      <c r="M9" t="s">
        <v>11</v>
      </c>
      <c r="N9" t="s">
        <v>11</v>
      </c>
      <c r="O9" t="s">
        <v>0</v>
      </c>
      <c r="P9">
        <v>301819</v>
      </c>
      <c r="Q9" t="s">
        <v>17</v>
      </c>
      <c r="R9" t="s">
        <v>82</v>
      </c>
      <c r="S9" t="s">
        <v>83</v>
      </c>
      <c r="T9">
        <v>0</v>
      </c>
      <c r="U9">
        <v>0.25</v>
      </c>
      <c r="V9" s="2">
        <v>1.0416666666666666E-2</v>
      </c>
      <c r="W9">
        <v>0</v>
      </c>
      <c r="AA9" t="s">
        <v>84</v>
      </c>
      <c r="AB9" t="s">
        <v>85</v>
      </c>
      <c r="AC9" t="s">
        <v>86</v>
      </c>
      <c r="AD9" t="s">
        <v>87</v>
      </c>
      <c r="AE9">
        <f t="shared" si="0"/>
        <v>9</v>
      </c>
      <c r="AF9" t="str">
        <f t="shared" si="1"/>
        <v>September</v>
      </c>
    </row>
    <row r="10" spans="1:32">
      <c r="A10" s="1">
        <v>45566</v>
      </c>
      <c r="B10" t="s">
        <v>28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93</v>
      </c>
      <c r="I10" t="s">
        <v>94</v>
      </c>
      <c r="J10" t="s">
        <v>81</v>
      </c>
      <c r="K10" t="s">
        <v>75</v>
      </c>
      <c r="L10" t="s">
        <v>23</v>
      </c>
      <c r="M10" t="s">
        <v>11</v>
      </c>
      <c r="N10" t="s">
        <v>11</v>
      </c>
      <c r="O10" t="s">
        <v>0</v>
      </c>
      <c r="P10">
        <v>305367</v>
      </c>
      <c r="Q10" t="s">
        <v>17</v>
      </c>
      <c r="R10" t="s">
        <v>82</v>
      </c>
      <c r="S10" t="s">
        <v>83</v>
      </c>
      <c r="T10">
        <v>0</v>
      </c>
      <c r="U10">
        <v>1</v>
      </c>
      <c r="V10" s="2">
        <v>4.1666666666666664E-2</v>
      </c>
      <c r="W10">
        <v>0</v>
      </c>
      <c r="AA10" t="s">
        <v>84</v>
      </c>
      <c r="AB10" t="s">
        <v>85</v>
      </c>
      <c r="AC10" t="s">
        <v>86</v>
      </c>
      <c r="AD10" t="s">
        <v>87</v>
      </c>
      <c r="AE10">
        <f t="shared" si="0"/>
        <v>10</v>
      </c>
      <c r="AF10" t="str">
        <f t="shared" si="1"/>
        <v>October</v>
      </c>
    </row>
    <row r="11" spans="1:32">
      <c r="A11" s="1">
        <v>45568</v>
      </c>
      <c r="B11" t="s">
        <v>28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93</v>
      </c>
      <c r="I11" t="s">
        <v>94</v>
      </c>
      <c r="J11" t="s">
        <v>81</v>
      </c>
      <c r="K11" t="s">
        <v>75</v>
      </c>
      <c r="L11" t="s">
        <v>23</v>
      </c>
      <c r="M11" t="s">
        <v>11</v>
      </c>
      <c r="N11" t="s">
        <v>11</v>
      </c>
      <c r="O11" t="s">
        <v>0</v>
      </c>
      <c r="P11">
        <v>305842</v>
      </c>
      <c r="Q11" t="s">
        <v>17</v>
      </c>
      <c r="R11" t="s">
        <v>82</v>
      </c>
      <c r="S11" t="s">
        <v>83</v>
      </c>
      <c r="T11">
        <v>0</v>
      </c>
      <c r="U11">
        <v>1</v>
      </c>
      <c r="V11" s="2">
        <v>4.1666666666666664E-2</v>
      </c>
      <c r="W11">
        <v>0</v>
      </c>
      <c r="AA11" t="s">
        <v>84</v>
      </c>
      <c r="AB11" t="s">
        <v>85</v>
      </c>
      <c r="AC11" t="s">
        <v>86</v>
      </c>
      <c r="AD11" t="s">
        <v>87</v>
      </c>
      <c r="AE11">
        <f t="shared" si="0"/>
        <v>10</v>
      </c>
      <c r="AF11" t="str">
        <f t="shared" si="1"/>
        <v>October</v>
      </c>
    </row>
    <row r="12" spans="1:32">
      <c r="A12" s="1">
        <v>45573</v>
      </c>
      <c r="B12" t="s">
        <v>28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93</v>
      </c>
      <c r="I12" t="s">
        <v>94</v>
      </c>
      <c r="J12" t="s">
        <v>81</v>
      </c>
      <c r="K12" t="s">
        <v>75</v>
      </c>
      <c r="L12" t="s">
        <v>23</v>
      </c>
      <c r="M12" t="s">
        <v>11</v>
      </c>
      <c r="N12" t="s">
        <v>11</v>
      </c>
      <c r="O12" t="s">
        <v>0</v>
      </c>
      <c r="P12">
        <v>307716</v>
      </c>
      <c r="Q12" t="s">
        <v>17</v>
      </c>
      <c r="R12" t="s">
        <v>82</v>
      </c>
      <c r="S12" t="s">
        <v>83</v>
      </c>
      <c r="T12">
        <v>0</v>
      </c>
      <c r="U12">
        <v>1</v>
      </c>
      <c r="V12" s="2">
        <v>4.1666666666666664E-2</v>
      </c>
      <c r="W12">
        <v>0</v>
      </c>
      <c r="AA12" t="s">
        <v>84</v>
      </c>
      <c r="AB12" t="s">
        <v>85</v>
      </c>
      <c r="AC12" t="s">
        <v>86</v>
      </c>
      <c r="AD12" t="s">
        <v>87</v>
      </c>
      <c r="AE12">
        <f t="shared" si="0"/>
        <v>10</v>
      </c>
      <c r="AF12" t="str">
        <f t="shared" si="1"/>
        <v>October</v>
      </c>
    </row>
    <row r="13" spans="1:32">
      <c r="A13" s="1">
        <v>45575</v>
      </c>
      <c r="B13" t="s">
        <v>28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93</v>
      </c>
      <c r="I13" t="s">
        <v>94</v>
      </c>
      <c r="J13" t="s">
        <v>81</v>
      </c>
      <c r="K13" t="s">
        <v>75</v>
      </c>
      <c r="L13" t="s">
        <v>23</v>
      </c>
      <c r="M13" t="s">
        <v>11</v>
      </c>
      <c r="N13" t="s">
        <v>11</v>
      </c>
      <c r="O13" t="s">
        <v>0</v>
      </c>
      <c r="P13">
        <v>308436</v>
      </c>
      <c r="Q13" t="s">
        <v>17</v>
      </c>
      <c r="R13" t="s">
        <v>82</v>
      </c>
      <c r="S13" t="s">
        <v>83</v>
      </c>
      <c r="T13">
        <v>0</v>
      </c>
      <c r="U13">
        <v>0.5</v>
      </c>
      <c r="V13" s="2">
        <v>2.0833333333333332E-2</v>
      </c>
      <c r="W13">
        <v>0</v>
      </c>
      <c r="AA13" t="s">
        <v>84</v>
      </c>
      <c r="AB13" t="s">
        <v>85</v>
      </c>
      <c r="AC13" t="s">
        <v>86</v>
      </c>
      <c r="AD13" t="s">
        <v>87</v>
      </c>
      <c r="AE13">
        <f t="shared" si="0"/>
        <v>10</v>
      </c>
      <c r="AF13" t="str">
        <f t="shared" si="1"/>
        <v>October</v>
      </c>
    </row>
    <row r="14" spans="1:32">
      <c r="A14" s="1">
        <v>45544</v>
      </c>
      <c r="B14" t="s">
        <v>12</v>
      </c>
      <c r="C14" t="s">
        <v>74</v>
      </c>
      <c r="D14" t="s">
        <v>75</v>
      </c>
      <c r="E14" t="s">
        <v>88</v>
      </c>
      <c r="F14" t="s">
        <v>77</v>
      </c>
      <c r="G14" t="s">
        <v>78</v>
      </c>
      <c r="H14" t="s">
        <v>93</v>
      </c>
      <c r="I14" t="s">
        <v>94</v>
      </c>
      <c r="J14" t="s">
        <v>81</v>
      </c>
      <c r="K14" t="s">
        <v>75</v>
      </c>
      <c r="L14" t="s">
        <v>23</v>
      </c>
      <c r="M14" t="s">
        <v>11</v>
      </c>
      <c r="N14" t="s">
        <v>89</v>
      </c>
      <c r="O14" t="s">
        <v>0</v>
      </c>
      <c r="P14">
        <v>295307</v>
      </c>
      <c r="Q14" t="s">
        <v>9</v>
      </c>
      <c r="R14" t="s">
        <v>5</v>
      </c>
      <c r="S14" t="s">
        <v>83</v>
      </c>
      <c r="T14">
        <v>90</v>
      </c>
      <c r="U14">
        <v>2.25</v>
      </c>
      <c r="V14" s="2">
        <v>9.375E-2</v>
      </c>
      <c r="W14">
        <v>202.5</v>
      </c>
      <c r="X14">
        <v>337.5</v>
      </c>
      <c r="Y14">
        <v>135</v>
      </c>
      <c r="Z14" t="s">
        <v>98</v>
      </c>
      <c r="AA14" t="s">
        <v>84</v>
      </c>
      <c r="AB14" t="s">
        <v>85</v>
      </c>
      <c r="AC14" t="s">
        <v>86</v>
      </c>
      <c r="AD14" t="s">
        <v>87</v>
      </c>
      <c r="AE14">
        <f t="shared" ref="AE14:AE24" si="2">MONTH(A14)</f>
        <v>9</v>
      </c>
      <c r="AF14" t="str">
        <f t="shared" ref="AF14:AF24" si="3">IF(AE14=7,"July",IF(AE14=8,"August",IF(AE14=9,"September",IF(AE14=10,"October",IF(AE14=11,"November")))))</f>
        <v>September</v>
      </c>
    </row>
    <row r="15" spans="1:32">
      <c r="A15" s="1">
        <v>45545</v>
      </c>
      <c r="B15" t="s">
        <v>12</v>
      </c>
      <c r="C15" t="s">
        <v>74</v>
      </c>
      <c r="D15" t="s">
        <v>75</v>
      </c>
      <c r="E15" t="s">
        <v>88</v>
      </c>
      <c r="F15" t="s">
        <v>77</v>
      </c>
      <c r="G15" t="s">
        <v>78</v>
      </c>
      <c r="H15" t="s">
        <v>93</v>
      </c>
      <c r="I15" t="s">
        <v>94</v>
      </c>
      <c r="J15" t="s">
        <v>81</v>
      </c>
      <c r="K15" t="s">
        <v>75</v>
      </c>
      <c r="L15" t="s">
        <v>23</v>
      </c>
      <c r="M15" t="s">
        <v>11</v>
      </c>
      <c r="N15" t="s">
        <v>89</v>
      </c>
      <c r="O15" t="s">
        <v>0</v>
      </c>
      <c r="P15">
        <v>295796</v>
      </c>
      <c r="Q15" t="s">
        <v>9</v>
      </c>
      <c r="R15" t="s">
        <v>5</v>
      </c>
      <c r="S15" t="s">
        <v>83</v>
      </c>
      <c r="T15">
        <v>90</v>
      </c>
      <c r="U15">
        <v>1.25</v>
      </c>
      <c r="V15" s="2">
        <v>5.2083333333333336E-2</v>
      </c>
      <c r="W15">
        <v>112.5</v>
      </c>
      <c r="X15">
        <v>187.5</v>
      </c>
      <c r="Y15">
        <v>75</v>
      </c>
      <c r="Z15" t="s">
        <v>98</v>
      </c>
      <c r="AA15" t="s">
        <v>84</v>
      </c>
      <c r="AB15" t="s">
        <v>85</v>
      </c>
      <c r="AC15" t="s">
        <v>86</v>
      </c>
      <c r="AD15" t="s">
        <v>87</v>
      </c>
      <c r="AE15">
        <f t="shared" si="2"/>
        <v>9</v>
      </c>
      <c r="AF15" t="str">
        <f t="shared" si="3"/>
        <v>September</v>
      </c>
    </row>
    <row r="16" spans="1:32">
      <c r="A16" s="1">
        <v>45546</v>
      </c>
      <c r="B16" t="s">
        <v>12</v>
      </c>
      <c r="C16" t="s">
        <v>74</v>
      </c>
      <c r="D16" t="s">
        <v>75</v>
      </c>
      <c r="E16" t="s">
        <v>88</v>
      </c>
      <c r="F16" t="s">
        <v>77</v>
      </c>
      <c r="G16" t="s">
        <v>78</v>
      </c>
      <c r="H16" t="s">
        <v>93</v>
      </c>
      <c r="I16" t="s">
        <v>94</v>
      </c>
      <c r="J16" t="s">
        <v>81</v>
      </c>
      <c r="K16" t="s">
        <v>75</v>
      </c>
      <c r="L16" t="s">
        <v>23</v>
      </c>
      <c r="M16" t="s">
        <v>11</v>
      </c>
      <c r="N16" t="s">
        <v>89</v>
      </c>
      <c r="O16" t="s">
        <v>0</v>
      </c>
      <c r="P16">
        <v>296231</v>
      </c>
      <c r="Q16" t="s">
        <v>9</v>
      </c>
      <c r="R16" t="s">
        <v>5</v>
      </c>
      <c r="S16" t="s">
        <v>83</v>
      </c>
      <c r="T16">
        <v>90</v>
      </c>
      <c r="U16">
        <v>0.25</v>
      </c>
      <c r="V16" s="2">
        <v>1.0416666666666666E-2</v>
      </c>
      <c r="W16">
        <v>22.5</v>
      </c>
      <c r="X16">
        <v>37.5</v>
      </c>
      <c r="Y16">
        <v>15</v>
      </c>
      <c r="Z16" t="s">
        <v>98</v>
      </c>
      <c r="AA16" t="s">
        <v>84</v>
      </c>
      <c r="AB16" t="s">
        <v>85</v>
      </c>
      <c r="AC16" t="s">
        <v>86</v>
      </c>
      <c r="AD16" t="s">
        <v>87</v>
      </c>
      <c r="AE16">
        <f t="shared" si="2"/>
        <v>9</v>
      </c>
      <c r="AF16" t="str">
        <f t="shared" si="3"/>
        <v>September</v>
      </c>
    </row>
    <row r="17" spans="1:32">
      <c r="A17" s="1">
        <v>45547</v>
      </c>
      <c r="B17" t="s">
        <v>12</v>
      </c>
      <c r="C17" t="s">
        <v>74</v>
      </c>
      <c r="D17" t="s">
        <v>75</v>
      </c>
      <c r="E17" t="s">
        <v>88</v>
      </c>
      <c r="F17" t="s">
        <v>77</v>
      </c>
      <c r="G17" t="s">
        <v>78</v>
      </c>
      <c r="H17" t="s">
        <v>93</v>
      </c>
      <c r="I17" t="s">
        <v>94</v>
      </c>
      <c r="J17" t="s">
        <v>81</v>
      </c>
      <c r="K17" t="s">
        <v>75</v>
      </c>
      <c r="L17" t="s">
        <v>23</v>
      </c>
      <c r="M17" t="s">
        <v>11</v>
      </c>
      <c r="N17" t="s">
        <v>89</v>
      </c>
      <c r="O17" t="s">
        <v>0</v>
      </c>
      <c r="P17">
        <v>296762</v>
      </c>
      <c r="Q17" t="s">
        <v>9</v>
      </c>
      <c r="R17" t="s">
        <v>5</v>
      </c>
      <c r="S17" t="s">
        <v>83</v>
      </c>
      <c r="T17">
        <v>90</v>
      </c>
      <c r="U17">
        <v>4.75</v>
      </c>
      <c r="V17" s="2">
        <v>0.19791666666666666</v>
      </c>
      <c r="W17">
        <v>427.5</v>
      </c>
      <c r="X17">
        <v>712.5</v>
      </c>
      <c r="Y17">
        <v>285</v>
      </c>
      <c r="Z17" t="s">
        <v>98</v>
      </c>
      <c r="AA17" t="s">
        <v>84</v>
      </c>
      <c r="AB17" t="s">
        <v>85</v>
      </c>
      <c r="AC17" t="s">
        <v>86</v>
      </c>
      <c r="AD17" t="s">
        <v>87</v>
      </c>
      <c r="AE17">
        <f t="shared" si="2"/>
        <v>9</v>
      </c>
      <c r="AF17" t="str">
        <f t="shared" si="3"/>
        <v>September</v>
      </c>
    </row>
    <row r="18" spans="1:32">
      <c r="A18" s="1">
        <v>45548</v>
      </c>
      <c r="B18" t="s">
        <v>12</v>
      </c>
      <c r="C18" t="s">
        <v>74</v>
      </c>
      <c r="D18" t="s">
        <v>75</v>
      </c>
      <c r="E18" t="s">
        <v>88</v>
      </c>
      <c r="F18" t="s">
        <v>77</v>
      </c>
      <c r="G18" t="s">
        <v>78</v>
      </c>
      <c r="H18" t="s">
        <v>93</v>
      </c>
      <c r="I18" t="s">
        <v>94</v>
      </c>
      <c r="J18" t="s">
        <v>81</v>
      </c>
      <c r="K18" t="s">
        <v>75</v>
      </c>
      <c r="L18" t="s">
        <v>23</v>
      </c>
      <c r="M18" t="s">
        <v>11</v>
      </c>
      <c r="N18" t="s">
        <v>89</v>
      </c>
      <c r="O18" t="s">
        <v>0</v>
      </c>
      <c r="P18">
        <v>297337</v>
      </c>
      <c r="Q18" t="s">
        <v>9</v>
      </c>
      <c r="R18" t="s">
        <v>5</v>
      </c>
      <c r="S18" t="s">
        <v>83</v>
      </c>
      <c r="T18">
        <v>90</v>
      </c>
      <c r="U18">
        <v>2</v>
      </c>
      <c r="V18" s="2">
        <v>8.3333333333333329E-2</v>
      </c>
      <c r="W18">
        <v>180</v>
      </c>
      <c r="X18">
        <v>300</v>
      </c>
      <c r="Y18">
        <v>120</v>
      </c>
      <c r="Z18" t="s">
        <v>98</v>
      </c>
      <c r="AA18" t="s">
        <v>84</v>
      </c>
      <c r="AB18" t="s">
        <v>85</v>
      </c>
      <c r="AC18" t="s">
        <v>86</v>
      </c>
      <c r="AD18" t="s">
        <v>87</v>
      </c>
      <c r="AE18">
        <f t="shared" si="2"/>
        <v>9</v>
      </c>
      <c r="AF18" t="str">
        <f t="shared" si="3"/>
        <v>September</v>
      </c>
    </row>
    <row r="19" spans="1:32">
      <c r="A19" s="1">
        <v>45551</v>
      </c>
      <c r="B19" t="s">
        <v>12</v>
      </c>
      <c r="C19" t="s">
        <v>74</v>
      </c>
      <c r="D19" t="s">
        <v>75</v>
      </c>
      <c r="E19" t="s">
        <v>88</v>
      </c>
      <c r="F19" t="s">
        <v>77</v>
      </c>
      <c r="G19" t="s">
        <v>78</v>
      </c>
      <c r="H19" t="s">
        <v>93</v>
      </c>
      <c r="I19" t="s">
        <v>94</v>
      </c>
      <c r="J19" t="s">
        <v>81</v>
      </c>
      <c r="K19" t="s">
        <v>75</v>
      </c>
      <c r="L19" t="s">
        <v>23</v>
      </c>
      <c r="M19" t="s">
        <v>11</v>
      </c>
      <c r="N19" t="s">
        <v>89</v>
      </c>
      <c r="O19" t="s">
        <v>0</v>
      </c>
      <c r="P19">
        <v>298126</v>
      </c>
      <c r="Q19" t="s">
        <v>9</v>
      </c>
      <c r="R19" t="s">
        <v>5</v>
      </c>
      <c r="S19" t="s">
        <v>83</v>
      </c>
      <c r="T19">
        <v>90</v>
      </c>
      <c r="U19">
        <v>0.25</v>
      </c>
      <c r="V19" s="2">
        <v>1.0416666666666666E-2</v>
      </c>
      <c r="W19">
        <v>22.5</v>
      </c>
      <c r="X19">
        <v>37.5</v>
      </c>
      <c r="Y19">
        <v>15</v>
      </c>
      <c r="Z19" t="s">
        <v>98</v>
      </c>
      <c r="AA19" t="s">
        <v>84</v>
      </c>
      <c r="AB19" t="s">
        <v>85</v>
      </c>
      <c r="AC19" t="s">
        <v>86</v>
      </c>
      <c r="AD19" t="s">
        <v>87</v>
      </c>
      <c r="AE19">
        <f t="shared" si="2"/>
        <v>9</v>
      </c>
      <c r="AF19" t="str">
        <f t="shared" si="3"/>
        <v>September</v>
      </c>
    </row>
    <row r="20" spans="1:32">
      <c r="A20" s="1">
        <v>45552</v>
      </c>
      <c r="B20" t="s">
        <v>12</v>
      </c>
      <c r="C20" t="s">
        <v>74</v>
      </c>
      <c r="D20" t="s">
        <v>75</v>
      </c>
      <c r="E20" t="s">
        <v>88</v>
      </c>
      <c r="F20" t="s">
        <v>77</v>
      </c>
      <c r="G20" t="s">
        <v>78</v>
      </c>
      <c r="H20" t="s">
        <v>93</v>
      </c>
      <c r="I20" t="s">
        <v>94</v>
      </c>
      <c r="J20" t="s">
        <v>81</v>
      </c>
      <c r="K20" t="s">
        <v>75</v>
      </c>
      <c r="L20" t="s">
        <v>23</v>
      </c>
      <c r="M20" t="s">
        <v>11</v>
      </c>
      <c r="N20" t="s">
        <v>89</v>
      </c>
      <c r="O20" t="s">
        <v>0</v>
      </c>
      <c r="P20">
        <v>298527</v>
      </c>
      <c r="Q20" t="s">
        <v>9</v>
      </c>
      <c r="R20" t="s">
        <v>5</v>
      </c>
      <c r="S20" t="s">
        <v>83</v>
      </c>
      <c r="T20">
        <v>90</v>
      </c>
      <c r="U20">
        <v>3</v>
      </c>
      <c r="V20" s="2">
        <v>0.125</v>
      </c>
      <c r="W20">
        <v>270</v>
      </c>
      <c r="X20">
        <v>450</v>
      </c>
      <c r="Y20">
        <v>180</v>
      </c>
      <c r="Z20" t="s">
        <v>98</v>
      </c>
      <c r="AA20" t="s">
        <v>84</v>
      </c>
      <c r="AB20" t="s">
        <v>85</v>
      </c>
      <c r="AC20" t="s">
        <v>86</v>
      </c>
      <c r="AD20" t="s">
        <v>87</v>
      </c>
      <c r="AE20">
        <f t="shared" si="2"/>
        <v>9</v>
      </c>
      <c r="AF20" t="str">
        <f t="shared" si="3"/>
        <v>September</v>
      </c>
    </row>
    <row r="21" spans="1:32">
      <c r="A21" s="1">
        <v>45553</v>
      </c>
      <c r="B21" t="s">
        <v>12</v>
      </c>
      <c r="C21" t="s">
        <v>74</v>
      </c>
      <c r="D21" t="s">
        <v>75</v>
      </c>
      <c r="E21" t="s">
        <v>88</v>
      </c>
      <c r="F21" t="s">
        <v>77</v>
      </c>
      <c r="G21" t="s">
        <v>78</v>
      </c>
      <c r="H21" t="s">
        <v>93</v>
      </c>
      <c r="I21" t="s">
        <v>94</v>
      </c>
      <c r="J21" t="s">
        <v>81</v>
      </c>
      <c r="K21" t="s">
        <v>75</v>
      </c>
      <c r="L21" t="s">
        <v>23</v>
      </c>
      <c r="M21" t="s">
        <v>11</v>
      </c>
      <c r="N21" t="s">
        <v>89</v>
      </c>
      <c r="O21" t="s">
        <v>0</v>
      </c>
      <c r="P21">
        <v>299113</v>
      </c>
      <c r="Q21" t="s">
        <v>9</v>
      </c>
      <c r="R21" t="s">
        <v>5</v>
      </c>
      <c r="S21" t="s">
        <v>83</v>
      </c>
      <c r="T21">
        <v>90</v>
      </c>
      <c r="U21">
        <v>4</v>
      </c>
      <c r="V21" s="2">
        <v>0.16666666666666666</v>
      </c>
      <c r="W21">
        <v>360</v>
      </c>
      <c r="X21">
        <v>600</v>
      </c>
      <c r="Y21">
        <v>240</v>
      </c>
      <c r="Z21" t="s">
        <v>98</v>
      </c>
      <c r="AA21" t="s">
        <v>84</v>
      </c>
      <c r="AB21" t="s">
        <v>85</v>
      </c>
      <c r="AC21" t="s">
        <v>86</v>
      </c>
      <c r="AD21" t="s">
        <v>87</v>
      </c>
      <c r="AE21">
        <f t="shared" si="2"/>
        <v>9</v>
      </c>
      <c r="AF21" t="str">
        <f t="shared" si="3"/>
        <v>September</v>
      </c>
    </row>
    <row r="22" spans="1:32">
      <c r="A22" s="1">
        <v>45554</v>
      </c>
      <c r="B22" t="s">
        <v>12</v>
      </c>
      <c r="C22" t="s">
        <v>74</v>
      </c>
      <c r="D22" t="s">
        <v>75</v>
      </c>
      <c r="E22" t="s">
        <v>88</v>
      </c>
      <c r="F22" t="s">
        <v>77</v>
      </c>
      <c r="G22" t="s">
        <v>78</v>
      </c>
      <c r="H22" t="s">
        <v>93</v>
      </c>
      <c r="I22" t="s">
        <v>94</v>
      </c>
      <c r="J22" t="s">
        <v>81</v>
      </c>
      <c r="K22" t="s">
        <v>75</v>
      </c>
      <c r="L22" t="s">
        <v>23</v>
      </c>
      <c r="M22" t="s">
        <v>11</v>
      </c>
      <c r="N22" t="s">
        <v>89</v>
      </c>
      <c r="O22" t="s">
        <v>0</v>
      </c>
      <c r="P22">
        <v>299601</v>
      </c>
      <c r="Q22" t="s">
        <v>9</v>
      </c>
      <c r="R22" t="s">
        <v>5</v>
      </c>
      <c r="S22" t="s">
        <v>83</v>
      </c>
      <c r="T22">
        <v>90</v>
      </c>
      <c r="U22">
        <v>7</v>
      </c>
      <c r="V22" s="2">
        <v>0.29166666666666669</v>
      </c>
      <c r="W22">
        <v>630</v>
      </c>
      <c r="X22">
        <v>1050</v>
      </c>
      <c r="Y22">
        <v>420</v>
      </c>
      <c r="Z22" t="s">
        <v>98</v>
      </c>
      <c r="AA22" t="s">
        <v>84</v>
      </c>
      <c r="AB22" t="s">
        <v>85</v>
      </c>
      <c r="AC22" t="s">
        <v>86</v>
      </c>
      <c r="AD22" t="s">
        <v>87</v>
      </c>
      <c r="AE22">
        <f t="shared" si="2"/>
        <v>9</v>
      </c>
      <c r="AF22" t="str">
        <f t="shared" si="3"/>
        <v>September</v>
      </c>
    </row>
    <row r="23" spans="1:32">
      <c r="A23" s="1">
        <v>45555</v>
      </c>
      <c r="B23" t="s">
        <v>12</v>
      </c>
      <c r="C23" t="s">
        <v>74</v>
      </c>
      <c r="D23" t="s">
        <v>75</v>
      </c>
      <c r="E23" t="s">
        <v>88</v>
      </c>
      <c r="F23" t="s">
        <v>77</v>
      </c>
      <c r="G23" t="s">
        <v>78</v>
      </c>
      <c r="H23" t="s">
        <v>93</v>
      </c>
      <c r="I23" t="s">
        <v>94</v>
      </c>
      <c r="J23" t="s">
        <v>81</v>
      </c>
      <c r="K23" t="s">
        <v>75</v>
      </c>
      <c r="L23" t="s">
        <v>23</v>
      </c>
      <c r="M23" t="s">
        <v>11</v>
      </c>
      <c r="N23" t="s">
        <v>89</v>
      </c>
      <c r="O23" t="s">
        <v>0</v>
      </c>
      <c r="P23">
        <v>300229</v>
      </c>
      <c r="Q23" t="s">
        <v>9</v>
      </c>
      <c r="R23" t="s">
        <v>5</v>
      </c>
      <c r="S23" t="s">
        <v>83</v>
      </c>
      <c r="T23">
        <v>90</v>
      </c>
      <c r="U23">
        <v>5.75</v>
      </c>
      <c r="V23" s="2">
        <v>0.23958333333333334</v>
      </c>
      <c r="W23">
        <v>517.5</v>
      </c>
      <c r="X23">
        <v>862.5</v>
      </c>
      <c r="Y23">
        <v>345</v>
      </c>
      <c r="Z23" t="s">
        <v>98</v>
      </c>
      <c r="AA23" t="s">
        <v>84</v>
      </c>
      <c r="AB23" t="s">
        <v>85</v>
      </c>
      <c r="AC23" t="s">
        <v>86</v>
      </c>
      <c r="AD23" t="s">
        <v>87</v>
      </c>
      <c r="AE23">
        <f t="shared" si="2"/>
        <v>9</v>
      </c>
      <c r="AF23" t="str">
        <f t="shared" si="3"/>
        <v>September</v>
      </c>
    </row>
    <row r="24" spans="1:32">
      <c r="A24" s="1">
        <v>45558</v>
      </c>
      <c r="B24" t="s">
        <v>12</v>
      </c>
      <c r="C24" t="s">
        <v>74</v>
      </c>
      <c r="D24" t="s">
        <v>75</v>
      </c>
      <c r="E24" t="s">
        <v>88</v>
      </c>
      <c r="F24" t="s">
        <v>77</v>
      </c>
      <c r="G24" t="s">
        <v>78</v>
      </c>
      <c r="H24" t="s">
        <v>93</v>
      </c>
      <c r="I24" t="s">
        <v>94</v>
      </c>
      <c r="J24" t="s">
        <v>81</v>
      </c>
      <c r="K24" t="s">
        <v>75</v>
      </c>
      <c r="L24" t="s">
        <v>23</v>
      </c>
      <c r="M24" t="s">
        <v>11</v>
      </c>
      <c r="N24" t="s">
        <v>89</v>
      </c>
      <c r="O24" t="s">
        <v>0</v>
      </c>
      <c r="P24">
        <v>300824</v>
      </c>
      <c r="Q24" t="s">
        <v>9</v>
      </c>
      <c r="R24" t="s">
        <v>5</v>
      </c>
      <c r="S24" t="s">
        <v>83</v>
      </c>
      <c r="T24">
        <v>90</v>
      </c>
      <c r="U24">
        <v>5</v>
      </c>
      <c r="V24" s="2">
        <v>0.20833333333333334</v>
      </c>
      <c r="W24">
        <v>450</v>
      </c>
      <c r="X24">
        <v>750</v>
      </c>
      <c r="Y24">
        <v>300</v>
      </c>
      <c r="Z24" t="s">
        <v>98</v>
      </c>
      <c r="AA24" t="s">
        <v>84</v>
      </c>
      <c r="AB24" t="s">
        <v>85</v>
      </c>
      <c r="AC24" t="s">
        <v>86</v>
      </c>
      <c r="AD24" t="s">
        <v>87</v>
      </c>
      <c r="AE24">
        <f t="shared" si="2"/>
        <v>9</v>
      </c>
      <c r="AF24" t="str">
        <f t="shared" si="3"/>
        <v>September</v>
      </c>
    </row>
    <row r="25" spans="1:32">
      <c r="A25" s="1">
        <v>45559</v>
      </c>
      <c r="B25" t="s">
        <v>12</v>
      </c>
      <c r="C25" t="s">
        <v>74</v>
      </c>
      <c r="D25" t="s">
        <v>75</v>
      </c>
      <c r="E25" t="s">
        <v>88</v>
      </c>
      <c r="F25" t="s">
        <v>77</v>
      </c>
      <c r="G25" t="s">
        <v>78</v>
      </c>
      <c r="H25" t="s">
        <v>93</v>
      </c>
      <c r="I25" t="s">
        <v>94</v>
      </c>
      <c r="J25" t="s">
        <v>81</v>
      </c>
      <c r="K25" t="s">
        <v>75</v>
      </c>
      <c r="L25" t="s">
        <v>23</v>
      </c>
      <c r="M25" t="s">
        <v>11</v>
      </c>
      <c r="N25" t="s">
        <v>89</v>
      </c>
      <c r="O25" t="s">
        <v>0</v>
      </c>
      <c r="P25">
        <v>301042</v>
      </c>
      <c r="Q25" t="s">
        <v>9</v>
      </c>
      <c r="R25" t="s">
        <v>5</v>
      </c>
      <c r="S25" t="s">
        <v>83</v>
      </c>
      <c r="T25">
        <v>90</v>
      </c>
      <c r="U25">
        <v>4.5</v>
      </c>
      <c r="V25" s="2">
        <v>0.1875</v>
      </c>
      <c r="W25">
        <v>405</v>
      </c>
      <c r="X25">
        <v>675</v>
      </c>
      <c r="Y25">
        <v>270</v>
      </c>
      <c r="Z25" t="s">
        <v>98</v>
      </c>
      <c r="AA25" t="s">
        <v>84</v>
      </c>
      <c r="AB25" t="s">
        <v>85</v>
      </c>
      <c r="AC25" t="s">
        <v>86</v>
      </c>
      <c r="AD25" t="s">
        <v>87</v>
      </c>
      <c r="AE25">
        <f t="shared" ref="AE25:AE32" si="4">MONTH(A25)</f>
        <v>9</v>
      </c>
      <c r="AF25" t="str">
        <f t="shared" ref="AF25:AF32" si="5">IF(AE25=7,"July",IF(AE25=8,"August",IF(AE25=9,"September",IF(AE25=10,"October",IF(AE25=11,"November")))))</f>
        <v>September</v>
      </c>
    </row>
    <row r="26" spans="1:32">
      <c r="A26" s="1">
        <v>45561</v>
      </c>
      <c r="B26" t="s">
        <v>12</v>
      </c>
      <c r="C26" t="s">
        <v>74</v>
      </c>
      <c r="D26" t="s">
        <v>75</v>
      </c>
      <c r="E26" t="s">
        <v>88</v>
      </c>
      <c r="F26" t="s">
        <v>77</v>
      </c>
      <c r="G26" t="s">
        <v>78</v>
      </c>
      <c r="H26" t="s">
        <v>93</v>
      </c>
      <c r="I26" t="s">
        <v>94</v>
      </c>
      <c r="J26" t="s">
        <v>81</v>
      </c>
      <c r="K26" t="s">
        <v>75</v>
      </c>
      <c r="L26" t="s">
        <v>23</v>
      </c>
      <c r="M26" t="s">
        <v>11</v>
      </c>
      <c r="N26" t="s">
        <v>89</v>
      </c>
      <c r="O26" t="s">
        <v>0</v>
      </c>
      <c r="P26">
        <v>302000</v>
      </c>
      <c r="Q26" t="s">
        <v>9</v>
      </c>
      <c r="R26" t="s">
        <v>5</v>
      </c>
      <c r="S26" t="s">
        <v>83</v>
      </c>
      <c r="T26">
        <v>90</v>
      </c>
      <c r="U26">
        <v>3.5</v>
      </c>
      <c r="V26" s="2">
        <v>0.14583333333333334</v>
      </c>
      <c r="W26">
        <v>315</v>
      </c>
      <c r="X26">
        <v>525</v>
      </c>
      <c r="Y26">
        <v>210</v>
      </c>
      <c r="Z26" t="s">
        <v>98</v>
      </c>
      <c r="AA26" t="s">
        <v>84</v>
      </c>
      <c r="AB26" t="s">
        <v>85</v>
      </c>
      <c r="AC26" t="s">
        <v>86</v>
      </c>
      <c r="AD26" t="s">
        <v>87</v>
      </c>
      <c r="AE26">
        <f t="shared" si="4"/>
        <v>9</v>
      </c>
      <c r="AF26" t="str">
        <f t="shared" si="5"/>
        <v>September</v>
      </c>
    </row>
    <row r="27" spans="1:32">
      <c r="A27" s="1">
        <v>45562</v>
      </c>
      <c r="B27" t="s">
        <v>12</v>
      </c>
      <c r="C27" t="s">
        <v>74</v>
      </c>
      <c r="D27" t="s">
        <v>75</v>
      </c>
      <c r="E27" t="s">
        <v>88</v>
      </c>
      <c r="F27" t="s">
        <v>77</v>
      </c>
      <c r="G27" t="s">
        <v>78</v>
      </c>
      <c r="H27" t="s">
        <v>93</v>
      </c>
      <c r="I27" t="s">
        <v>94</v>
      </c>
      <c r="J27" t="s">
        <v>81</v>
      </c>
      <c r="K27" t="s">
        <v>75</v>
      </c>
      <c r="L27" t="s">
        <v>23</v>
      </c>
      <c r="M27" t="s">
        <v>11</v>
      </c>
      <c r="N27" t="s">
        <v>89</v>
      </c>
      <c r="O27" t="s">
        <v>0</v>
      </c>
      <c r="P27">
        <v>302531</v>
      </c>
      <c r="Q27" t="s">
        <v>9</v>
      </c>
      <c r="R27" t="s">
        <v>5</v>
      </c>
      <c r="S27" t="s">
        <v>83</v>
      </c>
      <c r="T27">
        <v>90</v>
      </c>
      <c r="U27">
        <v>1</v>
      </c>
      <c r="V27" s="2">
        <v>4.1666666666666664E-2</v>
      </c>
      <c r="W27">
        <v>90</v>
      </c>
      <c r="X27">
        <v>150</v>
      </c>
      <c r="Y27">
        <v>60</v>
      </c>
      <c r="Z27" t="s">
        <v>98</v>
      </c>
      <c r="AA27" t="s">
        <v>84</v>
      </c>
      <c r="AB27" t="s">
        <v>85</v>
      </c>
      <c r="AC27" t="s">
        <v>86</v>
      </c>
      <c r="AD27" t="s">
        <v>87</v>
      </c>
      <c r="AE27">
        <f t="shared" si="4"/>
        <v>9</v>
      </c>
      <c r="AF27" t="str">
        <f t="shared" si="5"/>
        <v>September</v>
      </c>
    </row>
    <row r="28" spans="1:32">
      <c r="A28" s="1">
        <v>45566</v>
      </c>
      <c r="B28" t="s">
        <v>12</v>
      </c>
      <c r="C28" t="s">
        <v>74</v>
      </c>
      <c r="D28" t="s">
        <v>75</v>
      </c>
      <c r="E28" t="s">
        <v>88</v>
      </c>
      <c r="F28" t="s">
        <v>77</v>
      </c>
      <c r="G28" t="s">
        <v>78</v>
      </c>
      <c r="H28" t="s">
        <v>93</v>
      </c>
      <c r="I28" t="s">
        <v>94</v>
      </c>
      <c r="J28" t="s">
        <v>81</v>
      </c>
      <c r="K28" t="s">
        <v>75</v>
      </c>
      <c r="L28" t="s">
        <v>23</v>
      </c>
      <c r="M28" t="s">
        <v>11</v>
      </c>
      <c r="N28" t="s">
        <v>89</v>
      </c>
      <c r="O28" t="s">
        <v>0</v>
      </c>
      <c r="P28">
        <v>305286</v>
      </c>
      <c r="Q28" t="s">
        <v>9</v>
      </c>
      <c r="R28" t="s">
        <v>5</v>
      </c>
      <c r="S28" t="s">
        <v>83</v>
      </c>
      <c r="T28">
        <v>90</v>
      </c>
      <c r="U28">
        <v>3.25</v>
      </c>
      <c r="V28" s="2">
        <v>0.13541666666666666</v>
      </c>
      <c r="W28">
        <v>292.5</v>
      </c>
      <c r="AA28" t="s">
        <v>84</v>
      </c>
      <c r="AB28" t="s">
        <v>85</v>
      </c>
      <c r="AC28" t="s">
        <v>86</v>
      </c>
      <c r="AD28" t="s">
        <v>87</v>
      </c>
      <c r="AE28">
        <f t="shared" si="4"/>
        <v>10</v>
      </c>
      <c r="AF28" t="str">
        <f t="shared" si="5"/>
        <v>October</v>
      </c>
    </row>
    <row r="29" spans="1:32">
      <c r="A29" s="1">
        <v>45568</v>
      </c>
      <c r="B29" t="s">
        <v>12</v>
      </c>
      <c r="C29" t="s">
        <v>74</v>
      </c>
      <c r="D29" t="s">
        <v>75</v>
      </c>
      <c r="E29" t="s">
        <v>88</v>
      </c>
      <c r="F29" t="s">
        <v>77</v>
      </c>
      <c r="G29" t="s">
        <v>78</v>
      </c>
      <c r="H29" t="s">
        <v>93</v>
      </c>
      <c r="I29" t="s">
        <v>94</v>
      </c>
      <c r="J29" t="s">
        <v>81</v>
      </c>
      <c r="K29" t="s">
        <v>75</v>
      </c>
      <c r="L29" t="s">
        <v>23</v>
      </c>
      <c r="M29" t="s">
        <v>11</v>
      </c>
      <c r="N29" t="s">
        <v>89</v>
      </c>
      <c r="O29" t="s">
        <v>0</v>
      </c>
      <c r="P29">
        <v>305978</v>
      </c>
      <c r="Q29" t="s">
        <v>9</v>
      </c>
      <c r="R29" t="s">
        <v>5</v>
      </c>
      <c r="S29" t="s">
        <v>83</v>
      </c>
      <c r="T29">
        <v>90</v>
      </c>
      <c r="U29">
        <v>5.75</v>
      </c>
      <c r="V29" s="2">
        <v>0.23958333333333334</v>
      </c>
      <c r="W29">
        <v>517.5</v>
      </c>
      <c r="AA29" t="s">
        <v>84</v>
      </c>
      <c r="AB29" t="s">
        <v>85</v>
      </c>
      <c r="AC29" t="s">
        <v>86</v>
      </c>
      <c r="AD29" t="s">
        <v>87</v>
      </c>
      <c r="AE29">
        <f t="shared" si="4"/>
        <v>10</v>
      </c>
      <c r="AF29" t="str">
        <f t="shared" si="5"/>
        <v>October</v>
      </c>
    </row>
    <row r="30" spans="1:32">
      <c r="A30" s="1">
        <v>45573</v>
      </c>
      <c r="B30" t="s">
        <v>12</v>
      </c>
      <c r="C30" t="s">
        <v>74</v>
      </c>
      <c r="D30" t="s">
        <v>75</v>
      </c>
      <c r="E30" t="s">
        <v>88</v>
      </c>
      <c r="F30" t="s">
        <v>77</v>
      </c>
      <c r="G30" t="s">
        <v>78</v>
      </c>
      <c r="H30" t="s">
        <v>93</v>
      </c>
      <c r="I30" t="s">
        <v>94</v>
      </c>
      <c r="J30" t="s">
        <v>81</v>
      </c>
      <c r="K30" t="s">
        <v>75</v>
      </c>
      <c r="L30" t="s">
        <v>23</v>
      </c>
      <c r="M30" t="s">
        <v>11</v>
      </c>
      <c r="N30" t="s">
        <v>89</v>
      </c>
      <c r="O30" t="s">
        <v>0</v>
      </c>
      <c r="P30">
        <v>306903</v>
      </c>
      <c r="Q30" t="s">
        <v>9</v>
      </c>
      <c r="R30" t="s">
        <v>5</v>
      </c>
      <c r="S30" t="s">
        <v>83</v>
      </c>
      <c r="T30">
        <v>90</v>
      </c>
      <c r="U30">
        <v>2.25</v>
      </c>
      <c r="V30" s="2">
        <v>9.375E-2</v>
      </c>
      <c r="W30">
        <v>202.5</v>
      </c>
      <c r="AA30" t="s">
        <v>84</v>
      </c>
      <c r="AB30" t="s">
        <v>85</v>
      </c>
      <c r="AC30" t="s">
        <v>86</v>
      </c>
      <c r="AD30" t="s">
        <v>87</v>
      </c>
      <c r="AE30">
        <f t="shared" si="4"/>
        <v>10</v>
      </c>
      <c r="AF30" t="str">
        <f t="shared" si="5"/>
        <v>October</v>
      </c>
    </row>
    <row r="31" spans="1:32">
      <c r="A31" s="1">
        <v>45576</v>
      </c>
      <c r="B31" t="s">
        <v>12</v>
      </c>
      <c r="C31" t="s">
        <v>74</v>
      </c>
      <c r="D31" t="s">
        <v>75</v>
      </c>
      <c r="E31" t="s">
        <v>88</v>
      </c>
      <c r="F31" t="s">
        <v>77</v>
      </c>
      <c r="G31" t="s">
        <v>78</v>
      </c>
      <c r="H31" t="s">
        <v>93</v>
      </c>
      <c r="I31" t="s">
        <v>94</v>
      </c>
      <c r="J31" t="s">
        <v>81</v>
      </c>
      <c r="K31" t="s">
        <v>75</v>
      </c>
      <c r="L31" t="s">
        <v>23</v>
      </c>
      <c r="M31" t="s">
        <v>11</v>
      </c>
      <c r="N31" t="s">
        <v>89</v>
      </c>
      <c r="O31" t="s">
        <v>0</v>
      </c>
      <c r="P31">
        <v>309544</v>
      </c>
      <c r="Q31" t="s">
        <v>9</v>
      </c>
      <c r="R31" t="s">
        <v>5</v>
      </c>
      <c r="S31" t="s">
        <v>83</v>
      </c>
      <c r="T31">
        <v>90</v>
      </c>
      <c r="U31">
        <v>0.75</v>
      </c>
      <c r="V31" s="2">
        <v>3.125E-2</v>
      </c>
      <c r="W31">
        <v>67.5</v>
      </c>
      <c r="AA31" t="s">
        <v>84</v>
      </c>
      <c r="AB31" t="s">
        <v>85</v>
      </c>
      <c r="AC31" t="s">
        <v>86</v>
      </c>
      <c r="AD31" t="s">
        <v>87</v>
      </c>
      <c r="AE31">
        <f t="shared" si="4"/>
        <v>10</v>
      </c>
      <c r="AF31" t="str">
        <f t="shared" si="5"/>
        <v>October</v>
      </c>
    </row>
    <row r="32" spans="1:32">
      <c r="A32" s="1">
        <v>45573</v>
      </c>
      <c r="B32" t="s">
        <v>99</v>
      </c>
      <c r="C32" t="s">
        <v>100</v>
      </c>
      <c r="D32" t="s">
        <v>75</v>
      </c>
      <c r="E32" t="s">
        <v>76</v>
      </c>
      <c r="F32" t="s">
        <v>77</v>
      </c>
      <c r="G32" t="s">
        <v>78</v>
      </c>
      <c r="H32" t="s">
        <v>93</v>
      </c>
      <c r="I32" t="s">
        <v>94</v>
      </c>
      <c r="J32" t="s">
        <v>81</v>
      </c>
      <c r="K32" t="s">
        <v>75</v>
      </c>
      <c r="L32" t="s">
        <v>23</v>
      </c>
      <c r="M32" t="s">
        <v>11</v>
      </c>
      <c r="N32" t="s">
        <v>11</v>
      </c>
      <c r="O32" t="s">
        <v>0</v>
      </c>
      <c r="P32">
        <v>308703</v>
      </c>
      <c r="Q32" t="s">
        <v>17</v>
      </c>
      <c r="R32" t="s">
        <v>82</v>
      </c>
      <c r="S32" t="s">
        <v>83</v>
      </c>
      <c r="T32">
        <v>0</v>
      </c>
      <c r="U32">
        <v>0.5</v>
      </c>
      <c r="V32" s="2">
        <v>2.0833333333333332E-2</v>
      </c>
      <c r="W32">
        <v>0</v>
      </c>
      <c r="AA32" t="s">
        <v>84</v>
      </c>
      <c r="AB32" t="s">
        <v>85</v>
      </c>
      <c r="AC32" t="s">
        <v>101</v>
      </c>
      <c r="AD32" t="s">
        <v>87</v>
      </c>
      <c r="AE32">
        <f t="shared" si="4"/>
        <v>10</v>
      </c>
      <c r="AF32" t="str">
        <f t="shared" si="5"/>
        <v>October</v>
      </c>
    </row>
    <row r="33" spans="1:32">
      <c r="A33" s="1">
        <v>45574</v>
      </c>
      <c r="B33" t="s">
        <v>99</v>
      </c>
      <c r="C33" t="s">
        <v>100</v>
      </c>
      <c r="D33" t="s">
        <v>75</v>
      </c>
      <c r="E33" t="s">
        <v>76</v>
      </c>
      <c r="F33" t="s">
        <v>77</v>
      </c>
      <c r="G33" t="s">
        <v>78</v>
      </c>
      <c r="H33" t="s">
        <v>93</v>
      </c>
      <c r="I33" t="s">
        <v>94</v>
      </c>
      <c r="J33" t="s">
        <v>81</v>
      </c>
      <c r="K33" t="s">
        <v>75</v>
      </c>
      <c r="L33" t="s">
        <v>23</v>
      </c>
      <c r="M33" t="s">
        <v>11</v>
      </c>
      <c r="N33" t="s">
        <v>11</v>
      </c>
      <c r="O33" t="s">
        <v>0</v>
      </c>
      <c r="P33">
        <v>308706</v>
      </c>
      <c r="Q33" t="s">
        <v>17</v>
      </c>
      <c r="R33" t="s">
        <v>82</v>
      </c>
      <c r="S33" t="s">
        <v>83</v>
      </c>
      <c r="T33">
        <v>0</v>
      </c>
      <c r="U33">
        <v>1</v>
      </c>
      <c r="V33" s="2">
        <v>4.1666666666666664E-2</v>
      </c>
      <c r="W33">
        <v>0</v>
      </c>
      <c r="AA33" t="s">
        <v>84</v>
      </c>
      <c r="AB33" t="s">
        <v>85</v>
      </c>
      <c r="AC33" t="s">
        <v>102</v>
      </c>
      <c r="AD33" t="s">
        <v>87</v>
      </c>
      <c r="AE33">
        <f t="shared" ref="AE33:AE42" si="6">MONTH(A33)</f>
        <v>10</v>
      </c>
      <c r="AF33" t="str">
        <f t="shared" ref="AF33:AF42" si="7">IF(AE33=7,"July",IF(AE33=8,"August",IF(AE33=9,"September",IF(AE33=10,"October",IF(AE33=11,"November")))))</f>
        <v>October</v>
      </c>
    </row>
    <row r="34" spans="1:32">
      <c r="A34" s="1">
        <v>45575</v>
      </c>
      <c r="B34" t="s">
        <v>99</v>
      </c>
      <c r="C34" t="s">
        <v>100</v>
      </c>
      <c r="D34" t="s">
        <v>75</v>
      </c>
      <c r="E34" t="s">
        <v>76</v>
      </c>
      <c r="F34" t="s">
        <v>77</v>
      </c>
      <c r="G34" t="s">
        <v>78</v>
      </c>
      <c r="H34" t="s">
        <v>93</v>
      </c>
      <c r="I34" t="s">
        <v>94</v>
      </c>
      <c r="J34" t="s">
        <v>81</v>
      </c>
      <c r="K34" t="s">
        <v>75</v>
      </c>
      <c r="L34" t="s">
        <v>23</v>
      </c>
      <c r="M34" t="s">
        <v>11</v>
      </c>
      <c r="N34" t="s">
        <v>11</v>
      </c>
      <c r="O34" t="s">
        <v>0</v>
      </c>
      <c r="P34">
        <v>308714</v>
      </c>
      <c r="Q34" t="s">
        <v>17</v>
      </c>
      <c r="R34" t="s">
        <v>82</v>
      </c>
      <c r="S34" t="s">
        <v>83</v>
      </c>
      <c r="T34">
        <v>0</v>
      </c>
      <c r="U34">
        <v>1.5</v>
      </c>
      <c r="V34" s="2">
        <v>6.25E-2</v>
      </c>
      <c r="W34">
        <v>0</v>
      </c>
      <c r="AA34" t="s">
        <v>84</v>
      </c>
      <c r="AB34" t="s">
        <v>85</v>
      </c>
      <c r="AC34" t="s">
        <v>103</v>
      </c>
      <c r="AD34" t="s">
        <v>87</v>
      </c>
      <c r="AE34">
        <f t="shared" si="6"/>
        <v>10</v>
      </c>
      <c r="AF34" t="str">
        <f t="shared" si="7"/>
        <v>October</v>
      </c>
    </row>
    <row r="35" spans="1:32">
      <c r="A35" s="1">
        <v>45545</v>
      </c>
      <c r="B35" t="s">
        <v>11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93</v>
      </c>
      <c r="I35" t="s">
        <v>94</v>
      </c>
      <c r="J35" t="s">
        <v>81</v>
      </c>
      <c r="K35" t="s">
        <v>75</v>
      </c>
      <c r="L35" t="s">
        <v>23</v>
      </c>
      <c r="M35" t="s">
        <v>11</v>
      </c>
      <c r="N35" t="s">
        <v>86</v>
      </c>
      <c r="O35" t="s">
        <v>0</v>
      </c>
      <c r="P35">
        <v>297512</v>
      </c>
      <c r="Q35" t="s">
        <v>9</v>
      </c>
      <c r="R35" t="s">
        <v>5</v>
      </c>
      <c r="S35" t="s">
        <v>83</v>
      </c>
      <c r="T35">
        <v>90</v>
      </c>
      <c r="U35">
        <v>1</v>
      </c>
      <c r="V35" s="2">
        <v>4.1666666666666664E-2</v>
      </c>
      <c r="W35">
        <v>90</v>
      </c>
      <c r="X35">
        <v>150</v>
      </c>
      <c r="Y35">
        <v>60</v>
      </c>
      <c r="Z35" t="s">
        <v>98</v>
      </c>
      <c r="AA35" t="s">
        <v>84</v>
      </c>
      <c r="AB35" t="s">
        <v>85</v>
      </c>
      <c r="AC35" t="s">
        <v>104</v>
      </c>
      <c r="AD35" t="s">
        <v>87</v>
      </c>
      <c r="AE35">
        <f t="shared" si="6"/>
        <v>9</v>
      </c>
      <c r="AF35" t="str">
        <f t="shared" si="7"/>
        <v>September</v>
      </c>
    </row>
    <row r="36" spans="1:32">
      <c r="A36" s="1">
        <v>45558</v>
      </c>
      <c r="B36" t="s">
        <v>11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93</v>
      </c>
      <c r="I36" t="s">
        <v>94</v>
      </c>
      <c r="J36" t="s">
        <v>81</v>
      </c>
      <c r="K36" t="s">
        <v>75</v>
      </c>
      <c r="L36" t="s">
        <v>23</v>
      </c>
      <c r="M36" t="s">
        <v>11</v>
      </c>
      <c r="N36" t="s">
        <v>86</v>
      </c>
      <c r="O36" t="s">
        <v>0</v>
      </c>
      <c r="P36">
        <v>302552</v>
      </c>
      <c r="Q36" t="s">
        <v>9</v>
      </c>
      <c r="R36" t="s">
        <v>5</v>
      </c>
      <c r="S36" t="s">
        <v>83</v>
      </c>
      <c r="T36">
        <v>90</v>
      </c>
      <c r="U36">
        <v>0.5</v>
      </c>
      <c r="V36" s="2">
        <v>2.0833333333333332E-2</v>
      </c>
      <c r="W36">
        <v>45</v>
      </c>
      <c r="X36">
        <v>75</v>
      </c>
      <c r="Y36">
        <v>30</v>
      </c>
      <c r="Z36" t="s">
        <v>98</v>
      </c>
      <c r="AA36" t="s">
        <v>84</v>
      </c>
      <c r="AB36" t="s">
        <v>85</v>
      </c>
      <c r="AC36" t="s">
        <v>105</v>
      </c>
      <c r="AD36" t="s">
        <v>87</v>
      </c>
      <c r="AE36">
        <f t="shared" si="6"/>
        <v>9</v>
      </c>
      <c r="AF36" t="str">
        <f t="shared" si="7"/>
        <v>September</v>
      </c>
    </row>
    <row r="37" spans="1:32">
      <c r="A37" s="1">
        <v>45559</v>
      </c>
      <c r="B37" t="s">
        <v>11</v>
      </c>
      <c r="C37" t="s">
        <v>74</v>
      </c>
      <c r="D37" t="s">
        <v>75</v>
      </c>
      <c r="E37" t="s">
        <v>76</v>
      </c>
      <c r="F37" t="s">
        <v>77</v>
      </c>
      <c r="G37" t="s">
        <v>78</v>
      </c>
      <c r="H37" t="s">
        <v>93</v>
      </c>
      <c r="I37" t="s">
        <v>94</v>
      </c>
      <c r="J37" t="s">
        <v>81</v>
      </c>
      <c r="K37" t="s">
        <v>75</v>
      </c>
      <c r="L37" t="s">
        <v>23</v>
      </c>
      <c r="M37" t="s">
        <v>11</v>
      </c>
      <c r="N37" t="s">
        <v>86</v>
      </c>
      <c r="O37" t="s">
        <v>0</v>
      </c>
      <c r="P37">
        <v>302555</v>
      </c>
      <c r="Q37" t="s">
        <v>9</v>
      </c>
      <c r="R37" t="s">
        <v>5</v>
      </c>
      <c r="S37" t="s">
        <v>83</v>
      </c>
      <c r="T37">
        <v>90</v>
      </c>
      <c r="U37">
        <v>0.5</v>
      </c>
      <c r="V37" s="2">
        <v>2.0833333333333332E-2</v>
      </c>
      <c r="W37">
        <v>45</v>
      </c>
      <c r="X37">
        <v>75</v>
      </c>
      <c r="Y37">
        <v>30</v>
      </c>
      <c r="Z37" t="s">
        <v>98</v>
      </c>
      <c r="AA37" t="s">
        <v>84</v>
      </c>
      <c r="AB37" t="s">
        <v>85</v>
      </c>
      <c r="AC37" t="s">
        <v>105</v>
      </c>
      <c r="AD37" t="s">
        <v>87</v>
      </c>
      <c r="AE37">
        <f t="shared" si="6"/>
        <v>9</v>
      </c>
      <c r="AF37" t="str">
        <f t="shared" si="7"/>
        <v>September</v>
      </c>
    </row>
    <row r="38" spans="1:32">
      <c r="A38" s="1">
        <v>45567</v>
      </c>
      <c r="B38" t="s">
        <v>11</v>
      </c>
      <c r="C38" t="s">
        <v>74</v>
      </c>
      <c r="D38" t="s">
        <v>75</v>
      </c>
      <c r="E38" t="s">
        <v>76</v>
      </c>
      <c r="F38" t="s">
        <v>77</v>
      </c>
      <c r="G38" t="s">
        <v>78</v>
      </c>
      <c r="H38" t="s">
        <v>93</v>
      </c>
      <c r="I38" t="s">
        <v>94</v>
      </c>
      <c r="J38" t="s">
        <v>81</v>
      </c>
      <c r="K38" t="s">
        <v>75</v>
      </c>
      <c r="L38" t="s">
        <v>23</v>
      </c>
      <c r="M38" t="s">
        <v>11</v>
      </c>
      <c r="N38" t="s">
        <v>86</v>
      </c>
      <c r="O38" t="s">
        <v>0</v>
      </c>
      <c r="P38">
        <v>306787</v>
      </c>
      <c r="Q38" t="s">
        <v>9</v>
      </c>
      <c r="R38" t="s">
        <v>5</v>
      </c>
      <c r="S38" t="s">
        <v>83</v>
      </c>
      <c r="T38">
        <v>90</v>
      </c>
      <c r="U38">
        <v>1</v>
      </c>
      <c r="V38" s="2">
        <v>4.1666666666666664E-2</v>
      </c>
      <c r="W38">
        <v>90</v>
      </c>
      <c r="AA38" t="s">
        <v>84</v>
      </c>
      <c r="AB38" t="s">
        <v>85</v>
      </c>
      <c r="AC38" t="s">
        <v>106</v>
      </c>
      <c r="AD38" t="s">
        <v>87</v>
      </c>
      <c r="AE38">
        <f t="shared" si="6"/>
        <v>10</v>
      </c>
      <c r="AF38" t="str">
        <f t="shared" si="7"/>
        <v>October</v>
      </c>
    </row>
    <row r="39" spans="1:32">
      <c r="A39" s="1">
        <v>45572</v>
      </c>
      <c r="B39" t="s">
        <v>11</v>
      </c>
      <c r="C39" t="s">
        <v>74</v>
      </c>
      <c r="D39" t="s">
        <v>75</v>
      </c>
      <c r="E39" t="s">
        <v>76</v>
      </c>
      <c r="F39" t="s">
        <v>77</v>
      </c>
      <c r="G39" t="s">
        <v>78</v>
      </c>
      <c r="H39" t="s">
        <v>93</v>
      </c>
      <c r="I39" t="s">
        <v>94</v>
      </c>
      <c r="J39" t="s">
        <v>81</v>
      </c>
      <c r="K39" t="s">
        <v>75</v>
      </c>
      <c r="L39" t="s">
        <v>23</v>
      </c>
      <c r="M39" t="s">
        <v>11</v>
      </c>
      <c r="N39" t="s">
        <v>86</v>
      </c>
      <c r="O39" t="s">
        <v>0</v>
      </c>
      <c r="P39">
        <v>309475</v>
      </c>
      <c r="Q39" t="s">
        <v>9</v>
      </c>
      <c r="R39" t="s">
        <v>5</v>
      </c>
      <c r="S39" t="s">
        <v>83</v>
      </c>
      <c r="T39">
        <v>90</v>
      </c>
      <c r="U39">
        <v>0.5</v>
      </c>
      <c r="V39" s="2">
        <v>2.0833333333333332E-2</v>
      </c>
      <c r="W39">
        <v>45</v>
      </c>
      <c r="AA39" t="s">
        <v>84</v>
      </c>
      <c r="AB39" t="s">
        <v>85</v>
      </c>
      <c r="AC39" t="s">
        <v>107</v>
      </c>
      <c r="AD39" t="s">
        <v>87</v>
      </c>
      <c r="AE39">
        <f t="shared" si="6"/>
        <v>10</v>
      </c>
      <c r="AF39" t="str">
        <f t="shared" si="7"/>
        <v>October</v>
      </c>
    </row>
    <row r="40" spans="1:32">
      <c r="A40" s="1">
        <v>45580</v>
      </c>
      <c r="B40" t="s">
        <v>11</v>
      </c>
      <c r="C40" t="s">
        <v>74</v>
      </c>
      <c r="D40" t="s">
        <v>75</v>
      </c>
      <c r="E40" t="s">
        <v>76</v>
      </c>
      <c r="F40" t="s">
        <v>77</v>
      </c>
      <c r="G40" t="s">
        <v>78</v>
      </c>
      <c r="H40" t="s">
        <v>93</v>
      </c>
      <c r="I40" t="s">
        <v>94</v>
      </c>
      <c r="J40" t="s">
        <v>81</v>
      </c>
      <c r="K40" t="s">
        <v>75</v>
      </c>
      <c r="L40" t="s">
        <v>23</v>
      </c>
      <c r="M40" t="s">
        <v>11</v>
      </c>
      <c r="N40" t="s">
        <v>86</v>
      </c>
      <c r="O40" t="s">
        <v>0</v>
      </c>
      <c r="P40">
        <v>312316</v>
      </c>
      <c r="Q40" t="s">
        <v>9</v>
      </c>
      <c r="R40" t="s">
        <v>5</v>
      </c>
      <c r="S40" t="s">
        <v>83</v>
      </c>
      <c r="T40">
        <v>90</v>
      </c>
      <c r="U40">
        <v>0.5</v>
      </c>
      <c r="V40" s="2">
        <v>2.0833333333333332E-2</v>
      </c>
      <c r="W40">
        <v>45</v>
      </c>
      <c r="AA40" t="s">
        <v>84</v>
      </c>
      <c r="AC40" t="s">
        <v>108</v>
      </c>
      <c r="AD40" t="s">
        <v>87</v>
      </c>
      <c r="AE40">
        <f t="shared" si="6"/>
        <v>10</v>
      </c>
      <c r="AF40" t="str">
        <f t="shared" si="7"/>
        <v>October</v>
      </c>
    </row>
    <row r="41" spans="1:32">
      <c r="A41" s="1">
        <v>45545</v>
      </c>
      <c r="B41" t="s">
        <v>23</v>
      </c>
      <c r="C41" t="s">
        <v>74</v>
      </c>
      <c r="D41" t="s">
        <v>75</v>
      </c>
      <c r="E41" t="s">
        <v>76</v>
      </c>
      <c r="F41" t="s">
        <v>77</v>
      </c>
      <c r="G41" t="s">
        <v>78</v>
      </c>
      <c r="H41" t="s">
        <v>93</v>
      </c>
      <c r="I41" t="s">
        <v>94</v>
      </c>
      <c r="J41" t="s">
        <v>81</v>
      </c>
      <c r="K41" t="s">
        <v>75</v>
      </c>
      <c r="L41" t="s">
        <v>23</v>
      </c>
      <c r="M41" t="s">
        <v>11</v>
      </c>
      <c r="N41" t="s">
        <v>86</v>
      </c>
      <c r="O41" t="s">
        <v>0</v>
      </c>
      <c r="P41">
        <v>295853</v>
      </c>
      <c r="Q41" t="s">
        <v>17</v>
      </c>
      <c r="R41" t="s">
        <v>82</v>
      </c>
      <c r="S41" t="s">
        <v>83</v>
      </c>
      <c r="T41">
        <v>0</v>
      </c>
      <c r="U41">
        <v>1.25</v>
      </c>
      <c r="V41" s="2">
        <v>5.2083333333333336E-2</v>
      </c>
      <c r="W41">
        <v>0</v>
      </c>
      <c r="AA41" t="s">
        <v>84</v>
      </c>
      <c r="AB41" t="s">
        <v>85</v>
      </c>
      <c r="AC41" t="s">
        <v>86</v>
      </c>
      <c r="AD41" t="s">
        <v>87</v>
      </c>
      <c r="AE41">
        <f t="shared" si="6"/>
        <v>9</v>
      </c>
      <c r="AF41" t="str">
        <f t="shared" si="7"/>
        <v>September</v>
      </c>
    </row>
    <row r="42" spans="1:32">
      <c r="A42" s="1">
        <v>45546</v>
      </c>
      <c r="B42" t="s">
        <v>23</v>
      </c>
      <c r="C42" t="s">
        <v>74</v>
      </c>
      <c r="D42" t="s">
        <v>75</v>
      </c>
      <c r="E42" t="s">
        <v>76</v>
      </c>
      <c r="F42" t="s">
        <v>77</v>
      </c>
      <c r="G42" t="s">
        <v>78</v>
      </c>
      <c r="H42" t="s">
        <v>93</v>
      </c>
      <c r="I42" t="s">
        <v>94</v>
      </c>
      <c r="J42" t="s">
        <v>81</v>
      </c>
      <c r="K42" t="s">
        <v>75</v>
      </c>
      <c r="L42" t="s">
        <v>23</v>
      </c>
      <c r="M42" t="s">
        <v>11</v>
      </c>
      <c r="N42" t="s">
        <v>86</v>
      </c>
      <c r="O42" t="s">
        <v>0</v>
      </c>
      <c r="P42">
        <v>295852</v>
      </c>
      <c r="Q42" t="s">
        <v>17</v>
      </c>
      <c r="R42" t="s">
        <v>82</v>
      </c>
      <c r="S42" t="s">
        <v>83</v>
      </c>
      <c r="T42">
        <v>0</v>
      </c>
      <c r="U42">
        <v>0.5</v>
      </c>
      <c r="V42" s="2">
        <v>2.0833333333333332E-2</v>
      </c>
      <c r="W42">
        <v>0</v>
      </c>
      <c r="AA42" t="s">
        <v>84</v>
      </c>
      <c r="AB42" t="s">
        <v>85</v>
      </c>
      <c r="AC42" t="s">
        <v>86</v>
      </c>
      <c r="AD42" t="s">
        <v>87</v>
      </c>
      <c r="AE42">
        <f t="shared" si="6"/>
        <v>9</v>
      </c>
      <c r="AF42" t="str">
        <f t="shared" si="7"/>
        <v>September</v>
      </c>
    </row>
    <row r="43" spans="1:32">
      <c r="A43" s="1">
        <v>45547</v>
      </c>
      <c r="B43" t="s">
        <v>23</v>
      </c>
      <c r="C43" t="s">
        <v>74</v>
      </c>
      <c r="D43" t="s">
        <v>75</v>
      </c>
      <c r="E43" t="s">
        <v>76</v>
      </c>
      <c r="F43" t="s">
        <v>77</v>
      </c>
      <c r="G43" t="s">
        <v>78</v>
      </c>
      <c r="H43" t="s">
        <v>93</v>
      </c>
      <c r="I43" t="s">
        <v>94</v>
      </c>
      <c r="J43" t="s">
        <v>81</v>
      </c>
      <c r="K43" t="s">
        <v>75</v>
      </c>
      <c r="L43" t="s">
        <v>23</v>
      </c>
      <c r="M43" t="s">
        <v>11</v>
      </c>
      <c r="N43" t="s">
        <v>86</v>
      </c>
      <c r="O43" t="s">
        <v>0</v>
      </c>
      <c r="P43">
        <v>297013</v>
      </c>
      <c r="Q43" t="s">
        <v>17</v>
      </c>
      <c r="R43" t="s">
        <v>82</v>
      </c>
      <c r="S43" t="s">
        <v>83</v>
      </c>
      <c r="T43">
        <v>0</v>
      </c>
      <c r="U43">
        <v>0.5</v>
      </c>
      <c r="V43" s="2">
        <v>2.0833333333333332E-2</v>
      </c>
      <c r="W43">
        <v>0</v>
      </c>
      <c r="AA43" t="s">
        <v>84</v>
      </c>
      <c r="AB43" t="s">
        <v>85</v>
      </c>
      <c r="AC43" t="s">
        <v>86</v>
      </c>
      <c r="AD43" t="s">
        <v>87</v>
      </c>
      <c r="AE43">
        <f t="shared" ref="AE43:AE54" si="8">MONTH(A43)</f>
        <v>9</v>
      </c>
      <c r="AF43" t="str">
        <f t="shared" ref="AF43:AF54" si="9">IF(AE43=7,"July",IF(AE43=8,"August",IF(AE43=9,"September",IF(AE43=10,"October",IF(AE43=11,"November")))))</f>
        <v>September</v>
      </c>
    </row>
    <row r="44" spans="1:32">
      <c r="A44" s="1">
        <v>45548</v>
      </c>
      <c r="B44" t="s">
        <v>23</v>
      </c>
      <c r="C44" t="s">
        <v>74</v>
      </c>
      <c r="D44" t="s">
        <v>75</v>
      </c>
      <c r="E44" t="s">
        <v>76</v>
      </c>
      <c r="F44" t="s">
        <v>77</v>
      </c>
      <c r="G44" t="s">
        <v>78</v>
      </c>
      <c r="H44" t="s">
        <v>93</v>
      </c>
      <c r="I44" t="s">
        <v>94</v>
      </c>
      <c r="J44" t="s">
        <v>81</v>
      </c>
      <c r="K44" t="s">
        <v>75</v>
      </c>
      <c r="L44" t="s">
        <v>23</v>
      </c>
      <c r="M44" t="s">
        <v>11</v>
      </c>
      <c r="N44" t="s">
        <v>86</v>
      </c>
      <c r="O44" t="s">
        <v>0</v>
      </c>
      <c r="P44">
        <v>297291</v>
      </c>
      <c r="Q44" t="s">
        <v>17</v>
      </c>
      <c r="R44" t="s">
        <v>82</v>
      </c>
      <c r="S44" t="s">
        <v>83</v>
      </c>
      <c r="T44">
        <v>0</v>
      </c>
      <c r="U44">
        <v>0.25</v>
      </c>
      <c r="V44" s="2">
        <v>1.0416666666666666E-2</v>
      </c>
      <c r="W44">
        <v>0</v>
      </c>
      <c r="AA44" t="s">
        <v>84</v>
      </c>
      <c r="AB44" t="s">
        <v>85</v>
      </c>
      <c r="AC44" t="s">
        <v>86</v>
      </c>
      <c r="AD44" t="s">
        <v>87</v>
      </c>
      <c r="AE44">
        <f t="shared" si="8"/>
        <v>9</v>
      </c>
      <c r="AF44" t="str">
        <f t="shared" si="9"/>
        <v>September</v>
      </c>
    </row>
    <row r="45" spans="1:32">
      <c r="A45" s="1">
        <v>45551</v>
      </c>
      <c r="B45" t="s">
        <v>23</v>
      </c>
      <c r="C45" t="s">
        <v>74</v>
      </c>
      <c r="D45" t="s">
        <v>75</v>
      </c>
      <c r="E45" t="s">
        <v>76</v>
      </c>
      <c r="F45" t="s">
        <v>77</v>
      </c>
      <c r="G45" t="s">
        <v>78</v>
      </c>
      <c r="H45" t="s">
        <v>93</v>
      </c>
      <c r="I45" t="s">
        <v>94</v>
      </c>
      <c r="J45" t="s">
        <v>81</v>
      </c>
      <c r="K45" t="s">
        <v>75</v>
      </c>
      <c r="L45" t="s">
        <v>23</v>
      </c>
      <c r="M45" t="s">
        <v>11</v>
      </c>
      <c r="N45" t="s">
        <v>86</v>
      </c>
      <c r="O45" t="s">
        <v>0</v>
      </c>
      <c r="P45">
        <v>298099</v>
      </c>
      <c r="Q45" t="s">
        <v>17</v>
      </c>
      <c r="R45" t="s">
        <v>82</v>
      </c>
      <c r="S45" t="s">
        <v>83</v>
      </c>
      <c r="T45">
        <v>0</v>
      </c>
      <c r="U45">
        <v>0.75</v>
      </c>
      <c r="V45" s="2">
        <v>3.125E-2</v>
      </c>
      <c r="W45">
        <v>0</v>
      </c>
      <c r="AA45" t="s">
        <v>84</v>
      </c>
      <c r="AB45" t="s">
        <v>85</v>
      </c>
      <c r="AC45" t="s">
        <v>86</v>
      </c>
      <c r="AD45" t="s">
        <v>87</v>
      </c>
      <c r="AE45">
        <f t="shared" si="8"/>
        <v>9</v>
      </c>
      <c r="AF45" t="str">
        <f t="shared" si="9"/>
        <v>September</v>
      </c>
    </row>
    <row r="46" spans="1:32">
      <c r="A46" s="1">
        <v>45552</v>
      </c>
      <c r="B46" t="s">
        <v>23</v>
      </c>
      <c r="C46" t="s">
        <v>74</v>
      </c>
      <c r="D46" t="s">
        <v>75</v>
      </c>
      <c r="E46" t="s">
        <v>76</v>
      </c>
      <c r="F46" t="s">
        <v>77</v>
      </c>
      <c r="G46" t="s">
        <v>78</v>
      </c>
      <c r="H46" t="s">
        <v>93</v>
      </c>
      <c r="I46" t="s">
        <v>94</v>
      </c>
      <c r="J46" t="s">
        <v>81</v>
      </c>
      <c r="K46" t="s">
        <v>75</v>
      </c>
      <c r="L46" t="s">
        <v>23</v>
      </c>
      <c r="M46" t="s">
        <v>11</v>
      </c>
      <c r="N46" t="s">
        <v>86</v>
      </c>
      <c r="O46" t="s">
        <v>0</v>
      </c>
      <c r="P46">
        <v>298904</v>
      </c>
      <c r="Q46" t="s">
        <v>17</v>
      </c>
      <c r="R46" t="s">
        <v>82</v>
      </c>
      <c r="S46" t="s">
        <v>83</v>
      </c>
      <c r="T46">
        <v>0</v>
      </c>
      <c r="U46">
        <v>0.5</v>
      </c>
      <c r="V46" s="2">
        <v>2.0833333333333332E-2</v>
      </c>
      <c r="W46">
        <v>0</v>
      </c>
      <c r="AA46" t="s">
        <v>84</v>
      </c>
      <c r="AB46" t="s">
        <v>85</v>
      </c>
      <c r="AC46" t="s">
        <v>86</v>
      </c>
      <c r="AD46" t="s">
        <v>87</v>
      </c>
      <c r="AE46">
        <f t="shared" si="8"/>
        <v>9</v>
      </c>
      <c r="AF46" t="str">
        <f t="shared" si="9"/>
        <v>September</v>
      </c>
    </row>
    <row r="47" spans="1:32">
      <c r="A47" s="1">
        <v>45553</v>
      </c>
      <c r="B47" t="s">
        <v>23</v>
      </c>
      <c r="C47" t="s">
        <v>74</v>
      </c>
      <c r="D47" t="s">
        <v>75</v>
      </c>
      <c r="E47" t="s">
        <v>76</v>
      </c>
      <c r="F47" t="s">
        <v>77</v>
      </c>
      <c r="G47" t="s">
        <v>78</v>
      </c>
      <c r="H47" t="s">
        <v>93</v>
      </c>
      <c r="I47" t="s">
        <v>94</v>
      </c>
      <c r="J47" t="s">
        <v>81</v>
      </c>
      <c r="K47" t="s">
        <v>75</v>
      </c>
      <c r="L47" t="s">
        <v>23</v>
      </c>
      <c r="M47" t="s">
        <v>11</v>
      </c>
      <c r="N47" t="s">
        <v>86</v>
      </c>
      <c r="O47" t="s">
        <v>0</v>
      </c>
      <c r="P47">
        <v>299339</v>
      </c>
      <c r="Q47" t="s">
        <v>17</v>
      </c>
      <c r="R47" t="s">
        <v>82</v>
      </c>
      <c r="S47" t="s">
        <v>83</v>
      </c>
      <c r="T47">
        <v>0</v>
      </c>
      <c r="U47">
        <v>0.5</v>
      </c>
      <c r="V47" s="2">
        <v>2.0833333333333332E-2</v>
      </c>
      <c r="W47">
        <v>0</v>
      </c>
      <c r="AA47" t="s">
        <v>84</v>
      </c>
      <c r="AB47" t="s">
        <v>85</v>
      </c>
      <c r="AC47" t="s">
        <v>86</v>
      </c>
      <c r="AD47" t="s">
        <v>87</v>
      </c>
      <c r="AE47">
        <f t="shared" si="8"/>
        <v>9</v>
      </c>
      <c r="AF47" t="str">
        <f t="shared" si="9"/>
        <v>September</v>
      </c>
    </row>
    <row r="48" spans="1:32">
      <c r="A48" s="1">
        <v>45554</v>
      </c>
      <c r="B48" t="s">
        <v>23</v>
      </c>
      <c r="C48" t="s">
        <v>74</v>
      </c>
      <c r="D48" t="s">
        <v>75</v>
      </c>
      <c r="E48" t="s">
        <v>76</v>
      </c>
      <c r="F48" t="s">
        <v>77</v>
      </c>
      <c r="G48" t="s">
        <v>78</v>
      </c>
      <c r="H48" t="s">
        <v>93</v>
      </c>
      <c r="I48" t="s">
        <v>94</v>
      </c>
      <c r="J48" t="s">
        <v>81</v>
      </c>
      <c r="K48" t="s">
        <v>75</v>
      </c>
      <c r="L48" t="s">
        <v>23</v>
      </c>
      <c r="M48" t="s">
        <v>11</v>
      </c>
      <c r="N48" t="s">
        <v>86</v>
      </c>
      <c r="O48" t="s">
        <v>0</v>
      </c>
      <c r="P48">
        <v>299694</v>
      </c>
      <c r="Q48" t="s">
        <v>17</v>
      </c>
      <c r="R48" t="s">
        <v>82</v>
      </c>
      <c r="S48" t="s">
        <v>83</v>
      </c>
      <c r="T48">
        <v>0</v>
      </c>
      <c r="U48">
        <v>0.25</v>
      </c>
      <c r="V48" s="2">
        <v>1.0416666666666666E-2</v>
      </c>
      <c r="W48">
        <v>0</v>
      </c>
      <c r="AA48" t="s">
        <v>84</v>
      </c>
      <c r="AB48" t="s">
        <v>85</v>
      </c>
      <c r="AC48" t="s">
        <v>86</v>
      </c>
      <c r="AD48" t="s">
        <v>87</v>
      </c>
      <c r="AE48">
        <f t="shared" si="8"/>
        <v>9</v>
      </c>
      <c r="AF48" t="str">
        <f t="shared" si="9"/>
        <v>September</v>
      </c>
    </row>
    <row r="49" spans="1:32">
      <c r="A49" s="1">
        <v>45555</v>
      </c>
      <c r="B49" t="s">
        <v>23</v>
      </c>
      <c r="C49" t="s">
        <v>74</v>
      </c>
      <c r="D49" t="s">
        <v>75</v>
      </c>
      <c r="E49" t="s">
        <v>76</v>
      </c>
      <c r="F49" t="s">
        <v>77</v>
      </c>
      <c r="G49" t="s">
        <v>78</v>
      </c>
      <c r="H49" t="s">
        <v>93</v>
      </c>
      <c r="I49" t="s">
        <v>94</v>
      </c>
      <c r="J49" t="s">
        <v>81</v>
      </c>
      <c r="K49" t="s">
        <v>75</v>
      </c>
      <c r="L49" t="s">
        <v>23</v>
      </c>
      <c r="M49" t="s">
        <v>11</v>
      </c>
      <c r="N49" t="s">
        <v>86</v>
      </c>
      <c r="O49" t="s">
        <v>0</v>
      </c>
      <c r="P49">
        <v>300199</v>
      </c>
      <c r="Q49" t="s">
        <v>17</v>
      </c>
      <c r="R49" t="s">
        <v>82</v>
      </c>
      <c r="S49" t="s">
        <v>83</v>
      </c>
      <c r="T49">
        <v>0</v>
      </c>
      <c r="U49">
        <v>0.25</v>
      </c>
      <c r="V49" s="2">
        <v>1.0416666666666666E-2</v>
      </c>
      <c r="W49">
        <v>0</v>
      </c>
      <c r="AA49" t="s">
        <v>84</v>
      </c>
      <c r="AB49" t="s">
        <v>85</v>
      </c>
      <c r="AC49" t="s">
        <v>86</v>
      </c>
      <c r="AD49" t="s">
        <v>87</v>
      </c>
      <c r="AE49">
        <f t="shared" si="8"/>
        <v>9</v>
      </c>
      <c r="AF49" t="str">
        <f t="shared" si="9"/>
        <v>September</v>
      </c>
    </row>
    <row r="50" spans="1:32">
      <c r="A50" s="1">
        <v>45566</v>
      </c>
      <c r="B50" t="s">
        <v>23</v>
      </c>
      <c r="C50" t="s">
        <v>74</v>
      </c>
      <c r="D50" t="s">
        <v>75</v>
      </c>
      <c r="E50" t="s">
        <v>76</v>
      </c>
      <c r="F50" t="s">
        <v>77</v>
      </c>
      <c r="G50" t="s">
        <v>78</v>
      </c>
      <c r="H50" t="s">
        <v>93</v>
      </c>
      <c r="I50" t="s">
        <v>94</v>
      </c>
      <c r="J50" t="s">
        <v>81</v>
      </c>
      <c r="K50" t="s">
        <v>75</v>
      </c>
      <c r="L50" t="s">
        <v>23</v>
      </c>
      <c r="M50" t="s">
        <v>11</v>
      </c>
      <c r="N50" t="s">
        <v>86</v>
      </c>
      <c r="O50" t="s">
        <v>0</v>
      </c>
      <c r="P50">
        <v>305631</v>
      </c>
      <c r="Q50" t="s">
        <v>17</v>
      </c>
      <c r="R50" t="s">
        <v>82</v>
      </c>
      <c r="S50" t="s">
        <v>83</v>
      </c>
      <c r="T50">
        <v>0</v>
      </c>
      <c r="U50">
        <v>0.25</v>
      </c>
      <c r="V50" s="2">
        <v>1.0416666666666666E-2</v>
      </c>
      <c r="W50">
        <v>0</v>
      </c>
      <c r="AA50" t="s">
        <v>84</v>
      </c>
      <c r="AB50" t="s">
        <v>85</v>
      </c>
      <c r="AC50" t="s">
        <v>86</v>
      </c>
      <c r="AD50" t="s">
        <v>87</v>
      </c>
      <c r="AE50">
        <f t="shared" si="8"/>
        <v>10</v>
      </c>
      <c r="AF50" t="str">
        <f t="shared" si="9"/>
        <v>October</v>
      </c>
    </row>
    <row r="51" spans="1:32">
      <c r="A51" s="1">
        <v>45567</v>
      </c>
      <c r="B51" t="s">
        <v>23</v>
      </c>
      <c r="C51" t="s">
        <v>74</v>
      </c>
      <c r="D51" t="s">
        <v>75</v>
      </c>
      <c r="E51" t="s">
        <v>76</v>
      </c>
      <c r="F51" t="s">
        <v>77</v>
      </c>
      <c r="G51" t="s">
        <v>78</v>
      </c>
      <c r="H51" t="s">
        <v>93</v>
      </c>
      <c r="I51" t="s">
        <v>94</v>
      </c>
      <c r="J51" t="s">
        <v>81</v>
      </c>
      <c r="K51" t="s">
        <v>75</v>
      </c>
      <c r="L51" t="s">
        <v>23</v>
      </c>
      <c r="M51" t="s">
        <v>11</v>
      </c>
      <c r="N51" t="s">
        <v>86</v>
      </c>
      <c r="O51" t="s">
        <v>0</v>
      </c>
      <c r="P51">
        <v>305633</v>
      </c>
      <c r="Q51" t="s">
        <v>17</v>
      </c>
      <c r="R51" t="s">
        <v>82</v>
      </c>
      <c r="S51" t="s">
        <v>83</v>
      </c>
      <c r="T51">
        <v>0</v>
      </c>
      <c r="U51">
        <v>1</v>
      </c>
      <c r="V51" s="2">
        <v>4.1666666666666664E-2</v>
      </c>
      <c r="W51">
        <v>0</v>
      </c>
      <c r="AA51" t="s">
        <v>84</v>
      </c>
      <c r="AB51" t="s">
        <v>85</v>
      </c>
      <c r="AC51" t="s">
        <v>86</v>
      </c>
      <c r="AD51" t="s">
        <v>87</v>
      </c>
      <c r="AE51">
        <f t="shared" si="8"/>
        <v>10</v>
      </c>
      <c r="AF51" t="str">
        <f t="shared" si="9"/>
        <v>October</v>
      </c>
    </row>
    <row r="52" spans="1:32">
      <c r="A52" s="1">
        <v>45568</v>
      </c>
      <c r="B52" t="s">
        <v>23</v>
      </c>
      <c r="C52" t="s">
        <v>74</v>
      </c>
      <c r="D52" t="s">
        <v>75</v>
      </c>
      <c r="E52" t="s">
        <v>76</v>
      </c>
      <c r="F52" t="s">
        <v>77</v>
      </c>
      <c r="G52" t="s">
        <v>78</v>
      </c>
      <c r="H52" t="s">
        <v>93</v>
      </c>
      <c r="I52" t="s">
        <v>94</v>
      </c>
      <c r="J52" t="s">
        <v>81</v>
      </c>
      <c r="K52" t="s">
        <v>75</v>
      </c>
      <c r="L52" t="s">
        <v>23</v>
      </c>
      <c r="M52" t="s">
        <v>11</v>
      </c>
      <c r="N52" t="s">
        <v>86</v>
      </c>
      <c r="O52" t="s">
        <v>0</v>
      </c>
      <c r="P52">
        <v>306041</v>
      </c>
      <c r="Q52" t="s">
        <v>17</v>
      </c>
      <c r="R52" t="s">
        <v>82</v>
      </c>
      <c r="S52" t="s">
        <v>83</v>
      </c>
      <c r="T52">
        <v>0</v>
      </c>
      <c r="U52">
        <v>0.5</v>
      </c>
      <c r="V52" s="2">
        <v>2.0833333333333332E-2</v>
      </c>
      <c r="W52">
        <v>0</v>
      </c>
      <c r="AA52" t="s">
        <v>84</v>
      </c>
      <c r="AB52" t="s">
        <v>85</v>
      </c>
      <c r="AC52" t="s">
        <v>86</v>
      </c>
      <c r="AD52" t="s">
        <v>87</v>
      </c>
      <c r="AE52">
        <f t="shared" si="8"/>
        <v>10</v>
      </c>
      <c r="AF52" t="str">
        <f t="shared" si="9"/>
        <v>October</v>
      </c>
    </row>
    <row r="53" spans="1:32">
      <c r="A53" s="1">
        <v>45572</v>
      </c>
      <c r="B53" t="s">
        <v>23</v>
      </c>
      <c r="C53" t="s">
        <v>74</v>
      </c>
      <c r="D53" t="s">
        <v>75</v>
      </c>
      <c r="E53" t="s">
        <v>76</v>
      </c>
      <c r="F53" t="s">
        <v>77</v>
      </c>
      <c r="G53" t="s">
        <v>78</v>
      </c>
      <c r="H53" t="s">
        <v>93</v>
      </c>
      <c r="I53" t="s">
        <v>94</v>
      </c>
      <c r="J53" t="s">
        <v>81</v>
      </c>
      <c r="K53" t="s">
        <v>75</v>
      </c>
      <c r="L53" t="s">
        <v>23</v>
      </c>
      <c r="M53" t="s">
        <v>11</v>
      </c>
      <c r="N53" t="s">
        <v>86</v>
      </c>
      <c r="O53" t="s">
        <v>0</v>
      </c>
      <c r="P53">
        <v>307311</v>
      </c>
      <c r="Q53" t="s">
        <v>17</v>
      </c>
      <c r="R53" t="s">
        <v>82</v>
      </c>
      <c r="S53" t="s">
        <v>83</v>
      </c>
      <c r="T53">
        <v>0</v>
      </c>
      <c r="U53">
        <v>0.25</v>
      </c>
      <c r="V53" s="2">
        <v>1.0416666666666666E-2</v>
      </c>
      <c r="W53">
        <v>0</v>
      </c>
      <c r="AA53" t="s">
        <v>84</v>
      </c>
      <c r="AB53" t="s">
        <v>85</v>
      </c>
      <c r="AC53" t="s">
        <v>86</v>
      </c>
      <c r="AD53" t="s">
        <v>87</v>
      </c>
      <c r="AE53">
        <f t="shared" si="8"/>
        <v>10</v>
      </c>
      <c r="AF53" t="str">
        <f t="shared" si="9"/>
        <v>October</v>
      </c>
    </row>
    <row r="54" spans="1:32">
      <c r="A54" s="1"/>
      <c r="V54" s="2"/>
    </row>
    <row r="55" spans="1:32">
      <c r="A55" s="1"/>
      <c r="V55" s="2"/>
    </row>
    <row r="56" spans="1:32">
      <c r="A56" s="1"/>
      <c r="V56" s="2"/>
    </row>
    <row r="57" spans="1:32">
      <c r="A57" s="1"/>
      <c r="V57" s="2"/>
    </row>
    <row r="58" spans="1:32">
      <c r="A58" s="1"/>
      <c r="V58" s="2"/>
    </row>
    <row r="59" spans="1:32">
      <c r="A59" s="1"/>
      <c r="V59" s="2"/>
    </row>
    <row r="60" spans="1:32">
      <c r="A60" s="1"/>
      <c r="V60" s="2"/>
    </row>
    <row r="61" spans="1:32">
      <c r="A61" s="1"/>
      <c r="V61" s="2"/>
    </row>
    <row r="62" spans="1:32">
      <c r="A62" s="1"/>
      <c r="V62" s="2"/>
    </row>
    <row r="63" spans="1:32">
      <c r="A63" s="1"/>
      <c r="V63" s="2"/>
    </row>
    <row r="64" spans="1:3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13026E-746A-4710-8E0C-2BD609C11DC4}"/>
</file>

<file path=customXml/itemProps2.xml><?xml version="1.0" encoding="utf-8"?>
<ds:datastoreItem xmlns:ds="http://schemas.openxmlformats.org/officeDocument/2006/customXml" ds:itemID="{6AB2261F-A05D-4470-A631-EC568B5DC702}"/>
</file>

<file path=customXml/itemProps3.xml><?xml version="1.0" encoding="utf-8"?>
<ds:datastoreItem xmlns:ds="http://schemas.openxmlformats.org/officeDocument/2006/customXml" ds:itemID="{4ACB0DFB-CC9C-46EB-857C-95BCF2E888F7}"/>
</file>

<file path=customXml/itemProps4.xml><?xml version="1.0" encoding="utf-8"?>
<ds:datastoreItem xmlns:ds="http://schemas.openxmlformats.org/officeDocument/2006/customXml" ds:itemID="{3D3988DF-4AA9-4978-9646-CAE57FB1A4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2024-11-11T15:00:46Z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