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21" documentId="8_{167E9527-0BDB-4F80-917D-937C202D374A}" xr6:coauthVersionLast="47" xr6:coauthVersionMax="47" xr10:uidLastSave="{75A6A284-0660-494A-AC60-3EDFA4C07BFF}"/>
  <bookViews>
    <workbookView xWindow="286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1835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F3" i="1"/>
  <c r="AE4" i="1"/>
  <c r="AF4" i="1"/>
  <c r="AE5" i="1"/>
  <c r="AF5" i="1"/>
  <c r="AE6" i="1"/>
  <c r="AF6" i="1"/>
  <c r="AE7" i="1"/>
  <c r="AF7" i="1"/>
  <c r="AE8" i="1"/>
  <c r="AF8" i="1"/>
  <c r="AE9" i="1"/>
  <c r="AF9" i="1"/>
  <c r="AE10" i="1"/>
  <c r="AF10" i="1"/>
  <c r="AE11" i="1"/>
  <c r="AF11" i="1"/>
  <c r="AE12" i="1"/>
  <c r="AF12" i="1"/>
  <c r="AE13" i="1"/>
  <c r="AF13" i="1"/>
  <c r="AE2" i="1"/>
  <c r="AF2" i="1" s="1"/>
</calcChain>
</file>

<file path=xl/sharedStrings.xml><?xml version="1.0" encoding="utf-8"?>
<sst xmlns="http://schemas.openxmlformats.org/spreadsheetml/2006/main" count="320" uniqueCount="89">
  <si>
    <t>Month</t>
  </si>
  <si>
    <t>(All)</t>
  </si>
  <si>
    <t>&lt;- Filter By Month</t>
  </si>
  <si>
    <r>
      <t>Project Phases</t>
    </r>
    <r>
      <rPr>
        <sz val="9"/>
        <color rgb="FFFFFFFF"/>
        <rFont val="Verdana"/>
        <family val="2"/>
      </rPr>
      <t> </t>
    </r>
  </si>
  <si>
    <t>Duration</t>
  </si>
  <si>
    <t>Lower Bound</t>
  </si>
  <si>
    <t>Upper Bound</t>
  </si>
  <si>
    <t>Billable Timecode</t>
  </si>
  <si>
    <t>Billable timecode</t>
  </si>
  <si>
    <t>Sprint 0 </t>
  </si>
  <si>
    <t>2-3 weeks </t>
  </si>
  <si>
    <t xml:space="preserve">£6,000 </t>
  </si>
  <si>
    <t xml:space="preserve"> £9,000 </t>
  </si>
  <si>
    <t>Sprint 1 - 2</t>
  </si>
  <si>
    <t>3-6 weeks</t>
  </si>
  <si>
    <t xml:space="preserve">£23,400 </t>
  </si>
  <si>
    <t xml:space="preserve"> £46,800 </t>
  </si>
  <si>
    <t>Sum of Hours</t>
  </si>
  <si>
    <t>Column Labels</t>
  </si>
  <si>
    <t>UAT </t>
  </si>
  <si>
    <t>2 weeks </t>
  </si>
  <si>
    <t xml:space="preserve">£3,600 </t>
  </si>
  <si>
    <t xml:space="preserve"> £3,600 </t>
  </si>
  <si>
    <t>Row Labels</t>
  </si>
  <si>
    <t>Delivery</t>
  </si>
  <si>
    <t>Grand Total</t>
  </si>
  <si>
    <t>Production Deployment &amp; Post Go-Live Support </t>
  </si>
  <si>
    <t>Sam Duncan</t>
  </si>
  <si>
    <t>User guide creation</t>
  </si>
  <si>
    <t>Done in parallel with sprints </t>
  </si>
  <si>
    <t xml:space="preserve">£3,150 </t>
  </si>
  <si>
    <t xml:space="preserve"> £3,150 </t>
  </si>
  <si>
    <t>Nikki Papenfus</t>
  </si>
  <si>
    <t>Total</t>
  </si>
  <si>
    <t>9 -13 weeks</t>
  </si>
  <si>
    <t xml:space="preserve">£39,750 </t>
  </si>
  <si>
    <t xml:space="preserve"> £66,150 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</si>
  <si>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</si>
  <si>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</si>
  <si>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</si>
  <si>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</si>
  <si>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</si>
  <si>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</si>
  <si>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</si>
  <si>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</si>
  <si>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</si>
  <si>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</si>
  <si>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</si>
  <si>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</si>
  <si>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</si>
  <si>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</si>
  <si>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</si>
  <si>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</si>
  <si>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</si>
  <si>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</si>
  <si>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</si>
  <si>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</si>
  <si>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</si>
  <si>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</si>
  <si>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</si>
  <si>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</si>
  <si>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</si>
  <si>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</si>
  <si>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</si>
  <si>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</si>
  <si>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</si>
  <si>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</si>
  <si>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Jacob Smycz</t>
  </si>
  <si>
    <t>Salaried / Fixed</t>
  </si>
  <si>
    <t>Open Box Software (Pty) Ltd (Open Box SA)</t>
  </si>
  <si>
    <t>Salesforce</t>
  </si>
  <si>
    <t>SA</t>
  </si>
  <si>
    <t>Grainger PLC</t>
  </si>
  <si>
    <t>OB-000720</t>
  </si>
  <si>
    <t>Right to Rent - Sprint 0 (T&amp;M)</t>
  </si>
  <si>
    <t>Billable</t>
  </si>
  <si>
    <t>Shaun Barrett</t>
  </si>
  <si>
    <t>Sprint 0</t>
  </si>
  <si>
    <t>Delivery (Non-Billable)</t>
  </si>
  <si>
    <t>Non-billable timecode</t>
  </si>
  <si>
    <t>Standard Timecode</t>
  </si>
  <si>
    <t>GBP</t>
  </si>
  <si>
    <t>Reviewed</t>
  </si>
  <si>
    <t>Kick off Meeting</t>
  </si>
  <si>
    <t>Not submitted</t>
  </si>
  <si>
    <t xml:space="preserve"> </t>
  </si>
  <si>
    <t>Custom Software</t>
  </si>
  <si>
    <t>Andrew Pollock</t>
  </si>
  <si>
    <t>Kickoff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</si>
</sst>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FFFFFF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19" fillId="0" borderId="0" xfId="0" applyFont="1"/>
    <xf numFmtId="164" fontId="0" fillId="0" borderId="0" xfId="0" applyNumberFormat="1"/>
    <xf numFmtId="0" fontId="20" fillId="0" borderId="10" xfId="0" applyFont="1" applyBorder="1"/>
    <xf numFmtId="0" fontId="21" fillId="0" borderId="0" xfId="0" applyFont="1"/>
    <xf numFmtId="0" fontId="23" fillId="0" borderId="0" xfId="0" applyFont="1"/>
    <xf numFmtId="0" fontId="24" fillId="0" borderId="10" xfId="0" applyFont="1" applyBorder="1"/>
    <xf numFmtId="0" fontId="25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51.621902777777" createdVersion="8" refreshedVersion="8" minRefreshableVersion="3" recordCount="12" xr:uid="{99245C0E-24CC-4210-B9A2-B38C267F7666}">
  <cacheSource type="worksheet">
    <worksheetSource ref="A1:AF13" sheet="Project Timesheets"/>
  </cacheSource>
  <cacheFields count="32">
    <cacheField name="Date" numFmtId="15">
      <sharedItems containsSemiMixedTypes="0" containsNonDate="0" containsDate="1" containsString="0" minDate="2024-09-09T00:00:00" maxDate="2024-09-14T00:00:00"/>
    </cacheField>
    <cacheField name="Person" numFmtId="0">
      <sharedItems count="4"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95307" maxValue="297512"/>
    </cacheField>
    <cacheField name="Timecode Name" numFmtId="0">
      <sharedItems count="2">
        <s v="Delivery (Non-Billable)"/>
        <s v="Deliver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.75"/>
    </cacheField>
    <cacheField name="Time" numFmtId="20">
      <sharedItems containsSemiMixedTypes="0" containsNonDate="0" containsDate="1" containsString="0" minDate="1899-12-30T00:15:00" maxDate="1899-12-30T04:45:00"/>
    </cacheField>
    <cacheField name="Worked Amount" numFmtId="0">
      <sharedItems containsSemiMixedTypes="0" containsString="0" containsNumber="1" minValue="0" maxValue="42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9" maxValue="9"/>
    </cacheField>
    <cacheField name="Month" numFmtId="0">
      <sharedItems count="1">
        <s v="Sept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4-09-10T00:00:00"/>
    <x v="0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295597"/>
    <x v="0"/>
    <x v="0"/>
    <s v="Standard Timecode"/>
    <n v="0"/>
    <n v="1"/>
    <d v="1899-12-30T01:00:00"/>
    <n v="0"/>
    <m/>
    <m/>
    <m/>
    <s v="GBP"/>
    <s v="Reviewed"/>
    <s v="Kick off Meeting"/>
    <s v="Not submitted"/>
    <n v="9"/>
    <x v="0"/>
  </r>
  <r>
    <d v="2024-09-12T00:00:00"/>
    <x v="0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296751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09T00:00:00"/>
    <x v="1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5307"/>
    <x v="1"/>
    <x v="1"/>
    <s v="Standard Timecode"/>
    <n v="90"/>
    <n v="2.25"/>
    <d v="1899-12-30T02:15:00"/>
    <n v="202.5"/>
    <m/>
    <m/>
    <m/>
    <s v="GBP"/>
    <s v="Reviewed"/>
    <s v=" "/>
    <s v="Not submitted"/>
    <n v="9"/>
    <x v="0"/>
  </r>
  <r>
    <d v="2024-09-10T00:00:00"/>
    <x v="1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5796"/>
    <x v="1"/>
    <x v="1"/>
    <s v="Standard Timecode"/>
    <n v="90"/>
    <n v="1.25"/>
    <d v="1899-12-30T01:15:00"/>
    <n v="112.5"/>
    <m/>
    <m/>
    <m/>
    <s v="GBP"/>
    <s v="Reviewed"/>
    <s v=" "/>
    <s v="Not submitted"/>
    <n v="9"/>
    <x v="0"/>
  </r>
  <r>
    <d v="2024-09-11T00:00:00"/>
    <x v="1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6231"/>
    <x v="1"/>
    <x v="1"/>
    <s v="Standard Timecode"/>
    <n v="90"/>
    <n v="0.25"/>
    <d v="1899-12-30T00:15:00"/>
    <n v="22.5"/>
    <m/>
    <m/>
    <m/>
    <s v="GBP"/>
    <s v="Reviewed"/>
    <s v=" "/>
    <s v="Not submitted"/>
    <n v="9"/>
    <x v="0"/>
  </r>
  <r>
    <d v="2024-09-12T00:00:00"/>
    <x v="1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6762"/>
    <x v="1"/>
    <x v="1"/>
    <s v="Standard Timecode"/>
    <n v="90"/>
    <n v="4.75"/>
    <d v="1899-12-30T04:45:00"/>
    <n v="427.5"/>
    <m/>
    <m/>
    <m/>
    <s v="GBP"/>
    <m/>
    <s v=" "/>
    <s v="Not submitted"/>
    <n v="9"/>
    <x v="0"/>
  </r>
  <r>
    <d v="2024-09-13T00:00:00"/>
    <x v="1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7337"/>
    <x v="1"/>
    <x v="1"/>
    <s v="Standard Timecode"/>
    <n v="90"/>
    <n v="2"/>
    <d v="1899-12-30T02:00:00"/>
    <n v="180"/>
    <m/>
    <m/>
    <m/>
    <s v="GBP"/>
    <m/>
    <s v=" "/>
    <s v="Not submitted"/>
    <n v="9"/>
    <x v="0"/>
  </r>
  <r>
    <d v="2024-09-10T00:00:00"/>
    <x v="2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512"/>
    <x v="1"/>
    <x v="1"/>
    <s v="Standard Timecode"/>
    <n v="90"/>
    <n v="1"/>
    <d v="1899-12-30T01:00:00"/>
    <n v="90"/>
    <m/>
    <m/>
    <m/>
    <s v="GBP"/>
    <m/>
    <s v="Kickoff call"/>
    <s v="Not submitted"/>
    <n v="9"/>
    <x v="0"/>
  </r>
  <r>
    <d v="2024-09-10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5853"/>
    <x v="0"/>
    <x v="0"/>
    <s v="Standard Timecode"/>
    <n v="0"/>
    <n v="1.25"/>
    <d v="1899-12-30T01:15:00"/>
    <n v="0"/>
    <m/>
    <m/>
    <m/>
    <s v="GBP"/>
    <s v="Reviewed"/>
    <s v=" "/>
    <s v="Not submitted"/>
    <n v="9"/>
    <x v="0"/>
  </r>
  <r>
    <d v="2024-09-11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5852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2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013"/>
    <x v="0"/>
    <x v="0"/>
    <s v="Standard Timecode"/>
    <n v="0"/>
    <n v="0.5"/>
    <d v="1899-12-30T00:30:00"/>
    <n v="0"/>
    <m/>
    <m/>
    <m/>
    <s v="GBP"/>
    <m/>
    <s v=" "/>
    <s v="Not submitted"/>
    <n v="9"/>
    <x v="0"/>
  </r>
  <r>
    <d v="2024-09-13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291"/>
    <x v="0"/>
    <x v="0"/>
    <s v="Standard Timecode"/>
    <n v="0"/>
    <n v="0.25"/>
    <d v="1899-12-30T00:15:00"/>
    <n v="0"/>
    <m/>
    <m/>
    <m/>
    <s v="GBP"/>
    <m/>
    <s v=" "/>
    <s v="Not submitted"/>
    <n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60D59-B89F-427B-875E-E7248E7F95AF}" name="PivotTable1" cacheId="183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11" style="8" bestFit="1" customWidth="1"/>
    <col min="4" max="4" width="16.28515625" bestFit="1" customWidth="1"/>
    <col min="5" max="6" width="10.5703125" bestFit="1" customWidth="1"/>
    <col min="7" max="7" width="12" customWidth="1"/>
    <col min="8" max="8" width="43.7109375" bestFit="1" customWidth="1"/>
    <col min="9" max="9" width="26.5703125" bestFit="1" customWidth="1"/>
    <col min="10" max="10" width="13.42578125" bestFit="1" customWidth="1"/>
    <col min="11" max="11" width="13.28515625" bestFit="1" customWidth="1"/>
  </cols>
  <sheetData>
    <row r="1" spans="1:11">
      <c r="A1" s="4" t="s">
        <v>0</v>
      </c>
      <c r="B1" t="s">
        <v>1</v>
      </c>
      <c r="D1" s="6" t="s">
        <v>2</v>
      </c>
      <c r="H1" s="11" t="s">
        <v>3</v>
      </c>
      <c r="I1" s="12" t="s">
        <v>4</v>
      </c>
      <c r="J1" s="12" t="s">
        <v>5</v>
      </c>
      <c r="K1" s="12" t="s">
        <v>6</v>
      </c>
    </row>
    <row r="2" spans="1:11">
      <c r="A2" s="4" t="s">
        <v>7</v>
      </c>
      <c r="B2" t="s">
        <v>8</v>
      </c>
      <c r="H2" s="13" t="s">
        <v>9</v>
      </c>
      <c r="I2" s="13" t="s">
        <v>10</v>
      </c>
      <c r="J2" s="13" t="s">
        <v>11</v>
      </c>
      <c r="K2" s="13" t="s">
        <v>12</v>
      </c>
    </row>
    <row r="3" spans="1:11">
      <c r="C3"/>
      <c r="G3" s="7"/>
      <c r="H3" s="13" t="s">
        <v>13</v>
      </c>
      <c r="I3" s="13" t="s">
        <v>14</v>
      </c>
      <c r="J3" s="13" t="s">
        <v>15</v>
      </c>
      <c r="K3" s="13" t="s">
        <v>16</v>
      </c>
    </row>
    <row r="4" spans="1:11">
      <c r="A4" s="4" t="s">
        <v>17</v>
      </c>
      <c r="B4" s="4" t="s">
        <v>18</v>
      </c>
      <c r="H4" s="13" t="s">
        <v>19</v>
      </c>
      <c r="I4" s="13" t="s">
        <v>20</v>
      </c>
      <c r="J4" s="13" t="s">
        <v>21</v>
      </c>
      <c r="K4" s="13" t="s">
        <v>22</v>
      </c>
    </row>
    <row r="5" spans="1:11">
      <c r="A5" s="4" t="s">
        <v>23</v>
      </c>
      <c r="B5" t="s">
        <v>24</v>
      </c>
      <c r="C5" t="s">
        <v>25</v>
      </c>
      <c r="H5" s="13" t="s">
        <v>26</v>
      </c>
      <c r="I5" s="13" t="s">
        <v>20</v>
      </c>
      <c r="J5" s="13" t="s">
        <v>21</v>
      </c>
      <c r="K5" s="13" t="s">
        <v>22</v>
      </c>
    </row>
    <row r="6" spans="1:11">
      <c r="A6" s="5" t="s">
        <v>27</v>
      </c>
      <c r="B6" s="9">
        <v>1</v>
      </c>
      <c r="C6" s="9">
        <v>1</v>
      </c>
      <c r="H6" s="13" t="s">
        <v>28</v>
      </c>
      <c r="I6" s="13" t="s">
        <v>29</v>
      </c>
      <c r="J6" s="13" t="s">
        <v>30</v>
      </c>
      <c r="K6" s="13" t="s">
        <v>31</v>
      </c>
    </row>
    <row r="7" spans="1:11" ht="15.6">
      <c r="A7" s="5" t="s">
        <v>32</v>
      </c>
      <c r="B7" s="9">
        <v>10.5</v>
      </c>
      <c r="C7" s="9">
        <v>10.5</v>
      </c>
      <c r="H7" s="10"/>
      <c r="I7" s="10"/>
      <c r="J7" s="10"/>
      <c r="K7" s="10"/>
    </row>
    <row r="8" spans="1:11" ht="16.149999999999999" thickBot="1">
      <c r="A8" s="5" t="s">
        <v>25</v>
      </c>
      <c r="B8" s="9">
        <v>11.5</v>
      </c>
      <c r="C8" s="9">
        <v>11.5</v>
      </c>
      <c r="H8" s="14" t="s">
        <v>33</v>
      </c>
      <c r="I8" s="14" t="s">
        <v>34</v>
      </c>
      <c r="J8" s="14" t="s">
        <v>35</v>
      </c>
      <c r="K8" s="14" t="s">
        <v>36</v>
      </c>
    </row>
    <row r="9" spans="1:11" ht="15" thickTop="1">
      <c r="C9"/>
    </row>
    <row r="10" spans="1:11">
      <c r="C10"/>
    </row>
    <row r="11" spans="1:11">
      <c r="C11"/>
    </row>
    <row r="12" spans="1:11">
      <c r="C12"/>
    </row>
    <row r="13" spans="1:11">
      <c r="C13"/>
    </row>
    <row r="14" spans="1:11">
      <c r="C14"/>
    </row>
    <row r="15" spans="1:11">
      <c r="C15"/>
    </row>
    <row r="16" spans="1:11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N1" workbookViewId="0">
      <pane ySplit="1" topLeftCell="A13" activePane="bottomLeft" state="frozen"/>
      <selection pane="bottomLeft"/>
    </sheetView>
  </sheetViews>
  <sheetFormatPr defaultRowHeight="14.45"/>
  <cols>
    <col min="1" max="1" width="9.28515625" bestFit="1" customWidth="1"/>
    <col min="2" max="2" width="14" bestFit="1" customWidth="1"/>
    <col min="3" max="3" width="14.42578125" bestFit="1" customWidth="1"/>
    <col min="4" max="4" width="37.28515625" bestFit="1" customWidth="1"/>
    <col min="5" max="5" width="15.42578125" bestFit="1" customWidth="1"/>
    <col min="6" max="6" width="14.85546875" bestFit="1" customWidth="1"/>
    <col min="7" max="7" width="14.7109375" bestFit="1" customWidth="1"/>
    <col min="8" max="8" width="14.42578125" bestFit="1" customWidth="1"/>
    <col min="9" max="9" width="25.5703125" bestFit="1" customWidth="1"/>
    <col min="10" max="10" width="11.28515625" bestFit="1" customWidth="1"/>
    <col min="11" max="11" width="37.28515625" bestFit="1" customWidth="1"/>
    <col min="12" max="12" width="15" bestFit="1" customWidth="1"/>
    <col min="13" max="13" width="16" bestFit="1" customWidth="1"/>
    <col min="14" max="14" width="14.28515625" bestFit="1" customWidth="1"/>
    <col min="15" max="15" width="12.28515625" bestFit="1" customWidth="1"/>
    <col min="16" max="16" width="11.85546875" bestFit="1" customWidth="1"/>
    <col min="17" max="17" width="20.5703125" bestFit="1" customWidth="1"/>
    <col min="18" max="18" width="20.42578125" bestFit="1" customWidth="1"/>
    <col min="19" max="19" width="17.7109375" bestFit="1" customWidth="1"/>
    <col min="20" max="20" width="13.5703125" bestFit="1" customWidth="1"/>
    <col min="21" max="21" width="6.140625" bestFit="1" customWidth="1"/>
    <col min="22" max="22" width="5.5703125" bestFit="1" customWidth="1"/>
    <col min="23" max="23" width="14.7109375" bestFit="1" customWidth="1"/>
    <col min="24" max="24" width="15.42578125" bestFit="1" customWidth="1"/>
    <col min="25" max="25" width="13.28515625" bestFit="1" customWidth="1"/>
    <col min="26" max="27" width="8.42578125" bestFit="1" customWidth="1"/>
    <col min="28" max="28" width="14.7109375" bestFit="1" customWidth="1"/>
    <col min="29" max="29" width="14.42578125" bestFit="1" customWidth="1"/>
    <col min="30" max="30" width="15.5703125" bestFit="1" customWidth="1"/>
    <col min="31" max="31" width="6.7109375" bestFit="1" customWidth="1"/>
    <col min="32" max="32" width="10" bestFit="1" customWidth="1"/>
  </cols>
  <sheetData>
    <row r="1" spans="1:32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7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s="3" t="s">
        <v>66</v>
      </c>
      <c r="AF1" s="3" t="s">
        <v>0</v>
      </c>
    </row>
    <row r="2" spans="1:32">
      <c r="A2" s="1">
        <v>45545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69</v>
      </c>
      <c r="L2" t="s">
        <v>76</v>
      </c>
      <c r="M2" t="s">
        <v>27</v>
      </c>
      <c r="N2" t="s">
        <v>27</v>
      </c>
      <c r="O2" t="s">
        <v>77</v>
      </c>
      <c r="P2">
        <v>295597</v>
      </c>
      <c r="Q2" t="s">
        <v>78</v>
      </c>
      <c r="R2" t="s">
        <v>79</v>
      </c>
      <c r="S2" t="s">
        <v>80</v>
      </c>
      <c r="T2">
        <v>0</v>
      </c>
      <c r="U2">
        <v>1</v>
      </c>
      <c r="V2" s="2">
        <v>4.1666666666666664E-2</v>
      </c>
      <c r="W2">
        <v>0</v>
      </c>
      <c r="AA2" t="s">
        <v>81</v>
      </c>
      <c r="AB2" t="s">
        <v>82</v>
      </c>
      <c r="AC2" t="s">
        <v>83</v>
      </c>
      <c r="AD2" t="s">
        <v>84</v>
      </c>
      <c r="AE2">
        <f>MONTH(A2)</f>
        <v>9</v>
      </c>
      <c r="AF2" t="str">
        <f>IF(AE2=7,"July",IF(AE2=8,"August",IF(AE2=9,"September",IF(AE2=10,"October",IF(AE2=11,"November")))))</f>
        <v>September</v>
      </c>
    </row>
    <row r="3" spans="1:32">
      <c r="A3" s="1">
        <v>45547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69</v>
      </c>
      <c r="L3" t="s">
        <v>76</v>
      </c>
      <c r="M3" t="s">
        <v>27</v>
      </c>
      <c r="N3" t="s">
        <v>27</v>
      </c>
      <c r="O3" t="s">
        <v>77</v>
      </c>
      <c r="P3">
        <v>296751</v>
      </c>
      <c r="Q3" t="s">
        <v>78</v>
      </c>
      <c r="R3" t="s">
        <v>79</v>
      </c>
      <c r="S3" t="s">
        <v>80</v>
      </c>
      <c r="T3">
        <v>0</v>
      </c>
      <c r="U3">
        <v>0.5</v>
      </c>
      <c r="V3" s="2">
        <v>2.0833333333333332E-2</v>
      </c>
      <c r="W3">
        <v>0</v>
      </c>
      <c r="AA3" t="s">
        <v>81</v>
      </c>
      <c r="AB3" t="s">
        <v>82</v>
      </c>
      <c r="AC3" t="s">
        <v>85</v>
      </c>
      <c r="AD3" t="s">
        <v>84</v>
      </c>
      <c r="AE3">
        <f t="shared" ref="AE3:AE13" si="0">MONTH(A3)</f>
        <v>9</v>
      </c>
      <c r="AF3" t="str">
        <f t="shared" ref="AF3:AF13" si="1">IF(AE3=7,"July",IF(AE3=8,"August",IF(AE3=9,"September",IF(AE3=10,"October",IF(AE3=11,"November")))))</f>
        <v>September</v>
      </c>
    </row>
    <row r="4" spans="1:32">
      <c r="A4" s="1">
        <v>45544</v>
      </c>
      <c r="B4" t="s">
        <v>32</v>
      </c>
      <c r="C4" t="s">
        <v>68</v>
      </c>
      <c r="D4" t="s">
        <v>69</v>
      </c>
      <c r="E4" t="s">
        <v>86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69</v>
      </c>
      <c r="L4" t="s">
        <v>76</v>
      </c>
      <c r="M4" t="s">
        <v>27</v>
      </c>
      <c r="N4" t="s">
        <v>87</v>
      </c>
      <c r="O4" t="s">
        <v>77</v>
      </c>
      <c r="P4">
        <v>295307</v>
      </c>
      <c r="Q4" t="s">
        <v>24</v>
      </c>
      <c r="R4" t="s">
        <v>8</v>
      </c>
      <c r="S4" t="s">
        <v>80</v>
      </c>
      <c r="T4">
        <v>90</v>
      </c>
      <c r="U4">
        <v>2.25</v>
      </c>
      <c r="V4" s="2">
        <v>9.375E-2</v>
      </c>
      <c r="W4">
        <v>202.5</v>
      </c>
      <c r="AA4" t="s">
        <v>81</v>
      </c>
      <c r="AB4" t="s">
        <v>82</v>
      </c>
      <c r="AC4" t="s">
        <v>85</v>
      </c>
      <c r="AD4" t="s">
        <v>84</v>
      </c>
      <c r="AE4">
        <f t="shared" si="0"/>
        <v>9</v>
      </c>
      <c r="AF4" t="str">
        <f t="shared" si="1"/>
        <v>September</v>
      </c>
    </row>
    <row r="5" spans="1:32">
      <c r="A5" s="1">
        <v>45545</v>
      </c>
      <c r="B5" t="s">
        <v>32</v>
      </c>
      <c r="C5" t="s">
        <v>68</v>
      </c>
      <c r="D5" t="s">
        <v>69</v>
      </c>
      <c r="E5" t="s">
        <v>86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69</v>
      </c>
      <c r="L5" t="s">
        <v>76</v>
      </c>
      <c r="M5" t="s">
        <v>27</v>
      </c>
      <c r="N5" t="s">
        <v>87</v>
      </c>
      <c r="O5" t="s">
        <v>77</v>
      </c>
      <c r="P5">
        <v>295796</v>
      </c>
      <c r="Q5" t="s">
        <v>24</v>
      </c>
      <c r="R5" t="s">
        <v>8</v>
      </c>
      <c r="S5" t="s">
        <v>80</v>
      </c>
      <c r="T5">
        <v>90</v>
      </c>
      <c r="U5">
        <v>1.25</v>
      </c>
      <c r="V5" s="2">
        <v>5.2083333333333336E-2</v>
      </c>
      <c r="W5">
        <v>112.5</v>
      </c>
      <c r="AA5" t="s">
        <v>81</v>
      </c>
      <c r="AB5" t="s">
        <v>82</v>
      </c>
      <c r="AC5" t="s">
        <v>85</v>
      </c>
      <c r="AD5" t="s">
        <v>84</v>
      </c>
      <c r="AE5">
        <f t="shared" si="0"/>
        <v>9</v>
      </c>
      <c r="AF5" t="str">
        <f t="shared" si="1"/>
        <v>September</v>
      </c>
    </row>
    <row r="6" spans="1:32">
      <c r="A6" s="1">
        <v>45546</v>
      </c>
      <c r="B6" t="s">
        <v>32</v>
      </c>
      <c r="C6" t="s">
        <v>68</v>
      </c>
      <c r="D6" t="s">
        <v>69</v>
      </c>
      <c r="E6" t="s">
        <v>86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69</v>
      </c>
      <c r="L6" t="s">
        <v>76</v>
      </c>
      <c r="M6" t="s">
        <v>27</v>
      </c>
      <c r="N6" t="s">
        <v>87</v>
      </c>
      <c r="O6" t="s">
        <v>77</v>
      </c>
      <c r="P6">
        <v>296231</v>
      </c>
      <c r="Q6" t="s">
        <v>24</v>
      </c>
      <c r="R6" t="s">
        <v>8</v>
      </c>
      <c r="S6" t="s">
        <v>80</v>
      </c>
      <c r="T6">
        <v>90</v>
      </c>
      <c r="U6">
        <v>0.25</v>
      </c>
      <c r="V6" s="2">
        <v>1.0416666666666666E-2</v>
      </c>
      <c r="W6">
        <v>22.5</v>
      </c>
      <c r="AA6" t="s">
        <v>81</v>
      </c>
      <c r="AB6" t="s">
        <v>82</v>
      </c>
      <c r="AC6" t="s">
        <v>85</v>
      </c>
      <c r="AD6" t="s">
        <v>84</v>
      </c>
      <c r="AE6">
        <f t="shared" si="0"/>
        <v>9</v>
      </c>
      <c r="AF6" t="str">
        <f t="shared" si="1"/>
        <v>September</v>
      </c>
    </row>
    <row r="7" spans="1:32">
      <c r="A7" s="1">
        <v>45547</v>
      </c>
      <c r="B7" t="s">
        <v>32</v>
      </c>
      <c r="C7" t="s">
        <v>68</v>
      </c>
      <c r="D7" t="s">
        <v>69</v>
      </c>
      <c r="E7" t="s">
        <v>86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69</v>
      </c>
      <c r="L7" t="s">
        <v>76</v>
      </c>
      <c r="M7" t="s">
        <v>27</v>
      </c>
      <c r="N7" t="s">
        <v>87</v>
      </c>
      <c r="O7" t="s">
        <v>77</v>
      </c>
      <c r="P7">
        <v>296762</v>
      </c>
      <c r="Q7" t="s">
        <v>24</v>
      </c>
      <c r="R7" t="s">
        <v>8</v>
      </c>
      <c r="S7" t="s">
        <v>80</v>
      </c>
      <c r="T7">
        <v>90</v>
      </c>
      <c r="U7">
        <v>4.75</v>
      </c>
      <c r="V7" s="2">
        <v>0.19791666666666666</v>
      </c>
      <c r="W7">
        <v>427.5</v>
      </c>
      <c r="AA7" t="s">
        <v>81</v>
      </c>
      <c r="AC7" t="s">
        <v>85</v>
      </c>
      <c r="AD7" t="s">
        <v>84</v>
      </c>
      <c r="AE7">
        <f t="shared" si="0"/>
        <v>9</v>
      </c>
      <c r="AF7" t="str">
        <f t="shared" si="1"/>
        <v>September</v>
      </c>
    </row>
    <row r="8" spans="1:32">
      <c r="A8" s="1">
        <v>45548</v>
      </c>
      <c r="B8" t="s">
        <v>32</v>
      </c>
      <c r="C8" t="s">
        <v>68</v>
      </c>
      <c r="D8" t="s">
        <v>69</v>
      </c>
      <c r="E8" t="s">
        <v>86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69</v>
      </c>
      <c r="L8" t="s">
        <v>76</v>
      </c>
      <c r="M8" t="s">
        <v>27</v>
      </c>
      <c r="N8" t="s">
        <v>87</v>
      </c>
      <c r="O8" t="s">
        <v>77</v>
      </c>
      <c r="P8">
        <v>297337</v>
      </c>
      <c r="Q8" t="s">
        <v>24</v>
      </c>
      <c r="R8" t="s">
        <v>8</v>
      </c>
      <c r="S8" t="s">
        <v>80</v>
      </c>
      <c r="T8">
        <v>90</v>
      </c>
      <c r="U8">
        <v>2</v>
      </c>
      <c r="V8" s="2">
        <v>8.3333333333333329E-2</v>
      </c>
      <c r="W8">
        <v>180</v>
      </c>
      <c r="AA8" t="s">
        <v>81</v>
      </c>
      <c r="AC8" t="s">
        <v>85</v>
      </c>
      <c r="AD8" t="s">
        <v>84</v>
      </c>
      <c r="AE8">
        <f t="shared" si="0"/>
        <v>9</v>
      </c>
      <c r="AF8" t="str">
        <f t="shared" si="1"/>
        <v>September</v>
      </c>
    </row>
    <row r="9" spans="1:32">
      <c r="A9" s="1">
        <v>45545</v>
      </c>
      <c r="B9" t="s">
        <v>27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69</v>
      </c>
      <c r="L9" t="s">
        <v>76</v>
      </c>
      <c r="M9" t="s">
        <v>27</v>
      </c>
      <c r="N9" t="s">
        <v>85</v>
      </c>
      <c r="O9" t="s">
        <v>77</v>
      </c>
      <c r="P9">
        <v>297512</v>
      </c>
      <c r="Q9" t="s">
        <v>24</v>
      </c>
      <c r="R9" t="s">
        <v>8</v>
      </c>
      <c r="S9" t="s">
        <v>80</v>
      </c>
      <c r="T9">
        <v>90</v>
      </c>
      <c r="U9">
        <v>1</v>
      </c>
      <c r="V9" s="2">
        <v>4.1666666666666664E-2</v>
      </c>
      <c r="W9">
        <v>90</v>
      </c>
      <c r="AA9" t="s">
        <v>81</v>
      </c>
      <c r="AC9" t="s">
        <v>88</v>
      </c>
      <c r="AD9" t="s">
        <v>84</v>
      </c>
      <c r="AE9">
        <f t="shared" si="0"/>
        <v>9</v>
      </c>
      <c r="AF9" t="str">
        <f t="shared" si="1"/>
        <v>September</v>
      </c>
    </row>
    <row r="10" spans="1:32">
      <c r="A10" s="1">
        <v>45545</v>
      </c>
      <c r="B10" t="s">
        <v>76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69</v>
      </c>
      <c r="L10" t="s">
        <v>76</v>
      </c>
      <c r="M10" t="s">
        <v>27</v>
      </c>
      <c r="N10" t="s">
        <v>85</v>
      </c>
      <c r="O10" t="s">
        <v>77</v>
      </c>
      <c r="P10">
        <v>295853</v>
      </c>
      <c r="Q10" t="s">
        <v>78</v>
      </c>
      <c r="R10" t="s">
        <v>79</v>
      </c>
      <c r="S10" t="s">
        <v>80</v>
      </c>
      <c r="T10">
        <v>0</v>
      </c>
      <c r="U10">
        <v>1.25</v>
      </c>
      <c r="V10" s="2">
        <v>5.2083333333333336E-2</v>
      </c>
      <c r="W10">
        <v>0</v>
      </c>
      <c r="AA10" t="s">
        <v>81</v>
      </c>
      <c r="AB10" t="s">
        <v>82</v>
      </c>
      <c r="AC10" t="s">
        <v>85</v>
      </c>
      <c r="AD10" t="s">
        <v>84</v>
      </c>
      <c r="AE10">
        <f t="shared" si="0"/>
        <v>9</v>
      </c>
      <c r="AF10" t="str">
        <f t="shared" si="1"/>
        <v>September</v>
      </c>
    </row>
    <row r="11" spans="1:32">
      <c r="A11" s="1">
        <v>45546</v>
      </c>
      <c r="B11" t="s">
        <v>76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69</v>
      </c>
      <c r="L11" t="s">
        <v>76</v>
      </c>
      <c r="M11" t="s">
        <v>27</v>
      </c>
      <c r="N11" t="s">
        <v>85</v>
      </c>
      <c r="O11" t="s">
        <v>77</v>
      </c>
      <c r="P11">
        <v>295852</v>
      </c>
      <c r="Q11" t="s">
        <v>78</v>
      </c>
      <c r="R11" t="s">
        <v>79</v>
      </c>
      <c r="S11" t="s">
        <v>80</v>
      </c>
      <c r="T11">
        <v>0</v>
      </c>
      <c r="U11">
        <v>0.5</v>
      </c>
      <c r="V11" s="2">
        <v>2.0833333333333332E-2</v>
      </c>
      <c r="W11">
        <v>0</v>
      </c>
      <c r="AA11" t="s">
        <v>81</v>
      </c>
      <c r="AB11" t="s">
        <v>82</v>
      </c>
      <c r="AC11" t="s">
        <v>85</v>
      </c>
      <c r="AD11" t="s">
        <v>84</v>
      </c>
      <c r="AE11">
        <f t="shared" si="0"/>
        <v>9</v>
      </c>
      <c r="AF11" t="str">
        <f t="shared" si="1"/>
        <v>September</v>
      </c>
    </row>
    <row r="12" spans="1:32">
      <c r="A12" s="1">
        <v>45547</v>
      </c>
      <c r="B12" t="s">
        <v>76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  <c r="K12" t="s">
        <v>69</v>
      </c>
      <c r="L12" t="s">
        <v>76</v>
      </c>
      <c r="M12" t="s">
        <v>27</v>
      </c>
      <c r="N12" t="s">
        <v>85</v>
      </c>
      <c r="O12" t="s">
        <v>77</v>
      </c>
      <c r="P12">
        <v>297013</v>
      </c>
      <c r="Q12" t="s">
        <v>78</v>
      </c>
      <c r="R12" t="s">
        <v>79</v>
      </c>
      <c r="S12" t="s">
        <v>80</v>
      </c>
      <c r="T12">
        <v>0</v>
      </c>
      <c r="U12">
        <v>0.5</v>
      </c>
      <c r="V12" s="2">
        <v>2.0833333333333332E-2</v>
      </c>
      <c r="W12">
        <v>0</v>
      </c>
      <c r="AA12" t="s">
        <v>81</v>
      </c>
      <c r="AC12" t="s">
        <v>85</v>
      </c>
      <c r="AD12" t="s">
        <v>84</v>
      </c>
      <c r="AE12">
        <f t="shared" si="0"/>
        <v>9</v>
      </c>
      <c r="AF12" t="str">
        <f t="shared" si="1"/>
        <v>September</v>
      </c>
    </row>
    <row r="13" spans="1:32">
      <c r="A13" s="1">
        <v>45548</v>
      </c>
      <c r="B13" t="s">
        <v>76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 t="s">
        <v>73</v>
      </c>
      <c r="I13" t="s">
        <v>74</v>
      </c>
      <c r="J13" t="s">
        <v>75</v>
      </c>
      <c r="K13" t="s">
        <v>69</v>
      </c>
      <c r="L13" t="s">
        <v>76</v>
      </c>
      <c r="M13" t="s">
        <v>27</v>
      </c>
      <c r="N13" t="s">
        <v>85</v>
      </c>
      <c r="O13" t="s">
        <v>77</v>
      </c>
      <c r="P13">
        <v>297291</v>
      </c>
      <c r="Q13" t="s">
        <v>78</v>
      </c>
      <c r="R13" t="s">
        <v>79</v>
      </c>
      <c r="S13" t="s">
        <v>80</v>
      </c>
      <c r="T13">
        <v>0</v>
      </c>
      <c r="U13">
        <v>0.25</v>
      </c>
      <c r="V13" s="2">
        <v>1.0416666666666666E-2</v>
      </c>
      <c r="W13">
        <v>0</v>
      </c>
      <c r="AA13" t="s">
        <v>81</v>
      </c>
      <c r="AC13" t="s">
        <v>85</v>
      </c>
      <c r="AD13" t="s">
        <v>84</v>
      </c>
      <c r="AE13">
        <f t="shared" si="0"/>
        <v>9</v>
      </c>
      <c r="AF13" t="str">
        <f t="shared" si="1"/>
        <v>September</v>
      </c>
    </row>
    <row r="14" spans="1:32">
      <c r="A14" s="1"/>
      <c r="V14" s="2"/>
    </row>
    <row r="15" spans="1:32">
      <c r="A15" s="1"/>
      <c r="V15" s="2"/>
    </row>
    <row r="16" spans="1:32">
      <c r="A16" s="1"/>
      <c r="V16" s="2"/>
    </row>
    <row r="17" spans="1:22">
      <c r="A17" s="1"/>
      <c r="V17" s="2"/>
    </row>
    <row r="18" spans="1:22">
      <c r="A18" s="1"/>
      <c r="V18" s="2"/>
    </row>
    <row r="19" spans="1:22">
      <c r="A19" s="1"/>
      <c r="V19" s="2"/>
    </row>
    <row r="20" spans="1:22">
      <c r="A20" s="1"/>
      <c r="V20" s="2"/>
    </row>
    <row r="21" spans="1:22">
      <c r="A21" s="1"/>
      <c r="V21" s="2"/>
    </row>
    <row r="22" spans="1:22">
      <c r="A22" s="1"/>
      <c r="V22" s="2"/>
    </row>
    <row r="23" spans="1:22">
      <c r="A23" s="1"/>
      <c r="V23" s="2"/>
    </row>
    <row r="24" spans="1:22">
      <c r="A24" s="1"/>
      <c r="V24" s="2"/>
    </row>
    <row r="25" spans="1:22">
      <c r="A25" s="1"/>
      <c r="V25" s="2"/>
    </row>
    <row r="26" spans="1:22">
      <c r="A26" s="1"/>
      <c r="V26" s="2"/>
    </row>
    <row r="27" spans="1:22">
      <c r="A27" s="1"/>
      <c r="V27" s="2"/>
    </row>
    <row r="28" spans="1:22">
      <c r="A28" s="1"/>
      <c r="V28" s="2"/>
    </row>
    <row r="29" spans="1:22">
      <c r="A29" s="1"/>
      <c r="V29" s="2"/>
    </row>
    <row r="30" spans="1:22">
      <c r="A30" s="1"/>
      <c r="V30" s="2"/>
    </row>
    <row r="31" spans="1:22">
      <c r="A31" s="1"/>
      <c r="V31" s="2"/>
    </row>
    <row r="32" spans="1:22">
      <c r="A32" s="1"/>
      <c r="V32" s="2"/>
    </row>
    <row r="33" spans="1:22">
      <c r="A33" s="1"/>
      <c r="V33" s="2"/>
    </row>
    <row r="34" spans="1:22">
      <c r="A34" s="1"/>
      <c r="V34" s="2"/>
    </row>
    <row r="35" spans="1:22">
      <c r="A35" s="1"/>
      <c r="V35" s="2"/>
    </row>
    <row r="36" spans="1:22">
      <c r="A36" s="1"/>
      <c r="V36" s="2"/>
    </row>
    <row r="37" spans="1:22">
      <c r="A37" s="1"/>
      <c r="V37" s="2"/>
    </row>
    <row r="38" spans="1:22">
      <c r="A38" s="1"/>
      <c r="V38" s="2"/>
    </row>
    <row r="39" spans="1:22">
      <c r="A39" s="1"/>
      <c r="V39" s="2"/>
    </row>
    <row r="40" spans="1:22">
      <c r="A40" s="1"/>
      <c r="V40" s="2"/>
    </row>
    <row r="41" spans="1:22">
      <c r="A41" s="1"/>
      <c r="V41" s="2"/>
    </row>
    <row r="42" spans="1:22">
      <c r="A42" s="1"/>
      <c r="V42" s="2"/>
    </row>
    <row r="43" spans="1:22">
      <c r="A43" s="1"/>
      <c r="V43" s="2"/>
    </row>
    <row r="44" spans="1:22">
      <c r="A44" s="1"/>
      <c r="V44" s="2"/>
    </row>
    <row r="45" spans="1:22">
      <c r="A45" s="1"/>
      <c r="V45" s="2"/>
    </row>
    <row r="46" spans="1:22">
      <c r="A46" s="1"/>
      <c r="V46" s="2"/>
    </row>
    <row r="47" spans="1:22">
      <c r="A47" s="1"/>
      <c r="V47" s="2"/>
    </row>
    <row r="48" spans="1:22">
      <c r="A48" s="1"/>
      <c r="V48" s="2"/>
    </row>
    <row r="49" spans="1:22">
      <c r="A49" s="1"/>
      <c r="V49" s="2"/>
    </row>
    <row r="50" spans="1:22">
      <c r="A50" s="1"/>
      <c r="V50" s="2"/>
    </row>
    <row r="51" spans="1:22">
      <c r="A51" s="1"/>
      <c r="V51" s="2"/>
    </row>
    <row r="52" spans="1:22">
      <c r="A52" s="1"/>
      <c r="V52" s="2"/>
    </row>
    <row r="53" spans="1:22">
      <c r="A53" s="1"/>
      <c r="V53" s="2"/>
    </row>
    <row r="54" spans="1:22">
      <c r="A54" s="1"/>
      <c r="V54" s="2"/>
    </row>
    <row r="55" spans="1:22">
      <c r="A55" s="1"/>
      <c r="V55" s="2"/>
    </row>
    <row r="56" spans="1:22">
      <c r="A56" s="1"/>
      <c r="V56" s="2"/>
    </row>
    <row r="57" spans="1:22">
      <c r="A57" s="1"/>
      <c r="V57" s="2"/>
    </row>
    <row r="58" spans="1:22">
      <c r="A58" s="1"/>
      <c r="V58" s="2"/>
    </row>
    <row r="59" spans="1:22">
      <c r="A59" s="1"/>
      <c r="V59" s="2"/>
    </row>
    <row r="60" spans="1:22">
      <c r="A60" s="1"/>
      <c r="V60" s="2"/>
    </row>
    <row r="61" spans="1:22">
      <c r="A61" s="1"/>
      <c r="V61" s="2"/>
    </row>
    <row r="62" spans="1:22">
      <c r="A62" s="1"/>
      <c r="V62" s="2"/>
    </row>
    <row r="63" spans="1:22">
      <c r="A63" s="1"/>
      <c r="V63" s="2"/>
    </row>
    <row r="64" spans="1:2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676514-3F53-4B29-AC5A-AF4C0DD9F440}"/>
</file>

<file path=customXml/itemProps2.xml><?xml version="1.0" encoding="utf-8"?>
<ds:datastoreItem xmlns:ds="http://schemas.openxmlformats.org/officeDocument/2006/customXml" ds:itemID="{8B275258-B53D-40F5-8482-38306731F020}"/>
</file>

<file path=customXml/itemProps3.xml><?xml version="1.0" encoding="utf-8"?>
<ds:datastoreItem xmlns:ds="http://schemas.openxmlformats.org/officeDocument/2006/customXml" ds:itemID="{24144944-EDA7-4ADB-8F0F-0690733CC5D6}"/>
</file>

<file path=customXml/itemProps4.xml><?xml version="1.0" encoding="utf-8"?>
<ds:datastoreItem xmlns:ds="http://schemas.openxmlformats.org/officeDocument/2006/customXml" ds:itemID="{AECC37C5-D190-4625-8019-D91785F25A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2024-09-16T15:21:55Z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