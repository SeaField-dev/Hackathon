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viljoen_openboxsoftware_com/Documents/Documents/Time Reports/"/>
    </mc:Choice>
  </mc:AlternateContent>
  <xr:revisionPtr revIDLastSave="25" documentId="8_{167E9527-0BDB-4F80-917D-937C202D374A}" xr6:coauthVersionLast="47" xr6:coauthVersionMax="47" xr10:uidLastSave="{57412F9F-9AFB-4322-A48C-715AD0A8B4A1}"/>
  <bookViews>
    <workbookView xWindow="28680" yWindow="-2040" windowWidth="29040" windowHeight="15720" xr2:uid="{00000000-000D-0000-FFFF-FFFF00000000}"/>
  </bookViews>
  <sheets>
    <sheet name="Pivot" sheetId="2" r:id="rId1"/>
    <sheet name="Project Timesheets" sheetId="1" r:id="rId2"/>
  </sheets>
  <calcPr calcId="191028"/>
  <pivotCaches>
    <pivotCache cacheId="5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" i="1" l="1"/>
  <c r="AF14" i="1"/>
  <c r="AE15" i="1"/>
  <c r="AF15" i="1" s="1"/>
  <c r="AE16" i="1"/>
  <c r="AF16" i="1"/>
  <c r="AE17" i="1"/>
  <c r="AF17" i="1"/>
  <c r="AE18" i="1"/>
  <c r="AF18" i="1"/>
  <c r="AE19" i="1"/>
  <c r="AF19" i="1" s="1"/>
  <c r="AE20" i="1"/>
  <c r="AF20" i="1"/>
  <c r="AE21" i="1"/>
  <c r="AF21" i="1" s="1"/>
  <c r="AE22" i="1"/>
  <c r="AF22" i="1"/>
  <c r="AE23" i="1"/>
  <c r="AF23" i="1" s="1"/>
  <c r="AE24" i="1"/>
  <c r="AF24" i="1"/>
  <c r="AE3" i="1"/>
  <c r="AF3" i="1"/>
  <c r="AE4" i="1"/>
  <c r="AF4" i="1" s="1"/>
  <c r="AE5" i="1"/>
  <c r="AF5" i="1"/>
  <c r="AE6" i="1"/>
  <c r="AF6" i="1" s="1"/>
  <c r="AE7" i="1"/>
  <c r="AF7" i="1" s="1"/>
  <c r="AE8" i="1"/>
  <c r="AF8" i="1"/>
  <c r="AE9" i="1"/>
  <c r="AF9" i="1" s="1"/>
  <c r="AE10" i="1"/>
  <c r="AF10" i="1" s="1"/>
  <c r="AE11" i="1"/>
  <c r="AF11" i="1" s="1"/>
  <c r="AE12" i="1"/>
  <c r="AF12" i="1"/>
  <c r="AE13" i="1"/>
  <c r="AF13" i="1"/>
  <c r="AE2" i="1"/>
  <c r="AF2" i="1" s="1"/>
</calcChain>
</file>

<file path=xl/sharedStrings.xml><?xml version="1.0" encoding="utf-8"?>
<sst xmlns="http://schemas.openxmlformats.org/spreadsheetml/2006/main" count="553" uniqueCount="89">
  <si>
    <t>Month</t>
  </si>
  <si>
    <t>(All)</t>
  </si>
  <si>
    <t>&lt;- Filter By Month</t>
  </si>
  <si>
    <r>
      <t>Project Phases</t>
    </r>
    <r>
      <rPr>
        <sz val="9"/>
        <color rgb="FFFFFFFF"/>
        <rFont val="Verdana"/>
        <family val="2"/>
      </rPr>
      <t> </t>
    </r>
  </si>
  <si>
    <t>Duration</t>
  </si>
  <si>
    <t>Lower Bound</t>
  </si>
  <si>
    <t>Upper Bound</t>
  </si>
  <si>
    <t>Billable Timecode</t>
  </si>
  <si>
    <t>Billable timecode</t>
  </si>
  <si>
    <t>Sprint 0 </t>
  </si>
  <si>
    <t>2-3 weeks </t>
  </si>
  <si>
    <t xml:space="preserve">£6,000 </t>
  </si>
  <si>
    <t xml:space="preserve"> £9,000 </t>
  </si>
  <si>
    <t>Sprint 1 - 2</t>
  </si>
  <si>
    <t>3-6 weeks</t>
  </si>
  <si>
    <t xml:space="preserve">£23,400 </t>
  </si>
  <si>
    <t xml:space="preserve"> £46,800 </t>
  </si>
  <si>
    <t>Sum of Hours</t>
  </si>
  <si>
    <t>Column Labels</t>
  </si>
  <si>
    <t>UAT </t>
  </si>
  <si>
    <t>2 weeks </t>
  </si>
  <si>
    <t xml:space="preserve">£3,600 </t>
  </si>
  <si>
    <t xml:space="preserve"> £3,600 </t>
  </si>
  <si>
    <t>Row Labels</t>
  </si>
  <si>
    <t>Delivery</t>
  </si>
  <si>
    <t>Grand Total</t>
  </si>
  <si>
    <t>Production Deployment &amp; Post Go-Live Support </t>
  </si>
  <si>
    <t>Sam Duncan</t>
  </si>
  <si>
    <t>User guide creation</t>
  </si>
  <si>
    <t>Done in parallel with sprints </t>
  </si>
  <si>
    <t xml:space="preserve">£3,150 </t>
  </si>
  <si>
    <t xml:space="preserve"> £3,150 </t>
  </si>
  <si>
    <t>Nikki Papenfus</t>
  </si>
  <si>
    <t>Total</t>
  </si>
  <si>
    <t>9 -13 weeks</t>
  </si>
  <si>
    <t xml:space="preserve">£39,750 </t>
  </si>
  <si>
    <t xml:space="preserve"> £66,150 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</si>
  <si>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</si>
  <si>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</si>
  <si>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</si>
  <si>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</si>
  <si>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</si>
  <si>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</si>
  <si>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</si>
  <si>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</si>
  <si>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</si>
  <si>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</si>
  <si>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</si>
  <si>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</si>
  <si>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</si>
  <si>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</si>
  <si>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</si>
  <si>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</si>
  <si>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</si>
  <si>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</si>
  <si>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</si>
  <si>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Hours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</si>
  <si>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</si>
  <si>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</si>
  <si>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</si>
  <si>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</si>
  <si>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</si>
  <si>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</si>
  <si>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</si>
  <si>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</si>
  <si>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</si>
  <si>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</si>
  <si>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Jacob Smycz</t>
  </si>
  <si>
    <t>Salaried / Fixed</t>
  </si>
  <si>
    <t>Open Box Software (Pty) Ltd (Open Box SA)</t>
  </si>
  <si>
    <t>Salesforce</t>
  </si>
  <si>
    <t>SA</t>
  </si>
  <si>
    <t>Grainger PLC</t>
  </si>
  <si>
    <t>OB-000720</t>
  </si>
  <si>
    <t>Right to Rent - Sprint 0 (T&amp;M)</t>
  </si>
  <si>
    <t>Billable</t>
  </si>
  <si>
    <t>Shaun Barrett</t>
  </si>
  <si>
    <t>Sprint 0</t>
  </si>
  <si>
    <t>Delivery (Non-Billable)</t>
  </si>
  <si>
    <t>Non-billable timecode</t>
  </si>
  <si>
    <t>Standard Timecode</t>
  </si>
  <si>
    <t>GBP</t>
  </si>
  <si>
    <t>Reviewed</t>
  </si>
  <si>
    <t>Kick off Meeting</t>
  </si>
  <si>
    <t>Not submitted</t>
  </si>
  <si>
    <t xml:space="preserve"> </t>
  </si>
  <si>
    <t>Custom Software</t>
  </si>
  <si>
    <t>Andrew Pollock</t>
  </si>
  <si>
    <t>Kickoff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</si>
</sst>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9"/>
      <color rgb="FFFFFFFF"/>
      <name val="Verdana"/>
      <family val="2"/>
    </font>
    <font>
      <sz val="9"/>
      <color rgb="FFFFFFFF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b/>
      <sz val="12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33" borderId="0" xfId="0" applyFont="1" applyFill="1"/>
    <xf numFmtId="0" fontId="14" fillId="0" borderId="0" xfId="0" applyFont="1"/>
    <xf numFmtId="0" fontId="19" fillId="0" borderId="0" xfId="0" applyFont="1"/>
    <xf numFmtId="164" fontId="0" fillId="0" borderId="0" xfId="0" applyNumberFormat="1"/>
    <xf numFmtId="0" fontId="20" fillId="0" borderId="10" xfId="0" applyFont="1" applyBorder="1"/>
    <xf numFmtId="0" fontId="21" fillId="0" borderId="0" xfId="0" applyFont="1"/>
    <xf numFmtId="0" fontId="23" fillId="0" borderId="0" xfId="0" applyFont="1"/>
    <xf numFmtId="0" fontId="24" fillId="0" borderId="10" xfId="0" applyFont="1" applyBorder="1"/>
    <xf numFmtId="0" fontId="25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58.588981597219" createdVersion="8" refreshedVersion="8" minRefreshableVersion="3" recordCount="23" xr:uid="{BF8124F0-810E-495D-B002-21DBE5056883}">
  <cacheSource type="worksheet">
    <worksheetSource ref="A1:AF24" sheet="Project Timesheets"/>
  </cacheSource>
  <cacheFields count="32">
    <cacheField name="Date" numFmtId="15">
      <sharedItems containsSemiMixedTypes="0" containsNonDate="0" containsDate="1" containsString="0" minDate="2024-09-09T00:00:00" maxDate="2024-09-21T00:00:00"/>
    </cacheField>
    <cacheField name="Person" numFmtId="0">
      <sharedItems count="4">
        <s v="Jacob Smycz"/>
        <s v="Nikki Papenfus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95307" maxValue="300229"/>
    </cacheField>
    <cacheField name="Timecode Name" numFmtId="0">
      <sharedItems count="2">
        <s v="Delivery (Non-Billable)"/>
        <s v="Delivery"/>
      </sharedItems>
    </cacheField>
    <cacheField name="Billable Timecode" numFmtId="0">
      <sharedItems count="2">
        <s v="Non-billable timecode"/>
        <s v="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SemiMixedTypes="0" containsString="0" containsNumber="1" minValue="0.25" maxValue="7"/>
    </cacheField>
    <cacheField name="Time" numFmtId="20">
      <sharedItems containsSemiMixedTypes="0" containsNonDate="0" containsDate="1" containsString="0" minDate="1899-12-30T00:15:00" maxDate="1899-12-30T07:00:00"/>
    </cacheField>
    <cacheField name="Worked Amount" numFmtId="0">
      <sharedItems containsSemiMixedTypes="0" containsString="0" containsNumber="1" minValue="0" maxValue="630"/>
    </cacheField>
    <cacheField name="Invoiced Amount" numFmtId="0">
      <sharedItems containsNonDate="0" containsString="0" containsBlank="1"/>
    </cacheField>
    <cacheField name="Invoiced Delta" numFmtId="0">
      <sharedItems containsNonDate="0" containsString="0" containsBlank="1"/>
    </cacheField>
    <cacheField name="Invoice #" numFmtId="0">
      <sharedItems containsNonDate="0" containsString="0"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9" maxValue="9"/>
    </cacheField>
    <cacheField name="Month" numFmtId="0">
      <sharedItems count="1">
        <s v="Septemb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d v="2024-09-10T00:00:00"/>
    <x v="0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5597"/>
    <x v="0"/>
    <x v="0"/>
    <s v="Standard Timecode"/>
    <n v="0"/>
    <n v="1"/>
    <d v="1899-12-30T01:00:00"/>
    <n v="0"/>
    <m/>
    <m/>
    <m/>
    <s v="GBP"/>
    <s v="Reviewed"/>
    <s v="Kick off Meeting"/>
    <s v="Not submitted"/>
    <n v="9"/>
    <x v="0"/>
  </r>
  <r>
    <d v="2024-09-12T00:00:00"/>
    <x v="0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296751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20T00:00:00"/>
    <x v="0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Sam Duncan"/>
    <s v="Sprint 0"/>
    <n v="300039"/>
    <x v="0"/>
    <x v="0"/>
    <s v="Standard Timecode"/>
    <n v="0"/>
    <n v="1"/>
    <d v="1899-12-30T01:00:00"/>
    <n v="0"/>
    <m/>
    <m/>
    <m/>
    <s v="GBP"/>
    <m/>
    <s v=" "/>
    <s v="Not submitted"/>
    <n v="9"/>
    <x v="0"/>
  </r>
  <r>
    <d v="2024-09-09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307"/>
    <x v="1"/>
    <x v="1"/>
    <s v="Standard Timecode"/>
    <n v="90"/>
    <n v="2.25"/>
    <d v="1899-12-30T02:15:00"/>
    <n v="202.5"/>
    <m/>
    <m/>
    <m/>
    <s v="GBP"/>
    <s v="Reviewed"/>
    <s v=" "/>
    <s v="Not submitted"/>
    <n v="9"/>
    <x v="0"/>
  </r>
  <r>
    <d v="2024-09-10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5796"/>
    <x v="1"/>
    <x v="1"/>
    <s v="Standard Timecode"/>
    <n v="90"/>
    <n v="1.25"/>
    <d v="1899-12-30T01:15:00"/>
    <n v="112.5"/>
    <m/>
    <m/>
    <m/>
    <s v="GBP"/>
    <s v="Reviewed"/>
    <s v=" "/>
    <s v="Not submitted"/>
    <n v="9"/>
    <x v="0"/>
  </r>
  <r>
    <d v="2024-09-11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231"/>
    <x v="1"/>
    <x v="1"/>
    <s v="Standard Timecode"/>
    <n v="90"/>
    <n v="0.25"/>
    <d v="1899-12-30T00:15:00"/>
    <n v="22.5"/>
    <m/>
    <m/>
    <m/>
    <s v="GBP"/>
    <s v="Reviewed"/>
    <s v=" "/>
    <s v="Not submitted"/>
    <n v="9"/>
    <x v="0"/>
  </r>
  <r>
    <d v="2024-09-12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6762"/>
    <x v="1"/>
    <x v="1"/>
    <s v="Standard Timecode"/>
    <n v="90"/>
    <n v="4.75"/>
    <d v="1899-12-30T04:45:00"/>
    <n v="427.5"/>
    <m/>
    <m/>
    <m/>
    <s v="GBP"/>
    <s v="Reviewed"/>
    <s v=" "/>
    <s v="Not submitted"/>
    <n v="9"/>
    <x v="0"/>
  </r>
  <r>
    <d v="2024-09-13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7337"/>
    <x v="1"/>
    <x v="1"/>
    <s v="Standard Timecode"/>
    <n v="90"/>
    <n v="2"/>
    <d v="1899-12-30T02:00:00"/>
    <n v="180"/>
    <m/>
    <m/>
    <m/>
    <s v="GBP"/>
    <s v="Reviewed"/>
    <s v=" "/>
    <s v="Not submitted"/>
    <n v="9"/>
    <x v="0"/>
  </r>
  <r>
    <d v="2024-09-16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126"/>
    <x v="1"/>
    <x v="1"/>
    <s v="Standard Timecode"/>
    <n v="90"/>
    <n v="0.25"/>
    <d v="1899-12-30T00:15:00"/>
    <n v="22.5"/>
    <m/>
    <m/>
    <m/>
    <s v="GBP"/>
    <s v="Reviewed"/>
    <s v=" "/>
    <s v="Not submitted"/>
    <n v="9"/>
    <x v="0"/>
  </r>
  <r>
    <d v="2024-09-17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8527"/>
    <x v="1"/>
    <x v="1"/>
    <s v="Standard Timecode"/>
    <n v="90"/>
    <n v="3"/>
    <d v="1899-12-30T03:00:00"/>
    <n v="270"/>
    <m/>
    <m/>
    <m/>
    <s v="GBP"/>
    <s v="Reviewed"/>
    <s v=" "/>
    <s v="Not submitted"/>
    <n v="9"/>
    <x v="0"/>
  </r>
  <r>
    <d v="2024-09-18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113"/>
    <x v="1"/>
    <x v="1"/>
    <s v="Standard Timecode"/>
    <n v="90"/>
    <n v="4"/>
    <d v="1899-12-30T04:00:00"/>
    <n v="360"/>
    <m/>
    <m/>
    <m/>
    <s v="GBP"/>
    <s v="Reviewed"/>
    <s v=" "/>
    <s v="Not submitted"/>
    <n v="9"/>
    <x v="0"/>
  </r>
  <r>
    <d v="2024-09-19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299601"/>
    <x v="1"/>
    <x v="1"/>
    <s v="Standard Timecode"/>
    <n v="90"/>
    <n v="7"/>
    <d v="1899-12-30T07:00:00"/>
    <n v="630"/>
    <m/>
    <m/>
    <m/>
    <s v="GBP"/>
    <s v="Reviewed"/>
    <s v=" "/>
    <s v="Not submitted"/>
    <n v="9"/>
    <x v="0"/>
  </r>
  <r>
    <d v="2024-09-20T00:00:00"/>
    <x v="1"/>
    <s v="Salaried / Fixed"/>
    <s v="Open Box Software (Pty) Ltd (Open Box SA)"/>
    <s v="Custom Software"/>
    <s v="SA"/>
    <s v="Grainger PLC"/>
    <s v="OB-000720"/>
    <s v="Right to Rent - Sprint 0 (T&amp;M)"/>
    <s v="Billable"/>
    <s v="Open Box Software (Pty) Ltd (Open Box SA)"/>
    <s v="Shaun Barrett"/>
    <s v="Sam Duncan"/>
    <s v="Andrew Pollock"/>
    <s v="Sprint 0"/>
    <n v="300229"/>
    <x v="1"/>
    <x v="1"/>
    <s v="Standard Timecode"/>
    <n v="90"/>
    <n v="5.75"/>
    <d v="1899-12-30T05:45:00"/>
    <n v="517.5"/>
    <m/>
    <m/>
    <m/>
    <s v="GBP"/>
    <m/>
    <s v=" "/>
    <s v="Not submitted"/>
    <n v="9"/>
    <x v="0"/>
  </r>
  <r>
    <d v="2024-09-10T00:00:00"/>
    <x v="2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512"/>
    <x v="1"/>
    <x v="1"/>
    <s v="Standard Timecode"/>
    <n v="90"/>
    <n v="1"/>
    <d v="1899-12-30T01:00:00"/>
    <n v="90"/>
    <m/>
    <m/>
    <m/>
    <s v="GBP"/>
    <s v="Reviewed"/>
    <s v="Kickoff call"/>
    <s v="Not submitted"/>
    <n v="9"/>
    <x v="0"/>
  </r>
  <r>
    <d v="2024-09-10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3"/>
    <x v="0"/>
    <x v="0"/>
    <s v="Standard Timecode"/>
    <n v="0"/>
    <n v="1.25"/>
    <d v="1899-12-30T01:15:00"/>
    <n v="0"/>
    <m/>
    <m/>
    <m/>
    <s v="GBP"/>
    <s v="Reviewed"/>
    <s v=" "/>
    <s v="Not submitted"/>
    <n v="9"/>
    <x v="0"/>
  </r>
  <r>
    <d v="2024-09-11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5852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2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013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3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7291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16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099"/>
    <x v="0"/>
    <x v="0"/>
    <s v="Standard Timecode"/>
    <n v="0"/>
    <n v="0.75"/>
    <d v="1899-12-30T00:45:00"/>
    <n v="0"/>
    <m/>
    <m/>
    <m/>
    <s v="GBP"/>
    <s v="Reviewed"/>
    <s v=" "/>
    <s v="Not submitted"/>
    <n v="9"/>
    <x v="0"/>
  </r>
  <r>
    <d v="2024-09-17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8904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8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339"/>
    <x v="0"/>
    <x v="0"/>
    <s v="Standard Timecode"/>
    <n v="0"/>
    <n v="0.5"/>
    <d v="1899-12-30T00:30:00"/>
    <n v="0"/>
    <m/>
    <m/>
    <m/>
    <s v="GBP"/>
    <s v="Reviewed"/>
    <s v=" "/>
    <s v="Not submitted"/>
    <n v="9"/>
    <x v="0"/>
  </r>
  <r>
    <d v="2024-09-19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299694"/>
    <x v="0"/>
    <x v="0"/>
    <s v="Standard Timecode"/>
    <n v="0"/>
    <n v="0.25"/>
    <d v="1899-12-30T00:15:00"/>
    <n v="0"/>
    <m/>
    <m/>
    <m/>
    <s v="GBP"/>
    <s v="Reviewed"/>
    <s v=" "/>
    <s v="Not submitted"/>
    <n v="9"/>
    <x v="0"/>
  </r>
  <r>
    <d v="2024-09-20T00:00:00"/>
    <x v="3"/>
    <s v="Salaried / Fixed"/>
    <s v="Open Box Software (Pty) Ltd (Open Box SA)"/>
    <s v="Salesforce"/>
    <s v="SA"/>
    <s v="Grainger PLC"/>
    <s v="OB-000720"/>
    <s v="Right to Rent - Sprint 0 (T&amp;M)"/>
    <s v="Billable"/>
    <s v="Open Box Software (Pty) Ltd (Open Box SA)"/>
    <s v="Shaun Barrett"/>
    <s v="Sam Duncan"/>
    <s v=" "/>
    <s v="Sprint 0"/>
    <n v="300199"/>
    <x v="0"/>
    <x v="0"/>
    <s v="Standard Timecode"/>
    <n v="0"/>
    <n v="0.25"/>
    <d v="1899-12-30T00:15:00"/>
    <n v="0"/>
    <m/>
    <m/>
    <m/>
    <s v="GBP"/>
    <m/>
    <s v=" "/>
    <s v="Not submitted"/>
    <n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3BD1F-CDEA-430B-8E59-DA716DB39C89}" name="PivotTable1" cacheId="5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8" firstHeaderRow="1" firstDataRow="2" firstDataCol="1" rowPageCount="2" colPageCount="1"/>
  <pivotFields count="32">
    <pivotField numFmtId="15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Fields count="1">
    <field x="1"/>
  </rowFields>
  <rowItems count="3">
    <i>
      <x/>
    </i>
    <i>
      <x v="3"/>
    </i>
    <i t="grand">
      <x/>
    </i>
  </rowItems>
  <colFields count="1">
    <field x="16"/>
  </colFields>
  <colItems count="2">
    <i>
      <x v="1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/>
  </sheetViews>
  <sheetFormatPr defaultRowHeight="14.45"/>
  <cols>
    <col min="1" max="1" width="16.28515625" bestFit="1" customWidth="1"/>
    <col min="2" max="2" width="18.28515625" bestFit="1" customWidth="1"/>
    <col min="3" max="3" width="11" style="8" bestFit="1" customWidth="1"/>
    <col min="4" max="4" width="16.28515625" bestFit="1" customWidth="1"/>
    <col min="5" max="6" width="10.5703125" bestFit="1" customWidth="1"/>
    <col min="7" max="7" width="12" customWidth="1"/>
    <col min="8" max="8" width="43.7109375" bestFit="1" customWidth="1"/>
    <col min="9" max="9" width="26.5703125" bestFit="1" customWidth="1"/>
    <col min="10" max="10" width="13.42578125" bestFit="1" customWidth="1"/>
    <col min="11" max="11" width="13.28515625" bestFit="1" customWidth="1"/>
  </cols>
  <sheetData>
    <row r="1" spans="1:11">
      <c r="A1" s="4" t="s">
        <v>0</v>
      </c>
      <c r="B1" t="s">
        <v>1</v>
      </c>
      <c r="D1" s="6" t="s">
        <v>2</v>
      </c>
      <c r="H1" s="11" t="s">
        <v>3</v>
      </c>
      <c r="I1" s="12" t="s">
        <v>4</v>
      </c>
      <c r="J1" s="12" t="s">
        <v>5</v>
      </c>
      <c r="K1" s="12" t="s">
        <v>6</v>
      </c>
    </row>
    <row r="2" spans="1:11">
      <c r="A2" s="4" t="s">
        <v>7</v>
      </c>
      <c r="B2" t="s">
        <v>8</v>
      </c>
      <c r="H2" s="13" t="s">
        <v>9</v>
      </c>
      <c r="I2" s="13" t="s">
        <v>10</v>
      </c>
      <c r="J2" s="13" t="s">
        <v>11</v>
      </c>
      <c r="K2" s="13" t="s">
        <v>12</v>
      </c>
    </row>
    <row r="3" spans="1:11">
      <c r="C3"/>
      <c r="G3" s="7"/>
      <c r="H3" s="13" t="s">
        <v>13</v>
      </c>
      <c r="I3" s="13" t="s">
        <v>14</v>
      </c>
      <c r="J3" s="13" t="s">
        <v>15</v>
      </c>
      <c r="K3" s="13" t="s">
        <v>16</v>
      </c>
    </row>
    <row r="4" spans="1:11">
      <c r="A4" s="4" t="s">
        <v>17</v>
      </c>
      <c r="B4" s="4" t="s">
        <v>18</v>
      </c>
      <c r="H4" s="13" t="s">
        <v>19</v>
      </c>
      <c r="I4" s="13" t="s">
        <v>20</v>
      </c>
      <c r="J4" s="13" t="s">
        <v>21</v>
      </c>
      <c r="K4" s="13" t="s">
        <v>22</v>
      </c>
    </row>
    <row r="5" spans="1:11">
      <c r="A5" s="4" t="s">
        <v>23</v>
      </c>
      <c r="B5" t="s">
        <v>24</v>
      </c>
      <c r="C5" t="s">
        <v>25</v>
      </c>
      <c r="H5" s="13" t="s">
        <v>26</v>
      </c>
      <c r="I5" s="13" t="s">
        <v>20</v>
      </c>
      <c r="J5" s="13" t="s">
        <v>21</v>
      </c>
      <c r="K5" s="13" t="s">
        <v>22</v>
      </c>
    </row>
    <row r="6" spans="1:11">
      <c r="A6" s="5" t="s">
        <v>27</v>
      </c>
      <c r="B6" s="9">
        <v>1</v>
      </c>
      <c r="C6" s="9">
        <v>1</v>
      </c>
      <c r="H6" s="13" t="s">
        <v>28</v>
      </c>
      <c r="I6" s="13" t="s">
        <v>29</v>
      </c>
      <c r="J6" s="13" t="s">
        <v>30</v>
      </c>
      <c r="K6" s="13" t="s">
        <v>31</v>
      </c>
    </row>
    <row r="7" spans="1:11" ht="15.6">
      <c r="A7" s="5" t="s">
        <v>32</v>
      </c>
      <c r="B7" s="9">
        <v>30.5</v>
      </c>
      <c r="C7" s="9">
        <v>30.5</v>
      </c>
      <c r="H7" s="10"/>
      <c r="I7" s="10"/>
      <c r="J7" s="10"/>
      <c r="K7" s="10"/>
    </row>
    <row r="8" spans="1:11" ht="16.149999999999999" thickBot="1">
      <c r="A8" s="5" t="s">
        <v>25</v>
      </c>
      <c r="B8" s="9">
        <v>31.5</v>
      </c>
      <c r="C8" s="9">
        <v>31.5</v>
      </c>
      <c r="H8" s="14" t="s">
        <v>33</v>
      </c>
      <c r="I8" s="14" t="s">
        <v>34</v>
      </c>
      <c r="J8" s="14" t="s">
        <v>35</v>
      </c>
      <c r="K8" s="14" t="s">
        <v>36</v>
      </c>
    </row>
    <row r="9" spans="1:11" ht="15" thickTop="1">
      <c r="C9"/>
    </row>
    <row r="10" spans="1:11">
      <c r="C10"/>
    </row>
    <row r="11" spans="1:11">
      <c r="C11"/>
    </row>
    <row r="12" spans="1:11">
      <c r="C12"/>
    </row>
    <row r="13" spans="1:11">
      <c r="C13"/>
    </row>
    <row r="14" spans="1:11">
      <c r="C14"/>
    </row>
    <row r="15" spans="1:11">
      <c r="C15"/>
    </row>
    <row r="16" spans="1:11">
      <c r="C16"/>
    </row>
    <row r="17" spans="3:3">
      <c r="C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N1" workbookViewId="0">
      <pane ySplit="1" topLeftCell="A2" activePane="bottomLeft" state="frozen"/>
      <selection pane="bottomLeft"/>
    </sheetView>
  </sheetViews>
  <sheetFormatPr defaultRowHeight="14.45"/>
  <cols>
    <col min="1" max="1" width="9.28515625" bestFit="1" customWidth="1"/>
    <col min="2" max="2" width="14" bestFit="1" customWidth="1"/>
    <col min="3" max="3" width="14.42578125" bestFit="1" customWidth="1"/>
    <col min="4" max="4" width="37.28515625" bestFit="1" customWidth="1"/>
    <col min="5" max="5" width="15.42578125" bestFit="1" customWidth="1"/>
    <col min="6" max="6" width="14.85546875" bestFit="1" customWidth="1"/>
    <col min="7" max="7" width="14.7109375" bestFit="1" customWidth="1"/>
    <col min="8" max="8" width="14.42578125" bestFit="1" customWidth="1"/>
    <col min="9" max="9" width="25.5703125" bestFit="1" customWidth="1"/>
    <col min="10" max="10" width="11.28515625" bestFit="1" customWidth="1"/>
    <col min="11" max="11" width="37.28515625" bestFit="1" customWidth="1"/>
    <col min="12" max="12" width="15" bestFit="1" customWidth="1"/>
    <col min="13" max="13" width="16" bestFit="1" customWidth="1"/>
    <col min="14" max="14" width="14.28515625" bestFit="1" customWidth="1"/>
    <col min="15" max="15" width="12.28515625" bestFit="1" customWidth="1"/>
    <col min="16" max="16" width="11.85546875" bestFit="1" customWidth="1"/>
    <col min="17" max="17" width="20.5703125" bestFit="1" customWidth="1"/>
    <col min="18" max="18" width="20.42578125" bestFit="1" customWidth="1"/>
    <col min="19" max="19" width="17.7109375" bestFit="1" customWidth="1"/>
    <col min="20" max="20" width="13.5703125" bestFit="1" customWidth="1"/>
    <col min="21" max="21" width="6.140625" bestFit="1" customWidth="1"/>
    <col min="22" max="22" width="5.5703125" bestFit="1" customWidth="1"/>
    <col min="23" max="23" width="14.7109375" bestFit="1" customWidth="1"/>
    <col min="24" max="24" width="15.42578125" bestFit="1" customWidth="1"/>
    <col min="25" max="25" width="13.28515625" bestFit="1" customWidth="1"/>
    <col min="26" max="27" width="8.42578125" bestFit="1" customWidth="1"/>
    <col min="28" max="28" width="14.7109375" bestFit="1" customWidth="1"/>
    <col min="29" max="29" width="14.42578125" bestFit="1" customWidth="1"/>
    <col min="30" max="30" width="15.5703125" bestFit="1" customWidth="1"/>
    <col min="31" max="31" width="6.7109375" bestFit="1" customWidth="1"/>
    <col min="32" max="32" width="10" bestFit="1" customWidth="1"/>
  </cols>
  <sheetData>
    <row r="1" spans="1:32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7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s="3" t="s">
        <v>66</v>
      </c>
      <c r="AF1" s="3" t="s">
        <v>0</v>
      </c>
    </row>
    <row r="2" spans="1:32">
      <c r="A2" s="1">
        <v>45545</v>
      </c>
      <c r="B2" t="s">
        <v>67</v>
      </c>
      <c r="C2" t="s">
        <v>68</v>
      </c>
      <c r="D2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74</v>
      </c>
      <c r="J2" t="s">
        <v>75</v>
      </c>
      <c r="K2" t="s">
        <v>69</v>
      </c>
      <c r="L2" t="s">
        <v>76</v>
      </c>
      <c r="M2" t="s">
        <v>27</v>
      </c>
      <c r="N2" t="s">
        <v>27</v>
      </c>
      <c r="O2" t="s">
        <v>77</v>
      </c>
      <c r="P2">
        <v>295597</v>
      </c>
      <c r="Q2" t="s">
        <v>78</v>
      </c>
      <c r="R2" t="s">
        <v>79</v>
      </c>
      <c r="S2" t="s">
        <v>80</v>
      </c>
      <c r="T2">
        <v>0</v>
      </c>
      <c r="U2">
        <v>1</v>
      </c>
      <c r="V2" s="2">
        <v>4.1666666666666664E-2</v>
      </c>
      <c r="W2">
        <v>0</v>
      </c>
      <c r="AA2" t="s">
        <v>81</v>
      </c>
      <c r="AB2" t="s">
        <v>82</v>
      </c>
      <c r="AC2" t="s">
        <v>83</v>
      </c>
      <c r="AD2" t="s">
        <v>84</v>
      </c>
      <c r="AE2">
        <f>MONTH(A2)</f>
        <v>9</v>
      </c>
      <c r="AF2" t="str">
        <f>IF(AE2=7,"July",IF(AE2=8,"August",IF(AE2=9,"September",IF(AE2=10,"October",IF(AE2=11,"November")))))</f>
        <v>September</v>
      </c>
    </row>
    <row r="3" spans="1:32">
      <c r="A3" s="1">
        <v>45547</v>
      </c>
      <c r="B3" t="s">
        <v>67</v>
      </c>
      <c r="C3" t="s">
        <v>68</v>
      </c>
      <c r="D3" t="s">
        <v>69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69</v>
      </c>
      <c r="L3" t="s">
        <v>76</v>
      </c>
      <c r="M3" t="s">
        <v>27</v>
      </c>
      <c r="N3" t="s">
        <v>27</v>
      </c>
      <c r="O3" t="s">
        <v>77</v>
      </c>
      <c r="P3">
        <v>296751</v>
      </c>
      <c r="Q3" t="s">
        <v>78</v>
      </c>
      <c r="R3" t="s">
        <v>79</v>
      </c>
      <c r="S3" t="s">
        <v>80</v>
      </c>
      <c r="T3">
        <v>0</v>
      </c>
      <c r="U3">
        <v>0.5</v>
      </c>
      <c r="V3" s="2">
        <v>2.0833333333333332E-2</v>
      </c>
      <c r="W3">
        <v>0</v>
      </c>
      <c r="AA3" t="s">
        <v>81</v>
      </c>
      <c r="AB3" t="s">
        <v>82</v>
      </c>
      <c r="AC3" t="s">
        <v>85</v>
      </c>
      <c r="AD3" t="s">
        <v>84</v>
      </c>
      <c r="AE3">
        <f t="shared" ref="AE3:AE13" si="0">MONTH(A3)</f>
        <v>9</v>
      </c>
      <c r="AF3" t="str">
        <f t="shared" ref="AF3:AF13" si="1">IF(AE3=7,"July",IF(AE3=8,"August",IF(AE3=9,"September",IF(AE3=10,"October",IF(AE3=11,"November")))))</f>
        <v>September</v>
      </c>
    </row>
    <row r="4" spans="1:32">
      <c r="A4" s="1">
        <v>45555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69</v>
      </c>
      <c r="L4" t="s">
        <v>76</v>
      </c>
      <c r="M4" t="s">
        <v>27</v>
      </c>
      <c r="N4" t="s">
        <v>27</v>
      </c>
      <c r="O4" t="s">
        <v>77</v>
      </c>
      <c r="P4">
        <v>300039</v>
      </c>
      <c r="Q4" t="s">
        <v>78</v>
      </c>
      <c r="R4" t="s">
        <v>79</v>
      </c>
      <c r="S4" t="s">
        <v>80</v>
      </c>
      <c r="T4">
        <v>0</v>
      </c>
      <c r="U4">
        <v>1</v>
      </c>
      <c r="V4" s="2">
        <v>4.1666666666666664E-2</v>
      </c>
      <c r="W4">
        <v>0</v>
      </c>
      <c r="AA4" t="s">
        <v>81</v>
      </c>
      <c r="AC4" t="s">
        <v>85</v>
      </c>
      <c r="AD4" t="s">
        <v>84</v>
      </c>
      <c r="AE4">
        <f t="shared" si="0"/>
        <v>9</v>
      </c>
      <c r="AF4" t="str">
        <f t="shared" si="1"/>
        <v>September</v>
      </c>
    </row>
    <row r="5" spans="1:32">
      <c r="A5" s="1">
        <v>45544</v>
      </c>
      <c r="B5" t="s">
        <v>32</v>
      </c>
      <c r="C5" t="s">
        <v>68</v>
      </c>
      <c r="D5" t="s">
        <v>69</v>
      </c>
      <c r="E5" t="s">
        <v>86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69</v>
      </c>
      <c r="L5" t="s">
        <v>76</v>
      </c>
      <c r="M5" t="s">
        <v>27</v>
      </c>
      <c r="N5" t="s">
        <v>87</v>
      </c>
      <c r="O5" t="s">
        <v>77</v>
      </c>
      <c r="P5">
        <v>295307</v>
      </c>
      <c r="Q5" t="s">
        <v>24</v>
      </c>
      <c r="R5" t="s">
        <v>8</v>
      </c>
      <c r="S5" t="s">
        <v>80</v>
      </c>
      <c r="T5">
        <v>90</v>
      </c>
      <c r="U5">
        <v>2.25</v>
      </c>
      <c r="V5" s="2">
        <v>9.375E-2</v>
      </c>
      <c r="W5">
        <v>202.5</v>
      </c>
      <c r="AA5" t="s">
        <v>81</v>
      </c>
      <c r="AB5" t="s">
        <v>82</v>
      </c>
      <c r="AC5" t="s">
        <v>85</v>
      </c>
      <c r="AD5" t="s">
        <v>84</v>
      </c>
      <c r="AE5">
        <f t="shared" si="0"/>
        <v>9</v>
      </c>
      <c r="AF5" t="str">
        <f t="shared" si="1"/>
        <v>September</v>
      </c>
    </row>
    <row r="6" spans="1:32">
      <c r="A6" s="1">
        <v>45545</v>
      </c>
      <c r="B6" t="s">
        <v>32</v>
      </c>
      <c r="C6" t="s">
        <v>68</v>
      </c>
      <c r="D6" t="s">
        <v>69</v>
      </c>
      <c r="E6" t="s">
        <v>86</v>
      </c>
      <c r="F6" t="s">
        <v>71</v>
      </c>
      <c r="G6" t="s">
        <v>72</v>
      </c>
      <c r="H6" t="s">
        <v>73</v>
      </c>
      <c r="I6" t="s">
        <v>74</v>
      </c>
      <c r="J6" t="s">
        <v>75</v>
      </c>
      <c r="K6" t="s">
        <v>69</v>
      </c>
      <c r="L6" t="s">
        <v>76</v>
      </c>
      <c r="M6" t="s">
        <v>27</v>
      </c>
      <c r="N6" t="s">
        <v>87</v>
      </c>
      <c r="O6" t="s">
        <v>77</v>
      </c>
      <c r="P6">
        <v>295796</v>
      </c>
      <c r="Q6" t="s">
        <v>24</v>
      </c>
      <c r="R6" t="s">
        <v>8</v>
      </c>
      <c r="S6" t="s">
        <v>80</v>
      </c>
      <c r="T6">
        <v>90</v>
      </c>
      <c r="U6">
        <v>1.25</v>
      </c>
      <c r="V6" s="2">
        <v>5.2083333333333336E-2</v>
      </c>
      <c r="W6">
        <v>112.5</v>
      </c>
      <c r="AA6" t="s">
        <v>81</v>
      </c>
      <c r="AB6" t="s">
        <v>82</v>
      </c>
      <c r="AC6" t="s">
        <v>85</v>
      </c>
      <c r="AD6" t="s">
        <v>84</v>
      </c>
      <c r="AE6">
        <f t="shared" si="0"/>
        <v>9</v>
      </c>
      <c r="AF6" t="str">
        <f t="shared" si="1"/>
        <v>September</v>
      </c>
    </row>
    <row r="7" spans="1:32">
      <c r="A7" s="1">
        <v>45546</v>
      </c>
      <c r="B7" t="s">
        <v>32</v>
      </c>
      <c r="C7" t="s">
        <v>68</v>
      </c>
      <c r="D7" t="s">
        <v>69</v>
      </c>
      <c r="E7" t="s">
        <v>86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69</v>
      </c>
      <c r="L7" t="s">
        <v>76</v>
      </c>
      <c r="M7" t="s">
        <v>27</v>
      </c>
      <c r="N7" t="s">
        <v>87</v>
      </c>
      <c r="O7" t="s">
        <v>77</v>
      </c>
      <c r="P7">
        <v>296231</v>
      </c>
      <c r="Q7" t="s">
        <v>24</v>
      </c>
      <c r="R7" t="s">
        <v>8</v>
      </c>
      <c r="S7" t="s">
        <v>80</v>
      </c>
      <c r="T7">
        <v>90</v>
      </c>
      <c r="U7">
        <v>0.25</v>
      </c>
      <c r="V7" s="2">
        <v>1.0416666666666666E-2</v>
      </c>
      <c r="W7">
        <v>22.5</v>
      </c>
      <c r="AA7" t="s">
        <v>81</v>
      </c>
      <c r="AB7" t="s">
        <v>82</v>
      </c>
      <c r="AC7" t="s">
        <v>85</v>
      </c>
      <c r="AD7" t="s">
        <v>84</v>
      </c>
      <c r="AE7">
        <f t="shared" si="0"/>
        <v>9</v>
      </c>
      <c r="AF7" t="str">
        <f t="shared" si="1"/>
        <v>September</v>
      </c>
    </row>
    <row r="8" spans="1:32">
      <c r="A8" s="1">
        <v>45547</v>
      </c>
      <c r="B8" t="s">
        <v>32</v>
      </c>
      <c r="C8" t="s">
        <v>68</v>
      </c>
      <c r="D8" t="s">
        <v>69</v>
      </c>
      <c r="E8" t="s">
        <v>86</v>
      </c>
      <c r="F8" t="s">
        <v>71</v>
      </c>
      <c r="G8" t="s">
        <v>72</v>
      </c>
      <c r="H8" t="s">
        <v>73</v>
      </c>
      <c r="I8" t="s">
        <v>74</v>
      </c>
      <c r="J8" t="s">
        <v>75</v>
      </c>
      <c r="K8" t="s">
        <v>69</v>
      </c>
      <c r="L8" t="s">
        <v>76</v>
      </c>
      <c r="M8" t="s">
        <v>27</v>
      </c>
      <c r="N8" t="s">
        <v>87</v>
      </c>
      <c r="O8" t="s">
        <v>77</v>
      </c>
      <c r="P8">
        <v>296762</v>
      </c>
      <c r="Q8" t="s">
        <v>24</v>
      </c>
      <c r="R8" t="s">
        <v>8</v>
      </c>
      <c r="S8" t="s">
        <v>80</v>
      </c>
      <c r="T8">
        <v>90</v>
      </c>
      <c r="U8">
        <v>4.75</v>
      </c>
      <c r="V8" s="2">
        <v>0.19791666666666666</v>
      </c>
      <c r="W8">
        <v>427.5</v>
      </c>
      <c r="AA8" t="s">
        <v>81</v>
      </c>
      <c r="AB8" t="s">
        <v>82</v>
      </c>
      <c r="AC8" t="s">
        <v>85</v>
      </c>
      <c r="AD8" t="s">
        <v>84</v>
      </c>
      <c r="AE8">
        <f t="shared" si="0"/>
        <v>9</v>
      </c>
      <c r="AF8" t="str">
        <f t="shared" si="1"/>
        <v>September</v>
      </c>
    </row>
    <row r="9" spans="1:32">
      <c r="A9" s="1">
        <v>45548</v>
      </c>
      <c r="B9" t="s">
        <v>32</v>
      </c>
      <c r="C9" t="s">
        <v>68</v>
      </c>
      <c r="D9" t="s">
        <v>69</v>
      </c>
      <c r="E9" t="s">
        <v>86</v>
      </c>
      <c r="F9" t="s">
        <v>71</v>
      </c>
      <c r="G9" t="s">
        <v>72</v>
      </c>
      <c r="H9" t="s">
        <v>73</v>
      </c>
      <c r="I9" t="s">
        <v>74</v>
      </c>
      <c r="J9" t="s">
        <v>75</v>
      </c>
      <c r="K9" t="s">
        <v>69</v>
      </c>
      <c r="L9" t="s">
        <v>76</v>
      </c>
      <c r="M9" t="s">
        <v>27</v>
      </c>
      <c r="N9" t="s">
        <v>87</v>
      </c>
      <c r="O9" t="s">
        <v>77</v>
      </c>
      <c r="P9">
        <v>297337</v>
      </c>
      <c r="Q9" t="s">
        <v>24</v>
      </c>
      <c r="R9" t="s">
        <v>8</v>
      </c>
      <c r="S9" t="s">
        <v>80</v>
      </c>
      <c r="T9">
        <v>90</v>
      </c>
      <c r="U9">
        <v>2</v>
      </c>
      <c r="V9" s="2">
        <v>8.3333333333333329E-2</v>
      </c>
      <c r="W9">
        <v>180</v>
      </c>
      <c r="AA9" t="s">
        <v>81</v>
      </c>
      <c r="AB9" t="s">
        <v>82</v>
      </c>
      <c r="AC9" t="s">
        <v>85</v>
      </c>
      <c r="AD9" t="s">
        <v>84</v>
      </c>
      <c r="AE9">
        <f t="shared" si="0"/>
        <v>9</v>
      </c>
      <c r="AF9" t="str">
        <f t="shared" si="1"/>
        <v>September</v>
      </c>
    </row>
    <row r="10" spans="1:32">
      <c r="A10" s="1">
        <v>45551</v>
      </c>
      <c r="B10" t="s">
        <v>32</v>
      </c>
      <c r="C10" t="s">
        <v>68</v>
      </c>
      <c r="D10" t="s">
        <v>69</v>
      </c>
      <c r="E10" t="s">
        <v>86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69</v>
      </c>
      <c r="L10" t="s">
        <v>76</v>
      </c>
      <c r="M10" t="s">
        <v>27</v>
      </c>
      <c r="N10" t="s">
        <v>87</v>
      </c>
      <c r="O10" t="s">
        <v>77</v>
      </c>
      <c r="P10">
        <v>298126</v>
      </c>
      <c r="Q10" t="s">
        <v>24</v>
      </c>
      <c r="R10" t="s">
        <v>8</v>
      </c>
      <c r="S10" t="s">
        <v>80</v>
      </c>
      <c r="T10">
        <v>90</v>
      </c>
      <c r="U10">
        <v>0.25</v>
      </c>
      <c r="V10" s="2">
        <v>1.0416666666666666E-2</v>
      </c>
      <c r="W10">
        <v>22.5</v>
      </c>
      <c r="AA10" t="s">
        <v>81</v>
      </c>
      <c r="AB10" t="s">
        <v>82</v>
      </c>
      <c r="AC10" t="s">
        <v>85</v>
      </c>
      <c r="AD10" t="s">
        <v>84</v>
      </c>
      <c r="AE10">
        <f t="shared" si="0"/>
        <v>9</v>
      </c>
      <c r="AF10" t="str">
        <f t="shared" si="1"/>
        <v>September</v>
      </c>
    </row>
    <row r="11" spans="1:32">
      <c r="A11" s="1">
        <v>45552</v>
      </c>
      <c r="B11" t="s">
        <v>32</v>
      </c>
      <c r="C11" t="s">
        <v>68</v>
      </c>
      <c r="D11" t="s">
        <v>69</v>
      </c>
      <c r="E11" t="s">
        <v>86</v>
      </c>
      <c r="F11" t="s">
        <v>71</v>
      </c>
      <c r="G11" t="s">
        <v>72</v>
      </c>
      <c r="H11" t="s">
        <v>73</v>
      </c>
      <c r="I11" t="s">
        <v>74</v>
      </c>
      <c r="J11" t="s">
        <v>75</v>
      </c>
      <c r="K11" t="s">
        <v>69</v>
      </c>
      <c r="L11" t="s">
        <v>76</v>
      </c>
      <c r="M11" t="s">
        <v>27</v>
      </c>
      <c r="N11" t="s">
        <v>87</v>
      </c>
      <c r="O11" t="s">
        <v>77</v>
      </c>
      <c r="P11">
        <v>298527</v>
      </c>
      <c r="Q11" t="s">
        <v>24</v>
      </c>
      <c r="R11" t="s">
        <v>8</v>
      </c>
      <c r="S11" t="s">
        <v>80</v>
      </c>
      <c r="T11">
        <v>90</v>
      </c>
      <c r="U11">
        <v>3</v>
      </c>
      <c r="V11" s="2">
        <v>0.125</v>
      </c>
      <c r="W11">
        <v>270</v>
      </c>
      <c r="AA11" t="s">
        <v>81</v>
      </c>
      <c r="AB11" t="s">
        <v>82</v>
      </c>
      <c r="AC11" t="s">
        <v>85</v>
      </c>
      <c r="AD11" t="s">
        <v>84</v>
      </c>
      <c r="AE11">
        <f t="shared" si="0"/>
        <v>9</v>
      </c>
      <c r="AF11" t="str">
        <f t="shared" si="1"/>
        <v>September</v>
      </c>
    </row>
    <row r="12" spans="1:32">
      <c r="A12" s="1">
        <v>45553</v>
      </c>
      <c r="B12" t="s">
        <v>32</v>
      </c>
      <c r="C12" t="s">
        <v>68</v>
      </c>
      <c r="D12" t="s">
        <v>69</v>
      </c>
      <c r="E12" t="s">
        <v>86</v>
      </c>
      <c r="F12" t="s">
        <v>71</v>
      </c>
      <c r="G12" t="s">
        <v>72</v>
      </c>
      <c r="H12" t="s">
        <v>73</v>
      </c>
      <c r="I12" t="s">
        <v>74</v>
      </c>
      <c r="J12" t="s">
        <v>75</v>
      </c>
      <c r="K12" t="s">
        <v>69</v>
      </c>
      <c r="L12" t="s">
        <v>76</v>
      </c>
      <c r="M12" t="s">
        <v>27</v>
      </c>
      <c r="N12" t="s">
        <v>87</v>
      </c>
      <c r="O12" t="s">
        <v>77</v>
      </c>
      <c r="P12">
        <v>299113</v>
      </c>
      <c r="Q12" t="s">
        <v>24</v>
      </c>
      <c r="R12" t="s">
        <v>8</v>
      </c>
      <c r="S12" t="s">
        <v>80</v>
      </c>
      <c r="T12">
        <v>90</v>
      </c>
      <c r="U12">
        <v>4</v>
      </c>
      <c r="V12" s="2">
        <v>0.16666666666666666</v>
      </c>
      <c r="W12">
        <v>360</v>
      </c>
      <c r="AA12" t="s">
        <v>81</v>
      </c>
      <c r="AB12" t="s">
        <v>82</v>
      </c>
      <c r="AC12" t="s">
        <v>85</v>
      </c>
      <c r="AD12" t="s">
        <v>84</v>
      </c>
      <c r="AE12">
        <f t="shared" si="0"/>
        <v>9</v>
      </c>
      <c r="AF12" t="str">
        <f t="shared" si="1"/>
        <v>September</v>
      </c>
    </row>
    <row r="13" spans="1:32">
      <c r="A13" s="1">
        <v>45554</v>
      </c>
      <c r="B13" t="s">
        <v>32</v>
      </c>
      <c r="C13" t="s">
        <v>68</v>
      </c>
      <c r="D13" t="s">
        <v>69</v>
      </c>
      <c r="E13" t="s">
        <v>86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69</v>
      </c>
      <c r="L13" t="s">
        <v>76</v>
      </c>
      <c r="M13" t="s">
        <v>27</v>
      </c>
      <c r="N13" t="s">
        <v>87</v>
      </c>
      <c r="O13" t="s">
        <v>77</v>
      </c>
      <c r="P13">
        <v>299601</v>
      </c>
      <c r="Q13" t="s">
        <v>24</v>
      </c>
      <c r="R13" t="s">
        <v>8</v>
      </c>
      <c r="S13" t="s">
        <v>80</v>
      </c>
      <c r="T13">
        <v>90</v>
      </c>
      <c r="U13">
        <v>7</v>
      </c>
      <c r="V13" s="2">
        <v>0.29166666666666669</v>
      </c>
      <c r="W13">
        <v>630</v>
      </c>
      <c r="AA13" t="s">
        <v>81</v>
      </c>
      <c r="AB13" t="s">
        <v>82</v>
      </c>
      <c r="AC13" t="s">
        <v>85</v>
      </c>
      <c r="AD13" t="s">
        <v>84</v>
      </c>
      <c r="AE13">
        <f t="shared" si="0"/>
        <v>9</v>
      </c>
      <c r="AF13" t="str">
        <f t="shared" si="1"/>
        <v>September</v>
      </c>
    </row>
    <row r="14" spans="1:32">
      <c r="A14" s="1">
        <v>45555</v>
      </c>
      <c r="B14" t="s">
        <v>32</v>
      </c>
      <c r="C14" t="s">
        <v>68</v>
      </c>
      <c r="D14" t="s">
        <v>69</v>
      </c>
      <c r="E14" t="s">
        <v>86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69</v>
      </c>
      <c r="L14" t="s">
        <v>76</v>
      </c>
      <c r="M14" t="s">
        <v>27</v>
      </c>
      <c r="N14" t="s">
        <v>87</v>
      </c>
      <c r="O14" t="s">
        <v>77</v>
      </c>
      <c r="P14">
        <v>300229</v>
      </c>
      <c r="Q14" t="s">
        <v>24</v>
      </c>
      <c r="R14" t="s">
        <v>8</v>
      </c>
      <c r="S14" t="s">
        <v>80</v>
      </c>
      <c r="T14">
        <v>90</v>
      </c>
      <c r="U14">
        <v>5.75</v>
      </c>
      <c r="V14" s="2">
        <v>0.23958333333333334</v>
      </c>
      <c r="W14">
        <v>517.5</v>
      </c>
      <c r="AA14" t="s">
        <v>81</v>
      </c>
      <c r="AC14" t="s">
        <v>85</v>
      </c>
      <c r="AD14" t="s">
        <v>84</v>
      </c>
      <c r="AE14">
        <f t="shared" ref="AE14:AE24" si="2">MONTH(A14)</f>
        <v>9</v>
      </c>
      <c r="AF14" t="str">
        <f t="shared" ref="AF14:AF24" si="3">IF(AE14=7,"July",IF(AE14=8,"August",IF(AE14=9,"September",IF(AE14=10,"October",IF(AE14=11,"November")))))</f>
        <v>September</v>
      </c>
    </row>
    <row r="15" spans="1:32">
      <c r="A15" s="1">
        <v>45545</v>
      </c>
      <c r="B15" t="s">
        <v>27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  <c r="H15" t="s">
        <v>73</v>
      </c>
      <c r="I15" t="s">
        <v>74</v>
      </c>
      <c r="J15" t="s">
        <v>75</v>
      </c>
      <c r="K15" t="s">
        <v>69</v>
      </c>
      <c r="L15" t="s">
        <v>76</v>
      </c>
      <c r="M15" t="s">
        <v>27</v>
      </c>
      <c r="N15" t="s">
        <v>85</v>
      </c>
      <c r="O15" t="s">
        <v>77</v>
      </c>
      <c r="P15">
        <v>297512</v>
      </c>
      <c r="Q15" t="s">
        <v>24</v>
      </c>
      <c r="R15" t="s">
        <v>8</v>
      </c>
      <c r="S15" t="s">
        <v>80</v>
      </c>
      <c r="T15">
        <v>90</v>
      </c>
      <c r="U15">
        <v>1</v>
      </c>
      <c r="V15" s="2">
        <v>4.1666666666666664E-2</v>
      </c>
      <c r="W15">
        <v>90</v>
      </c>
      <c r="AA15" t="s">
        <v>81</v>
      </c>
      <c r="AB15" t="s">
        <v>82</v>
      </c>
      <c r="AC15" t="s">
        <v>88</v>
      </c>
      <c r="AD15" t="s">
        <v>84</v>
      </c>
      <c r="AE15">
        <f t="shared" si="2"/>
        <v>9</v>
      </c>
      <c r="AF15" t="str">
        <f t="shared" si="3"/>
        <v>September</v>
      </c>
    </row>
    <row r="16" spans="1:32">
      <c r="A16" s="1">
        <v>45545</v>
      </c>
      <c r="B16" t="s">
        <v>76</v>
      </c>
      <c r="C16" t="s">
        <v>68</v>
      </c>
      <c r="D16" t="s">
        <v>69</v>
      </c>
      <c r="E16" t="s">
        <v>70</v>
      </c>
      <c r="F16" t="s">
        <v>71</v>
      </c>
      <c r="G16" t="s">
        <v>72</v>
      </c>
      <c r="H16" t="s">
        <v>73</v>
      </c>
      <c r="I16" t="s">
        <v>74</v>
      </c>
      <c r="J16" t="s">
        <v>75</v>
      </c>
      <c r="K16" t="s">
        <v>69</v>
      </c>
      <c r="L16" t="s">
        <v>76</v>
      </c>
      <c r="M16" t="s">
        <v>27</v>
      </c>
      <c r="N16" t="s">
        <v>85</v>
      </c>
      <c r="O16" t="s">
        <v>77</v>
      </c>
      <c r="P16">
        <v>295853</v>
      </c>
      <c r="Q16" t="s">
        <v>78</v>
      </c>
      <c r="R16" t="s">
        <v>79</v>
      </c>
      <c r="S16" t="s">
        <v>80</v>
      </c>
      <c r="T16">
        <v>0</v>
      </c>
      <c r="U16">
        <v>1.25</v>
      </c>
      <c r="V16" s="2">
        <v>5.2083333333333336E-2</v>
      </c>
      <c r="W16">
        <v>0</v>
      </c>
      <c r="AA16" t="s">
        <v>81</v>
      </c>
      <c r="AB16" t="s">
        <v>82</v>
      </c>
      <c r="AC16" t="s">
        <v>85</v>
      </c>
      <c r="AD16" t="s">
        <v>84</v>
      </c>
      <c r="AE16">
        <f t="shared" si="2"/>
        <v>9</v>
      </c>
      <c r="AF16" t="str">
        <f t="shared" si="3"/>
        <v>September</v>
      </c>
    </row>
    <row r="17" spans="1:32">
      <c r="A17" s="1">
        <v>45546</v>
      </c>
      <c r="B17" t="s">
        <v>76</v>
      </c>
      <c r="C17" t="s">
        <v>68</v>
      </c>
      <c r="D17" t="s">
        <v>69</v>
      </c>
      <c r="E17" t="s">
        <v>70</v>
      </c>
      <c r="F17" t="s">
        <v>71</v>
      </c>
      <c r="G17" t="s">
        <v>72</v>
      </c>
      <c r="H17" t="s">
        <v>73</v>
      </c>
      <c r="I17" t="s">
        <v>74</v>
      </c>
      <c r="J17" t="s">
        <v>75</v>
      </c>
      <c r="K17" t="s">
        <v>69</v>
      </c>
      <c r="L17" t="s">
        <v>76</v>
      </c>
      <c r="M17" t="s">
        <v>27</v>
      </c>
      <c r="N17" t="s">
        <v>85</v>
      </c>
      <c r="O17" t="s">
        <v>77</v>
      </c>
      <c r="P17">
        <v>295852</v>
      </c>
      <c r="Q17" t="s">
        <v>78</v>
      </c>
      <c r="R17" t="s">
        <v>79</v>
      </c>
      <c r="S17" t="s">
        <v>80</v>
      </c>
      <c r="T17">
        <v>0</v>
      </c>
      <c r="U17">
        <v>0.5</v>
      </c>
      <c r="V17" s="2">
        <v>2.0833333333333332E-2</v>
      </c>
      <c r="W17">
        <v>0</v>
      </c>
      <c r="AA17" t="s">
        <v>81</v>
      </c>
      <c r="AB17" t="s">
        <v>82</v>
      </c>
      <c r="AC17" t="s">
        <v>85</v>
      </c>
      <c r="AD17" t="s">
        <v>84</v>
      </c>
      <c r="AE17">
        <f t="shared" si="2"/>
        <v>9</v>
      </c>
      <c r="AF17" t="str">
        <f t="shared" si="3"/>
        <v>September</v>
      </c>
    </row>
    <row r="18" spans="1:32">
      <c r="A18" s="1">
        <v>45547</v>
      </c>
      <c r="B18" t="s">
        <v>76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75</v>
      </c>
      <c r="K18" t="s">
        <v>69</v>
      </c>
      <c r="L18" t="s">
        <v>76</v>
      </c>
      <c r="M18" t="s">
        <v>27</v>
      </c>
      <c r="N18" t="s">
        <v>85</v>
      </c>
      <c r="O18" t="s">
        <v>77</v>
      </c>
      <c r="P18">
        <v>297013</v>
      </c>
      <c r="Q18" t="s">
        <v>78</v>
      </c>
      <c r="R18" t="s">
        <v>79</v>
      </c>
      <c r="S18" t="s">
        <v>80</v>
      </c>
      <c r="T18">
        <v>0</v>
      </c>
      <c r="U18">
        <v>0.5</v>
      </c>
      <c r="V18" s="2">
        <v>2.0833333333333332E-2</v>
      </c>
      <c r="W18">
        <v>0</v>
      </c>
      <c r="AA18" t="s">
        <v>81</v>
      </c>
      <c r="AB18" t="s">
        <v>82</v>
      </c>
      <c r="AC18" t="s">
        <v>85</v>
      </c>
      <c r="AD18" t="s">
        <v>84</v>
      </c>
      <c r="AE18">
        <f t="shared" si="2"/>
        <v>9</v>
      </c>
      <c r="AF18" t="str">
        <f t="shared" si="3"/>
        <v>September</v>
      </c>
    </row>
    <row r="19" spans="1:32">
      <c r="A19" s="1">
        <v>45548</v>
      </c>
      <c r="B19" t="s">
        <v>76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75</v>
      </c>
      <c r="K19" t="s">
        <v>69</v>
      </c>
      <c r="L19" t="s">
        <v>76</v>
      </c>
      <c r="M19" t="s">
        <v>27</v>
      </c>
      <c r="N19" t="s">
        <v>85</v>
      </c>
      <c r="O19" t="s">
        <v>77</v>
      </c>
      <c r="P19">
        <v>297291</v>
      </c>
      <c r="Q19" t="s">
        <v>78</v>
      </c>
      <c r="R19" t="s">
        <v>79</v>
      </c>
      <c r="S19" t="s">
        <v>80</v>
      </c>
      <c r="T19">
        <v>0</v>
      </c>
      <c r="U19">
        <v>0.25</v>
      </c>
      <c r="V19" s="2">
        <v>1.0416666666666666E-2</v>
      </c>
      <c r="W19">
        <v>0</v>
      </c>
      <c r="AA19" t="s">
        <v>81</v>
      </c>
      <c r="AB19" t="s">
        <v>82</v>
      </c>
      <c r="AC19" t="s">
        <v>85</v>
      </c>
      <c r="AD19" t="s">
        <v>84</v>
      </c>
      <c r="AE19">
        <f t="shared" si="2"/>
        <v>9</v>
      </c>
      <c r="AF19" t="str">
        <f t="shared" si="3"/>
        <v>September</v>
      </c>
    </row>
    <row r="20" spans="1:32">
      <c r="A20" s="1">
        <v>45551</v>
      </c>
      <c r="B20" t="s">
        <v>76</v>
      </c>
      <c r="C20" t="s">
        <v>68</v>
      </c>
      <c r="D20" t="s">
        <v>69</v>
      </c>
      <c r="E20" t="s">
        <v>70</v>
      </c>
      <c r="F20" t="s">
        <v>71</v>
      </c>
      <c r="G20" t="s">
        <v>72</v>
      </c>
      <c r="H20" t="s">
        <v>73</v>
      </c>
      <c r="I20" t="s">
        <v>74</v>
      </c>
      <c r="J20" t="s">
        <v>75</v>
      </c>
      <c r="K20" t="s">
        <v>69</v>
      </c>
      <c r="L20" t="s">
        <v>76</v>
      </c>
      <c r="M20" t="s">
        <v>27</v>
      </c>
      <c r="N20" t="s">
        <v>85</v>
      </c>
      <c r="O20" t="s">
        <v>77</v>
      </c>
      <c r="P20">
        <v>298099</v>
      </c>
      <c r="Q20" t="s">
        <v>78</v>
      </c>
      <c r="R20" t="s">
        <v>79</v>
      </c>
      <c r="S20" t="s">
        <v>80</v>
      </c>
      <c r="T20">
        <v>0</v>
      </c>
      <c r="U20">
        <v>0.75</v>
      </c>
      <c r="V20" s="2">
        <v>3.125E-2</v>
      </c>
      <c r="W20">
        <v>0</v>
      </c>
      <c r="AA20" t="s">
        <v>81</v>
      </c>
      <c r="AB20" t="s">
        <v>82</v>
      </c>
      <c r="AC20" t="s">
        <v>85</v>
      </c>
      <c r="AD20" t="s">
        <v>84</v>
      </c>
      <c r="AE20">
        <f t="shared" si="2"/>
        <v>9</v>
      </c>
      <c r="AF20" t="str">
        <f t="shared" si="3"/>
        <v>September</v>
      </c>
    </row>
    <row r="21" spans="1:32">
      <c r="A21" s="1">
        <v>45552</v>
      </c>
      <c r="B21" t="s">
        <v>76</v>
      </c>
      <c r="C21" t="s">
        <v>68</v>
      </c>
      <c r="D21" t="s">
        <v>69</v>
      </c>
      <c r="E21" t="s">
        <v>70</v>
      </c>
      <c r="F21" t="s">
        <v>71</v>
      </c>
      <c r="G21" t="s">
        <v>72</v>
      </c>
      <c r="H21" t="s">
        <v>73</v>
      </c>
      <c r="I21" t="s">
        <v>74</v>
      </c>
      <c r="J21" t="s">
        <v>75</v>
      </c>
      <c r="K21" t="s">
        <v>69</v>
      </c>
      <c r="L21" t="s">
        <v>76</v>
      </c>
      <c r="M21" t="s">
        <v>27</v>
      </c>
      <c r="N21" t="s">
        <v>85</v>
      </c>
      <c r="O21" t="s">
        <v>77</v>
      </c>
      <c r="P21">
        <v>298904</v>
      </c>
      <c r="Q21" t="s">
        <v>78</v>
      </c>
      <c r="R21" t="s">
        <v>79</v>
      </c>
      <c r="S21" t="s">
        <v>80</v>
      </c>
      <c r="T21">
        <v>0</v>
      </c>
      <c r="U21">
        <v>0.5</v>
      </c>
      <c r="V21" s="2">
        <v>2.0833333333333332E-2</v>
      </c>
      <c r="W21">
        <v>0</v>
      </c>
      <c r="AA21" t="s">
        <v>81</v>
      </c>
      <c r="AB21" t="s">
        <v>82</v>
      </c>
      <c r="AC21" t="s">
        <v>85</v>
      </c>
      <c r="AD21" t="s">
        <v>84</v>
      </c>
      <c r="AE21">
        <f t="shared" si="2"/>
        <v>9</v>
      </c>
      <c r="AF21" t="str">
        <f t="shared" si="3"/>
        <v>September</v>
      </c>
    </row>
    <row r="22" spans="1:32">
      <c r="A22" s="1">
        <v>45553</v>
      </c>
      <c r="B22" t="s">
        <v>76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69</v>
      </c>
      <c r="L22" t="s">
        <v>76</v>
      </c>
      <c r="M22" t="s">
        <v>27</v>
      </c>
      <c r="N22" t="s">
        <v>85</v>
      </c>
      <c r="O22" t="s">
        <v>77</v>
      </c>
      <c r="P22">
        <v>299339</v>
      </c>
      <c r="Q22" t="s">
        <v>78</v>
      </c>
      <c r="R22" t="s">
        <v>79</v>
      </c>
      <c r="S22" t="s">
        <v>80</v>
      </c>
      <c r="T22">
        <v>0</v>
      </c>
      <c r="U22">
        <v>0.5</v>
      </c>
      <c r="V22" s="2">
        <v>2.0833333333333332E-2</v>
      </c>
      <c r="W22">
        <v>0</v>
      </c>
      <c r="AA22" t="s">
        <v>81</v>
      </c>
      <c r="AB22" t="s">
        <v>82</v>
      </c>
      <c r="AC22" t="s">
        <v>85</v>
      </c>
      <c r="AD22" t="s">
        <v>84</v>
      </c>
      <c r="AE22">
        <f t="shared" si="2"/>
        <v>9</v>
      </c>
      <c r="AF22" t="str">
        <f t="shared" si="3"/>
        <v>September</v>
      </c>
    </row>
    <row r="23" spans="1:32">
      <c r="A23" s="1">
        <v>45554</v>
      </c>
      <c r="B23" t="s">
        <v>76</v>
      </c>
      <c r="C23" t="s">
        <v>68</v>
      </c>
      <c r="D23" t="s">
        <v>69</v>
      </c>
      <c r="E23" t="s">
        <v>70</v>
      </c>
      <c r="F23" t="s">
        <v>71</v>
      </c>
      <c r="G23" t="s">
        <v>72</v>
      </c>
      <c r="H23" t="s">
        <v>73</v>
      </c>
      <c r="I23" t="s">
        <v>74</v>
      </c>
      <c r="J23" t="s">
        <v>75</v>
      </c>
      <c r="K23" t="s">
        <v>69</v>
      </c>
      <c r="L23" t="s">
        <v>76</v>
      </c>
      <c r="M23" t="s">
        <v>27</v>
      </c>
      <c r="N23" t="s">
        <v>85</v>
      </c>
      <c r="O23" t="s">
        <v>77</v>
      </c>
      <c r="P23">
        <v>299694</v>
      </c>
      <c r="Q23" t="s">
        <v>78</v>
      </c>
      <c r="R23" t="s">
        <v>79</v>
      </c>
      <c r="S23" t="s">
        <v>80</v>
      </c>
      <c r="T23">
        <v>0</v>
      </c>
      <c r="U23">
        <v>0.25</v>
      </c>
      <c r="V23" s="2">
        <v>1.0416666666666666E-2</v>
      </c>
      <c r="W23">
        <v>0</v>
      </c>
      <c r="AA23" t="s">
        <v>81</v>
      </c>
      <c r="AB23" t="s">
        <v>82</v>
      </c>
      <c r="AC23" t="s">
        <v>85</v>
      </c>
      <c r="AD23" t="s">
        <v>84</v>
      </c>
      <c r="AE23">
        <f t="shared" si="2"/>
        <v>9</v>
      </c>
      <c r="AF23" t="str">
        <f t="shared" si="3"/>
        <v>September</v>
      </c>
    </row>
    <row r="24" spans="1:32">
      <c r="A24" s="1">
        <v>45555</v>
      </c>
      <c r="B24" t="s">
        <v>76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  <c r="J24" t="s">
        <v>75</v>
      </c>
      <c r="K24" t="s">
        <v>69</v>
      </c>
      <c r="L24" t="s">
        <v>76</v>
      </c>
      <c r="M24" t="s">
        <v>27</v>
      </c>
      <c r="N24" t="s">
        <v>85</v>
      </c>
      <c r="O24" t="s">
        <v>77</v>
      </c>
      <c r="P24">
        <v>300199</v>
      </c>
      <c r="Q24" t="s">
        <v>78</v>
      </c>
      <c r="R24" t="s">
        <v>79</v>
      </c>
      <c r="S24" t="s">
        <v>80</v>
      </c>
      <c r="T24">
        <v>0</v>
      </c>
      <c r="U24">
        <v>0.25</v>
      </c>
      <c r="V24" s="2">
        <v>1.0416666666666666E-2</v>
      </c>
      <c r="W24">
        <v>0</v>
      </c>
      <c r="AA24" t="s">
        <v>81</v>
      </c>
      <c r="AC24" t="s">
        <v>85</v>
      </c>
      <c r="AD24" t="s">
        <v>84</v>
      </c>
      <c r="AE24">
        <f t="shared" si="2"/>
        <v>9</v>
      </c>
      <c r="AF24" t="str">
        <f t="shared" si="3"/>
        <v>September</v>
      </c>
    </row>
    <row r="25" spans="1:32">
      <c r="A25" s="1"/>
      <c r="V25" s="2"/>
    </row>
    <row r="26" spans="1:32">
      <c r="A26" s="1"/>
      <c r="V26" s="2"/>
    </row>
    <row r="27" spans="1:32">
      <c r="A27" s="1"/>
      <c r="V27" s="2"/>
    </row>
    <row r="28" spans="1:32">
      <c r="A28" s="1"/>
      <c r="V28" s="2"/>
    </row>
    <row r="29" spans="1:32">
      <c r="A29" s="1"/>
      <c r="V29" s="2"/>
    </row>
    <row r="30" spans="1:32">
      <c r="A30" s="1"/>
      <c r="V30" s="2"/>
    </row>
    <row r="31" spans="1:32">
      <c r="A31" s="1"/>
      <c r="V31" s="2"/>
    </row>
    <row r="32" spans="1:32">
      <c r="A32" s="1"/>
      <c r="V32" s="2"/>
    </row>
    <row r="33" spans="1:22">
      <c r="A33" s="1"/>
      <c r="V33" s="2"/>
    </row>
    <row r="34" spans="1:22">
      <c r="A34" s="1"/>
      <c r="V34" s="2"/>
    </row>
    <row r="35" spans="1:22">
      <c r="A35" s="1"/>
      <c r="V35" s="2"/>
    </row>
    <row r="36" spans="1:22">
      <c r="A36" s="1"/>
      <c r="V36" s="2"/>
    </row>
    <row r="37" spans="1:22">
      <c r="A37" s="1"/>
      <c r="V37" s="2"/>
    </row>
    <row r="38" spans="1:22">
      <c r="A38" s="1"/>
      <c r="V38" s="2"/>
    </row>
    <row r="39" spans="1:22">
      <c r="A39" s="1"/>
      <c r="V39" s="2"/>
    </row>
    <row r="40" spans="1:22">
      <c r="A40" s="1"/>
      <c r="V40" s="2"/>
    </row>
    <row r="41" spans="1:22">
      <c r="A41" s="1"/>
      <c r="V41" s="2"/>
    </row>
    <row r="42" spans="1:22">
      <c r="A42" s="1"/>
      <c r="V42" s="2"/>
    </row>
    <row r="43" spans="1:22">
      <c r="A43" s="1"/>
      <c r="V43" s="2"/>
    </row>
    <row r="44" spans="1:22">
      <c r="A44" s="1"/>
      <c r="V44" s="2"/>
    </row>
    <row r="45" spans="1:22">
      <c r="A45" s="1"/>
      <c r="V45" s="2"/>
    </row>
    <row r="46" spans="1:22">
      <c r="A46" s="1"/>
      <c r="V46" s="2"/>
    </row>
    <row r="47" spans="1:22">
      <c r="A47" s="1"/>
      <c r="V47" s="2"/>
    </row>
    <row r="48" spans="1:22">
      <c r="A48" s="1"/>
      <c r="V48" s="2"/>
    </row>
    <row r="49" spans="1:22">
      <c r="A49" s="1"/>
      <c r="V49" s="2"/>
    </row>
    <row r="50" spans="1:22">
      <c r="A50" s="1"/>
      <c r="V50" s="2"/>
    </row>
    <row r="51" spans="1:22">
      <c r="A51" s="1"/>
      <c r="V51" s="2"/>
    </row>
    <row r="52" spans="1:22">
      <c r="A52" s="1"/>
      <c r="V52" s="2"/>
    </row>
    <row r="53" spans="1:22">
      <c r="A53" s="1"/>
      <c r="V53" s="2"/>
    </row>
    <row r="54" spans="1:22">
      <c r="A54" s="1"/>
      <c r="V54" s="2"/>
    </row>
    <row r="55" spans="1:22">
      <c r="A55" s="1"/>
      <c r="V55" s="2"/>
    </row>
    <row r="56" spans="1:22">
      <c r="A56" s="1"/>
      <c r="V56" s="2"/>
    </row>
    <row r="57" spans="1:22">
      <c r="A57" s="1"/>
      <c r="V57" s="2"/>
    </row>
    <row r="58" spans="1:22">
      <c r="A58" s="1"/>
      <c r="V58" s="2"/>
    </row>
    <row r="59" spans="1:22">
      <c r="A59" s="1"/>
      <c r="V59" s="2"/>
    </row>
    <row r="60" spans="1:22">
      <c r="A60" s="1"/>
      <c r="V60" s="2"/>
    </row>
    <row r="61" spans="1:22">
      <c r="A61" s="1"/>
      <c r="V61" s="2"/>
    </row>
    <row r="62" spans="1:22">
      <c r="A62" s="1"/>
      <c r="V62" s="2"/>
    </row>
    <row r="63" spans="1:22">
      <c r="A63" s="1"/>
      <c r="V63" s="2"/>
    </row>
    <row r="64" spans="1:22">
      <c r="A64" s="1"/>
      <c r="V64" s="2"/>
    </row>
    <row r="65" spans="1:22">
      <c r="A65" s="1"/>
      <c r="V65" s="2"/>
    </row>
    <row r="66" spans="1:22">
      <c r="A66" s="1"/>
      <c r="V66" s="2"/>
    </row>
    <row r="67" spans="1:22">
      <c r="A67" s="1"/>
      <c r="V67" s="2"/>
    </row>
    <row r="68" spans="1:22">
      <c r="A68" s="1"/>
      <c r="V68" s="2"/>
    </row>
    <row r="69" spans="1:22">
      <c r="A69" s="1"/>
      <c r="V69" s="2"/>
    </row>
    <row r="70" spans="1:22">
      <c r="A70" s="1"/>
      <c r="V70" s="2"/>
    </row>
    <row r="71" spans="1:22">
      <c r="A71" s="1"/>
      <c r="V71" s="2"/>
    </row>
    <row r="72" spans="1:22">
      <c r="A72" s="1"/>
      <c r="V72" s="2"/>
    </row>
    <row r="73" spans="1:22">
      <c r="A73" s="1"/>
      <c r="V73" s="2"/>
    </row>
    <row r="74" spans="1:22">
      <c r="A74" s="1"/>
      <c r="V74" s="2"/>
    </row>
    <row r="75" spans="1:22">
      <c r="A75" s="1"/>
      <c r="V75" s="2"/>
    </row>
    <row r="76" spans="1:22">
      <c r="A76" s="1"/>
      <c r="V76" s="2"/>
    </row>
    <row r="77" spans="1:22">
      <c r="A77" s="1"/>
      <c r="V77" s="2"/>
    </row>
    <row r="78" spans="1:22">
      <c r="A78" s="1"/>
      <c r="V78" s="2"/>
    </row>
    <row r="79" spans="1:22">
      <c r="A79" s="1"/>
      <c r="V79" s="2"/>
    </row>
    <row r="80" spans="1:22">
      <c r="A80" s="1"/>
      <c r="V80" s="2"/>
    </row>
    <row r="81" spans="1:22">
      <c r="A81" s="1"/>
      <c r="V81" s="2"/>
    </row>
    <row r="82" spans="1:22">
      <c r="A82" s="1"/>
      <c r="V82" s="2"/>
    </row>
    <row r="83" spans="1:22">
      <c r="A83" s="1"/>
      <c r="V83" s="2"/>
    </row>
    <row r="84" spans="1:22">
      <c r="A84" s="1"/>
      <c r="V84" s="2"/>
    </row>
    <row r="85" spans="1:22">
      <c r="A85" s="1"/>
      <c r="V85" s="2"/>
    </row>
    <row r="86" spans="1:22">
      <c r="A86" s="1"/>
      <c r="V86" s="2"/>
    </row>
    <row r="87" spans="1:22">
      <c r="A87" s="1"/>
      <c r="V87" s="2"/>
    </row>
    <row r="88" spans="1:22">
      <c r="A88" s="1"/>
      <c r="V88" s="2"/>
    </row>
    <row r="89" spans="1:22">
      <c r="A89" s="1"/>
      <c r="V89" s="2"/>
    </row>
    <row r="90" spans="1:22">
      <c r="A90" s="1"/>
      <c r="V90" s="2"/>
    </row>
    <row r="91" spans="1:22">
      <c r="A91" s="1"/>
      <c r="V91" s="2"/>
    </row>
    <row r="92" spans="1:22">
      <c r="A92" s="1"/>
      <c r="V92" s="2"/>
    </row>
    <row r="93" spans="1:22">
      <c r="A93" s="1"/>
      <c r="V93" s="2"/>
    </row>
    <row r="94" spans="1:22">
      <c r="A94" s="1"/>
      <c r="V94" s="2"/>
    </row>
    <row r="95" spans="1:22">
      <c r="A95" s="1"/>
      <c r="V95" s="2"/>
    </row>
    <row r="96" spans="1:22">
      <c r="A96" s="1"/>
      <c r="V96" s="2"/>
    </row>
    <row r="97" spans="1:22">
      <c r="A97" s="1"/>
      <c r="V97" s="2"/>
    </row>
    <row r="98" spans="1:22">
      <c r="A98" s="1"/>
      <c r="V98" s="2"/>
    </row>
    <row r="99" spans="1:22">
      <c r="A99" s="1"/>
      <c r="V99" s="2"/>
    </row>
    <row r="100" spans="1:22">
      <c r="A100" s="1"/>
      <c r="V100" s="2"/>
    </row>
    <row r="101" spans="1:22">
      <c r="A101" s="1"/>
      <c r="V101" s="2"/>
    </row>
    <row r="102" spans="1:22">
      <c r="A102" s="1"/>
      <c r="V102" s="2"/>
    </row>
    <row r="103" spans="1:22">
      <c r="A103" s="1"/>
      <c r="V103" s="2"/>
    </row>
    <row r="104" spans="1:22">
      <c r="A104" s="1"/>
      <c r="V104" s="2"/>
    </row>
    <row r="105" spans="1:22">
      <c r="A105" s="1"/>
      <c r="V105" s="2"/>
    </row>
    <row r="106" spans="1:22">
      <c r="A106" s="1"/>
      <c r="V106" s="2"/>
    </row>
    <row r="107" spans="1:22">
      <c r="A107" s="1"/>
      <c r="V107" s="2"/>
    </row>
    <row r="108" spans="1:22">
      <c r="A108" s="1"/>
      <c r="V108" s="2"/>
    </row>
    <row r="109" spans="1:22">
      <c r="A109" s="1"/>
      <c r="V109" s="2"/>
    </row>
    <row r="110" spans="1:22">
      <c r="A110" s="1"/>
      <c r="V110" s="2"/>
    </row>
    <row r="111" spans="1:22">
      <c r="A111" s="1"/>
      <c r="V111" s="2"/>
    </row>
    <row r="112" spans="1:22">
      <c r="A112" s="1"/>
      <c r="V112" s="2"/>
    </row>
    <row r="113" spans="1:22">
      <c r="A113" s="1"/>
      <c r="V113" s="2"/>
    </row>
    <row r="114" spans="1:22">
      <c r="A114" s="1"/>
      <c r="V114" s="2"/>
    </row>
    <row r="115" spans="1:22">
      <c r="A115" s="1"/>
      <c r="V115" s="2"/>
    </row>
    <row r="116" spans="1:22">
      <c r="A116" s="1"/>
      <c r="V116" s="2"/>
    </row>
    <row r="117" spans="1:22">
      <c r="A117" s="1"/>
      <c r="V117" s="2"/>
    </row>
    <row r="118" spans="1:22">
      <c r="A118" s="1"/>
      <c r="V118" s="2"/>
    </row>
    <row r="119" spans="1:22">
      <c r="A119" s="1"/>
      <c r="V119" s="2"/>
    </row>
    <row r="120" spans="1:22">
      <c r="A120" s="1"/>
      <c r="V120" s="2"/>
    </row>
    <row r="121" spans="1:22">
      <c r="A121" s="1"/>
      <c r="V121" s="2"/>
    </row>
    <row r="122" spans="1:22">
      <c r="A122" s="1"/>
      <c r="V122" s="2"/>
    </row>
    <row r="123" spans="1:22">
      <c r="A123" s="1"/>
      <c r="V123" s="2"/>
    </row>
    <row r="124" spans="1:22">
      <c r="A124" s="1"/>
      <c r="V124" s="2"/>
    </row>
    <row r="125" spans="1:22">
      <c r="A125" s="1"/>
      <c r="V125" s="2"/>
    </row>
    <row r="126" spans="1:22">
      <c r="A126" s="1"/>
      <c r="V126" s="2"/>
    </row>
    <row r="127" spans="1:22">
      <c r="A127" s="1"/>
      <c r="V127" s="2"/>
    </row>
    <row r="128" spans="1:22">
      <c r="A128" s="1"/>
      <c r="V128" s="2"/>
    </row>
    <row r="129" spans="1:22">
      <c r="A129" s="1"/>
      <c r="V129" s="2"/>
    </row>
    <row r="130" spans="1:22">
      <c r="A130" s="1"/>
      <c r="V130" s="2"/>
    </row>
    <row r="131" spans="1:22">
      <c r="A131" s="1"/>
      <c r="V131" s="2"/>
    </row>
    <row r="132" spans="1:22">
      <c r="A132" s="1"/>
      <c r="V132" s="2"/>
    </row>
    <row r="133" spans="1:22">
      <c r="A133" s="1"/>
      <c r="V133" s="2"/>
    </row>
    <row r="134" spans="1:22">
      <c r="A134" s="1"/>
      <c r="V134" s="2"/>
    </row>
    <row r="135" spans="1:22">
      <c r="A135" s="1"/>
      <c r="V135" s="2"/>
    </row>
    <row r="136" spans="1:22">
      <c r="A136" s="1"/>
      <c r="V136" s="2"/>
    </row>
    <row r="137" spans="1:22">
      <c r="A137" s="1"/>
      <c r="V137" s="2"/>
    </row>
    <row r="138" spans="1:22">
      <c r="A138" s="1"/>
      <c r="V138" s="2"/>
    </row>
    <row r="139" spans="1:22">
      <c r="A139" s="1"/>
      <c r="V139" s="2"/>
    </row>
    <row r="140" spans="1:22">
      <c r="A140" s="1"/>
      <c r="V140" s="2"/>
    </row>
    <row r="141" spans="1:22">
      <c r="A141" s="1"/>
      <c r="V141" s="2"/>
    </row>
    <row r="142" spans="1:22">
      <c r="A142" s="1"/>
      <c r="V142" s="2"/>
    </row>
    <row r="143" spans="1:22">
      <c r="A143" s="1"/>
      <c r="V143" s="2"/>
    </row>
    <row r="144" spans="1:22">
      <c r="A144" s="1"/>
      <c r="V144" s="2"/>
    </row>
    <row r="145" spans="1:22">
      <c r="A145" s="1"/>
      <c r="V145" s="2"/>
    </row>
    <row r="146" spans="1:22">
      <c r="A146" s="1"/>
      <c r="V146" s="2"/>
    </row>
    <row r="147" spans="1:22">
      <c r="A147" s="1"/>
      <c r="V147" s="2"/>
    </row>
    <row r="148" spans="1:22">
      <c r="A148" s="1"/>
      <c r="V148" s="2"/>
    </row>
    <row r="149" spans="1:22">
      <c r="A149" s="1"/>
      <c r="V149" s="2"/>
    </row>
    <row r="150" spans="1:22">
      <c r="A150" s="1"/>
      <c r="V150" s="2"/>
    </row>
    <row r="151" spans="1:22">
      <c r="A151" s="1"/>
      <c r="V151" s="2"/>
    </row>
    <row r="152" spans="1:22">
      <c r="A152" s="1"/>
      <c r="V152" s="2"/>
    </row>
    <row r="153" spans="1:22">
      <c r="A153" s="1"/>
      <c r="V153" s="2"/>
    </row>
    <row r="154" spans="1:22">
      <c r="A154" s="1"/>
      <c r="V154" s="2"/>
    </row>
    <row r="155" spans="1:22">
      <c r="A155" s="1"/>
      <c r="V155" s="2"/>
    </row>
    <row r="156" spans="1:22">
      <c r="A156" s="1"/>
      <c r="V156" s="2"/>
    </row>
    <row r="157" spans="1:22">
      <c r="A157" s="1"/>
      <c r="V157" s="2"/>
    </row>
    <row r="158" spans="1:22">
      <c r="A158" s="1"/>
      <c r="V158" s="2"/>
    </row>
    <row r="159" spans="1:22">
      <c r="A159" s="1"/>
      <c r="V159" s="2"/>
    </row>
    <row r="160" spans="1:2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2C2BA1-0EA1-4DB9-9F76-8BE44777E231}"/>
</file>

<file path=customXml/itemProps2.xml><?xml version="1.0" encoding="utf-8"?>
<ds:datastoreItem xmlns:ds="http://schemas.openxmlformats.org/officeDocument/2006/customXml" ds:itemID="{EF55BFFE-3B96-4B85-B378-194BE653204E}"/>
</file>

<file path=customXml/itemProps3.xml><?xml version="1.0" encoding="utf-8"?>
<ds:datastoreItem xmlns:ds="http://schemas.openxmlformats.org/officeDocument/2006/customXml" ds:itemID="{04BD1100-97A1-488C-A61F-F644AAB4FC64}"/>
</file>

<file path=customXml/itemProps4.xml><?xml version="1.0" encoding="utf-8"?>
<ds:datastoreItem xmlns:ds="http://schemas.openxmlformats.org/officeDocument/2006/customXml" ds:itemID="{A627CA18-F091-44E5-AE53-1576934147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2024-09-25T18:19:55Z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