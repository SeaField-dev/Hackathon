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30" documentId="8_{167E9527-0BDB-4F80-917D-937C202D374A}" xr6:coauthVersionLast="47" xr6:coauthVersionMax="47" xr10:uidLastSave="{8E3783D1-5415-4B12-A793-2060E1F81284}"/>
  <bookViews>
    <workbookView xWindow="286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66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5" i="1" l="1"/>
  <c r="AF25" i="1" s="1"/>
  <c r="AE26" i="1"/>
  <c r="AF26" i="1" s="1"/>
  <c r="AE27" i="1"/>
  <c r="AF27" i="1" s="1"/>
  <c r="AE28" i="1"/>
  <c r="AF28" i="1"/>
  <c r="AE29" i="1"/>
  <c r="AF29" i="1" s="1"/>
  <c r="AE30" i="1"/>
  <c r="AF30" i="1" s="1"/>
  <c r="AE31" i="1"/>
  <c r="AF31" i="1" s="1"/>
  <c r="AE32" i="1"/>
  <c r="AF32" i="1" s="1"/>
  <c r="AE14" i="1"/>
  <c r="AF14" i="1"/>
  <c r="AE15" i="1"/>
  <c r="AF15" i="1" s="1"/>
  <c r="AE16" i="1"/>
  <c r="AF16" i="1" s="1"/>
  <c r="AE17" i="1"/>
  <c r="AF17" i="1" s="1"/>
  <c r="AE18" i="1"/>
  <c r="AF18" i="1"/>
  <c r="AE19" i="1"/>
  <c r="AF19" i="1" s="1"/>
  <c r="AE20" i="1"/>
  <c r="AF20" i="1"/>
  <c r="AE21" i="1"/>
  <c r="AF21" i="1" s="1"/>
  <c r="AE22" i="1"/>
  <c r="AF22" i="1"/>
  <c r="AE23" i="1"/>
  <c r="AF23" i="1" s="1"/>
  <c r="AE24" i="1"/>
  <c r="AF24" i="1"/>
  <c r="AE3" i="1"/>
  <c r="AF3" i="1" s="1"/>
  <c r="AE4" i="1"/>
  <c r="AF4" i="1" s="1"/>
  <c r="AE5" i="1"/>
  <c r="AF5" i="1"/>
  <c r="AE6" i="1"/>
  <c r="AF6" i="1" s="1"/>
  <c r="AE7" i="1"/>
  <c r="AF7" i="1" s="1"/>
  <c r="AE8" i="1"/>
  <c r="AF8" i="1"/>
  <c r="AE9" i="1"/>
  <c r="AF9" i="1" s="1"/>
  <c r="AE10" i="1"/>
  <c r="AF10" i="1" s="1"/>
  <c r="AE11" i="1"/>
  <c r="AF11" i="1" s="1"/>
  <c r="AE12" i="1"/>
  <c r="AF12" i="1"/>
  <c r="AE13" i="1"/>
  <c r="AF13" i="1" s="1"/>
  <c r="AE2" i="1"/>
  <c r="AF2" i="1" s="1"/>
</calcChain>
</file>

<file path=xl/sharedStrings.xml><?xml version="1.0" encoding="utf-8"?>
<sst xmlns="http://schemas.openxmlformats.org/spreadsheetml/2006/main" count="724" uniqueCount="92">
  <si>
    <t>Month</t>
  </si>
  <si>
    <t>(All)</t>
  </si>
  <si>
    <t>&lt;- Filter By Month</t>
  </si>
  <si>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</si>
  <si>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</si>
  <si>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</si>
  <si>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</si>
  <si>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Billable Timecode</t>
  </si>
  <si>
    <t>Billable timecode</t>
  </si>
  <si>
    <t>Sprint 0 </t>
  </si>
  <si>
    <t>2-3 weeks </t>
  </si>
  <si>
    <t xml:space="preserve">£6,000 </t>
  </si>
  <si>
    <t xml:space="preserve"> £9,000 </t>
  </si>
  <si>
    <t>Sprint 1 - 2</t>
  </si>
  <si>
    <t>3-6 weeks</t>
  </si>
  <si>
    <t xml:space="preserve">£23,400 </t>
  </si>
  <si>
    <t xml:space="preserve"> £46,800 </t>
  </si>
  <si>
    <t>Sum of Hours</t>
  </si>
  <si>
    <t>Column Labels</t>
  </si>
  <si>
    <t>UAT </t>
  </si>
  <si>
    <t>2 weeks </t>
  </si>
  <si>
    <t xml:space="preserve">£3,600 </t>
  </si>
  <si>
    <t xml:space="preserve"> £3,600 </t>
  </si>
  <si>
    <t>Row Labels</t>
  </si>
  <si>
    <t>Delivery</t>
  </si>
  <si>
    <t>Grand Total</t>
  </si>
  <si>
    <t>Production Deployment &amp; Post Go-Live Support </t>
  </si>
  <si>
    <t>Sam Duncan</t>
  </si>
  <si>
    <t>User guide creation</t>
  </si>
  <si>
    <t>Done in parallel with sprints </t>
  </si>
  <si>
    <t xml:space="preserve">£3,150 </t>
  </si>
  <si>
    <t xml:space="preserve"> £3,150 </t>
  </si>
  <si>
    <t>Nikki Papenfus</t>
  </si>
  <si>
    <t>Total</t>
  </si>
  <si>
    <t>9 -13 weeks</t>
  </si>
  <si>
    <t xml:space="preserve">£39,750 </t>
  </si>
  <si>
    <t xml:space="preserve"> £66,150 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</si>
  <si>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</si>
  <si>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</si>
  <si>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</si>
  <si>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</si>
  <si>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</si>
  <si>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</si>
  <si>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</si>
  <si>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</si>
  <si>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</si>
  <si>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</si>
  <si>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</si>
  <si>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</si>
  <si>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</si>
  <si>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</si>
  <si>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</si>
  <si>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</si>
  <si>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</si>
  <si>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</si>
  <si>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</si>
  <si>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</si>
  <si>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</si>
  <si>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</si>
  <si>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</si>
  <si>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</si>
  <si>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</si>
  <si>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</si>
  <si>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</si>
  <si>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</si>
  <si>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</si>
  <si>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</si>
  <si>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</si>
  <si>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</si>
  <si>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</si>
  <si>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</si>
  <si>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</si>
  <si>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</si>
  <si>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OB-000720</t>
  </si>
  <si>
    <t>Right to Rent - Sprint 0 (T&amp;M)</t>
  </si>
  <si>
    <t>Billable</t>
  </si>
  <si>
    <t>Shaun Barrett</t>
  </si>
  <si>
    <t xml:space="preserve"> </t>
  </si>
  <si>
    <t>Sprint 0</t>
  </si>
  <si>
    <t>Delivery (Non-Billable)</t>
  </si>
  <si>
    <t>Non-billable timecode</t>
  </si>
  <si>
    <t>Standard Timecode</t>
  </si>
  <si>
    <t>GBP</t>
  </si>
  <si>
    <t>Reviewed</t>
  </si>
  <si>
    <t>Time Report</t>
  </si>
  <si>
    <t>Not submitted</t>
  </si>
  <si>
    <t>Jacob Smycz</t>
  </si>
  <si>
    <t>Salesforce</t>
  </si>
  <si>
    <t>Kick off Meeting</t>
  </si>
  <si>
    <t>Andrew Pollock</t>
  </si>
  <si>
    <t>Kickoff call</t>
  </si>
  <si>
    <t>Design session with Nikki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</si>
</sst>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164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3" fillId="0" borderId="0" xfId="0" applyFont="1"/>
    <xf numFmtId="0" fontId="24" fillId="0" borderId="10" xfId="0" applyFont="1" applyBorder="1"/>
    <xf numFmtId="0" fontId="25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65.434896180559" createdVersion="8" refreshedVersion="8" minRefreshableVersion="3" recordCount="31" xr:uid="{5078816C-55B8-4AA5-845D-025B77A4CEF1}">
  <cacheSource type="worksheet">
    <worksheetSource ref="A1:AF32" sheet="Project Timesheets"/>
  </cacheSource>
  <cacheFields count="32">
    <cacheField name="Date" numFmtId="15">
      <sharedItems containsSemiMixedTypes="0" containsNonDate="0" containsDate="1" containsString="0" minDate="2024-09-09T00:00:00" maxDate="2024-09-28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95307" maxValue="302555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"/>
    </cacheField>
    <cacheField name="Time" numFmtId="20">
      <sharedItems containsSemiMixedTypes="0" containsNonDate="0" containsDate="1" containsString="0" minDate="1899-12-30T00:15:00" maxDate="1899-12-30T07:00:00"/>
    </cacheField>
    <cacheField name="Worked Amount" numFmtId="0">
      <sharedItems containsSemiMixedTypes="0" containsString="0" containsNumber="1" minValue="0" maxValue="63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9" maxValue="9"/>
    </cacheField>
    <cacheField name="Month" numFmtId="0">
      <sharedItems count="1">
        <s v="Sept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9-23T00:00:00"/>
    <x v="0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0856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0"/>
  </r>
  <r>
    <d v="2024-09-10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295597"/>
    <x v="0"/>
    <x v="0"/>
    <s v="Standard Timecode"/>
    <n v="0"/>
    <n v="1"/>
    <d v="1899-12-30T01:00:00"/>
    <n v="0"/>
    <m/>
    <m/>
    <m/>
    <s v="GBP"/>
    <s v="Reviewed"/>
    <s v="Kick off Meeting"/>
    <s v="Not submitted"/>
    <n v="9"/>
    <x v="0"/>
  </r>
  <r>
    <d v="2024-09-12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296751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20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0039"/>
    <x v="0"/>
    <x v="0"/>
    <s v="Standard Timecode"/>
    <n v="0"/>
    <n v="1"/>
    <d v="1899-12-30T01:00:00"/>
    <n v="0"/>
    <m/>
    <m/>
    <m/>
    <s v="GBP"/>
    <s v="Reviewed"/>
    <s v=" "/>
    <s v="Not submitted"/>
    <n v="9"/>
    <x v="0"/>
  </r>
  <r>
    <d v="2024-09-26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1819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09-09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5307"/>
    <x v="1"/>
    <x v="1"/>
    <s v="Standard Timecode"/>
    <n v="90"/>
    <n v="2.25"/>
    <d v="1899-12-30T02:15:00"/>
    <n v="202.5"/>
    <m/>
    <m/>
    <m/>
    <s v="GBP"/>
    <s v="Reviewed"/>
    <s v=" "/>
    <s v="Not submitted"/>
    <n v="9"/>
    <x v="0"/>
  </r>
  <r>
    <d v="2024-09-10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5796"/>
    <x v="1"/>
    <x v="1"/>
    <s v="Standard Timecode"/>
    <n v="90"/>
    <n v="1.25"/>
    <d v="1899-12-30T01:15:00"/>
    <n v="112.5"/>
    <m/>
    <m/>
    <m/>
    <s v="GBP"/>
    <s v="Reviewed"/>
    <s v=" "/>
    <s v="Not submitted"/>
    <n v="9"/>
    <x v="0"/>
  </r>
  <r>
    <d v="2024-09-11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6231"/>
    <x v="1"/>
    <x v="1"/>
    <s v="Standard Timecode"/>
    <n v="90"/>
    <n v="0.25"/>
    <d v="1899-12-30T00:15:00"/>
    <n v="22.5"/>
    <m/>
    <m/>
    <m/>
    <s v="GBP"/>
    <s v="Reviewed"/>
    <s v=" "/>
    <s v="Not submitted"/>
    <n v="9"/>
    <x v="0"/>
  </r>
  <r>
    <d v="2024-09-12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6762"/>
    <x v="1"/>
    <x v="1"/>
    <s v="Standard Timecode"/>
    <n v="90"/>
    <n v="4.75"/>
    <d v="1899-12-30T04:45:00"/>
    <n v="427.5"/>
    <m/>
    <m/>
    <m/>
    <s v="GBP"/>
    <s v="Reviewed"/>
    <s v=" "/>
    <s v="Not submitted"/>
    <n v="9"/>
    <x v="0"/>
  </r>
  <r>
    <d v="2024-09-13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7337"/>
    <x v="1"/>
    <x v="1"/>
    <s v="Standard Timecode"/>
    <n v="90"/>
    <n v="2"/>
    <d v="1899-12-30T02:00:00"/>
    <n v="180"/>
    <m/>
    <m/>
    <m/>
    <s v="GBP"/>
    <s v="Reviewed"/>
    <s v=" "/>
    <s v="Not submitted"/>
    <n v="9"/>
    <x v="0"/>
  </r>
  <r>
    <d v="2024-09-16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8126"/>
    <x v="1"/>
    <x v="1"/>
    <s v="Standard Timecode"/>
    <n v="90"/>
    <n v="0.25"/>
    <d v="1899-12-30T00:15:00"/>
    <n v="22.5"/>
    <m/>
    <m/>
    <m/>
    <s v="GBP"/>
    <s v="Reviewed"/>
    <s v=" "/>
    <s v="Not submitted"/>
    <n v="9"/>
    <x v="0"/>
  </r>
  <r>
    <d v="2024-09-17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8527"/>
    <x v="1"/>
    <x v="1"/>
    <s v="Standard Timecode"/>
    <n v="90"/>
    <n v="3"/>
    <d v="1899-12-30T03:00:00"/>
    <n v="270"/>
    <m/>
    <m/>
    <m/>
    <s v="GBP"/>
    <s v="Reviewed"/>
    <s v=" "/>
    <s v="Not submitted"/>
    <n v="9"/>
    <x v="0"/>
  </r>
  <r>
    <d v="2024-09-18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9113"/>
    <x v="1"/>
    <x v="1"/>
    <s v="Standard Timecode"/>
    <n v="90"/>
    <n v="4"/>
    <d v="1899-12-30T04:00:00"/>
    <n v="360"/>
    <m/>
    <m/>
    <m/>
    <s v="GBP"/>
    <s v="Reviewed"/>
    <s v=" "/>
    <s v="Not submitted"/>
    <n v="9"/>
    <x v="0"/>
  </r>
  <r>
    <d v="2024-09-19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9601"/>
    <x v="1"/>
    <x v="1"/>
    <s v="Standard Timecode"/>
    <n v="90"/>
    <n v="7"/>
    <d v="1899-12-30T07:00:00"/>
    <n v="630"/>
    <m/>
    <m/>
    <m/>
    <s v="GBP"/>
    <s v="Reviewed"/>
    <s v=" "/>
    <s v="Not submitted"/>
    <n v="9"/>
    <x v="0"/>
  </r>
  <r>
    <d v="2024-09-20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0229"/>
    <x v="1"/>
    <x v="1"/>
    <s v="Standard Timecode"/>
    <n v="90"/>
    <n v="5.75"/>
    <d v="1899-12-30T05:45:00"/>
    <n v="517.5"/>
    <m/>
    <m/>
    <m/>
    <s v="GBP"/>
    <s v="Reviewed"/>
    <s v=" "/>
    <s v="Not submitted"/>
    <n v="9"/>
    <x v="0"/>
  </r>
  <r>
    <d v="2024-09-23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0824"/>
    <x v="1"/>
    <x v="1"/>
    <s v="Standard Timecode"/>
    <n v="90"/>
    <n v="5"/>
    <d v="1899-12-30T05:00:00"/>
    <n v="450"/>
    <m/>
    <m/>
    <m/>
    <s v="GBP"/>
    <s v="Reviewed"/>
    <s v=" "/>
    <s v="Not submitted"/>
    <n v="9"/>
    <x v="0"/>
  </r>
  <r>
    <d v="2024-09-24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1042"/>
    <x v="1"/>
    <x v="1"/>
    <s v="Standard Timecode"/>
    <n v="90"/>
    <n v="4.5"/>
    <d v="1899-12-30T04:30:00"/>
    <n v="405"/>
    <m/>
    <m/>
    <m/>
    <s v="GBP"/>
    <s v="Reviewed"/>
    <s v=" "/>
    <s v="Not submitted"/>
    <n v="9"/>
    <x v="0"/>
  </r>
  <r>
    <d v="2024-09-26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2000"/>
    <x v="1"/>
    <x v="1"/>
    <s v="Standard Timecode"/>
    <n v="90"/>
    <n v="3.5"/>
    <d v="1899-12-30T03:30:00"/>
    <n v="315"/>
    <m/>
    <m/>
    <m/>
    <s v="GBP"/>
    <s v="Reviewed"/>
    <s v=" "/>
    <s v="Not submitted"/>
    <n v="9"/>
    <x v="0"/>
  </r>
  <r>
    <d v="2024-09-27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2531"/>
    <x v="1"/>
    <x v="1"/>
    <s v="Standard Timecode"/>
    <n v="90"/>
    <n v="1"/>
    <d v="1899-12-30T01:00:00"/>
    <n v="90"/>
    <m/>
    <m/>
    <m/>
    <s v="GBP"/>
    <s v="Reviewed"/>
    <s v=" "/>
    <s v="Not submitted"/>
    <n v="9"/>
    <x v="0"/>
  </r>
  <r>
    <d v="2024-09-10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512"/>
    <x v="1"/>
    <x v="1"/>
    <s v="Standard Timecode"/>
    <n v="90"/>
    <n v="1"/>
    <d v="1899-12-30T01:00:00"/>
    <n v="90"/>
    <m/>
    <m/>
    <m/>
    <s v="GBP"/>
    <s v="Reviewed"/>
    <s v="Kickoff call"/>
    <s v="Not submitted"/>
    <n v="9"/>
    <x v="0"/>
  </r>
  <r>
    <d v="2024-09-23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2552"/>
    <x v="1"/>
    <x v="1"/>
    <s v="Standard Timecode"/>
    <n v="90"/>
    <n v="0.5"/>
    <d v="1899-12-30T00:30:00"/>
    <n v="45"/>
    <m/>
    <m/>
    <m/>
    <s v="GBP"/>
    <s v="Reviewed"/>
    <s v="Design session with Nikki"/>
    <s v="Not submitted"/>
    <n v="9"/>
    <x v="0"/>
  </r>
  <r>
    <d v="2024-09-24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2555"/>
    <x v="1"/>
    <x v="1"/>
    <s v="Standard Timecode"/>
    <n v="90"/>
    <n v="0.5"/>
    <d v="1899-12-30T00:30:00"/>
    <n v="45"/>
    <m/>
    <m/>
    <m/>
    <s v="GBP"/>
    <s v="Reviewed"/>
    <s v="Design session with Nikki"/>
    <s v="Not submitted"/>
    <n v="9"/>
    <x v="0"/>
  </r>
  <r>
    <d v="2024-09-10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5853"/>
    <x v="0"/>
    <x v="0"/>
    <s v="Standard Timecode"/>
    <n v="0"/>
    <n v="1.25"/>
    <d v="1899-12-30T01:15:00"/>
    <n v="0"/>
    <m/>
    <m/>
    <m/>
    <s v="GBP"/>
    <s v="Reviewed"/>
    <s v=" "/>
    <s v="Not submitted"/>
    <n v="9"/>
    <x v="0"/>
  </r>
  <r>
    <d v="2024-09-11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5852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2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013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3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291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09-16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8099"/>
    <x v="0"/>
    <x v="0"/>
    <s v="Standard Timecode"/>
    <n v="0"/>
    <n v="0.75"/>
    <d v="1899-12-30T00:45:00"/>
    <n v="0"/>
    <m/>
    <m/>
    <m/>
    <s v="GBP"/>
    <s v="Reviewed"/>
    <s v=" "/>
    <s v="Not submitted"/>
    <n v="9"/>
    <x v="0"/>
  </r>
  <r>
    <d v="2024-09-17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8904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8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9339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9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9694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09-20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0199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831AB-8113-4CF9-A241-3AFB778B74DC}" name="PivotTable1" cacheId="66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43.7109375" bestFit="1" customWidth="1"/>
    <col min="9" max="9" width="26.5703125" bestFit="1" customWidth="1"/>
    <col min="10" max="10" width="13.42578125" bestFit="1" customWidth="1"/>
    <col min="11" max="11" width="13.28515625" bestFit="1" customWidth="1"/>
  </cols>
  <sheetData>
    <row r="1" spans="1:11">
      <c r="A1" s="4" t="s">
        <v>0</v>
      </c>
      <c r="B1" t="s">
        <v>1</v>
      </c>
      <c r="D1" s="6" t="s">
        <v>2</v>
      </c>
      <c r="H1" s="11" t="s">
        <v>3</v>
      </c>
      <c r="I1" s="12" t="s">
        <v>4</v>
      </c>
      <c r="J1" s="12" t="s">
        <v>5</v>
      </c>
      <c r="K1" s="12" t="s">
        <v>6</v>
      </c>
    </row>
    <row r="2" spans="1:11">
      <c r="A2" s="4" t="s">
        <v>7</v>
      </c>
      <c r="B2" t="s">
        <v>8</v>
      </c>
      <c r="H2" s="13" t="s">
        <v>9</v>
      </c>
      <c r="I2" s="13" t="s">
        <v>10</v>
      </c>
      <c r="J2" s="13" t="s">
        <v>11</v>
      </c>
      <c r="K2" s="13" t="s">
        <v>12</v>
      </c>
    </row>
    <row r="3" spans="1:11">
      <c r="C3"/>
      <c r="G3" s="7"/>
      <c r="H3" s="13" t="s">
        <v>13</v>
      </c>
      <c r="I3" s="13" t="s">
        <v>14</v>
      </c>
      <c r="J3" s="13" t="s">
        <v>15</v>
      </c>
      <c r="K3" s="13" t="s">
        <v>16</v>
      </c>
    </row>
    <row r="4" spans="1:11">
      <c r="A4" s="4" t="s">
        <v>17</v>
      </c>
      <c r="B4" s="4" t="s">
        <v>18</v>
      </c>
      <c r="H4" s="13" t="s">
        <v>19</v>
      </c>
      <c r="I4" s="13" t="s">
        <v>20</v>
      </c>
      <c r="J4" s="13" t="s">
        <v>21</v>
      </c>
      <c r="K4" s="13" t="s">
        <v>22</v>
      </c>
    </row>
    <row r="5" spans="1:11">
      <c r="A5" s="4" t="s">
        <v>23</v>
      </c>
      <c r="B5" t="s">
        <v>24</v>
      </c>
      <c r="C5" t="s">
        <v>25</v>
      </c>
      <c r="H5" s="13" t="s">
        <v>26</v>
      </c>
      <c r="I5" s="13" t="s">
        <v>20</v>
      </c>
      <c r="J5" s="13" t="s">
        <v>21</v>
      </c>
      <c r="K5" s="13" t="s">
        <v>22</v>
      </c>
    </row>
    <row r="6" spans="1:11">
      <c r="A6" s="5" t="s">
        <v>27</v>
      </c>
      <c r="B6" s="9">
        <v>2</v>
      </c>
      <c r="C6" s="9">
        <v>2</v>
      </c>
      <c r="H6" s="13" t="s">
        <v>28</v>
      </c>
      <c r="I6" s="13" t="s">
        <v>29</v>
      </c>
      <c r="J6" s="13" t="s">
        <v>30</v>
      </c>
      <c r="K6" s="13" t="s">
        <v>31</v>
      </c>
    </row>
    <row r="7" spans="1:11" ht="15.6">
      <c r="A7" s="5" t="s">
        <v>32</v>
      </c>
      <c r="B7" s="9">
        <v>44.5</v>
      </c>
      <c r="C7" s="9">
        <v>44.5</v>
      </c>
      <c r="H7" s="10"/>
      <c r="I7" s="10"/>
      <c r="J7" s="10"/>
      <c r="K7" s="10"/>
    </row>
    <row r="8" spans="1:11" ht="16.149999999999999" thickBot="1">
      <c r="A8" s="5" t="s">
        <v>25</v>
      </c>
      <c r="B8" s="9">
        <v>46.5</v>
      </c>
      <c r="C8" s="9">
        <v>46.5</v>
      </c>
      <c r="H8" s="14" t="s">
        <v>33</v>
      </c>
      <c r="I8" s="14" t="s">
        <v>34</v>
      </c>
      <c r="J8" s="14" t="s">
        <v>35</v>
      </c>
      <c r="K8" s="14" t="s">
        <v>36</v>
      </c>
    </row>
    <row r="9" spans="1:11" ht="15" thickTop="1">
      <c r="C9"/>
    </row>
    <row r="10" spans="1:11">
      <c r="C10"/>
    </row>
    <row r="11" spans="1:11">
      <c r="C11"/>
    </row>
    <row r="12" spans="1:11">
      <c r="C12"/>
    </row>
    <row r="13" spans="1:11">
      <c r="C13"/>
    </row>
    <row r="14" spans="1:11">
      <c r="C14"/>
    </row>
    <row r="15" spans="1:11">
      <c r="C15"/>
    </row>
    <row r="16" spans="1:11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N1" workbookViewId="0">
      <pane ySplit="1" topLeftCell="A2" activePane="bottomLeft" state="frozen"/>
      <selection pane="bottomLeft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28515625" bestFit="1" customWidth="1"/>
    <col min="5" max="5" width="15.42578125" bestFit="1" customWidth="1"/>
    <col min="6" max="6" width="14.85546875" bestFit="1" customWidth="1"/>
    <col min="7" max="7" width="14.7109375" bestFit="1" customWidth="1"/>
    <col min="8" max="8" width="14.42578125" bestFit="1" customWidth="1"/>
    <col min="9" max="9" width="25.5703125" bestFit="1" customWidth="1"/>
    <col min="10" max="10" width="11.28515625" bestFit="1" customWidth="1"/>
    <col min="11" max="11" width="37.2851562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1.85546875" bestFit="1" customWidth="1"/>
    <col min="17" max="17" width="20.5703125" bestFit="1" customWidth="1"/>
    <col min="18" max="18" width="20.42578125" bestFit="1" customWidth="1"/>
    <col min="19" max="19" width="17.7109375" bestFit="1" customWidth="1"/>
    <col min="20" max="20" width="13.5703125" bestFit="1" customWidth="1"/>
    <col min="21" max="21" width="6.140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7" width="8.42578125" bestFit="1" customWidth="1"/>
    <col min="28" max="28" width="14.7109375" bestFit="1" customWidth="1"/>
    <col min="29" max="29" width="14.42578125" bestFit="1" customWidth="1"/>
    <col min="30" max="30" width="15.5703125" bestFit="1" customWidth="1"/>
    <col min="31" max="31" width="6.7109375" bestFit="1" customWidth="1"/>
    <col min="32" max="32" width="10" bestFit="1" customWidth="1"/>
  </cols>
  <sheetData>
    <row r="1" spans="1:32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7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s="3" t="s">
        <v>66</v>
      </c>
      <c r="AF1" s="3" t="s">
        <v>0</v>
      </c>
    </row>
    <row r="2" spans="1:32">
      <c r="A2" s="1">
        <v>45558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69</v>
      </c>
      <c r="L2" t="s">
        <v>76</v>
      </c>
      <c r="M2" t="s">
        <v>27</v>
      </c>
      <c r="N2" t="s">
        <v>77</v>
      </c>
      <c r="O2" t="s">
        <v>78</v>
      </c>
      <c r="P2">
        <v>300856</v>
      </c>
      <c r="Q2" t="s">
        <v>79</v>
      </c>
      <c r="R2" t="s">
        <v>80</v>
      </c>
      <c r="S2" t="s">
        <v>81</v>
      </c>
      <c r="T2">
        <v>0</v>
      </c>
      <c r="U2">
        <v>0.25</v>
      </c>
      <c r="V2" s="2">
        <v>1.0416666666666666E-2</v>
      </c>
      <c r="W2">
        <v>0</v>
      </c>
      <c r="AA2" t="s">
        <v>82</v>
      </c>
      <c r="AB2" t="s">
        <v>83</v>
      </c>
      <c r="AC2" t="s">
        <v>84</v>
      </c>
      <c r="AD2" t="s">
        <v>85</v>
      </c>
      <c r="AE2">
        <f>MONTH(A2)</f>
        <v>9</v>
      </c>
      <c r="AF2" t="str">
        <f>IF(AE2=7,"July",IF(AE2=8,"August",IF(AE2=9,"September",IF(AE2=10,"October",IF(AE2=11,"November")))))</f>
        <v>September</v>
      </c>
    </row>
    <row r="3" spans="1:32">
      <c r="A3" s="1">
        <v>45545</v>
      </c>
      <c r="B3" t="s">
        <v>86</v>
      </c>
      <c r="C3" t="s">
        <v>68</v>
      </c>
      <c r="D3" t="s">
        <v>69</v>
      </c>
      <c r="E3" t="s">
        <v>87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69</v>
      </c>
      <c r="L3" t="s">
        <v>76</v>
      </c>
      <c r="M3" t="s">
        <v>27</v>
      </c>
      <c r="N3" t="s">
        <v>27</v>
      </c>
      <c r="O3" t="s">
        <v>78</v>
      </c>
      <c r="P3">
        <v>295597</v>
      </c>
      <c r="Q3" t="s">
        <v>79</v>
      </c>
      <c r="R3" t="s">
        <v>80</v>
      </c>
      <c r="S3" t="s">
        <v>81</v>
      </c>
      <c r="T3">
        <v>0</v>
      </c>
      <c r="U3">
        <v>1</v>
      </c>
      <c r="V3" s="2">
        <v>4.1666666666666664E-2</v>
      </c>
      <c r="W3">
        <v>0</v>
      </c>
      <c r="AA3" t="s">
        <v>82</v>
      </c>
      <c r="AB3" t="s">
        <v>83</v>
      </c>
      <c r="AC3" t="s">
        <v>88</v>
      </c>
      <c r="AD3" t="s">
        <v>85</v>
      </c>
      <c r="AE3">
        <f t="shared" ref="AE3:AE13" si="0">MONTH(A3)</f>
        <v>9</v>
      </c>
      <c r="AF3" t="str">
        <f t="shared" ref="AF3:AF13" si="1">IF(AE3=7,"July",IF(AE3=8,"August",IF(AE3=9,"September",IF(AE3=10,"October",IF(AE3=11,"November")))))</f>
        <v>September</v>
      </c>
    </row>
    <row r="4" spans="1:32">
      <c r="A4" s="1">
        <v>45547</v>
      </c>
      <c r="B4" t="s">
        <v>86</v>
      </c>
      <c r="C4" t="s">
        <v>68</v>
      </c>
      <c r="D4" t="s">
        <v>69</v>
      </c>
      <c r="E4" t="s">
        <v>87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69</v>
      </c>
      <c r="L4" t="s">
        <v>76</v>
      </c>
      <c r="M4" t="s">
        <v>27</v>
      </c>
      <c r="N4" t="s">
        <v>27</v>
      </c>
      <c r="O4" t="s">
        <v>78</v>
      </c>
      <c r="P4">
        <v>296751</v>
      </c>
      <c r="Q4" t="s">
        <v>79</v>
      </c>
      <c r="R4" t="s">
        <v>80</v>
      </c>
      <c r="S4" t="s">
        <v>81</v>
      </c>
      <c r="T4">
        <v>0</v>
      </c>
      <c r="U4">
        <v>0.5</v>
      </c>
      <c r="V4" s="2">
        <v>2.0833333333333332E-2</v>
      </c>
      <c r="W4">
        <v>0</v>
      </c>
      <c r="AA4" t="s">
        <v>82</v>
      </c>
      <c r="AB4" t="s">
        <v>83</v>
      </c>
      <c r="AC4" t="s">
        <v>77</v>
      </c>
      <c r="AD4" t="s">
        <v>85</v>
      </c>
      <c r="AE4">
        <f t="shared" si="0"/>
        <v>9</v>
      </c>
      <c r="AF4" t="str">
        <f t="shared" si="1"/>
        <v>September</v>
      </c>
    </row>
    <row r="5" spans="1:32">
      <c r="A5" s="1">
        <v>45555</v>
      </c>
      <c r="B5" t="s">
        <v>86</v>
      </c>
      <c r="C5" t="s">
        <v>68</v>
      </c>
      <c r="D5" t="s">
        <v>69</v>
      </c>
      <c r="E5" t="s">
        <v>87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69</v>
      </c>
      <c r="L5" t="s">
        <v>76</v>
      </c>
      <c r="M5" t="s">
        <v>27</v>
      </c>
      <c r="N5" t="s">
        <v>27</v>
      </c>
      <c r="O5" t="s">
        <v>78</v>
      </c>
      <c r="P5">
        <v>300039</v>
      </c>
      <c r="Q5" t="s">
        <v>79</v>
      </c>
      <c r="R5" t="s">
        <v>80</v>
      </c>
      <c r="S5" t="s">
        <v>81</v>
      </c>
      <c r="T5">
        <v>0</v>
      </c>
      <c r="U5">
        <v>1</v>
      </c>
      <c r="V5" s="2">
        <v>4.1666666666666664E-2</v>
      </c>
      <c r="W5">
        <v>0</v>
      </c>
      <c r="AA5" t="s">
        <v>82</v>
      </c>
      <c r="AB5" t="s">
        <v>83</v>
      </c>
      <c r="AC5" t="s">
        <v>77</v>
      </c>
      <c r="AD5" t="s">
        <v>85</v>
      </c>
      <c r="AE5">
        <f t="shared" si="0"/>
        <v>9</v>
      </c>
      <c r="AF5" t="str">
        <f t="shared" si="1"/>
        <v>September</v>
      </c>
    </row>
    <row r="6" spans="1:32">
      <c r="A6" s="1">
        <v>45561</v>
      </c>
      <c r="B6" t="s">
        <v>86</v>
      </c>
      <c r="C6" t="s">
        <v>68</v>
      </c>
      <c r="D6" t="s">
        <v>69</v>
      </c>
      <c r="E6" t="s">
        <v>87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69</v>
      </c>
      <c r="L6" t="s">
        <v>76</v>
      </c>
      <c r="M6" t="s">
        <v>27</v>
      </c>
      <c r="N6" t="s">
        <v>27</v>
      </c>
      <c r="O6" t="s">
        <v>78</v>
      </c>
      <c r="P6">
        <v>301819</v>
      </c>
      <c r="Q6" t="s">
        <v>79</v>
      </c>
      <c r="R6" t="s">
        <v>80</v>
      </c>
      <c r="S6" t="s">
        <v>81</v>
      </c>
      <c r="T6">
        <v>0</v>
      </c>
      <c r="U6">
        <v>0.25</v>
      </c>
      <c r="V6" s="2">
        <v>1.0416666666666666E-2</v>
      </c>
      <c r="W6">
        <v>0</v>
      </c>
      <c r="AA6" t="s">
        <v>82</v>
      </c>
      <c r="AB6" t="s">
        <v>83</v>
      </c>
      <c r="AC6" t="s">
        <v>77</v>
      </c>
      <c r="AD6" t="s">
        <v>85</v>
      </c>
      <c r="AE6">
        <f t="shared" si="0"/>
        <v>9</v>
      </c>
      <c r="AF6" t="str">
        <f t="shared" si="1"/>
        <v>September</v>
      </c>
    </row>
    <row r="7" spans="1:32">
      <c r="A7" s="1">
        <v>45544</v>
      </c>
      <c r="B7" t="s">
        <v>32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69</v>
      </c>
      <c r="L7" t="s">
        <v>76</v>
      </c>
      <c r="M7" t="s">
        <v>27</v>
      </c>
      <c r="N7" t="s">
        <v>89</v>
      </c>
      <c r="O7" t="s">
        <v>78</v>
      </c>
      <c r="P7">
        <v>295307</v>
      </c>
      <c r="Q7" t="s">
        <v>24</v>
      </c>
      <c r="R7" t="s">
        <v>8</v>
      </c>
      <c r="S7" t="s">
        <v>81</v>
      </c>
      <c r="T7">
        <v>90</v>
      </c>
      <c r="U7">
        <v>2.25</v>
      </c>
      <c r="V7" s="2">
        <v>9.375E-2</v>
      </c>
      <c r="W7">
        <v>202.5</v>
      </c>
      <c r="AA7" t="s">
        <v>82</v>
      </c>
      <c r="AB7" t="s">
        <v>83</v>
      </c>
      <c r="AC7" t="s">
        <v>77</v>
      </c>
      <c r="AD7" t="s">
        <v>85</v>
      </c>
      <c r="AE7">
        <f t="shared" si="0"/>
        <v>9</v>
      </c>
      <c r="AF7" t="str">
        <f t="shared" si="1"/>
        <v>September</v>
      </c>
    </row>
    <row r="8" spans="1:32">
      <c r="A8" s="1">
        <v>45545</v>
      </c>
      <c r="B8" t="s">
        <v>32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69</v>
      </c>
      <c r="L8" t="s">
        <v>76</v>
      </c>
      <c r="M8" t="s">
        <v>27</v>
      </c>
      <c r="N8" t="s">
        <v>89</v>
      </c>
      <c r="O8" t="s">
        <v>78</v>
      </c>
      <c r="P8">
        <v>295796</v>
      </c>
      <c r="Q8" t="s">
        <v>24</v>
      </c>
      <c r="R8" t="s">
        <v>8</v>
      </c>
      <c r="S8" t="s">
        <v>81</v>
      </c>
      <c r="T8">
        <v>90</v>
      </c>
      <c r="U8">
        <v>1.25</v>
      </c>
      <c r="V8" s="2">
        <v>5.2083333333333336E-2</v>
      </c>
      <c r="W8">
        <v>112.5</v>
      </c>
      <c r="AA8" t="s">
        <v>82</v>
      </c>
      <c r="AB8" t="s">
        <v>83</v>
      </c>
      <c r="AC8" t="s">
        <v>77</v>
      </c>
      <c r="AD8" t="s">
        <v>85</v>
      </c>
      <c r="AE8">
        <f t="shared" si="0"/>
        <v>9</v>
      </c>
      <c r="AF8" t="str">
        <f t="shared" si="1"/>
        <v>September</v>
      </c>
    </row>
    <row r="9" spans="1:32">
      <c r="A9" s="1">
        <v>45546</v>
      </c>
      <c r="B9" t="s">
        <v>32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69</v>
      </c>
      <c r="L9" t="s">
        <v>76</v>
      </c>
      <c r="M9" t="s">
        <v>27</v>
      </c>
      <c r="N9" t="s">
        <v>89</v>
      </c>
      <c r="O9" t="s">
        <v>78</v>
      </c>
      <c r="P9">
        <v>296231</v>
      </c>
      <c r="Q9" t="s">
        <v>24</v>
      </c>
      <c r="R9" t="s">
        <v>8</v>
      </c>
      <c r="S9" t="s">
        <v>81</v>
      </c>
      <c r="T9">
        <v>90</v>
      </c>
      <c r="U9">
        <v>0.25</v>
      </c>
      <c r="V9" s="2">
        <v>1.0416666666666666E-2</v>
      </c>
      <c r="W9">
        <v>22.5</v>
      </c>
      <c r="AA9" t="s">
        <v>82</v>
      </c>
      <c r="AB9" t="s">
        <v>83</v>
      </c>
      <c r="AC9" t="s">
        <v>77</v>
      </c>
      <c r="AD9" t="s">
        <v>85</v>
      </c>
      <c r="AE9">
        <f t="shared" si="0"/>
        <v>9</v>
      </c>
      <c r="AF9" t="str">
        <f t="shared" si="1"/>
        <v>September</v>
      </c>
    </row>
    <row r="10" spans="1:32">
      <c r="A10" s="1">
        <v>45547</v>
      </c>
      <c r="B10" t="s">
        <v>32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69</v>
      </c>
      <c r="L10" t="s">
        <v>76</v>
      </c>
      <c r="M10" t="s">
        <v>27</v>
      </c>
      <c r="N10" t="s">
        <v>89</v>
      </c>
      <c r="O10" t="s">
        <v>78</v>
      </c>
      <c r="P10">
        <v>296762</v>
      </c>
      <c r="Q10" t="s">
        <v>24</v>
      </c>
      <c r="R10" t="s">
        <v>8</v>
      </c>
      <c r="S10" t="s">
        <v>81</v>
      </c>
      <c r="T10">
        <v>90</v>
      </c>
      <c r="U10">
        <v>4.75</v>
      </c>
      <c r="V10" s="2">
        <v>0.19791666666666666</v>
      </c>
      <c r="W10">
        <v>427.5</v>
      </c>
      <c r="AA10" t="s">
        <v>82</v>
      </c>
      <c r="AB10" t="s">
        <v>83</v>
      </c>
      <c r="AC10" t="s">
        <v>77</v>
      </c>
      <c r="AD10" t="s">
        <v>85</v>
      </c>
      <c r="AE10">
        <f t="shared" si="0"/>
        <v>9</v>
      </c>
      <c r="AF10" t="str">
        <f t="shared" si="1"/>
        <v>September</v>
      </c>
    </row>
    <row r="11" spans="1:32">
      <c r="A11" s="1">
        <v>45548</v>
      </c>
      <c r="B11" t="s">
        <v>32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69</v>
      </c>
      <c r="L11" t="s">
        <v>76</v>
      </c>
      <c r="M11" t="s">
        <v>27</v>
      </c>
      <c r="N11" t="s">
        <v>89</v>
      </c>
      <c r="O11" t="s">
        <v>78</v>
      </c>
      <c r="P11">
        <v>297337</v>
      </c>
      <c r="Q11" t="s">
        <v>24</v>
      </c>
      <c r="R11" t="s">
        <v>8</v>
      </c>
      <c r="S11" t="s">
        <v>81</v>
      </c>
      <c r="T11">
        <v>90</v>
      </c>
      <c r="U11">
        <v>2</v>
      </c>
      <c r="V11" s="2">
        <v>8.3333333333333329E-2</v>
      </c>
      <c r="W11">
        <v>180</v>
      </c>
      <c r="AA11" t="s">
        <v>82</v>
      </c>
      <c r="AB11" t="s">
        <v>83</v>
      </c>
      <c r="AC11" t="s">
        <v>77</v>
      </c>
      <c r="AD11" t="s">
        <v>85</v>
      </c>
      <c r="AE11">
        <f t="shared" si="0"/>
        <v>9</v>
      </c>
      <c r="AF11" t="str">
        <f t="shared" si="1"/>
        <v>September</v>
      </c>
    </row>
    <row r="12" spans="1:32">
      <c r="A12" s="1">
        <v>45551</v>
      </c>
      <c r="B12" t="s">
        <v>32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69</v>
      </c>
      <c r="L12" t="s">
        <v>76</v>
      </c>
      <c r="M12" t="s">
        <v>27</v>
      </c>
      <c r="N12" t="s">
        <v>89</v>
      </c>
      <c r="O12" t="s">
        <v>78</v>
      </c>
      <c r="P12">
        <v>298126</v>
      </c>
      <c r="Q12" t="s">
        <v>24</v>
      </c>
      <c r="R12" t="s">
        <v>8</v>
      </c>
      <c r="S12" t="s">
        <v>81</v>
      </c>
      <c r="T12">
        <v>90</v>
      </c>
      <c r="U12">
        <v>0.25</v>
      </c>
      <c r="V12" s="2">
        <v>1.0416666666666666E-2</v>
      </c>
      <c r="W12">
        <v>22.5</v>
      </c>
      <c r="AA12" t="s">
        <v>82</v>
      </c>
      <c r="AB12" t="s">
        <v>83</v>
      </c>
      <c r="AC12" t="s">
        <v>77</v>
      </c>
      <c r="AD12" t="s">
        <v>85</v>
      </c>
      <c r="AE12">
        <f t="shared" si="0"/>
        <v>9</v>
      </c>
      <c r="AF12" t="str">
        <f t="shared" si="1"/>
        <v>September</v>
      </c>
    </row>
    <row r="13" spans="1:32">
      <c r="A13" s="1">
        <v>45552</v>
      </c>
      <c r="B13" t="s">
        <v>32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  <c r="I13" t="s">
        <v>74</v>
      </c>
      <c r="J13" t="s">
        <v>75</v>
      </c>
      <c r="K13" t="s">
        <v>69</v>
      </c>
      <c r="L13" t="s">
        <v>76</v>
      </c>
      <c r="M13" t="s">
        <v>27</v>
      </c>
      <c r="N13" t="s">
        <v>89</v>
      </c>
      <c r="O13" t="s">
        <v>78</v>
      </c>
      <c r="P13">
        <v>298527</v>
      </c>
      <c r="Q13" t="s">
        <v>24</v>
      </c>
      <c r="R13" t="s">
        <v>8</v>
      </c>
      <c r="S13" t="s">
        <v>81</v>
      </c>
      <c r="T13">
        <v>90</v>
      </c>
      <c r="U13">
        <v>3</v>
      </c>
      <c r="V13" s="2">
        <v>0.125</v>
      </c>
      <c r="W13">
        <v>270</v>
      </c>
      <c r="AA13" t="s">
        <v>82</v>
      </c>
      <c r="AB13" t="s">
        <v>83</v>
      </c>
      <c r="AC13" t="s">
        <v>77</v>
      </c>
      <c r="AD13" t="s">
        <v>85</v>
      </c>
      <c r="AE13">
        <f t="shared" si="0"/>
        <v>9</v>
      </c>
      <c r="AF13" t="str">
        <f t="shared" si="1"/>
        <v>September</v>
      </c>
    </row>
    <row r="14" spans="1:32">
      <c r="A14" s="1">
        <v>45553</v>
      </c>
      <c r="B14" t="s">
        <v>32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  <c r="J14" t="s">
        <v>75</v>
      </c>
      <c r="K14" t="s">
        <v>69</v>
      </c>
      <c r="L14" t="s">
        <v>76</v>
      </c>
      <c r="M14" t="s">
        <v>27</v>
      </c>
      <c r="N14" t="s">
        <v>89</v>
      </c>
      <c r="O14" t="s">
        <v>78</v>
      </c>
      <c r="P14">
        <v>299113</v>
      </c>
      <c r="Q14" t="s">
        <v>24</v>
      </c>
      <c r="R14" t="s">
        <v>8</v>
      </c>
      <c r="S14" t="s">
        <v>81</v>
      </c>
      <c r="T14">
        <v>90</v>
      </c>
      <c r="U14">
        <v>4</v>
      </c>
      <c r="V14" s="2">
        <v>0.16666666666666666</v>
      </c>
      <c r="W14">
        <v>360</v>
      </c>
      <c r="AA14" t="s">
        <v>82</v>
      </c>
      <c r="AB14" t="s">
        <v>83</v>
      </c>
      <c r="AC14" t="s">
        <v>77</v>
      </c>
      <c r="AD14" t="s">
        <v>85</v>
      </c>
      <c r="AE14">
        <f t="shared" ref="AE14:AE24" si="2">MONTH(A14)</f>
        <v>9</v>
      </c>
      <c r="AF14" t="str">
        <f t="shared" ref="AF14:AF24" si="3">IF(AE14=7,"July",IF(AE14=8,"August",IF(AE14=9,"September",IF(AE14=10,"October",IF(AE14=11,"November")))))</f>
        <v>September</v>
      </c>
    </row>
    <row r="15" spans="1:32">
      <c r="A15" s="1">
        <v>45554</v>
      </c>
      <c r="B15" t="s">
        <v>32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  <c r="J15" t="s">
        <v>75</v>
      </c>
      <c r="K15" t="s">
        <v>69</v>
      </c>
      <c r="L15" t="s">
        <v>76</v>
      </c>
      <c r="M15" t="s">
        <v>27</v>
      </c>
      <c r="N15" t="s">
        <v>89</v>
      </c>
      <c r="O15" t="s">
        <v>78</v>
      </c>
      <c r="P15">
        <v>299601</v>
      </c>
      <c r="Q15" t="s">
        <v>24</v>
      </c>
      <c r="R15" t="s">
        <v>8</v>
      </c>
      <c r="S15" t="s">
        <v>81</v>
      </c>
      <c r="T15">
        <v>90</v>
      </c>
      <c r="U15">
        <v>7</v>
      </c>
      <c r="V15" s="2">
        <v>0.29166666666666669</v>
      </c>
      <c r="W15">
        <v>630</v>
      </c>
      <c r="AA15" t="s">
        <v>82</v>
      </c>
      <c r="AB15" t="s">
        <v>83</v>
      </c>
      <c r="AC15" t="s">
        <v>77</v>
      </c>
      <c r="AD15" t="s">
        <v>85</v>
      </c>
      <c r="AE15">
        <f t="shared" si="2"/>
        <v>9</v>
      </c>
      <c r="AF15" t="str">
        <f t="shared" si="3"/>
        <v>September</v>
      </c>
    </row>
    <row r="16" spans="1:32">
      <c r="A16" s="1">
        <v>45555</v>
      </c>
      <c r="B16" t="s">
        <v>32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69</v>
      </c>
      <c r="L16" t="s">
        <v>76</v>
      </c>
      <c r="M16" t="s">
        <v>27</v>
      </c>
      <c r="N16" t="s">
        <v>89</v>
      </c>
      <c r="O16" t="s">
        <v>78</v>
      </c>
      <c r="P16">
        <v>300229</v>
      </c>
      <c r="Q16" t="s">
        <v>24</v>
      </c>
      <c r="R16" t="s">
        <v>8</v>
      </c>
      <c r="S16" t="s">
        <v>81</v>
      </c>
      <c r="T16">
        <v>90</v>
      </c>
      <c r="U16">
        <v>5.75</v>
      </c>
      <c r="V16" s="2">
        <v>0.23958333333333334</v>
      </c>
      <c r="W16">
        <v>517.5</v>
      </c>
      <c r="AA16" t="s">
        <v>82</v>
      </c>
      <c r="AB16" t="s">
        <v>83</v>
      </c>
      <c r="AC16" t="s">
        <v>77</v>
      </c>
      <c r="AD16" t="s">
        <v>85</v>
      </c>
      <c r="AE16">
        <f t="shared" si="2"/>
        <v>9</v>
      </c>
      <c r="AF16" t="str">
        <f t="shared" si="3"/>
        <v>September</v>
      </c>
    </row>
    <row r="17" spans="1:32">
      <c r="A17" s="1">
        <v>45558</v>
      </c>
      <c r="B17" t="s">
        <v>32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 t="s">
        <v>73</v>
      </c>
      <c r="I17" t="s">
        <v>74</v>
      </c>
      <c r="J17" t="s">
        <v>75</v>
      </c>
      <c r="K17" t="s">
        <v>69</v>
      </c>
      <c r="L17" t="s">
        <v>76</v>
      </c>
      <c r="M17" t="s">
        <v>27</v>
      </c>
      <c r="N17" t="s">
        <v>89</v>
      </c>
      <c r="O17" t="s">
        <v>78</v>
      </c>
      <c r="P17">
        <v>300824</v>
      </c>
      <c r="Q17" t="s">
        <v>24</v>
      </c>
      <c r="R17" t="s">
        <v>8</v>
      </c>
      <c r="S17" t="s">
        <v>81</v>
      </c>
      <c r="T17">
        <v>90</v>
      </c>
      <c r="U17">
        <v>5</v>
      </c>
      <c r="V17" s="2">
        <v>0.20833333333333334</v>
      </c>
      <c r="W17">
        <v>450</v>
      </c>
      <c r="AA17" t="s">
        <v>82</v>
      </c>
      <c r="AB17" t="s">
        <v>83</v>
      </c>
      <c r="AC17" t="s">
        <v>77</v>
      </c>
      <c r="AD17" t="s">
        <v>85</v>
      </c>
      <c r="AE17">
        <f t="shared" si="2"/>
        <v>9</v>
      </c>
      <c r="AF17" t="str">
        <f t="shared" si="3"/>
        <v>September</v>
      </c>
    </row>
    <row r="18" spans="1:32">
      <c r="A18" s="1">
        <v>45559</v>
      </c>
      <c r="B18" t="s">
        <v>32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69</v>
      </c>
      <c r="L18" t="s">
        <v>76</v>
      </c>
      <c r="M18" t="s">
        <v>27</v>
      </c>
      <c r="N18" t="s">
        <v>89</v>
      </c>
      <c r="O18" t="s">
        <v>78</v>
      </c>
      <c r="P18">
        <v>301042</v>
      </c>
      <c r="Q18" t="s">
        <v>24</v>
      </c>
      <c r="R18" t="s">
        <v>8</v>
      </c>
      <c r="S18" t="s">
        <v>81</v>
      </c>
      <c r="T18">
        <v>90</v>
      </c>
      <c r="U18">
        <v>4.5</v>
      </c>
      <c r="V18" s="2">
        <v>0.1875</v>
      </c>
      <c r="W18">
        <v>405</v>
      </c>
      <c r="AA18" t="s">
        <v>82</v>
      </c>
      <c r="AB18" t="s">
        <v>83</v>
      </c>
      <c r="AC18" t="s">
        <v>77</v>
      </c>
      <c r="AD18" t="s">
        <v>85</v>
      </c>
      <c r="AE18">
        <f t="shared" si="2"/>
        <v>9</v>
      </c>
      <c r="AF18" t="str">
        <f t="shared" si="3"/>
        <v>September</v>
      </c>
    </row>
    <row r="19" spans="1:32">
      <c r="A19" s="1">
        <v>45561</v>
      </c>
      <c r="B19" t="s">
        <v>32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75</v>
      </c>
      <c r="K19" t="s">
        <v>69</v>
      </c>
      <c r="L19" t="s">
        <v>76</v>
      </c>
      <c r="M19" t="s">
        <v>27</v>
      </c>
      <c r="N19" t="s">
        <v>89</v>
      </c>
      <c r="O19" t="s">
        <v>78</v>
      </c>
      <c r="P19">
        <v>302000</v>
      </c>
      <c r="Q19" t="s">
        <v>24</v>
      </c>
      <c r="R19" t="s">
        <v>8</v>
      </c>
      <c r="S19" t="s">
        <v>81</v>
      </c>
      <c r="T19">
        <v>90</v>
      </c>
      <c r="U19">
        <v>3.5</v>
      </c>
      <c r="V19" s="2">
        <v>0.14583333333333334</v>
      </c>
      <c r="W19">
        <v>315</v>
      </c>
      <c r="AA19" t="s">
        <v>82</v>
      </c>
      <c r="AB19" t="s">
        <v>83</v>
      </c>
      <c r="AC19" t="s">
        <v>77</v>
      </c>
      <c r="AD19" t="s">
        <v>85</v>
      </c>
      <c r="AE19">
        <f t="shared" si="2"/>
        <v>9</v>
      </c>
      <c r="AF19" t="str">
        <f t="shared" si="3"/>
        <v>September</v>
      </c>
    </row>
    <row r="20" spans="1:32">
      <c r="A20" s="1">
        <v>45562</v>
      </c>
      <c r="B20" t="s">
        <v>32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69</v>
      </c>
      <c r="L20" t="s">
        <v>76</v>
      </c>
      <c r="M20" t="s">
        <v>27</v>
      </c>
      <c r="N20" t="s">
        <v>89</v>
      </c>
      <c r="O20" t="s">
        <v>78</v>
      </c>
      <c r="P20">
        <v>302531</v>
      </c>
      <c r="Q20" t="s">
        <v>24</v>
      </c>
      <c r="R20" t="s">
        <v>8</v>
      </c>
      <c r="S20" t="s">
        <v>81</v>
      </c>
      <c r="T20">
        <v>90</v>
      </c>
      <c r="U20">
        <v>1</v>
      </c>
      <c r="V20" s="2">
        <v>4.1666666666666664E-2</v>
      </c>
      <c r="W20">
        <v>90</v>
      </c>
      <c r="AA20" t="s">
        <v>82</v>
      </c>
      <c r="AB20" t="s">
        <v>83</v>
      </c>
      <c r="AC20" t="s">
        <v>77</v>
      </c>
      <c r="AD20" t="s">
        <v>85</v>
      </c>
      <c r="AE20">
        <f t="shared" si="2"/>
        <v>9</v>
      </c>
      <c r="AF20" t="str">
        <f t="shared" si="3"/>
        <v>September</v>
      </c>
    </row>
    <row r="21" spans="1:32">
      <c r="A21" s="1">
        <v>45545</v>
      </c>
      <c r="B21" t="s">
        <v>27</v>
      </c>
      <c r="C21" t="s">
        <v>68</v>
      </c>
      <c r="D21" t="s">
        <v>69</v>
      </c>
      <c r="E21" t="s">
        <v>87</v>
      </c>
      <c r="F21" t="s">
        <v>71</v>
      </c>
      <c r="G21" t="s">
        <v>72</v>
      </c>
      <c r="H21" t="s">
        <v>73</v>
      </c>
      <c r="I21" t="s">
        <v>74</v>
      </c>
      <c r="J21" t="s">
        <v>75</v>
      </c>
      <c r="K21" t="s">
        <v>69</v>
      </c>
      <c r="L21" t="s">
        <v>76</v>
      </c>
      <c r="M21" t="s">
        <v>27</v>
      </c>
      <c r="N21" t="s">
        <v>77</v>
      </c>
      <c r="O21" t="s">
        <v>78</v>
      </c>
      <c r="P21">
        <v>297512</v>
      </c>
      <c r="Q21" t="s">
        <v>24</v>
      </c>
      <c r="R21" t="s">
        <v>8</v>
      </c>
      <c r="S21" t="s">
        <v>81</v>
      </c>
      <c r="T21">
        <v>90</v>
      </c>
      <c r="U21">
        <v>1</v>
      </c>
      <c r="V21" s="2">
        <v>4.1666666666666664E-2</v>
      </c>
      <c r="W21">
        <v>90</v>
      </c>
      <c r="AA21" t="s">
        <v>82</v>
      </c>
      <c r="AB21" t="s">
        <v>83</v>
      </c>
      <c r="AC21" t="s">
        <v>90</v>
      </c>
      <c r="AD21" t="s">
        <v>85</v>
      </c>
      <c r="AE21">
        <f t="shared" si="2"/>
        <v>9</v>
      </c>
      <c r="AF21" t="str">
        <f t="shared" si="3"/>
        <v>September</v>
      </c>
    </row>
    <row r="22" spans="1:32">
      <c r="A22" s="1">
        <v>45558</v>
      </c>
      <c r="B22" t="s">
        <v>27</v>
      </c>
      <c r="C22" t="s">
        <v>68</v>
      </c>
      <c r="D22" t="s">
        <v>69</v>
      </c>
      <c r="E22" t="s">
        <v>87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69</v>
      </c>
      <c r="L22" t="s">
        <v>76</v>
      </c>
      <c r="M22" t="s">
        <v>27</v>
      </c>
      <c r="N22" t="s">
        <v>77</v>
      </c>
      <c r="O22" t="s">
        <v>78</v>
      </c>
      <c r="P22">
        <v>302552</v>
      </c>
      <c r="Q22" t="s">
        <v>24</v>
      </c>
      <c r="R22" t="s">
        <v>8</v>
      </c>
      <c r="S22" t="s">
        <v>81</v>
      </c>
      <c r="T22">
        <v>90</v>
      </c>
      <c r="U22">
        <v>0.5</v>
      </c>
      <c r="V22" s="2">
        <v>2.0833333333333332E-2</v>
      </c>
      <c r="W22">
        <v>45</v>
      </c>
      <c r="AA22" t="s">
        <v>82</v>
      </c>
      <c r="AB22" t="s">
        <v>83</v>
      </c>
      <c r="AC22" t="s">
        <v>91</v>
      </c>
      <c r="AD22" t="s">
        <v>85</v>
      </c>
      <c r="AE22">
        <f t="shared" si="2"/>
        <v>9</v>
      </c>
      <c r="AF22" t="str">
        <f t="shared" si="3"/>
        <v>September</v>
      </c>
    </row>
    <row r="23" spans="1:32">
      <c r="A23" s="1">
        <v>45559</v>
      </c>
      <c r="B23" t="s">
        <v>27</v>
      </c>
      <c r="C23" t="s">
        <v>68</v>
      </c>
      <c r="D23" t="s">
        <v>69</v>
      </c>
      <c r="E23" t="s">
        <v>87</v>
      </c>
      <c r="F23" t="s">
        <v>71</v>
      </c>
      <c r="G23" t="s">
        <v>72</v>
      </c>
      <c r="H23" t="s">
        <v>73</v>
      </c>
      <c r="I23" t="s">
        <v>74</v>
      </c>
      <c r="J23" t="s">
        <v>75</v>
      </c>
      <c r="K23" t="s">
        <v>69</v>
      </c>
      <c r="L23" t="s">
        <v>76</v>
      </c>
      <c r="M23" t="s">
        <v>27</v>
      </c>
      <c r="N23" t="s">
        <v>77</v>
      </c>
      <c r="O23" t="s">
        <v>78</v>
      </c>
      <c r="P23">
        <v>302555</v>
      </c>
      <c r="Q23" t="s">
        <v>24</v>
      </c>
      <c r="R23" t="s">
        <v>8</v>
      </c>
      <c r="S23" t="s">
        <v>81</v>
      </c>
      <c r="T23">
        <v>90</v>
      </c>
      <c r="U23">
        <v>0.5</v>
      </c>
      <c r="V23" s="2">
        <v>2.0833333333333332E-2</v>
      </c>
      <c r="W23">
        <v>45</v>
      </c>
      <c r="AA23" t="s">
        <v>82</v>
      </c>
      <c r="AB23" t="s">
        <v>83</v>
      </c>
      <c r="AC23" t="s">
        <v>91</v>
      </c>
      <c r="AD23" t="s">
        <v>85</v>
      </c>
      <c r="AE23">
        <f t="shared" si="2"/>
        <v>9</v>
      </c>
      <c r="AF23" t="str">
        <f t="shared" si="3"/>
        <v>September</v>
      </c>
    </row>
    <row r="24" spans="1:32">
      <c r="A24" s="1">
        <v>45545</v>
      </c>
      <c r="B24" t="s">
        <v>76</v>
      </c>
      <c r="C24" t="s">
        <v>68</v>
      </c>
      <c r="D24" t="s">
        <v>69</v>
      </c>
      <c r="E24" t="s">
        <v>87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t="s">
        <v>69</v>
      </c>
      <c r="L24" t="s">
        <v>76</v>
      </c>
      <c r="M24" t="s">
        <v>27</v>
      </c>
      <c r="N24" t="s">
        <v>77</v>
      </c>
      <c r="O24" t="s">
        <v>78</v>
      </c>
      <c r="P24">
        <v>295853</v>
      </c>
      <c r="Q24" t="s">
        <v>79</v>
      </c>
      <c r="R24" t="s">
        <v>80</v>
      </c>
      <c r="S24" t="s">
        <v>81</v>
      </c>
      <c r="T24">
        <v>0</v>
      </c>
      <c r="U24">
        <v>1.25</v>
      </c>
      <c r="V24" s="2">
        <v>5.2083333333333336E-2</v>
      </c>
      <c r="W24">
        <v>0</v>
      </c>
      <c r="AA24" t="s">
        <v>82</v>
      </c>
      <c r="AB24" t="s">
        <v>83</v>
      </c>
      <c r="AC24" t="s">
        <v>77</v>
      </c>
      <c r="AD24" t="s">
        <v>85</v>
      </c>
      <c r="AE24">
        <f t="shared" si="2"/>
        <v>9</v>
      </c>
      <c r="AF24" t="str">
        <f t="shared" si="3"/>
        <v>September</v>
      </c>
    </row>
    <row r="25" spans="1:32">
      <c r="A25" s="1">
        <v>45546</v>
      </c>
      <c r="B25" t="s">
        <v>76</v>
      </c>
      <c r="C25" t="s">
        <v>68</v>
      </c>
      <c r="D25" t="s">
        <v>69</v>
      </c>
      <c r="E25" t="s">
        <v>87</v>
      </c>
      <c r="F25" t="s">
        <v>71</v>
      </c>
      <c r="G25" t="s">
        <v>72</v>
      </c>
      <c r="H25" t="s">
        <v>73</v>
      </c>
      <c r="I25" t="s">
        <v>74</v>
      </c>
      <c r="J25" t="s">
        <v>75</v>
      </c>
      <c r="K25" t="s">
        <v>69</v>
      </c>
      <c r="L25" t="s">
        <v>76</v>
      </c>
      <c r="M25" t="s">
        <v>27</v>
      </c>
      <c r="N25" t="s">
        <v>77</v>
      </c>
      <c r="O25" t="s">
        <v>78</v>
      </c>
      <c r="P25">
        <v>295852</v>
      </c>
      <c r="Q25" t="s">
        <v>79</v>
      </c>
      <c r="R25" t="s">
        <v>80</v>
      </c>
      <c r="S25" t="s">
        <v>81</v>
      </c>
      <c r="T25">
        <v>0</v>
      </c>
      <c r="U25">
        <v>0.5</v>
      </c>
      <c r="V25" s="2">
        <v>2.0833333333333332E-2</v>
      </c>
      <c r="W25">
        <v>0</v>
      </c>
      <c r="AA25" t="s">
        <v>82</v>
      </c>
      <c r="AB25" t="s">
        <v>83</v>
      </c>
      <c r="AC25" t="s">
        <v>77</v>
      </c>
      <c r="AD25" t="s">
        <v>85</v>
      </c>
      <c r="AE25">
        <f t="shared" ref="AE25:AE32" si="4">MONTH(A25)</f>
        <v>9</v>
      </c>
      <c r="AF25" t="str">
        <f t="shared" ref="AF25:AF32" si="5">IF(AE25=7,"July",IF(AE25=8,"August",IF(AE25=9,"September",IF(AE25=10,"October",IF(AE25=11,"November")))))</f>
        <v>September</v>
      </c>
    </row>
    <row r="26" spans="1:32">
      <c r="A26" s="1">
        <v>45547</v>
      </c>
      <c r="B26" t="s">
        <v>76</v>
      </c>
      <c r="C26" t="s">
        <v>68</v>
      </c>
      <c r="D26" t="s">
        <v>69</v>
      </c>
      <c r="E26" t="s">
        <v>87</v>
      </c>
      <c r="F26" t="s">
        <v>71</v>
      </c>
      <c r="G26" t="s">
        <v>72</v>
      </c>
      <c r="H26" t="s">
        <v>73</v>
      </c>
      <c r="I26" t="s">
        <v>74</v>
      </c>
      <c r="J26" t="s">
        <v>75</v>
      </c>
      <c r="K26" t="s">
        <v>69</v>
      </c>
      <c r="L26" t="s">
        <v>76</v>
      </c>
      <c r="M26" t="s">
        <v>27</v>
      </c>
      <c r="N26" t="s">
        <v>77</v>
      </c>
      <c r="O26" t="s">
        <v>78</v>
      </c>
      <c r="P26">
        <v>297013</v>
      </c>
      <c r="Q26" t="s">
        <v>79</v>
      </c>
      <c r="R26" t="s">
        <v>80</v>
      </c>
      <c r="S26" t="s">
        <v>81</v>
      </c>
      <c r="T26">
        <v>0</v>
      </c>
      <c r="U26">
        <v>0.5</v>
      </c>
      <c r="V26" s="2">
        <v>2.0833333333333332E-2</v>
      </c>
      <c r="W26">
        <v>0</v>
      </c>
      <c r="AA26" t="s">
        <v>82</v>
      </c>
      <c r="AB26" t="s">
        <v>83</v>
      </c>
      <c r="AC26" t="s">
        <v>77</v>
      </c>
      <c r="AD26" t="s">
        <v>85</v>
      </c>
      <c r="AE26">
        <f t="shared" si="4"/>
        <v>9</v>
      </c>
      <c r="AF26" t="str">
        <f t="shared" si="5"/>
        <v>September</v>
      </c>
    </row>
    <row r="27" spans="1:32">
      <c r="A27" s="1">
        <v>45548</v>
      </c>
      <c r="B27" t="s">
        <v>76</v>
      </c>
      <c r="C27" t="s">
        <v>68</v>
      </c>
      <c r="D27" t="s">
        <v>69</v>
      </c>
      <c r="E27" t="s">
        <v>87</v>
      </c>
      <c r="F27" t="s">
        <v>71</v>
      </c>
      <c r="G27" t="s">
        <v>72</v>
      </c>
      <c r="H27" t="s">
        <v>73</v>
      </c>
      <c r="I27" t="s">
        <v>74</v>
      </c>
      <c r="J27" t="s">
        <v>75</v>
      </c>
      <c r="K27" t="s">
        <v>69</v>
      </c>
      <c r="L27" t="s">
        <v>76</v>
      </c>
      <c r="M27" t="s">
        <v>27</v>
      </c>
      <c r="N27" t="s">
        <v>77</v>
      </c>
      <c r="O27" t="s">
        <v>78</v>
      </c>
      <c r="P27">
        <v>297291</v>
      </c>
      <c r="Q27" t="s">
        <v>79</v>
      </c>
      <c r="R27" t="s">
        <v>80</v>
      </c>
      <c r="S27" t="s">
        <v>81</v>
      </c>
      <c r="T27">
        <v>0</v>
      </c>
      <c r="U27">
        <v>0.25</v>
      </c>
      <c r="V27" s="2">
        <v>1.0416666666666666E-2</v>
      </c>
      <c r="W27">
        <v>0</v>
      </c>
      <c r="AA27" t="s">
        <v>82</v>
      </c>
      <c r="AB27" t="s">
        <v>83</v>
      </c>
      <c r="AC27" t="s">
        <v>77</v>
      </c>
      <c r="AD27" t="s">
        <v>85</v>
      </c>
      <c r="AE27">
        <f t="shared" si="4"/>
        <v>9</v>
      </c>
      <c r="AF27" t="str">
        <f t="shared" si="5"/>
        <v>September</v>
      </c>
    </row>
    <row r="28" spans="1:32">
      <c r="A28" s="1">
        <v>45551</v>
      </c>
      <c r="B28" t="s">
        <v>76</v>
      </c>
      <c r="C28" t="s">
        <v>68</v>
      </c>
      <c r="D28" t="s">
        <v>69</v>
      </c>
      <c r="E28" t="s">
        <v>87</v>
      </c>
      <c r="F28" t="s">
        <v>71</v>
      </c>
      <c r="G28" t="s">
        <v>72</v>
      </c>
      <c r="H28" t="s">
        <v>73</v>
      </c>
      <c r="I28" t="s">
        <v>74</v>
      </c>
      <c r="J28" t="s">
        <v>75</v>
      </c>
      <c r="K28" t="s">
        <v>69</v>
      </c>
      <c r="L28" t="s">
        <v>76</v>
      </c>
      <c r="M28" t="s">
        <v>27</v>
      </c>
      <c r="N28" t="s">
        <v>77</v>
      </c>
      <c r="O28" t="s">
        <v>78</v>
      </c>
      <c r="P28">
        <v>298099</v>
      </c>
      <c r="Q28" t="s">
        <v>79</v>
      </c>
      <c r="R28" t="s">
        <v>80</v>
      </c>
      <c r="S28" t="s">
        <v>81</v>
      </c>
      <c r="T28">
        <v>0</v>
      </c>
      <c r="U28">
        <v>0.75</v>
      </c>
      <c r="V28" s="2">
        <v>3.125E-2</v>
      </c>
      <c r="W28">
        <v>0</v>
      </c>
      <c r="AA28" t="s">
        <v>82</v>
      </c>
      <c r="AB28" t="s">
        <v>83</v>
      </c>
      <c r="AC28" t="s">
        <v>77</v>
      </c>
      <c r="AD28" t="s">
        <v>85</v>
      </c>
      <c r="AE28">
        <f t="shared" si="4"/>
        <v>9</v>
      </c>
      <c r="AF28" t="str">
        <f t="shared" si="5"/>
        <v>September</v>
      </c>
    </row>
    <row r="29" spans="1:32">
      <c r="A29" s="1">
        <v>45552</v>
      </c>
      <c r="B29" t="s">
        <v>76</v>
      </c>
      <c r="C29" t="s">
        <v>68</v>
      </c>
      <c r="D29" t="s">
        <v>69</v>
      </c>
      <c r="E29" t="s">
        <v>87</v>
      </c>
      <c r="F29" t="s">
        <v>71</v>
      </c>
      <c r="G29" t="s">
        <v>72</v>
      </c>
      <c r="H29" t="s">
        <v>73</v>
      </c>
      <c r="I29" t="s">
        <v>74</v>
      </c>
      <c r="J29" t="s">
        <v>75</v>
      </c>
      <c r="K29" t="s">
        <v>69</v>
      </c>
      <c r="L29" t="s">
        <v>76</v>
      </c>
      <c r="M29" t="s">
        <v>27</v>
      </c>
      <c r="N29" t="s">
        <v>77</v>
      </c>
      <c r="O29" t="s">
        <v>78</v>
      </c>
      <c r="P29">
        <v>298904</v>
      </c>
      <c r="Q29" t="s">
        <v>79</v>
      </c>
      <c r="R29" t="s">
        <v>80</v>
      </c>
      <c r="S29" t="s">
        <v>81</v>
      </c>
      <c r="T29">
        <v>0</v>
      </c>
      <c r="U29">
        <v>0.5</v>
      </c>
      <c r="V29" s="2">
        <v>2.0833333333333332E-2</v>
      </c>
      <c r="W29">
        <v>0</v>
      </c>
      <c r="AA29" t="s">
        <v>82</v>
      </c>
      <c r="AB29" t="s">
        <v>83</v>
      </c>
      <c r="AC29" t="s">
        <v>77</v>
      </c>
      <c r="AD29" t="s">
        <v>85</v>
      </c>
      <c r="AE29">
        <f t="shared" si="4"/>
        <v>9</v>
      </c>
      <c r="AF29" t="str">
        <f t="shared" si="5"/>
        <v>September</v>
      </c>
    </row>
    <row r="30" spans="1:32">
      <c r="A30" s="1">
        <v>45553</v>
      </c>
      <c r="B30" t="s">
        <v>76</v>
      </c>
      <c r="C30" t="s">
        <v>68</v>
      </c>
      <c r="D30" t="s">
        <v>69</v>
      </c>
      <c r="E30" t="s">
        <v>87</v>
      </c>
      <c r="F30" t="s">
        <v>71</v>
      </c>
      <c r="G30" t="s">
        <v>72</v>
      </c>
      <c r="H30" t="s">
        <v>73</v>
      </c>
      <c r="I30" t="s">
        <v>74</v>
      </c>
      <c r="J30" t="s">
        <v>75</v>
      </c>
      <c r="K30" t="s">
        <v>69</v>
      </c>
      <c r="L30" t="s">
        <v>76</v>
      </c>
      <c r="M30" t="s">
        <v>27</v>
      </c>
      <c r="N30" t="s">
        <v>77</v>
      </c>
      <c r="O30" t="s">
        <v>78</v>
      </c>
      <c r="P30">
        <v>299339</v>
      </c>
      <c r="Q30" t="s">
        <v>79</v>
      </c>
      <c r="R30" t="s">
        <v>80</v>
      </c>
      <c r="S30" t="s">
        <v>81</v>
      </c>
      <c r="T30">
        <v>0</v>
      </c>
      <c r="U30">
        <v>0.5</v>
      </c>
      <c r="V30" s="2">
        <v>2.0833333333333332E-2</v>
      </c>
      <c r="W30">
        <v>0</v>
      </c>
      <c r="AA30" t="s">
        <v>82</v>
      </c>
      <c r="AB30" t="s">
        <v>83</v>
      </c>
      <c r="AC30" t="s">
        <v>77</v>
      </c>
      <c r="AD30" t="s">
        <v>85</v>
      </c>
      <c r="AE30">
        <f t="shared" si="4"/>
        <v>9</v>
      </c>
      <c r="AF30" t="str">
        <f t="shared" si="5"/>
        <v>September</v>
      </c>
    </row>
    <row r="31" spans="1:32">
      <c r="A31" s="1">
        <v>45554</v>
      </c>
      <c r="B31" t="s">
        <v>76</v>
      </c>
      <c r="C31" t="s">
        <v>68</v>
      </c>
      <c r="D31" t="s">
        <v>69</v>
      </c>
      <c r="E31" t="s">
        <v>87</v>
      </c>
      <c r="F31" t="s">
        <v>71</v>
      </c>
      <c r="G31" t="s">
        <v>72</v>
      </c>
      <c r="H31" t="s">
        <v>73</v>
      </c>
      <c r="I31" t="s">
        <v>74</v>
      </c>
      <c r="J31" t="s">
        <v>75</v>
      </c>
      <c r="K31" t="s">
        <v>69</v>
      </c>
      <c r="L31" t="s">
        <v>76</v>
      </c>
      <c r="M31" t="s">
        <v>27</v>
      </c>
      <c r="N31" t="s">
        <v>77</v>
      </c>
      <c r="O31" t="s">
        <v>78</v>
      </c>
      <c r="P31">
        <v>299694</v>
      </c>
      <c r="Q31" t="s">
        <v>79</v>
      </c>
      <c r="R31" t="s">
        <v>80</v>
      </c>
      <c r="S31" t="s">
        <v>81</v>
      </c>
      <c r="T31">
        <v>0</v>
      </c>
      <c r="U31">
        <v>0.25</v>
      </c>
      <c r="V31" s="2">
        <v>1.0416666666666666E-2</v>
      </c>
      <c r="W31">
        <v>0</v>
      </c>
      <c r="AA31" t="s">
        <v>82</v>
      </c>
      <c r="AB31" t="s">
        <v>83</v>
      </c>
      <c r="AC31" t="s">
        <v>77</v>
      </c>
      <c r="AD31" t="s">
        <v>85</v>
      </c>
      <c r="AE31">
        <f t="shared" si="4"/>
        <v>9</v>
      </c>
      <c r="AF31" t="str">
        <f t="shared" si="5"/>
        <v>September</v>
      </c>
    </row>
    <row r="32" spans="1:32">
      <c r="A32" s="1">
        <v>45555</v>
      </c>
      <c r="B32" t="s">
        <v>76</v>
      </c>
      <c r="C32" t="s">
        <v>68</v>
      </c>
      <c r="D32" t="s">
        <v>69</v>
      </c>
      <c r="E32" t="s">
        <v>87</v>
      </c>
      <c r="F32" t="s">
        <v>71</v>
      </c>
      <c r="G32" t="s">
        <v>72</v>
      </c>
      <c r="H32" t="s">
        <v>73</v>
      </c>
      <c r="I32" t="s">
        <v>74</v>
      </c>
      <c r="J32" t="s">
        <v>75</v>
      </c>
      <c r="K32" t="s">
        <v>69</v>
      </c>
      <c r="L32" t="s">
        <v>76</v>
      </c>
      <c r="M32" t="s">
        <v>27</v>
      </c>
      <c r="N32" t="s">
        <v>77</v>
      </c>
      <c r="O32" t="s">
        <v>78</v>
      </c>
      <c r="P32">
        <v>300199</v>
      </c>
      <c r="Q32" t="s">
        <v>79</v>
      </c>
      <c r="R32" t="s">
        <v>80</v>
      </c>
      <c r="S32" t="s">
        <v>81</v>
      </c>
      <c r="T32">
        <v>0</v>
      </c>
      <c r="U32">
        <v>0.25</v>
      </c>
      <c r="V32" s="2">
        <v>1.0416666666666666E-2</v>
      </c>
      <c r="W32">
        <v>0</v>
      </c>
      <c r="AA32" t="s">
        <v>82</v>
      </c>
      <c r="AB32" t="s">
        <v>83</v>
      </c>
      <c r="AC32" t="s">
        <v>77</v>
      </c>
      <c r="AD32" t="s">
        <v>85</v>
      </c>
      <c r="AE32">
        <f t="shared" si="4"/>
        <v>9</v>
      </c>
      <c r="AF32" t="str">
        <f t="shared" si="5"/>
        <v>September</v>
      </c>
    </row>
    <row r="33" spans="1:22">
      <c r="A33" s="1"/>
      <c r="V33" s="2"/>
    </row>
    <row r="34" spans="1:22">
      <c r="A34" s="1"/>
      <c r="V34" s="2"/>
    </row>
    <row r="35" spans="1:22">
      <c r="A35" s="1"/>
      <c r="V35" s="2"/>
    </row>
    <row r="36" spans="1:22">
      <c r="A36" s="1"/>
      <c r="V36" s="2"/>
    </row>
    <row r="37" spans="1:22">
      <c r="A37" s="1"/>
      <c r="V37" s="2"/>
    </row>
    <row r="38" spans="1:22">
      <c r="A38" s="1"/>
      <c r="V38" s="2"/>
    </row>
    <row r="39" spans="1:22">
      <c r="A39" s="1"/>
      <c r="V39" s="2"/>
    </row>
    <row r="40" spans="1:22">
      <c r="A40" s="1"/>
      <c r="V40" s="2"/>
    </row>
    <row r="41" spans="1:22">
      <c r="A41" s="1"/>
      <c r="V41" s="2"/>
    </row>
    <row r="42" spans="1:22">
      <c r="A42" s="1"/>
      <c r="V42" s="2"/>
    </row>
    <row r="43" spans="1:22">
      <c r="A43" s="1"/>
      <c r="V43" s="2"/>
    </row>
    <row r="44" spans="1:22">
      <c r="A44" s="1"/>
      <c r="V44" s="2"/>
    </row>
    <row r="45" spans="1:22">
      <c r="A45" s="1"/>
      <c r="V45" s="2"/>
    </row>
    <row r="46" spans="1:22">
      <c r="A46" s="1"/>
      <c r="V46" s="2"/>
    </row>
    <row r="47" spans="1:22">
      <c r="A47" s="1"/>
      <c r="V47" s="2"/>
    </row>
    <row r="48" spans="1:2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F03F44-A892-4FC8-A304-CEFEFE5C85B6}"/>
</file>

<file path=customXml/itemProps2.xml><?xml version="1.0" encoding="utf-8"?>
<ds:datastoreItem xmlns:ds="http://schemas.openxmlformats.org/officeDocument/2006/customXml" ds:itemID="{E282E5D1-6FCA-44AB-99D8-A6F58E20E161}"/>
</file>

<file path=customXml/itemProps3.xml><?xml version="1.0" encoding="utf-8"?>
<ds:datastoreItem xmlns:ds="http://schemas.openxmlformats.org/officeDocument/2006/customXml" ds:itemID="{9F12EDC9-83C4-4692-A8F5-4400DEC1F426}"/>
</file>

<file path=customXml/itemProps4.xml><?xml version="1.0" encoding="utf-8"?>
<ds:datastoreItem xmlns:ds="http://schemas.openxmlformats.org/officeDocument/2006/customXml" ds:itemID="{BB89FBC1-60C3-4E71-A48B-E0E3CE58E2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2024-09-30T13:19:10Z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