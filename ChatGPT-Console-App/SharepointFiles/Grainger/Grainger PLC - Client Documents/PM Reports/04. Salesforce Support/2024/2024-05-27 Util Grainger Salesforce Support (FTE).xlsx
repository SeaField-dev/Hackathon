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708" documentId="13_ncr:40009_{72DCE847-60C8-4427-ADB0-44DE35B3B8A2}" xr6:coauthVersionLast="47" xr6:coauthVersionMax="47" xr10:uidLastSave="{FB4AEBF6-F7FD-494B-8794-9CFFE78D3598}"/>
  <bookViews>
    <workbookView xWindow="-108" yWindow="-108" windowWidth="23256" windowHeight="12456" xr2:uid="{00000000-000D-0000-FFFF-FFFF00000000}"/>
  </bookViews>
  <sheets>
    <sheet name="Pivot" sheetId="2" r:id="rId1"/>
    <sheet name="Project Timesheets" sheetId="1" r:id="rId2"/>
    <sheet name="Jira List" sheetId="3" r:id="rId3"/>
  </sheets>
  <definedNames>
    <definedName name="_xlnm._FilterDatabase" localSheetId="1" hidden="1">'Project Timesheets'!$A$1:$AF$128</definedName>
  </definedNames>
  <calcPr calcId="191029"/>
  <pivotCaches>
    <pivotCache cacheId="2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29" i="1" l="1"/>
  <c r="AF129" i="1" s="1"/>
  <c r="AE130" i="1"/>
  <c r="AF130" i="1"/>
  <c r="AE131" i="1"/>
  <c r="AF131" i="1"/>
  <c r="AE132" i="1"/>
  <c r="AF132" i="1" s="1"/>
  <c r="AE133" i="1"/>
  <c r="AF133" i="1" s="1"/>
  <c r="AE134" i="1"/>
  <c r="AF134" i="1"/>
  <c r="AE135" i="1"/>
  <c r="AF135" i="1" s="1"/>
  <c r="AE136" i="1"/>
  <c r="AF136" i="1" s="1"/>
  <c r="AE137" i="1"/>
  <c r="AF137" i="1"/>
  <c r="AE138" i="1"/>
  <c r="AF138" i="1" s="1"/>
  <c r="AE139" i="1"/>
  <c r="AF139" i="1" s="1"/>
  <c r="AE140" i="1"/>
  <c r="AF140" i="1"/>
  <c r="AE141" i="1"/>
  <c r="AF141" i="1" s="1"/>
  <c r="AE142" i="1"/>
  <c r="AF142" i="1"/>
  <c r="AE143" i="1"/>
  <c r="AF143" i="1"/>
  <c r="AE144" i="1"/>
  <c r="AF144" i="1" s="1"/>
  <c r="AE145" i="1"/>
  <c r="AF145" i="1" s="1"/>
  <c r="AC77" i="1"/>
  <c r="AC75" i="1"/>
  <c r="AC70" i="1"/>
  <c r="AC55" i="1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AE115" i="1"/>
  <c r="AF115" i="1" s="1"/>
  <c r="AE116" i="1"/>
  <c r="AF116" i="1" s="1"/>
  <c r="AE117" i="1"/>
  <c r="AF117" i="1" s="1"/>
  <c r="AE118" i="1"/>
  <c r="AF118" i="1" s="1"/>
  <c r="AE119" i="1"/>
  <c r="AF119" i="1" s="1"/>
  <c r="AE120" i="1"/>
  <c r="AF120" i="1" s="1"/>
  <c r="AE121" i="1"/>
  <c r="AF121" i="1" s="1"/>
  <c r="AE122" i="1"/>
  <c r="AF122" i="1" s="1"/>
  <c r="AE123" i="1"/>
  <c r="AF123" i="1" s="1"/>
  <c r="AE124" i="1"/>
  <c r="AF124" i="1" s="1"/>
  <c r="AE125" i="1"/>
  <c r="AF125" i="1" s="1"/>
  <c r="AE126" i="1"/>
  <c r="AF126" i="1" s="1"/>
  <c r="AE127" i="1"/>
  <c r="AF127" i="1" s="1"/>
  <c r="AE128" i="1"/>
  <c r="AF128" i="1" s="1"/>
  <c r="AE75" i="1"/>
  <c r="AF75" i="1" s="1"/>
  <c r="AE76" i="1"/>
  <c r="AF76" i="1" s="1"/>
  <c r="AE77" i="1"/>
  <c r="AF77" i="1" s="1"/>
  <c r="AE78" i="1"/>
  <c r="AF78" i="1" s="1"/>
  <c r="AE79" i="1"/>
  <c r="AF79" i="1" s="1"/>
  <c r="AE80" i="1"/>
  <c r="AF80" i="1" s="1"/>
  <c r="AE81" i="1"/>
  <c r="AF81" i="1" s="1"/>
  <c r="AE82" i="1"/>
  <c r="AF82" i="1" s="1"/>
  <c r="AE83" i="1"/>
  <c r="AF83" i="1" s="1"/>
  <c r="AE84" i="1"/>
  <c r="AF84" i="1" s="1"/>
  <c r="AE85" i="1"/>
  <c r="AF85" i="1" s="1"/>
  <c r="AE86" i="1"/>
  <c r="AF86" i="1" s="1"/>
  <c r="AE87" i="1"/>
  <c r="AF87" i="1" s="1"/>
  <c r="AE88" i="1"/>
  <c r="AF88" i="1" s="1"/>
  <c r="AE89" i="1"/>
  <c r="AF89" i="1" s="1"/>
  <c r="AE90" i="1"/>
  <c r="AF90" i="1" s="1"/>
  <c r="AE91" i="1"/>
  <c r="AF91" i="1" s="1"/>
  <c r="AE92" i="1"/>
  <c r="AF92" i="1" s="1"/>
  <c r="AE93" i="1"/>
  <c r="AF93" i="1" s="1"/>
  <c r="AE94" i="1"/>
  <c r="AF94" i="1" s="1"/>
  <c r="AE95" i="1"/>
  <c r="AF95" i="1"/>
  <c r="AE96" i="1"/>
  <c r="AF96" i="1" s="1"/>
  <c r="AE97" i="1"/>
  <c r="AF97" i="1" s="1"/>
  <c r="AE98" i="1"/>
  <c r="AF98" i="1" s="1"/>
  <c r="AE99" i="1"/>
  <c r="AF99" i="1" s="1"/>
  <c r="AE100" i="1"/>
  <c r="AF100" i="1" s="1"/>
  <c r="AE101" i="1"/>
  <c r="AF101" i="1" s="1"/>
  <c r="AE102" i="1"/>
  <c r="AF102" i="1" s="1"/>
  <c r="AE103" i="1"/>
  <c r="AF103" i="1" s="1"/>
  <c r="AE104" i="1"/>
  <c r="AF104" i="1" s="1"/>
  <c r="AE105" i="1"/>
  <c r="AF105" i="1" s="1"/>
  <c r="AE106" i="1"/>
  <c r="AF106" i="1" s="1"/>
  <c r="AE107" i="1"/>
  <c r="AF107" i="1" s="1"/>
  <c r="AE108" i="1"/>
  <c r="AF108" i="1" s="1"/>
  <c r="AE109" i="1"/>
  <c r="AF109" i="1" s="1"/>
  <c r="AE110" i="1"/>
  <c r="AF110" i="1" s="1"/>
  <c r="AE111" i="1"/>
  <c r="AF111" i="1" s="1"/>
  <c r="AE112" i="1"/>
  <c r="AF112" i="1" s="1"/>
  <c r="AE113" i="1"/>
  <c r="AF113" i="1" s="1"/>
  <c r="AE114" i="1"/>
  <c r="AF114" i="1" s="1"/>
  <c r="D89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74" i="3"/>
  <c r="D75" i="3"/>
  <c r="D69" i="3"/>
  <c r="D70" i="3"/>
  <c r="D71" i="3"/>
  <c r="D72" i="3"/>
  <c r="D73" i="3"/>
  <c r="D77" i="3"/>
  <c r="D78" i="3"/>
  <c r="D79" i="3"/>
  <c r="D80" i="3"/>
  <c r="D81" i="3"/>
  <c r="D82" i="3"/>
  <c r="D83" i="3"/>
  <c r="D84" i="3"/>
  <c r="D85" i="3"/>
  <c r="D76" i="3"/>
  <c r="AE46" i="1"/>
  <c r="AF46" i="1" s="1"/>
  <c r="AE50" i="1"/>
  <c r="AF50" i="1" s="1"/>
  <c r="AE54" i="1"/>
  <c r="AF54" i="1" s="1"/>
  <c r="AE57" i="1"/>
  <c r="AF57" i="1" s="1"/>
  <c r="AE60" i="1"/>
  <c r="AF60" i="1" s="1"/>
  <c r="AE62" i="1"/>
  <c r="AF62" i="1" s="1"/>
  <c r="AE65" i="1"/>
  <c r="AF65" i="1" s="1"/>
  <c r="AE69" i="1"/>
  <c r="AF69" i="1" s="1"/>
  <c r="AE73" i="1"/>
  <c r="AF73" i="1" s="1"/>
  <c r="AE74" i="1"/>
  <c r="AF74" i="1" s="1"/>
  <c r="AE9" i="1"/>
  <c r="AF9" i="1" s="1"/>
  <c r="D59" i="3"/>
  <c r="D64" i="3"/>
  <c r="D63" i="3"/>
  <c r="D62" i="3"/>
  <c r="D61" i="3"/>
  <c r="D60" i="3"/>
  <c r="D65" i="3"/>
  <c r="D58" i="3"/>
  <c r="D57" i="3"/>
  <c r="D56" i="3"/>
  <c r="D55" i="3"/>
  <c r="D54" i="3"/>
  <c r="D49" i="3"/>
  <c r="D48" i="3"/>
  <c r="D47" i="3"/>
  <c r="D52" i="3"/>
  <c r="D51" i="3"/>
  <c r="D50" i="3"/>
  <c r="D53" i="3"/>
  <c r="AE27" i="1"/>
  <c r="AF27" i="1" s="1"/>
  <c r="AE29" i="1"/>
  <c r="AF29" i="1" s="1"/>
  <c r="AE33" i="1"/>
  <c r="AF33" i="1" s="1"/>
  <c r="AE35" i="1"/>
  <c r="AF35" i="1" s="1"/>
  <c r="AE39" i="1"/>
  <c r="AF39" i="1" s="1"/>
  <c r="AE43" i="1"/>
  <c r="AF43" i="1" s="1"/>
  <c r="AE64" i="1"/>
  <c r="AF64" i="1" s="1"/>
  <c r="AE67" i="1"/>
  <c r="AF67" i="1" s="1"/>
  <c r="AE68" i="1"/>
  <c r="AF68" i="1" s="1"/>
  <c r="AE8" i="1"/>
  <c r="AF8" i="1" s="1"/>
  <c r="AE11" i="1"/>
  <c r="AF11" i="1" s="1"/>
  <c r="AE14" i="1"/>
  <c r="AF14" i="1" s="1"/>
  <c r="AE17" i="1"/>
  <c r="AF17" i="1" s="1"/>
  <c r="AE23" i="1"/>
  <c r="AF23" i="1" s="1"/>
  <c r="D34" i="3"/>
  <c r="D38" i="3"/>
  <c r="D43" i="3"/>
  <c r="D42" i="3"/>
  <c r="D41" i="3"/>
  <c r="D40" i="3"/>
  <c r="D39" i="3"/>
  <c r="D33" i="3"/>
  <c r="D37" i="3"/>
  <c r="D36" i="3"/>
  <c r="D35" i="3"/>
  <c r="D32" i="3"/>
  <c r="D31" i="3"/>
  <c r="D30" i="3"/>
  <c r="D29" i="3"/>
  <c r="AE2" i="1"/>
  <c r="AF2" i="1" s="1"/>
  <c r="AE4" i="1"/>
  <c r="AF4" i="1" s="1"/>
  <c r="AE7" i="1"/>
  <c r="AF7" i="1" s="1"/>
  <c r="AE13" i="1"/>
  <c r="AF13" i="1" s="1"/>
  <c r="AE22" i="1"/>
  <c r="AF22" i="1" s="1"/>
  <c r="AE26" i="1"/>
  <c r="AF26" i="1" s="1"/>
  <c r="AE59" i="1"/>
  <c r="AF59" i="1" s="1"/>
  <c r="AE61" i="1"/>
  <c r="AF61" i="1" s="1"/>
  <c r="D25" i="3"/>
  <c r="D24" i="3"/>
  <c r="D23" i="3"/>
  <c r="D22" i="3"/>
  <c r="D21" i="3"/>
  <c r="D20" i="3"/>
  <c r="D19" i="3"/>
  <c r="D18" i="3"/>
  <c r="D17" i="3"/>
  <c r="D16" i="3"/>
  <c r="D15" i="3"/>
  <c r="D14" i="3"/>
  <c r="AE21" i="1"/>
  <c r="AF21" i="1" s="1"/>
  <c r="AE25" i="1"/>
  <c r="AF25" i="1" s="1"/>
  <c r="AE28" i="1"/>
  <c r="AF28" i="1" s="1"/>
  <c r="AE31" i="1"/>
  <c r="AF31" i="1" s="1"/>
  <c r="AE32" i="1"/>
  <c r="AF32" i="1" s="1"/>
  <c r="AE37" i="1"/>
  <c r="AF37" i="1" s="1"/>
  <c r="AE38" i="1"/>
  <c r="AF38" i="1" s="1"/>
  <c r="AE41" i="1"/>
  <c r="AF41" i="1" s="1"/>
  <c r="AE42" i="1"/>
  <c r="AF42" i="1" s="1"/>
  <c r="AE45" i="1"/>
  <c r="AF45" i="1" s="1"/>
  <c r="AE48" i="1"/>
  <c r="AF48" i="1" s="1"/>
  <c r="AE49" i="1"/>
  <c r="AF49" i="1" s="1"/>
  <c r="AE53" i="1"/>
  <c r="AF53" i="1" s="1"/>
  <c r="AE56" i="1"/>
  <c r="AF56" i="1" s="1"/>
  <c r="AE58" i="1"/>
  <c r="AF58" i="1" s="1"/>
  <c r="AE66" i="1"/>
  <c r="AF66" i="1" s="1"/>
  <c r="AE71" i="1"/>
  <c r="AF71" i="1" s="1"/>
  <c r="AE72" i="1"/>
  <c r="AF72" i="1" s="1"/>
  <c r="D4" i="3"/>
  <c r="D5" i="3"/>
  <c r="D6" i="3"/>
  <c r="D7" i="3"/>
  <c r="D8" i="3"/>
  <c r="D9" i="3"/>
  <c r="D10" i="3"/>
  <c r="D3" i="3"/>
  <c r="AE6" i="1"/>
  <c r="AF6" i="1" s="1"/>
  <c r="AE10" i="1"/>
  <c r="AF10" i="1" s="1"/>
  <c r="AE12" i="1"/>
  <c r="AF12" i="1" s="1"/>
  <c r="AE15" i="1"/>
  <c r="AF15" i="1" s="1"/>
  <c r="AE19" i="1"/>
  <c r="AF19" i="1" s="1"/>
  <c r="AE24" i="1"/>
  <c r="AF24" i="1" s="1"/>
  <c r="AE30" i="1"/>
  <c r="AF30" i="1" s="1"/>
  <c r="AE34" i="1"/>
  <c r="AF34" i="1" s="1"/>
  <c r="AE36" i="1"/>
  <c r="AF36" i="1" s="1"/>
  <c r="AE40" i="1"/>
  <c r="AF40" i="1" s="1"/>
  <c r="AE44" i="1"/>
  <c r="AF44" i="1" s="1"/>
  <c r="AE52" i="1"/>
  <c r="AF52" i="1" s="1"/>
  <c r="AE70" i="1"/>
  <c r="AF70" i="1" s="1"/>
  <c r="AE16" i="1"/>
  <c r="AF16" i="1" s="1"/>
  <c r="AE20" i="1"/>
  <c r="AF20" i="1" s="1"/>
  <c r="AE55" i="1"/>
  <c r="AF55" i="1"/>
  <c r="AE5" i="1"/>
  <c r="AF5" i="1" s="1"/>
  <c r="AE47" i="1"/>
  <c r="AF47" i="1" s="1"/>
  <c r="AE3" i="1"/>
  <c r="AF3" i="1" s="1"/>
  <c r="AE18" i="1"/>
  <c r="AF18" i="1" s="1"/>
  <c r="AE51" i="1"/>
  <c r="AF51" i="1" s="1"/>
  <c r="AE63" i="1"/>
  <c r="AF63" i="1" s="1"/>
</calcChain>
</file>

<file path=xl/sharedStrings.xml><?xml version="1.0" encoding="utf-8"?>
<sst xmlns="http://schemas.openxmlformats.org/spreadsheetml/2006/main" count="4429" uniqueCount="315">
  <si>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</si>
  <si>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</si>
  <si>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</si>
  <si>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</si>
  <si>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</si>
  <si>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</si>
  <si>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</si>
  <si>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</si>
  <si>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</si>
  <si>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</si>
  <si>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</si>
  <si>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</si>
  <si>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</si>
  <si>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</si>
  <si>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</si>
  <si>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</si>
  <si>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</si>
  <si>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</si>
  <si>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</si>
  <si>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</si>
  <si>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</si>
  <si>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</si>
  <si>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</si>
  <si>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</si>
  <si>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</si>
  <si>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</si>
  <si>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</si>
  <si>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</si>
  <si>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</si>
  <si>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</si>
  <si>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Salaried / Fixed</t>
  </si>
  <si>
    <t>Open Box Software (Pty) Ltd (Open Box SA)</t>
  </si>
  <si>
    <t>SA</t>
  </si>
  <si>
    <t>Grainger PLC</t>
  </si>
  <si>
    <t>Billable</t>
  </si>
  <si>
    <t>Shaun Barrett</t>
  </si>
  <si>
    <t>Brendan Canny</t>
  </si>
  <si>
    <t>Billable timecode</t>
  </si>
  <si>
    <t>Standard Timecode</t>
  </si>
  <si>
    <t>GBP</t>
  </si>
  <si>
    <t>Reviewed</t>
  </si>
  <si>
    <t>Not submitted</t>
  </si>
  <si>
    <t>Sam Duncan</t>
  </si>
  <si>
    <t>Salesforce</t>
  </si>
  <si>
    <t>Period</t>
  </si>
  <si>
    <t>Month</t>
  </si>
  <si>
    <t>Row Labels</t>
  </si>
  <si>
    <t>Grand Total</t>
  </si>
  <si>
    <t>Column Labels</t>
  </si>
  <si>
    <t>Sum of Hours</t>
  </si>
  <si>
    <t>&lt;- Filter By Month</t>
  </si>
  <si>
    <t>2.1 COST</t>
  </si>
  <si>
    <t>The cost for the services detailed in this document are as follows:</t>
  </si>
  <si>
    <t xml:space="preserve">1. Support services will be provided on a Time and Materials (T&amp;M) basis at a rate of </t>
  </si>
  <si>
    <t xml:space="preserve">£120 per hour. </t>
  </si>
  <si>
    <t xml:space="preserve">a. A minimum amount of £3600 / month will be billed, entitling Grainger PLC </t>
  </si>
  <si>
    <t>to 30 hours of work</t>
  </si>
  <si>
    <t>The contract will begin on 1 April 2024 and end on 30 September 2024</t>
  </si>
  <si>
    <t>Anjali Salecha</t>
  </si>
  <si>
    <t>Hourly</t>
  </si>
  <si>
    <t>OB-000493</t>
  </si>
  <si>
    <t>Support</t>
  </si>
  <si>
    <t>General Support (Billable)</t>
  </si>
  <si>
    <t>Discussion with Sam related to RJ-30 root cause. Likely relationship with fix of RJ-26. Fixed RJ-30 in staging and testing.</t>
  </si>
  <si>
    <t>checked if sandbox openbox can be deleted. worked on fixing test class - Renewals_OpportunityCloneTest for RJ-30 in staging</t>
  </si>
  <si>
    <t xml:space="preserve">Sachin  Deshmukh </t>
  </si>
  <si>
    <t>-- Investigated FVVP 417 and Production bugs</t>
  </si>
  <si>
    <t>Worked on FVVP-416</t>
  </si>
  <si>
    <t>Fixed the production bug FVVP 416 in Staging</t>
  </si>
  <si>
    <t>Tafadzwa Toro</t>
  </si>
  <si>
    <t>Troubleshooting RSW ticket: https://graingerplc.atlassian.net/browse/RSW-62</t>
  </si>
  <si>
    <t xml:space="preserve"> </t>
  </si>
  <si>
    <t>BSS-6 Making change in UAT and deploying to PROD</t>
  </si>
  <si>
    <t>Updating historical opps for HomeLet go-live https://graingerplc.atlassian.net/browse/BSS-7</t>
  </si>
  <si>
    <t>Status</t>
  </si>
  <si>
    <t>Jira Ticket</t>
  </si>
  <si>
    <t>Homelet demo to Dillan Landsberg in uat.</t>
  </si>
  <si>
    <t>Carami Le Grange</t>
  </si>
  <si>
    <t>Custom Software</t>
  </si>
  <si>
    <t>General Support (Non-Billable)</t>
  </si>
  <si>
    <t>Non-billable timecode</t>
  </si>
  <si>
    <t>kick-off &amp; admin</t>
  </si>
  <si>
    <t>Time Reports</t>
  </si>
  <si>
    <t>Support Process Planning</t>
  </si>
  <si>
    <t>Meeting with Helpdesk</t>
  </si>
  <si>
    <t>Process Refinement &amp; Flow diagram drafting</t>
  </si>
  <si>
    <t>Jira changes</t>
  </si>
  <si>
    <t>Jira issue type changes</t>
  </si>
  <si>
    <t>Diagram run through with Melissa</t>
  </si>
  <si>
    <t>Dillan Landsberg</t>
  </si>
  <si>
    <t>BSS-8: Investigating ticket and providing feedback to Saji</t>
  </si>
  <si>
    <t>HomeLet overview with Anjali</t>
  </si>
  <si>
    <t>BSS-8</t>
  </si>
  <si>
    <t>BSS-11 and BSS-12 investigation and feedback</t>
  </si>
  <si>
    <t>BSS-8 Investigation and feedback to Saji</t>
  </si>
  <si>
    <t>Chat with Anjali regarding BSS-8</t>
  </si>
  <si>
    <t>BSS-9 Investigating and responding to Jaic</t>
  </si>
  <si>
    <t>pre project prep</t>
  </si>
  <si>
    <t>Keeping an eye on Non-Billable</t>
  </si>
  <si>
    <t>Issue Type</t>
  </si>
  <si>
    <t xml:space="preserve"> Key</t>
  </si>
  <si>
    <t xml:space="preserve"> Summary</t>
  </si>
  <si>
    <t xml:space="preserve"> Status</t>
  </si>
  <si>
    <t xml:space="preserve"> Assignee</t>
  </si>
  <si>
    <t xml:space="preserve"> Due date</t>
  </si>
  <si>
    <t xml:space="preserve"> Priority</t>
  </si>
  <si>
    <t xml:space="preserve"> Labels</t>
  </si>
  <si>
    <t xml:space="preserve"> Created</t>
  </si>
  <si>
    <t xml:space="preserve"> Updated</t>
  </si>
  <si>
    <t xml:space="preserve"> Reporter</t>
  </si>
  <si>
    <t>Bug</t>
  </si>
  <si>
    <t xml:space="preserve"> BSS-8</t>
  </si>
  <si>
    <t xml:space="preserve"> Unable to complete task on EOT</t>
  </si>
  <si>
    <t xml:space="preserve"> In Progress</t>
  </si>
  <si>
    <t xml:space="preserve"> Dillan Landsberg</t>
  </si>
  <si>
    <t xml:space="preserve">   </t>
  </si>
  <si>
    <t xml:space="preserve"> Priority 3</t>
  </si>
  <si>
    <t xml:space="preserve"> 2024-04-08</t>
  </si>
  <si>
    <t xml:space="preserve"> 2024-04-15</t>
  </si>
  <si>
    <t xml:space="preserve"> BSS-9</t>
  </si>
  <si>
    <t xml:space="preserve"> HomeLet referencing error showing in this opportunity</t>
  </si>
  <si>
    <t xml:space="preserve"> Awaiting Feedback</t>
  </si>
  <si>
    <t xml:space="preserve"> 2024-04-09</t>
  </si>
  <si>
    <t xml:space="preserve"> BSS-3</t>
  </si>
  <si>
    <t xml:space="preserve"> EOT task- Couldn't  be cancelled through approver ( record owner)</t>
  </si>
  <si>
    <t xml:space="preserve"> BAU_SUPPORT</t>
  </si>
  <si>
    <t xml:space="preserve"> 2024-03-11</t>
  </si>
  <si>
    <t xml:space="preserve"> BSS-4</t>
  </si>
  <si>
    <t xml:space="preserve"> Agreement not pulling the template with 1 tenant and 2 guarantors </t>
  </si>
  <si>
    <t xml:space="preserve"> 2024-02-28</t>
  </si>
  <si>
    <t xml:space="preserve"> BSS-2</t>
  </si>
  <si>
    <t xml:space="preserve">  Receiving an error on every task I try and complete </t>
  </si>
  <si>
    <t xml:space="preserve"> Done</t>
  </si>
  <si>
    <t xml:space="preserve"> 2024-03-21</t>
  </si>
  <si>
    <t xml:space="preserve"> 2024-04-02</t>
  </si>
  <si>
    <t xml:space="preserve"> BSS-5</t>
  </si>
  <si>
    <t xml:space="preserve"> Security deposit not populated for renewals</t>
  </si>
  <si>
    <t xml:space="preserve"> 2024-03-15</t>
  </si>
  <si>
    <t xml:space="preserve"> Sam Duncan</t>
  </si>
  <si>
    <t>Task</t>
  </si>
  <si>
    <t xml:space="preserve"> BSS-6</t>
  </si>
  <si>
    <t xml:space="preserve"> Update the noOfAdultOccupants calculation</t>
  </si>
  <si>
    <t xml:space="preserve"> 2024-04-04</t>
  </si>
  <si>
    <t xml:space="preserve"> 2024-04-11</t>
  </si>
  <si>
    <t xml:space="preserve"> BSS-7</t>
  </si>
  <si>
    <t xml:space="preserve"> Update the referencing Provider to HomeLet</t>
  </si>
  <si>
    <t xml:space="preserve"> BSS-8  Unable to complete task on EOT</t>
  </si>
  <si>
    <t xml:space="preserve"> BSS-9  HomeLet referencing error showing in this opportunity</t>
  </si>
  <si>
    <t xml:space="preserve"> BSS-4  Agreement not pulling the template with 1 tenant and 2 guarantors </t>
  </si>
  <si>
    <t>Assigned To</t>
  </si>
  <si>
    <t>Discussion with Dillan about HomeLet Bug - removing spaces from phone number before sending to Homelet.</t>
  </si>
  <si>
    <t>Discussion with Dillan about 'ApplicantExistsWithSameEmail' error.</t>
  </si>
  <si>
    <t>Checked the root cause for BSS-16 and discussion with Dillan.</t>
  </si>
  <si>
    <t>Time Report</t>
  </si>
  <si>
    <t>Signl4 integration</t>
  </si>
  <si>
    <t>Flow diagram workings &amp; standup</t>
  </si>
  <si>
    <t>Diagram changes</t>
  </si>
  <si>
    <t>BSS-8 BSS-3</t>
  </si>
  <si>
    <t>BSS-14 investigation &amp; error replication BSS-3: Close ticket</t>
  </si>
  <si>
    <t>Grainger EOT issue Meeting with Sam &amp; Avi</t>
  </si>
  <si>
    <t>BSS-15 Call with Anjali Investigation   &amp; feedback</t>
  </si>
  <si>
    <t>AVM-16</t>
  </si>
  <si>
    <t>BSS-16 call with Anjali</t>
  </si>
  <si>
    <t xml:space="preserve"> 2024-04-18</t>
  </si>
  <si>
    <t xml:space="preserve"> BSS-14</t>
  </si>
  <si>
    <t xml:space="preserve"> An unhandled fault occurred in this flow</t>
  </si>
  <si>
    <t xml:space="preserve"> 2024-04-16</t>
  </si>
  <si>
    <t xml:space="preserve"> BSS-16</t>
  </si>
  <si>
    <t xml:space="preserve"> Unable to send to Homelet</t>
  </si>
  <si>
    <t xml:space="preserve"> Awaiting Feedback (Grainger)</t>
  </si>
  <si>
    <t xml:space="preserve"> 2024-04-22</t>
  </si>
  <si>
    <t xml:space="preserve"> BSS-15</t>
  </si>
  <si>
    <t xml:space="preserve"> Trim the spaces before sending to HomeLet</t>
  </si>
  <si>
    <t xml:space="preserve"> 2024-04-19</t>
  </si>
  <si>
    <t>Story</t>
  </si>
  <si>
    <t xml:space="preserve"> BSS-13</t>
  </si>
  <si>
    <t xml:space="preserve"> Flow error message improvement</t>
  </si>
  <si>
    <t xml:space="preserve"> To Do</t>
  </si>
  <si>
    <t xml:space="preserve"> Technical</t>
  </si>
  <si>
    <t>15-04-2024</t>
  </si>
  <si>
    <t>22-04-2024</t>
  </si>
  <si>
    <t xml:space="preserve"> BSS-14  An unhandled fault occurred in this flow</t>
  </si>
  <si>
    <t xml:space="preserve"> BSS-16  Unable to send to Homelet</t>
  </si>
  <si>
    <t xml:space="preserve"> BSS-15  Trim the spaces before sending to HomeLet</t>
  </si>
  <si>
    <t xml:space="preserve"> BSS-13  Flow error message improvement</t>
  </si>
  <si>
    <t>Discussion with Sam about BSS-16.</t>
  </si>
  <si>
    <t>AVM-14 Test Case</t>
  </si>
  <si>
    <t>BSS8 call with Sam BSS-19</t>
  </si>
  <si>
    <t>HomeLet issue - https://graingerplc.atlassian.net/browse/BSS-16</t>
  </si>
  <si>
    <t>BSS-16</t>
  </si>
  <si>
    <t>BSS-18</t>
  </si>
  <si>
    <t>29-04-2024</t>
  </si>
  <si>
    <t xml:space="preserve"> Anjali Salecha</t>
  </si>
  <si>
    <t xml:space="preserve"> 2024-04-26</t>
  </si>
  <si>
    <t xml:space="preserve"> BSS-19</t>
  </si>
  <si>
    <t xml:space="preserve"> The Units  with status “On the market – no access” are not able to be posted onto Rightmove</t>
  </si>
  <si>
    <t xml:space="preserve"> BSS-18</t>
  </si>
  <si>
    <t xml:space="preserve"> Limit Exceeded Error while trying to update a Unit via Salesforce connector</t>
  </si>
  <si>
    <t xml:space="preserve"> 2024-04-24</t>
  </si>
  <si>
    <t xml:space="preserve"> 2024-04-29</t>
  </si>
  <si>
    <t xml:space="preserve"> 2024-04-23</t>
  </si>
  <si>
    <t xml:space="preserve"> BSS-17</t>
  </si>
  <si>
    <t xml:space="preserve"> Guarantor not being sent for referencing</t>
  </si>
  <si>
    <t xml:space="preserve"> Client Confirmation (Grainger)</t>
  </si>
  <si>
    <t xml:space="preserve"> Jaic George</t>
  </si>
  <si>
    <t xml:space="preserve"> BSS-19  The Units  with status “On the market – no access” are not able to be posted onto Rightmove</t>
  </si>
  <si>
    <t xml:space="preserve"> BSS-17  Guarantor not being sent for referencing</t>
  </si>
  <si>
    <t>IN08074</t>
  </si>
  <si>
    <t>Chat with Jaic about Homelet opps issues. BSS-21</t>
  </si>
  <si>
    <t>1. Discussion with Sam and Dillan - HomeLet issue - https://graingerplc.atlassian.net/browse/BSS-16 2. Analysis and debug logs for issue BSS-16 3. Discussion with client - BSS-16 catchup.</t>
  </si>
  <si>
    <t>1. Discussion with Sam 2. Worked on BSS-20 in sit environment. 3. Manual deployment of fixes from uat to sit 4. Testing in uat because of 403 forbidden error.</t>
  </si>
  <si>
    <t>BSS-19</t>
  </si>
  <si>
    <t>BSS-19 BSS - 8</t>
  </si>
  <si>
    <t>06-05-2024</t>
  </si>
  <si>
    <t xml:space="preserve"> BSS-20</t>
  </si>
  <si>
    <t xml:space="preserve"> Lead Tenant being sent twice to HomeLet</t>
  </si>
  <si>
    <t xml:space="preserve"> 2024-05-06</t>
  </si>
  <si>
    <t xml:space="preserve"> BSS-22</t>
  </si>
  <si>
    <t xml:space="preserve"> An Error Occurred with Your "Opportunity Contact Role PB Handler" Flow</t>
  </si>
  <si>
    <t xml:space="preserve"> Bug</t>
  </si>
  <si>
    <t xml:space="preserve"> BSS-23</t>
  </si>
  <si>
    <t xml:space="preserve"> An Error Occurred with Your "Renewals - Send email to OCRs" Flow</t>
  </si>
  <si>
    <t xml:space="preserve"> Jacob Smycz</t>
  </si>
  <si>
    <t xml:space="preserve"> 2024-04-30</t>
  </si>
  <si>
    <t xml:space="preserve"> BSS-21</t>
  </si>
  <si>
    <t xml:space="preserve"> Re-send guarantor to HomeLet</t>
  </si>
  <si>
    <t xml:space="preserve"> 2024-05-01</t>
  </si>
  <si>
    <t>Saji Gunasekaran</t>
  </si>
  <si>
    <t xml:space="preserve"> BSS-23  An Error Occurred with Your "Renewals - Send email to OCRs" Flow</t>
  </si>
  <si>
    <t xml:space="preserve"> BSS-20  Lead Tenant being sent twice to HomeLet</t>
  </si>
  <si>
    <t xml:space="preserve"> BSS-21  Re-send guarantor to HomeLet</t>
  </si>
  <si>
    <t>May</t>
  </si>
  <si>
    <t>Salesforce Support (T&amp;M)</t>
  </si>
  <si>
    <t>1. Discussion with Sam. 2. Worked on BSS-20. 3. Prepared data for opps already cloned and Opps not already cloned.  4. Root cause analysis.</t>
  </si>
  <si>
    <t>Worked on analysing debug logs for BSS-27</t>
  </si>
  <si>
    <t>Worked on BSS-27. Daily standup . Discussion with Sam.</t>
  </si>
  <si>
    <t>Process discussion</t>
  </si>
  <si>
    <t>FTE Hours Sync Up</t>
  </si>
  <si>
    <t>BSS-22 BSS-23 BSS-25</t>
  </si>
  <si>
    <t>Grainger catchup with Sam and Anjali</t>
  </si>
  <si>
    <t>BSS-19 review and deployment with Sam</t>
  </si>
  <si>
    <t>BSS-21 and BSS-22 investigation and updates in JIRA</t>
  </si>
  <si>
    <t>BSS-28 Investigation</t>
  </si>
  <si>
    <t>BSS-28</t>
  </si>
  <si>
    <t>13-05-2024</t>
  </si>
  <si>
    <t xml:space="preserve"> Jaic george</t>
  </si>
  <si>
    <t xml:space="preserve"> 2024-05-13</t>
  </si>
  <si>
    <t xml:space="preserve"> Welsh Occupation Contract validation blocking opportunities for Parking Garages in Cardiff</t>
  </si>
  <si>
    <t xml:space="preserve"> Priority 1</t>
  </si>
  <si>
    <t xml:space="preserve"> 2024-05-10</t>
  </si>
  <si>
    <t xml:space="preserve"> SAJI GUNASEKARAN</t>
  </si>
  <si>
    <t xml:space="preserve"> BSS-27</t>
  </si>
  <si>
    <t xml:space="preserve"> Lead tenant validation preventing creation of renewal opps</t>
  </si>
  <si>
    <t xml:space="preserve"> 2024-05-07</t>
  </si>
  <si>
    <t xml:space="preserve"> BSS-24</t>
  </si>
  <si>
    <t xml:space="preserve"> Update recipients for Process Automation Settings</t>
  </si>
  <si>
    <t xml:space="preserve"> Holding Place</t>
  </si>
  <si>
    <t xml:space="preserve"> BSS-28</t>
  </si>
  <si>
    <t xml:space="preserve"> Contract Sign Date not displaying</t>
  </si>
  <si>
    <t xml:space="preserve"> 2024-05-09</t>
  </si>
  <si>
    <t xml:space="preserve"> BSS-25</t>
  </si>
  <si>
    <t xml:space="preserve"> Update UAT Organization-Wide Addresses</t>
  </si>
  <si>
    <t xml:space="preserve"> BSS-27  Lead tenant validation preventing creation of renewal opps</t>
  </si>
  <si>
    <t xml:space="preserve"> BSS-24  Update recipients for Process Automation Settings</t>
  </si>
  <si>
    <t xml:space="preserve"> BSS-22  Welsh Occupation Contract validation blocking opportunities for Parking Garages in Cardiff</t>
  </si>
  <si>
    <t xml:space="preserve"> BSS-28  Contract Sign Date not displaying</t>
  </si>
  <si>
    <t xml:space="preserve"> BSS-25  Update UAT Organization-Wide Addresses</t>
  </si>
  <si>
    <t>Tickets in comments on PW - May 24</t>
  </si>
  <si>
    <t>BSS-20 prod deployment package preparation. Daily standup.</t>
  </si>
  <si>
    <t>Support hours internal alignment &amp; Time Report</t>
  </si>
  <si>
    <t>Standup</t>
  </si>
  <si>
    <t>- BSS-22 review and QA - Support case review</t>
  </si>
  <si>
    <t>- BSS-22 updated validation rules deploy and smoke testing - Stand up</t>
  </si>
  <si>
    <t>Khonani Davhana</t>
  </si>
  <si>
    <t>Stand Up BSS-28 Investigation and review</t>
  </si>
  <si>
    <t>15-05-2024</t>
  </si>
  <si>
    <t xml:space="preserve"> In Review (Open Box)</t>
  </si>
  <si>
    <t xml:space="preserve"> 2024-05-15</t>
  </si>
  <si>
    <t xml:space="preserve"> 2024-05-14</t>
  </si>
  <si>
    <t xml:space="preserve"> BSS-29</t>
  </si>
  <si>
    <t xml:space="preserve"> Event PB Handler Error: Missing required: whoId </t>
  </si>
  <si>
    <t xml:space="preserve"> BSS-31</t>
  </si>
  <si>
    <t xml:space="preserve"> Apex error during CancelOrder callout to HomeLet API</t>
  </si>
  <si>
    <t xml:space="preserve"> BAU_SUPPORT,  BLOCKED_BY_HOURS_CAP</t>
  </si>
  <si>
    <t>Jaic George</t>
  </si>
  <si>
    <t xml:space="preserve"> BSS-29  Event PB Handler Error: Missing required: whoId </t>
  </si>
  <si>
    <t xml:space="preserve"> BSS-31  Apex error during CancelOrder callout to HomeLet API</t>
  </si>
  <si>
    <t>Testing BSS-22</t>
  </si>
  <si>
    <t>Testing BSS-22 in UAT</t>
  </si>
  <si>
    <t>Discussion with Khonani about testing AVM-68 in uat.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</si>
  <si>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</si>
  <si>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</si>
  <si>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Time Report &amp; Standup</t>
  </si>
  <si>
    <t>Stand Up BSS-22 Assistance with investigation BSS-28 Catch Up</t>
  </si>
  <si>
    <t>20-05-2024</t>
  </si>
  <si>
    <t xml:space="preserve"> 2024-05-20</t>
  </si>
  <si>
    <t xml:space="preserve"> BSS-35</t>
  </si>
  <si>
    <t xml:space="preserve"> The occupational date and signature box are not populated as expected </t>
  </si>
  <si>
    <t xml:space="preserve"> 2024-05-16</t>
  </si>
  <si>
    <t xml:space="preserve"> BSS-36</t>
  </si>
  <si>
    <t xml:space="preserve"> Payment Periodicity not applicable for the selected Primary Offer</t>
  </si>
  <si>
    <t xml:space="preserve"> BSS-37</t>
  </si>
  <si>
    <t xml:space="preserve"> Read/write access for 'Key Location Check in'</t>
  </si>
  <si>
    <t xml:space="preserve"> BSS-36  Payment Periodicity not applicable for the selected Primary Offer</t>
  </si>
  <si>
    <t xml:space="preserve"> BSS-37  Read/write access for 'Key Location Check in'</t>
  </si>
  <si>
    <t xml:space="preserve"> BSS-35  The occupational date and signature box are not populated as expected</t>
  </si>
  <si>
    <t>Client Confirmation (Grainger)</t>
  </si>
  <si>
    <t>1. Worked on BSS-27 script to send mail about opportunities not successfully cloned. 2. Daily standup. 3. Discussion with Khonani about SAWI-70</t>
  </si>
  <si>
    <t>Standup &amp; Time Report</t>
  </si>
  <si>
    <t>- BSS-22 new issue investigation</t>
  </si>
  <si>
    <t>Stand up</t>
  </si>
  <si>
    <t>Matthew Pitcairn</t>
  </si>
  <si>
    <t>Meeting with team over Grainger refresh</t>
  </si>
  <si>
    <t>Meeting over UAT refresh planning</t>
  </si>
  <si>
    <t>Grainger UAT refresh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</si>
</sst>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14" fillId="0" borderId="0" xfId="0" applyFont="1"/>
    <xf numFmtId="0" fontId="0" fillId="33" borderId="0" xfId="0" applyFill="1"/>
    <xf numFmtId="0" fontId="0" fillId="36" borderId="0" xfId="0" applyFill="1"/>
    <xf numFmtId="0" fontId="0" fillId="37" borderId="0" xfId="0" applyFill="1"/>
    <xf numFmtId="0" fontId="0" fillId="35" borderId="0" xfId="0" applyFill="1"/>
    <xf numFmtId="0" fontId="20" fillId="0" borderId="0" xfId="0" applyFont="1"/>
    <xf numFmtId="0" fontId="21" fillId="34" borderId="10" xfId="0" applyFont="1" applyFill="1" applyBorder="1" applyAlignment="1">
      <alignment wrapText="1"/>
    </xf>
    <xf numFmtId="0" fontId="22" fillId="37" borderId="10" xfId="0" applyFont="1" applyFill="1" applyBorder="1" applyAlignment="1">
      <alignment wrapText="1"/>
    </xf>
    <xf numFmtId="0" fontId="22" fillId="0" borderId="10" xfId="0" applyFont="1" applyBorder="1"/>
    <xf numFmtId="0" fontId="22" fillId="35" borderId="10" xfId="0" applyFont="1" applyFill="1" applyBorder="1" applyAlignment="1">
      <alignment wrapText="1"/>
    </xf>
    <xf numFmtId="0" fontId="0" fillId="38" borderId="0" xfId="0" applyFill="1"/>
    <xf numFmtId="0" fontId="19" fillId="0" borderId="10" xfId="42" applyFill="1" applyBorder="1"/>
    <xf numFmtId="0" fontId="0" fillId="0" borderId="0" xfId="0" applyNumberFormat="1"/>
    <xf numFmtId="0" fontId="14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439.672956712966" createdVersion="8" refreshedVersion="8" minRefreshableVersion="3" recordCount="144" xr:uid="{F19C8516-718C-4BD4-B185-1FCA348E7853}">
  <cacheSource type="worksheet">
    <worksheetSource ref="A1:AF145" sheet="Project Timesheets"/>
  </cacheSource>
  <cacheFields count="32">
    <cacheField name="Date" numFmtId="15">
      <sharedItems containsSemiMixedTypes="0" containsNonDate="0" containsDate="1" containsString="0" minDate="2024-03-22T00:00:00" maxDate="2024-05-28T00:00:00"/>
    </cacheField>
    <cacheField name="Person" numFmtId="0">
      <sharedItems count="9">
        <s v="Anjali Salecha"/>
        <s v="Carami Le Grange"/>
        <s v="Dillan Landsberg"/>
        <s v="Khonani Davhana"/>
        <s v="Matthew Pitcairn"/>
        <s v="Sachin  Deshmukh "/>
        <s v="Sam Duncan"/>
        <s v="Shaun Barrett"/>
        <s v="Tafadzwa Toro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27014" maxValue="251639"/>
    </cacheField>
    <cacheField name="Timecode Name" numFmtId="0">
      <sharedItems count="2">
        <s v="General Support (Billable)"/>
        <s v="General Support (Non-Billable)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8"/>
    </cacheField>
    <cacheField name="Time" numFmtId="20">
      <sharedItems containsSemiMixedTypes="0" containsNonDate="0" containsDate="1" containsString="0" minDate="1899-12-30T00:15:00" maxDate="1899-12-30T08:00:00"/>
    </cacheField>
    <cacheField name="Worked Amount" numFmtId="0">
      <sharedItems containsSemiMixedTypes="0" containsString="0" containsNumber="1" minValue="0" maxValue="562.5"/>
    </cacheField>
    <cacheField name="Invoiced Amount" numFmtId="0">
      <sharedItems containsString="0" containsBlank="1" containsNumber="1" minValue="29.75" maxValue="238.02"/>
    </cacheField>
    <cacheField name="Invoiced Delta" numFmtId="0">
      <sharedItems containsString="0" containsBlank="1" containsNumber="1" minValue="7.25" maxValue="58.02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3" maxValue="5"/>
    </cacheField>
    <cacheField name="Month" numFmtId="0">
      <sharedItems count="3">
        <s v="March"/>
        <s v="April"/>
        <s v="M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d v="2024-03-26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29192"/>
    <x v="0"/>
    <s v="Billable timecode"/>
    <s v="Standard Timecode"/>
    <n v="90"/>
    <n v="2"/>
    <d v="1899-12-30T02:00:00"/>
    <n v="180"/>
    <n v="238.02"/>
    <n v="58.02"/>
    <s v="IN08074"/>
    <s v="GBP"/>
    <s v="Reviewed"/>
    <s v="Discussion with Sam related to RJ-30 root cause. Likely relationship with fix of RJ-26. Fixed RJ-30 in staging and testing."/>
    <s v="Not submitted"/>
    <n v="3"/>
    <x v="0"/>
  </r>
  <r>
    <d v="2024-03-27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29334"/>
    <x v="0"/>
    <s v="Billable timecode"/>
    <s v="Standard Timecode"/>
    <n v="90"/>
    <n v="1"/>
    <d v="1899-12-30T01:00:00"/>
    <n v="90"/>
    <n v="119.01"/>
    <n v="29.01"/>
    <s v="IN08074"/>
    <s v="GBP"/>
    <s v="Reviewed"/>
    <s v="checked if sandbox openbox can be deleted. worked on fixing test class - Renewals_OpportunityCloneTest for RJ-30 in staging"/>
    <s v="Not submitted"/>
    <n v="3"/>
    <x v="0"/>
  </r>
  <r>
    <d v="2024-04-08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2801"/>
    <x v="0"/>
    <s v="Billable timecode"/>
    <s v="Standard Timecode"/>
    <n v="90"/>
    <n v="0.5"/>
    <d v="1899-12-30T00:30:00"/>
    <n v="45"/>
    <n v="59.5"/>
    <n v="14.5"/>
    <s v="IN08074"/>
    <s v="GBP"/>
    <s v="Reviewed"/>
    <s v="Homelet demo to Dillan Landsberg in uat."/>
    <s v="Not submitted"/>
    <n v="4"/>
    <x v="1"/>
  </r>
  <r>
    <d v="2024-04-18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6896"/>
    <x v="0"/>
    <s v="Billable timecode"/>
    <s v="Standard Timecode"/>
    <n v="90"/>
    <n v="0.25"/>
    <d v="1899-12-30T00:15:00"/>
    <n v="22.5"/>
    <n v="29.75"/>
    <n v="7.25"/>
    <s v="IN08074"/>
    <s v="GBP"/>
    <s v="Reviewed"/>
    <s v="Discussion with Dillan about HomeLet Bug - removing spaces from phone number before sending to Homelet."/>
    <s v="Not submitted"/>
    <n v="4"/>
    <x v="1"/>
  </r>
  <r>
    <d v="2024-04-19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7719"/>
    <x v="0"/>
    <s v="Billable timecode"/>
    <s v="Standard Timecode"/>
    <n v="90"/>
    <n v="0.25"/>
    <d v="1899-12-30T00:15:00"/>
    <n v="22.5"/>
    <n v="29.75"/>
    <n v="7.25"/>
    <s v="IN08074"/>
    <s v="GBP"/>
    <s v="Reviewed"/>
    <s v="Discussion with Dillan about 'ApplicantExistsWithSameEmail' error."/>
    <s v="Not submitted"/>
    <n v="4"/>
    <x v="1"/>
  </r>
  <r>
    <d v="2024-04-2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7971"/>
    <x v="0"/>
    <s v="Billable timecode"/>
    <s v="Standard Timecode"/>
    <n v="90"/>
    <n v="1.5"/>
    <d v="1899-12-30T01:30:00"/>
    <n v="135"/>
    <n v="178.51"/>
    <n v="43.51"/>
    <s v="IN08074"/>
    <s v="GBP"/>
    <s v="Reviewed"/>
    <s v="Checked the root cause for BSS-16 and discussion with Dillan."/>
    <s v="Not submitted"/>
    <n v="4"/>
    <x v="1"/>
  </r>
  <r>
    <d v="2024-04-25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0111"/>
    <x v="0"/>
    <s v="Billable timecode"/>
    <s v="Standard Timecode"/>
    <n v="90"/>
    <n v="0.5"/>
    <d v="1899-12-30T00:30:00"/>
    <n v="45"/>
    <n v="59.5"/>
    <n v="14.5"/>
    <s v="IN08074"/>
    <s v="GBP"/>
    <s v="Reviewed"/>
    <s v="Discussion with Sam about BSS-16."/>
    <s v="Not submitted"/>
    <n v="4"/>
    <x v="1"/>
  </r>
  <r>
    <d v="2024-05-01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2573"/>
    <x v="0"/>
    <s v="Billable timecode"/>
    <s v="Standard Timecode"/>
    <n v="90"/>
    <n v="0.25"/>
    <d v="1899-12-30T00:15:00"/>
    <n v="22.5"/>
    <n v="29.75"/>
    <n v="7.25"/>
    <s v="IN08074"/>
    <s v="GBP"/>
    <s v="Reviewed"/>
    <s v="Chat with Jaic about Homelet opps issues. BSS-21"/>
    <s v="Not submitted"/>
    <n v="5"/>
    <x v="2"/>
  </r>
  <r>
    <d v="2024-05-0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3530"/>
    <x v="0"/>
    <s v="Billable timecode"/>
    <s v="Standard Timecode"/>
    <n v="90"/>
    <n v="6.25"/>
    <d v="1899-12-30T06:15:00"/>
    <n v="562.5"/>
    <m/>
    <m/>
    <m/>
    <s v="GBP"/>
    <s v="Reviewed"/>
    <s v="1. Discussion with Sam and Dillan - HomeLet issue - https://graingerplc.atlassian.net/browse/BSS-16 2. Analysis and debug logs for issue BSS-16 3. Discussion with client - BSS-16 catchup."/>
    <s v="Not submitted"/>
    <n v="5"/>
    <x v="2"/>
  </r>
  <r>
    <d v="2024-05-03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3531"/>
    <x v="0"/>
    <s v="Billable timecode"/>
    <s v="Standard Timecode"/>
    <n v="90"/>
    <n v="3"/>
    <d v="1899-12-30T03:00:00"/>
    <n v="270"/>
    <m/>
    <m/>
    <m/>
    <s v="GBP"/>
    <s v="Reviewed"/>
    <s v="1. Discussion with Sam 2. Worked on BSS-20 in sit environment. 3. Manual deployment of fixes from uat to sit 4. Testing in uat because of 403 forbidden error."/>
    <s v="Not submitted"/>
    <n v="5"/>
    <x v="2"/>
  </r>
  <r>
    <d v="2024-05-07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4331"/>
    <x v="0"/>
    <s v="Billable timecode"/>
    <s v="Standard Timecode"/>
    <n v="90"/>
    <n v="4"/>
    <d v="1899-12-30T04:00:00"/>
    <n v="360"/>
    <m/>
    <m/>
    <m/>
    <s v="GBP"/>
    <s v="Reviewed"/>
    <s v="1. Discussion with Sam. 2. Worked on BSS-20. 3. Prepared data for opps already cloned and Opps not already cloned.  4. Root cause analysis."/>
    <s v="Not submitted"/>
    <n v="5"/>
    <x v="2"/>
  </r>
  <r>
    <d v="2024-05-08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4755"/>
    <x v="0"/>
    <s v="Billable timecode"/>
    <s v="Standard Timecode"/>
    <n v="90"/>
    <n v="6"/>
    <d v="1899-12-30T06:00:00"/>
    <n v="540"/>
    <m/>
    <m/>
    <m/>
    <s v="GBP"/>
    <s v="Reviewed"/>
    <s v="Worked on analysing debug logs for BSS-27"/>
    <s v="Not submitted"/>
    <n v="5"/>
    <x v="2"/>
  </r>
  <r>
    <d v="2024-05-09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7351"/>
    <x v="1"/>
    <s v="Non-billable timecode"/>
    <s v="Standard Timecode"/>
    <n v="0"/>
    <n v="7"/>
    <d v="1899-12-30T07:00:00"/>
    <n v="0"/>
    <m/>
    <m/>
    <m/>
    <s v="GBP"/>
    <s v="Reviewed"/>
    <s v="Worked on BSS-27. Daily standup . Discussion with Sam."/>
    <s v="Not submitted"/>
    <n v="5"/>
    <x v="2"/>
  </r>
  <r>
    <d v="2024-05-14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6857"/>
    <x v="0"/>
    <s v="Billable timecode"/>
    <s v="Standard Timecode"/>
    <n v="90"/>
    <n v="1"/>
    <d v="1899-12-30T01:00:00"/>
    <n v="90"/>
    <m/>
    <m/>
    <m/>
    <s v="GBP"/>
    <s v="Reviewed"/>
    <s v="BSS-20 prod deployment package preparation. Daily standup."/>
    <s v="Not submitted"/>
    <n v="5"/>
    <x v="2"/>
  </r>
  <r>
    <d v="2024-05-15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7402"/>
    <x v="1"/>
    <s v="Non-billable timecode"/>
    <s v="Standard Timecode"/>
    <n v="0"/>
    <n v="0.25"/>
    <d v="1899-12-30T00:15:00"/>
    <n v="0"/>
    <m/>
    <m/>
    <m/>
    <s v="GBP"/>
    <s v="Reviewed"/>
    <s v="Discussion with Khonani about testing AVM-68 in uat."/>
    <s v="Not submitted"/>
    <n v="5"/>
    <x v="2"/>
  </r>
  <r>
    <d v="2024-05-16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8499"/>
    <x v="1"/>
    <s v="Non-billable timecode"/>
    <s v="Standard Timecode"/>
    <n v="0"/>
    <n v="6.25"/>
    <d v="1899-12-30T06:15:00"/>
    <n v="0"/>
    <m/>
    <m/>
    <m/>
    <s v="GBP"/>
    <s v="Reviewed"/>
    <s v="Sandbox refresh articles. Worked on setting up task sheet. Daily standup."/>
    <s v="Not submitted"/>
    <n v="5"/>
    <x v="2"/>
  </r>
  <r>
    <d v="2024-05-17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8501"/>
    <x v="1"/>
    <s v="Non-billable timecode"/>
    <s v="Standard Timecode"/>
    <n v="0"/>
    <n v="0.75"/>
    <d v="1899-12-30T00:45:00"/>
    <n v="0"/>
    <m/>
    <m/>
    <m/>
    <s v="GBP"/>
    <s v="Reviewed"/>
    <s v="Discussion with Sachin related to task sheet. Updated sheet. Discussion with Dillan about grainger website integration new fields."/>
    <s v="Not submitted"/>
    <n v="5"/>
    <x v="2"/>
  </r>
  <r>
    <d v="2024-05-20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0099"/>
    <x v="1"/>
    <s v="Non-billable timecode"/>
    <s v="Standard Timecode"/>
    <n v="0"/>
    <n v="8"/>
    <d v="1899-12-30T08:00:00"/>
    <n v="0"/>
    <m/>
    <m/>
    <m/>
    <s v="GBP"/>
    <s v="Reviewed"/>
    <s v="1. Worked on BSS-27 script to send mail about opportunities not successfully cloned. 2. Daily standup. 3. Discussion with Khonani about SAWI-70"/>
    <s v="Not submitted"/>
    <n v="5"/>
    <x v="2"/>
  </r>
  <r>
    <d v="2024-03-27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28528"/>
    <x v="1"/>
    <s v="Non-billable timecode"/>
    <s v="Standard Timecode"/>
    <n v="0"/>
    <n v="0.5"/>
    <d v="1899-12-30T00:30:00"/>
    <n v="0"/>
    <m/>
    <m/>
    <m/>
    <s v="GBP"/>
    <s v="Reviewed"/>
    <s v="kick-off &amp; admin"/>
    <s v="Not submitted"/>
    <n v="3"/>
    <x v="0"/>
  </r>
  <r>
    <d v="2024-04-02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0412"/>
    <x v="1"/>
    <s v="Non-billable timecode"/>
    <s v="Standard Timecode"/>
    <n v="0"/>
    <n v="0.25"/>
    <d v="1899-12-30T00:15:00"/>
    <n v="0"/>
    <m/>
    <m/>
    <m/>
    <s v="GBP"/>
    <s v="Reviewed"/>
    <s v="Time Reports"/>
    <s v="Not submitted"/>
    <n v="4"/>
    <x v="1"/>
  </r>
  <r>
    <d v="2024-04-04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1490"/>
    <x v="1"/>
    <s v="Non-billable timecode"/>
    <s v="Standard Timecode"/>
    <n v="0"/>
    <n v="0.5"/>
    <d v="1899-12-30T00:30:00"/>
    <n v="0"/>
    <m/>
    <m/>
    <m/>
    <s v="GBP"/>
    <s v="Reviewed"/>
    <s v="Support Process Planning"/>
    <s v="Not submitted"/>
    <n v="4"/>
    <x v="1"/>
  </r>
  <r>
    <d v="2024-04-05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1672"/>
    <x v="1"/>
    <s v="Non-billable timecode"/>
    <s v="Standard Timecode"/>
    <n v="0"/>
    <n v="0.5"/>
    <d v="1899-12-30T00:30:00"/>
    <n v="0"/>
    <m/>
    <m/>
    <m/>
    <s v="GBP"/>
    <s v="Reviewed"/>
    <s v="Meeting with Helpdesk"/>
    <s v="Not submitted"/>
    <n v="4"/>
    <x v="1"/>
  </r>
  <r>
    <d v="2024-04-08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2453"/>
    <x v="1"/>
    <s v="Non-billable timecode"/>
    <s v="Standard Timecode"/>
    <n v="0"/>
    <n v="1"/>
    <d v="1899-12-30T01:00:00"/>
    <n v="0"/>
    <m/>
    <m/>
    <m/>
    <s v="GBP"/>
    <s v="Reviewed"/>
    <s v="Process Refinement &amp; Flow diagram drafting"/>
    <s v="Not submitted"/>
    <n v="4"/>
    <x v="1"/>
  </r>
  <r>
    <d v="2024-04-09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3077"/>
    <x v="1"/>
    <s v="Non-billable timecode"/>
    <s v="Standard Timecode"/>
    <n v="0"/>
    <n v="0.25"/>
    <d v="1899-12-30T00:15:00"/>
    <n v="0"/>
    <m/>
    <m/>
    <m/>
    <s v="GBP"/>
    <s v="Reviewed"/>
    <s v="Jira changes"/>
    <s v="Not submitted"/>
    <n v="4"/>
    <x v="1"/>
  </r>
  <r>
    <d v="2024-04-11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4192"/>
    <x v="1"/>
    <s v="Non-billable timecode"/>
    <s v="Standard Timecode"/>
    <n v="0"/>
    <n v="0.25"/>
    <d v="1899-12-30T00:15:00"/>
    <n v="0"/>
    <m/>
    <m/>
    <m/>
    <s v="GBP"/>
    <s v="Reviewed"/>
    <s v="Jira issue type changes"/>
    <s v="Not submitted"/>
    <n v="4"/>
    <x v="1"/>
  </r>
  <r>
    <d v="2024-04-12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4548"/>
    <x v="1"/>
    <s v="Non-billable timecode"/>
    <s v="Standard Timecode"/>
    <n v="0"/>
    <n v="1"/>
    <d v="1899-12-30T01:00:00"/>
    <n v="0"/>
    <m/>
    <m/>
    <m/>
    <s v="GBP"/>
    <s v="Reviewed"/>
    <s v="Diagram run through with Melissa"/>
    <s v="Not submitted"/>
    <n v="4"/>
    <x v="1"/>
  </r>
  <r>
    <d v="2024-04-15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5384"/>
    <x v="1"/>
    <s v="Non-billable timecode"/>
    <s v="Standard Timecode"/>
    <n v="0"/>
    <n v="0.25"/>
    <d v="1899-12-30T00:15:00"/>
    <n v="0"/>
    <m/>
    <m/>
    <m/>
    <s v="GBP"/>
    <s v="Reviewed"/>
    <s v="Time Report"/>
    <s v="Not submitted"/>
    <n v="4"/>
    <x v="1"/>
  </r>
  <r>
    <d v="2024-04-16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5864"/>
    <x v="1"/>
    <s v="Non-billable timecode"/>
    <s v="Standard Timecode"/>
    <n v="0"/>
    <n v="0.5"/>
    <d v="1899-12-30T00:30:00"/>
    <n v="0"/>
    <m/>
    <m/>
    <m/>
    <s v="GBP"/>
    <s v="Reviewed"/>
    <s v="Signl4 integration"/>
    <s v="Not submitted"/>
    <n v="4"/>
    <x v="1"/>
  </r>
  <r>
    <d v="2024-04-17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6594"/>
    <x v="1"/>
    <s v="Non-billable timecode"/>
    <s v="Standard Timecode"/>
    <n v="0"/>
    <n v="2"/>
    <d v="1899-12-30T02:00:00"/>
    <n v="0"/>
    <m/>
    <m/>
    <m/>
    <s v="GBP"/>
    <s v="Reviewed"/>
    <s v="Flow diagram workings &amp; standup"/>
    <s v="Not submitted"/>
    <n v="4"/>
    <x v="1"/>
  </r>
  <r>
    <d v="2024-04-19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7570"/>
    <x v="1"/>
    <s v="Non-billable timecode"/>
    <s v="Standard Timecode"/>
    <n v="0"/>
    <n v="0.5"/>
    <d v="1899-12-30T00:30:00"/>
    <n v="0"/>
    <m/>
    <m/>
    <m/>
    <s v="GBP"/>
    <s v="Reviewed"/>
    <s v="Diagram changes"/>
    <s v="Not submitted"/>
    <n v="4"/>
    <x v="1"/>
  </r>
  <r>
    <d v="2024-04-29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1549"/>
    <x v="1"/>
    <s v="Non-billable timecode"/>
    <s v="Standard Timecode"/>
    <n v="0"/>
    <n v="0.25"/>
    <d v="1899-12-30T00:15:00"/>
    <n v="0"/>
    <m/>
    <m/>
    <m/>
    <s v="GBP"/>
    <s v="Reviewed"/>
    <s v="Time Report"/>
    <s v="Not submitted"/>
    <n v="4"/>
    <x v="1"/>
  </r>
  <r>
    <d v="2024-05-06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3733"/>
    <x v="1"/>
    <s v="Non-billable timecode"/>
    <s v="Standard Timecode"/>
    <n v="0"/>
    <n v="0.25"/>
    <d v="1899-12-30T00:15:00"/>
    <n v="0"/>
    <m/>
    <m/>
    <m/>
    <s v="GBP"/>
    <s v="Reviewed"/>
    <s v="Time Report"/>
    <s v="Not submitted"/>
    <n v="5"/>
    <x v="2"/>
  </r>
  <r>
    <d v="2024-05-08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4453"/>
    <x v="1"/>
    <s v="Non-billable timecode"/>
    <s v="Standard Timecode"/>
    <n v="0"/>
    <n v="0.25"/>
    <d v="1899-12-30T00:15:00"/>
    <n v="0"/>
    <m/>
    <m/>
    <m/>
    <s v="GBP"/>
    <s v="Reviewed"/>
    <s v="Process discussion"/>
    <s v="Not submitted"/>
    <n v="5"/>
    <x v="2"/>
  </r>
  <r>
    <d v="2024-05-09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5372"/>
    <x v="1"/>
    <s v="Non-billable timecode"/>
    <s v="Standard Timecode"/>
    <n v="0"/>
    <n v="0.25"/>
    <d v="1899-12-30T00:15:00"/>
    <n v="0"/>
    <m/>
    <m/>
    <m/>
    <s v="GBP"/>
    <s v="Reviewed"/>
    <s v="FTE Hours Sync Up"/>
    <s v="Not submitted"/>
    <n v="5"/>
    <x v="2"/>
  </r>
  <r>
    <d v="2024-05-13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6667"/>
    <x v="1"/>
    <s v="Non-billable timecode"/>
    <s v="Standard Timecode"/>
    <n v="0"/>
    <n v="0.5"/>
    <d v="1899-12-30T00:30:00"/>
    <n v="0"/>
    <m/>
    <m/>
    <m/>
    <s v="GBP"/>
    <m/>
    <s v="Support hours internal alignment &amp; Time Report"/>
    <s v="Not submitted"/>
    <n v="5"/>
    <x v="2"/>
  </r>
  <r>
    <d v="2024-05-14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6843"/>
    <x v="1"/>
    <s v="Non-billable timecode"/>
    <s v="Standard Timecode"/>
    <n v="0"/>
    <n v="0.5"/>
    <d v="1899-12-30T00:30:00"/>
    <n v="0"/>
    <m/>
    <m/>
    <m/>
    <s v="GBP"/>
    <m/>
    <s v="Standup"/>
    <s v="Not submitted"/>
    <n v="5"/>
    <x v="2"/>
  </r>
  <r>
    <d v="2024-05-15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7740"/>
    <x v="1"/>
    <s v="Non-billable timecode"/>
    <s v="Standard Timecode"/>
    <n v="0"/>
    <n v="1.25"/>
    <d v="1899-12-30T01:15:00"/>
    <n v="0"/>
    <m/>
    <m/>
    <m/>
    <s v="GBP"/>
    <m/>
    <s v="Time Report &amp; Standup"/>
    <s v="Not submitted"/>
    <n v="5"/>
    <x v="2"/>
  </r>
  <r>
    <d v="2024-05-16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8362"/>
    <x v="1"/>
    <s v="Non-billable timecode"/>
    <s v="Standard Timecode"/>
    <n v="0"/>
    <n v="0.25"/>
    <d v="1899-12-30T00:15:00"/>
    <n v="0"/>
    <m/>
    <m/>
    <m/>
    <s v="GBP"/>
    <m/>
    <s v="Standup"/>
    <s v="Not submitted"/>
    <n v="5"/>
    <x v="2"/>
  </r>
  <r>
    <d v="2024-05-17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8511"/>
    <x v="1"/>
    <s v="Non-billable timecode"/>
    <s v="Standard Timecode"/>
    <n v="0"/>
    <n v="0.25"/>
    <d v="1899-12-30T00:15:00"/>
    <n v="0"/>
    <m/>
    <m/>
    <m/>
    <s v="GBP"/>
    <m/>
    <s v="Standup"/>
    <s v="Not submitted"/>
    <n v="5"/>
    <x v="2"/>
  </r>
  <r>
    <d v="2024-05-20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9395"/>
    <x v="1"/>
    <s v="Non-billable timecode"/>
    <s v="Standard Timecode"/>
    <n v="0"/>
    <n v="0.5"/>
    <d v="1899-12-30T00:30:00"/>
    <n v="0"/>
    <m/>
    <m/>
    <m/>
    <s v="GBP"/>
    <m/>
    <s v="Standup &amp; Time Report"/>
    <s v="Not submitted"/>
    <n v="5"/>
    <x v="2"/>
  </r>
  <r>
    <d v="2024-05-21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9820"/>
    <x v="1"/>
    <s v="Non-billable timecode"/>
    <s v="Standard Timecode"/>
    <n v="0"/>
    <n v="0.25"/>
    <d v="1899-12-30T00:15:00"/>
    <n v="0"/>
    <m/>
    <m/>
    <m/>
    <s v="GBP"/>
    <m/>
    <s v="Standup"/>
    <s v="Not submitted"/>
    <n v="5"/>
    <x v="2"/>
  </r>
  <r>
    <d v="2024-05-22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0320"/>
    <x v="1"/>
    <s v="Non-billable timecode"/>
    <s v="Standard Timecode"/>
    <n v="0"/>
    <n v="0.25"/>
    <d v="1899-12-30T00:15:00"/>
    <n v="0"/>
    <m/>
    <m/>
    <m/>
    <s v="GBP"/>
    <m/>
    <s v="Standup"/>
    <s v="Not submitted"/>
    <n v="5"/>
    <x v="2"/>
  </r>
  <r>
    <d v="2024-05-23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0867"/>
    <x v="1"/>
    <s v="Non-billable timecode"/>
    <s v="Standard Timecode"/>
    <n v="0"/>
    <n v="0.25"/>
    <d v="1899-12-30T00:15:00"/>
    <n v="0"/>
    <m/>
    <m/>
    <m/>
    <s v="GBP"/>
    <m/>
    <s v="Standup"/>
    <s v="Not submitted"/>
    <n v="5"/>
    <x v="2"/>
  </r>
  <r>
    <d v="2024-04-05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1787"/>
    <x v="1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08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2286"/>
    <x v="0"/>
    <s v="Billable timecode"/>
    <s v="Standard Timecode"/>
    <n v="90"/>
    <n v="0.5"/>
    <d v="1899-12-30T00:30:00"/>
    <n v="45"/>
    <n v="59.5"/>
    <n v="14.5"/>
    <s v="IN08074"/>
    <s v="GBP"/>
    <s v="Reviewed"/>
    <s v="BSS-8: Investigating ticket and providing feedback to Saji"/>
    <s v="Not submitted"/>
    <n v="4"/>
    <x v="1"/>
  </r>
  <r>
    <d v="2024-04-08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2311"/>
    <x v="1"/>
    <s v="Non-billable timecode"/>
    <s v="Standard Timecode"/>
    <n v="0"/>
    <n v="0.5"/>
    <d v="1899-12-30T00:30:00"/>
    <n v="0"/>
    <m/>
    <m/>
    <m/>
    <s v="GBP"/>
    <s v="Reviewed"/>
    <s v="HomeLet overview with Anjali"/>
    <s v="Not submitted"/>
    <n v="4"/>
    <x v="1"/>
  </r>
  <r>
    <d v="2024-04-09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2949"/>
    <x v="0"/>
    <s v="Billable timecode"/>
    <s v="Standard Timecode"/>
    <n v="90"/>
    <n v="1"/>
    <d v="1899-12-30T01:00:00"/>
    <n v="90"/>
    <n v="119.01"/>
    <n v="29.01"/>
    <s v="IN08074"/>
    <s v="GBP"/>
    <s v="Reviewed"/>
    <s v="BSS-8"/>
    <s v="Not submitted"/>
    <n v="4"/>
    <x v="1"/>
  </r>
  <r>
    <d v="2024-04-10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3353"/>
    <x v="0"/>
    <s v="Billable timecode"/>
    <s v="Standard Timecode"/>
    <n v="90"/>
    <n v="1"/>
    <d v="1899-12-30T01:00:00"/>
    <n v="90"/>
    <n v="119.01"/>
    <n v="29.01"/>
    <s v="IN08074"/>
    <s v="GBP"/>
    <s v="Reviewed"/>
    <s v="BSS-11 and BSS-12 investigation and feedback"/>
    <s v="Not submitted"/>
    <n v="4"/>
    <x v="1"/>
  </r>
  <r>
    <d v="2024-04-11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3858"/>
    <x v="0"/>
    <s v="Billable timecode"/>
    <s v="Standard Timecode"/>
    <n v="90"/>
    <n v="0.5"/>
    <d v="1899-12-30T00:30:00"/>
    <n v="45"/>
    <n v="59.5"/>
    <n v="14.5"/>
    <s v="IN08074"/>
    <s v="GBP"/>
    <s v="Reviewed"/>
    <s v="BSS-8 Investigation and feedback to Saji"/>
    <s v="Not submitted"/>
    <n v="4"/>
    <x v="1"/>
  </r>
  <r>
    <d v="2024-04-11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4332"/>
    <x v="1"/>
    <s v="Non-billable timecode"/>
    <s v="Standard Timecode"/>
    <n v="0"/>
    <n v="0.5"/>
    <d v="1899-12-30T00:30:00"/>
    <n v="0"/>
    <m/>
    <m/>
    <m/>
    <s v="GBP"/>
    <s v="Reviewed"/>
    <s v="Chat with Anjali regarding BSS-8"/>
    <s v="Not submitted"/>
    <n v="4"/>
    <x v="1"/>
  </r>
  <r>
    <d v="2024-04-15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5144"/>
    <x v="0"/>
    <s v="Billable timecode"/>
    <s v="Standard Timecode"/>
    <n v="90"/>
    <n v="2"/>
    <d v="1899-12-30T02:00:00"/>
    <n v="180"/>
    <n v="238.02"/>
    <n v="58.02"/>
    <s v="IN08074"/>
    <s v="GBP"/>
    <s v="Reviewed"/>
    <s v="BSS-8 BSS-3"/>
    <s v="Not submitted"/>
    <n v="4"/>
    <x v="1"/>
  </r>
  <r>
    <d v="2024-04-15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5145"/>
    <x v="1"/>
    <s v="Non-billable timecode"/>
    <s v="Standard Timecode"/>
    <n v="0"/>
    <n v="1.5"/>
    <d v="1899-12-30T01:30:00"/>
    <n v="0"/>
    <m/>
    <m/>
    <m/>
    <s v="GBP"/>
    <s v="Reviewed"/>
    <s v="BSS-8"/>
    <s v="Not submitted"/>
    <n v="4"/>
    <x v="1"/>
  </r>
  <r>
    <d v="2024-04-16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5698"/>
    <x v="0"/>
    <s v="Billable timecode"/>
    <s v="Standard Timecode"/>
    <n v="90"/>
    <n v="1.75"/>
    <d v="1899-12-30T01:45:00"/>
    <n v="157.5"/>
    <n v="208.26"/>
    <n v="50.76"/>
    <s v="IN08074"/>
    <s v="GBP"/>
    <s v="Reviewed"/>
    <s v="BSS-14 investigation &amp; error replication BSS-3: Close ticket"/>
    <s v="Not submitted"/>
    <n v="4"/>
    <x v="1"/>
  </r>
  <r>
    <d v="2024-04-16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5696"/>
    <x v="1"/>
    <s v="Non-billable timecode"/>
    <s v="Standard Timecode"/>
    <n v="0"/>
    <n v="3"/>
    <d v="1899-12-30T03:00:00"/>
    <n v="0"/>
    <m/>
    <m/>
    <m/>
    <s v="GBP"/>
    <s v="Reviewed"/>
    <e v="#NAME?"/>
    <s v="Not submitted"/>
    <n v="4"/>
    <x v="1"/>
  </r>
  <r>
    <d v="2024-04-17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6100"/>
    <x v="1"/>
    <s v="Non-billable timecode"/>
    <s v="Standard Timecode"/>
    <n v="0"/>
    <n v="1.25"/>
    <d v="1899-12-30T01:15:00"/>
    <n v="0"/>
    <m/>
    <m/>
    <m/>
    <s v="GBP"/>
    <s v="Reviewed"/>
    <s v="Grainger EOT issue Meeting with Sam &amp; Avi"/>
    <s v="Not submitted"/>
    <n v="4"/>
    <x v="1"/>
  </r>
  <r>
    <d v="2024-04-18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6900"/>
    <x v="0"/>
    <s v="Billable timecode"/>
    <s v="Standard Timecode"/>
    <n v="90"/>
    <n v="0.5"/>
    <d v="1899-12-30T00:30:00"/>
    <n v="45"/>
    <n v="59.5"/>
    <n v="14.5"/>
    <s v="IN08074"/>
    <s v="GBP"/>
    <s v="Reviewed"/>
    <s v="BSS-15 Call with Anjali Investigation   &amp; feedback"/>
    <s v="Not submitted"/>
    <n v="4"/>
    <x v="1"/>
  </r>
  <r>
    <d v="2024-04-18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6740"/>
    <x v="1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19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7309"/>
    <x v="0"/>
    <s v="Billable timecode"/>
    <s v="Standard Timecode"/>
    <n v="90"/>
    <n v="1.75"/>
    <d v="1899-12-30T01:45:00"/>
    <n v="157.5"/>
    <n v="208.26"/>
    <n v="50.76"/>
    <s v="IN08074"/>
    <s v="GBP"/>
    <s v="Reviewed"/>
    <s v="AVM-16"/>
    <s v="Not submitted"/>
    <n v="4"/>
    <x v="1"/>
  </r>
  <r>
    <d v="2024-04-22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7812"/>
    <x v="0"/>
    <s v="Billable timecode"/>
    <s v="Standard Timecode"/>
    <n v="90"/>
    <n v="0.75"/>
    <d v="1899-12-30T00:45:00"/>
    <n v="67.5"/>
    <n v="89.26"/>
    <n v="21.76"/>
    <s v="IN08074"/>
    <s v="GBP"/>
    <s v="Reviewed"/>
    <s v="BSS-16 call with Anjali"/>
    <s v="Not submitted"/>
    <n v="4"/>
    <x v="1"/>
  </r>
  <r>
    <d v="2024-04-23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8745"/>
    <x v="0"/>
    <s v="Billable timecode"/>
    <s v="Standard Timecode"/>
    <n v="90"/>
    <n v="0.75"/>
    <d v="1899-12-30T00:45:00"/>
    <n v="67.5"/>
    <n v="89.26"/>
    <n v="21.76"/>
    <s v="IN08074"/>
    <s v="GBP"/>
    <s v="Reviewed"/>
    <s v="AVM-14 Test Case"/>
    <s v="Not submitted"/>
    <n v="4"/>
    <x v="1"/>
  </r>
  <r>
    <d v="2024-04-26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0088"/>
    <x v="0"/>
    <s v="Billable timecode"/>
    <s v="Standard Timecode"/>
    <n v="90"/>
    <n v="2"/>
    <d v="1899-12-30T02:00:00"/>
    <n v="180"/>
    <n v="238.02"/>
    <n v="58.02"/>
    <s v="IN08074"/>
    <s v="GBP"/>
    <s v="Reviewed"/>
    <s v="BSS8 call with Sam BSS-19"/>
    <s v="Not submitted"/>
    <n v="4"/>
    <x v="1"/>
  </r>
  <r>
    <d v="2024-04-29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0870"/>
    <x v="0"/>
    <s v="Billable timecode"/>
    <s v="Standard Timecode"/>
    <n v="90"/>
    <n v="1.5"/>
    <d v="1899-12-30T01:30:00"/>
    <n v="135"/>
    <n v="178.51"/>
    <n v="43.51"/>
    <s v="IN08074"/>
    <s v="GBP"/>
    <s v="Reviewed"/>
    <s v="HomeLet issue - https://graingerplc.atlassian.net/browse/BSS-16"/>
    <s v="Not submitted"/>
    <n v="4"/>
    <x v="1"/>
  </r>
  <r>
    <d v="2024-04-29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1891"/>
    <x v="1"/>
    <s v="Non-billable timecode"/>
    <s v="Standard Timecode"/>
    <n v="0"/>
    <n v="0.5"/>
    <d v="1899-12-30T00:30:00"/>
    <n v="0"/>
    <m/>
    <m/>
    <m/>
    <s v="GBP"/>
    <s v="Reviewed"/>
    <s v=" "/>
    <s v="Not submitted"/>
    <n v="4"/>
    <x v="1"/>
  </r>
  <r>
    <d v="2024-05-02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2593"/>
    <x v="0"/>
    <s v="Billable timecode"/>
    <s v="Standard Timecode"/>
    <n v="90"/>
    <n v="1.5"/>
    <d v="1899-12-30T01:30:00"/>
    <n v="135"/>
    <m/>
    <m/>
    <m/>
    <s v="GBP"/>
    <s v="Reviewed"/>
    <s v="BSS-19"/>
    <s v="Not submitted"/>
    <n v="5"/>
    <x v="2"/>
  </r>
  <r>
    <d v="2024-05-03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3054"/>
    <x v="0"/>
    <s v="Billable timecode"/>
    <s v="Standard Timecode"/>
    <n v="90"/>
    <n v="2.75"/>
    <d v="1899-12-30T02:45:00"/>
    <n v="247.5"/>
    <m/>
    <m/>
    <m/>
    <s v="GBP"/>
    <s v="Reviewed"/>
    <s v="BSS-19 BSS - 8"/>
    <s v="Not submitted"/>
    <n v="5"/>
    <x v="2"/>
  </r>
  <r>
    <d v="2024-05-06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3722"/>
    <x v="0"/>
    <s v="Billable timecode"/>
    <s v="Standard Timecode"/>
    <n v="90"/>
    <n v="2"/>
    <d v="1899-12-30T02:00:00"/>
    <n v="180"/>
    <m/>
    <m/>
    <m/>
    <s v="GBP"/>
    <s v="Reviewed"/>
    <s v="BSS-22 BSS-23 BSS-25"/>
    <s v="Not submitted"/>
    <n v="5"/>
    <x v="2"/>
  </r>
  <r>
    <d v="2024-05-06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3723"/>
    <x v="1"/>
    <s v="Non-billable timecode"/>
    <s v="Standard Timecode"/>
    <n v="0"/>
    <n v="1.5"/>
    <d v="1899-12-30T01:30:00"/>
    <n v="0"/>
    <m/>
    <m/>
    <m/>
    <s v="GBP"/>
    <s v="Reviewed"/>
    <s v="Grainger catchup with Sam and Anjali"/>
    <s v="Not submitted"/>
    <n v="5"/>
    <x v="2"/>
  </r>
  <r>
    <d v="2024-05-09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5138"/>
    <x v="0"/>
    <s v="Billable timecode"/>
    <s v="Standard Timecode"/>
    <n v="90"/>
    <n v="0.75"/>
    <d v="1899-12-30T00:45:00"/>
    <n v="67.5"/>
    <m/>
    <m/>
    <m/>
    <s v="GBP"/>
    <s v="Reviewed"/>
    <s v="BSS-19 review and deployment with Sam"/>
    <s v="Not submitted"/>
    <n v="5"/>
    <x v="2"/>
  </r>
  <r>
    <d v="2024-05-09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5137"/>
    <x v="1"/>
    <s v="Non-billable timecode"/>
    <s v="Standard Timecode"/>
    <n v="0"/>
    <n v="1.75"/>
    <d v="1899-12-30T01:45:00"/>
    <n v="0"/>
    <m/>
    <m/>
    <m/>
    <s v="GBP"/>
    <s v="Reviewed"/>
    <e v="#NAME?"/>
    <s v="Not submitted"/>
    <n v="5"/>
    <x v="2"/>
  </r>
  <r>
    <d v="2024-05-10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7045"/>
    <x v="1"/>
    <s v="Non-billable timecode"/>
    <s v="Standard Timecode"/>
    <n v="0"/>
    <n v="1.5"/>
    <d v="1899-12-30T01:30:00"/>
    <n v="0"/>
    <m/>
    <m/>
    <m/>
    <s v="GBP"/>
    <s v="Reviewed"/>
    <s v=" "/>
    <s v="Not submitted"/>
    <n v="5"/>
    <x v="2"/>
  </r>
  <r>
    <d v="2024-05-13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7044"/>
    <x v="1"/>
    <s v="Non-billable timecode"/>
    <s v="Standard Timecode"/>
    <n v="0"/>
    <n v="3.5"/>
    <d v="1899-12-30T03:30:00"/>
    <n v="0"/>
    <m/>
    <m/>
    <m/>
    <s v="GBP"/>
    <s v="Reviewed"/>
    <s v=" "/>
    <s v="Not submitted"/>
    <n v="5"/>
    <x v="2"/>
  </r>
  <r>
    <d v="2024-05-14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6863"/>
    <x v="1"/>
    <s v="Non-billable timecode"/>
    <s v="Standard Timecode"/>
    <n v="0"/>
    <n v="4.5"/>
    <d v="1899-12-30T04:30:00"/>
    <n v="0"/>
    <m/>
    <m/>
    <m/>
    <s v="GBP"/>
    <s v="Reviewed"/>
    <s v="- BSS-22 review and QA - Support case review"/>
    <s v="Not submitted"/>
    <n v="5"/>
    <x v="2"/>
  </r>
  <r>
    <d v="2024-05-15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7320"/>
    <x v="1"/>
    <s v="Non-billable timecode"/>
    <s v="Standard Timecode"/>
    <n v="0"/>
    <n v="1.75"/>
    <d v="1899-12-30T01:45:00"/>
    <n v="0"/>
    <m/>
    <m/>
    <m/>
    <s v="GBP"/>
    <s v="Reviewed"/>
    <s v="- BSS-22 updated validation rules deploy and smoke testing - Stand up"/>
    <s v="Not submitted"/>
    <n v="5"/>
    <x v="2"/>
  </r>
  <r>
    <d v="2024-05-16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7963"/>
    <x v="1"/>
    <s v="Non-billable timecode"/>
    <s v="Standard Timecode"/>
    <n v="0"/>
    <n v="0.75"/>
    <d v="1899-12-30T00:45:00"/>
    <n v="0"/>
    <m/>
    <m/>
    <m/>
    <s v="GBP"/>
    <s v="Reviewed"/>
    <e v="#NAME?"/>
    <s v="Not submitted"/>
    <n v="5"/>
    <x v="2"/>
  </r>
  <r>
    <d v="2024-05-17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0040"/>
    <x v="0"/>
    <s v="Billable timecode"/>
    <s v="Standard Timecode"/>
    <n v="90"/>
    <n v="1"/>
    <d v="1899-12-30T01:00:00"/>
    <n v="90"/>
    <m/>
    <m/>
    <m/>
    <s v="GBP"/>
    <s v="Reviewed"/>
    <s v="- BSS-22 new issue investigation"/>
    <s v="Not submitted"/>
    <n v="5"/>
    <x v="2"/>
  </r>
  <r>
    <d v="2024-05-17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8633"/>
    <x v="1"/>
    <s v="Non-billable timecode"/>
    <s v="Standard Timecode"/>
    <n v="0"/>
    <n v="0.5"/>
    <d v="1899-12-30T00:30:00"/>
    <n v="0"/>
    <m/>
    <m/>
    <m/>
    <s v="GBP"/>
    <s v="Reviewed"/>
    <e v="#NAME?"/>
    <s v="Not submitted"/>
    <n v="5"/>
    <x v="2"/>
  </r>
  <r>
    <d v="2024-05-20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9317"/>
    <x v="1"/>
    <s v="Non-billable timecode"/>
    <s v="Standard Timecode"/>
    <n v="0"/>
    <n v="0.25"/>
    <d v="1899-12-30T00:15:00"/>
    <n v="0"/>
    <m/>
    <m/>
    <m/>
    <s v="GBP"/>
    <s v="Reviewed"/>
    <s v="Stand up"/>
    <s v="Not submitted"/>
    <n v="5"/>
    <x v="2"/>
  </r>
  <r>
    <d v="2024-05-21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9788"/>
    <x v="1"/>
    <s v="Non-billable timecode"/>
    <s v="Standard Timecode"/>
    <n v="0"/>
    <n v="0.25"/>
    <d v="1899-12-30T00:15:00"/>
    <n v="0"/>
    <m/>
    <m/>
    <m/>
    <s v="GBP"/>
    <s v="Reviewed"/>
    <s v="Stand up"/>
    <s v="Not submitted"/>
    <n v="5"/>
    <x v="2"/>
  </r>
  <r>
    <d v="2024-05-22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1330"/>
    <x v="1"/>
    <s v="Non-billable timecode"/>
    <s v="Standard Timecode"/>
    <n v="0"/>
    <n v="0.25"/>
    <d v="1899-12-30T00:15:00"/>
    <n v="0"/>
    <m/>
    <m/>
    <m/>
    <s v="GBP"/>
    <m/>
    <s v="Stand up"/>
    <s v="Not submitted"/>
    <n v="5"/>
    <x v="2"/>
  </r>
  <r>
    <d v="2024-05-23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1331"/>
    <x v="1"/>
    <s v="Non-billable timecode"/>
    <s v="Standard Timecode"/>
    <n v="0"/>
    <n v="0.25"/>
    <d v="1899-12-30T00:15:00"/>
    <n v="0"/>
    <m/>
    <m/>
    <m/>
    <s v="GBP"/>
    <m/>
    <s v="Stand up"/>
    <s v="Not submitted"/>
    <n v="5"/>
    <x v="2"/>
  </r>
  <r>
    <d v="2024-05-14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7325"/>
    <x v="0"/>
    <s v="Billable timecode"/>
    <s v="Standard Timecode"/>
    <n v="90"/>
    <n v="0.5"/>
    <d v="1899-12-30T00:30:00"/>
    <n v="45"/>
    <m/>
    <m/>
    <m/>
    <s v="GBP"/>
    <m/>
    <s v="Testing BSS-22"/>
    <s v="Not submitted"/>
    <n v="5"/>
    <x v="2"/>
  </r>
  <r>
    <d v="2024-05-14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7383"/>
    <x v="1"/>
    <s v="Non-billable timecode"/>
    <s v="Standard Timecode"/>
    <n v="0"/>
    <n v="3"/>
    <d v="1899-12-30T03:00:00"/>
    <n v="0"/>
    <m/>
    <m/>
    <m/>
    <s v="GBP"/>
    <m/>
    <s v="Testing BSS-22"/>
    <s v="Not submitted"/>
    <n v="5"/>
    <x v="2"/>
  </r>
  <r>
    <d v="2024-05-15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7384"/>
    <x v="1"/>
    <s v="Non-billable timecode"/>
    <s v="Standard Timecode"/>
    <n v="0"/>
    <n v="0.25"/>
    <d v="1899-12-30T00:15:00"/>
    <n v="0"/>
    <m/>
    <m/>
    <m/>
    <s v="GBP"/>
    <m/>
    <s v="Testing BSS-22 in UAT"/>
    <s v="Not submitted"/>
    <n v="5"/>
    <x v="2"/>
  </r>
  <r>
    <d v="2024-05-21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9514"/>
    <x v="1"/>
    <s v="Non-billable timecode"/>
    <s v="Standard Timecode"/>
    <n v="0"/>
    <n v="0.25"/>
    <d v="1899-12-30T00:15:00"/>
    <n v="0"/>
    <m/>
    <m/>
    <m/>
    <s v="GBP"/>
    <m/>
    <s v="Meeting with team over Grainger refresh"/>
    <s v="Not submitted"/>
    <n v="5"/>
    <x v="2"/>
  </r>
  <r>
    <d v="2024-05-22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0134"/>
    <x v="1"/>
    <s v="Non-billable timecode"/>
    <s v="Standard Timecode"/>
    <n v="0"/>
    <n v="0.75"/>
    <d v="1899-12-30T00:45:00"/>
    <n v="0"/>
    <m/>
    <m/>
    <m/>
    <s v="GBP"/>
    <m/>
    <s v="Meeting over UAT refresh planning"/>
    <s v="Not submitted"/>
    <n v="5"/>
    <x v="2"/>
  </r>
  <r>
    <d v="2024-05-27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1639"/>
    <x v="1"/>
    <s v="Non-billable timecode"/>
    <s v="Standard Timecode"/>
    <n v="0"/>
    <n v="1"/>
    <d v="1899-12-30T01:00:00"/>
    <n v="0"/>
    <m/>
    <m/>
    <m/>
    <s v="GBP"/>
    <m/>
    <s v="Grainger UAT refresh meeting"/>
    <s v="Not submitted"/>
    <n v="5"/>
    <x v="2"/>
  </r>
  <r>
    <d v="2024-03-22T00:00:00"/>
    <x v="5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27014"/>
    <x v="0"/>
    <s v="Billable timecode"/>
    <s v="Standard Timecode"/>
    <n v="90"/>
    <n v="1"/>
    <d v="1899-12-30T01:00:00"/>
    <n v="90"/>
    <n v="119.01"/>
    <n v="29.01"/>
    <s v="IN08074"/>
    <s v="GBP"/>
    <s v="Reviewed"/>
    <s v="-- Investigated FVVP 417 and Production bugs"/>
    <s v="Not submitted"/>
    <n v="3"/>
    <x v="0"/>
  </r>
  <r>
    <d v="2024-03-26T00:00:00"/>
    <x v="5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28560"/>
    <x v="0"/>
    <s v="Billable timecode"/>
    <s v="Standard Timecode"/>
    <n v="90"/>
    <n v="1"/>
    <d v="1899-12-30T01:00:00"/>
    <n v="90"/>
    <n v="119.01"/>
    <n v="29.01"/>
    <s v="IN08074"/>
    <s v="GBP"/>
    <s v="Reviewed"/>
    <s v="Worked on FVVP-416"/>
    <s v="Not submitted"/>
    <n v="3"/>
    <x v="0"/>
  </r>
  <r>
    <d v="2024-03-27T00:00:00"/>
    <x v="5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29177"/>
    <x v="0"/>
    <s v="Billable timecode"/>
    <s v="Standard Timecode"/>
    <n v="90"/>
    <n v="0.5"/>
    <d v="1899-12-30T00:30:00"/>
    <n v="45"/>
    <n v="59.5"/>
    <n v="14.5"/>
    <s v="IN08074"/>
    <s v="GBP"/>
    <s v="Reviewed"/>
    <s v="Fixed the production bug FVVP 416 in Staging"/>
    <s v="Not submitted"/>
    <n v="3"/>
    <x v="0"/>
  </r>
  <r>
    <d v="2024-04-04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1333"/>
    <x v="0"/>
    <s v="Billable timecode"/>
    <s v="Standard Timecode"/>
    <n v="90"/>
    <n v="0.5"/>
    <d v="1899-12-30T00:30:00"/>
    <n v="45"/>
    <n v="59.5"/>
    <n v="14.5"/>
    <s v="IN08074"/>
    <s v="GBP"/>
    <s v="Reviewed"/>
    <s v="BSS-6 Making change in UAT and deploying to PROD"/>
    <s v="Not submitted"/>
    <n v="4"/>
    <x v="1"/>
  </r>
  <r>
    <d v="2024-04-08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2216"/>
    <x v="0"/>
    <s v="Billable timecode"/>
    <s v="Standard Timecode"/>
    <n v="90"/>
    <n v="0.5"/>
    <d v="1899-12-30T00:30:00"/>
    <n v="45"/>
    <n v="59.5"/>
    <n v="14.5"/>
    <s v="IN08074"/>
    <s v="GBP"/>
    <s v="Reviewed"/>
    <s v="Updating historical opps for HomeLet go-live https://graingerplc.atlassian.net/browse/BSS-7"/>
    <s v="Not submitted"/>
    <n v="4"/>
    <x v="1"/>
  </r>
  <r>
    <d v="2024-04-09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2898"/>
    <x v="0"/>
    <s v="Billable timecode"/>
    <s v="Standard Timecode"/>
    <n v="90"/>
    <n v="0.5"/>
    <d v="1899-12-30T00:30:00"/>
    <n v="45"/>
    <n v="59.5"/>
    <n v="14.5"/>
    <s v="IN08074"/>
    <s v="GBP"/>
    <s v="Reviewed"/>
    <s v="BSS-9 Investigating and responding to Jaic"/>
    <s v="Not submitted"/>
    <n v="4"/>
    <x v="1"/>
  </r>
  <r>
    <d v="2024-04-23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0660"/>
    <x v="0"/>
    <s v="Billable timecode"/>
    <s v="Standard Timecode"/>
    <n v="90"/>
    <n v="1"/>
    <d v="1899-12-30T01:00:00"/>
    <n v="90"/>
    <n v="119.01"/>
    <n v="29.01"/>
    <s v="IN08074"/>
    <s v="GBP"/>
    <s v="Reviewed"/>
    <s v="BSS-16"/>
    <s v="Not submitted"/>
    <n v="4"/>
    <x v="1"/>
  </r>
  <r>
    <d v="2024-04-24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9365"/>
    <x v="0"/>
    <s v="Billable timecode"/>
    <s v="Standard Timecode"/>
    <n v="90"/>
    <n v="1.5"/>
    <d v="1899-12-30T01:30:00"/>
    <n v="135"/>
    <n v="178.51"/>
    <n v="43.51"/>
    <s v="IN08074"/>
    <s v="GBP"/>
    <s v="Reviewed"/>
    <s v="BSS-18"/>
    <s v="Not submitted"/>
    <n v="4"/>
    <x v="1"/>
  </r>
  <r>
    <d v="2024-04-25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0672"/>
    <x v="0"/>
    <s v="Billable timecode"/>
    <s v="Standard Timecode"/>
    <n v="90"/>
    <n v="1"/>
    <d v="1899-12-30T01:00:00"/>
    <n v="90"/>
    <n v="119.01"/>
    <n v="29.01"/>
    <s v="IN08074"/>
    <s v="GBP"/>
    <s v="Reviewed"/>
    <s v="BSS-8"/>
    <s v="Not submitted"/>
    <n v="4"/>
    <x v="1"/>
  </r>
  <r>
    <d v="2024-04-26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0433"/>
    <x v="0"/>
    <s v="Billable timecode"/>
    <s v="Standard Timecode"/>
    <n v="90"/>
    <n v="1"/>
    <d v="1899-12-30T01:00:00"/>
    <n v="90"/>
    <n v="119.01"/>
    <n v="29.01"/>
    <s v="IN08074"/>
    <s v="GBP"/>
    <s v="Reviewed"/>
    <s v="BSS-8"/>
    <s v="Not submitted"/>
    <n v="4"/>
    <x v="1"/>
  </r>
  <r>
    <d v="2024-04-26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0434"/>
    <x v="0"/>
    <s v="Billable timecode"/>
    <s v="Standard Timecode"/>
    <n v="90"/>
    <n v="1"/>
    <d v="1899-12-30T01:00:00"/>
    <n v="90"/>
    <n v="119.01"/>
    <n v="29.01"/>
    <s v="IN08074"/>
    <s v="GBP"/>
    <s v="Reviewed"/>
    <s v="BSS-16"/>
    <s v="Not submitted"/>
    <n v="4"/>
    <x v="1"/>
  </r>
  <r>
    <d v="2024-05-07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3918"/>
    <x v="0"/>
    <s v="Billable timecode"/>
    <s v="Standard Timecode"/>
    <n v="90"/>
    <n v="1"/>
    <d v="1899-12-30T01:00:00"/>
    <n v="90"/>
    <m/>
    <m/>
    <m/>
    <s v="GBP"/>
    <s v="Reviewed"/>
    <s v="BSS-21 and BSS-22 investigation and updates in JIRA"/>
    <s v="Not submitted"/>
    <n v="5"/>
    <x v="2"/>
  </r>
  <r>
    <d v="2024-03-27T00:00:00"/>
    <x v="7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28826"/>
    <x v="1"/>
    <s v="Non-billable timecode"/>
    <s v="Standard Timecode"/>
    <n v="0"/>
    <n v="0.5"/>
    <d v="1899-12-30T00:30:00"/>
    <n v="0"/>
    <m/>
    <m/>
    <m/>
    <s v="GBP"/>
    <s v="Reviewed"/>
    <s v="pre project prep"/>
    <s v="Not submitted"/>
    <n v="3"/>
    <x v="0"/>
  </r>
  <r>
    <d v="2024-04-03T00:00:00"/>
    <x v="7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0872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04T00:00:00"/>
    <x v="7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1546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05T00:00:00"/>
    <x v="7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1837"/>
    <x v="1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08T00:00:00"/>
    <x v="7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2524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09T00:00:00"/>
    <x v="7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3122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10T00:00:00"/>
    <x v="7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3821"/>
    <x v="1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11T00:00:00"/>
    <x v="7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4263"/>
    <x v="1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12T00:00:00"/>
    <x v="7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4430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15T00:00:00"/>
    <x v="7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5324"/>
    <x v="1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16T00:00:00"/>
    <x v="7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5992"/>
    <x v="1"/>
    <s v="Non-billable timecode"/>
    <s v="Standard Timecode"/>
    <n v="0"/>
    <n v="1.5"/>
    <d v="1899-12-30T01:30:00"/>
    <n v="0"/>
    <m/>
    <m/>
    <m/>
    <s v="GBP"/>
    <s v="Reviewed"/>
    <s v=" "/>
    <s v="Not submitted"/>
    <n v="4"/>
    <x v="1"/>
  </r>
  <r>
    <d v="2024-04-17T00:00:00"/>
    <x v="7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6701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18T00:00:00"/>
    <x v="7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7125"/>
    <x v="1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19T00:00:00"/>
    <x v="7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7711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22T00:00:00"/>
    <x v="7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8353"/>
    <x v="1"/>
    <s v="Non-billable timecode"/>
    <s v="Standard Timecode"/>
    <n v="0"/>
    <n v="0.5"/>
    <d v="1899-12-30T00:30:00"/>
    <n v="0"/>
    <m/>
    <m/>
    <m/>
    <s v="GBP"/>
    <s v="Reviewed"/>
    <s v=" "/>
    <s v="Not submitted"/>
    <n v="4"/>
    <x v="1"/>
  </r>
  <r>
    <d v="2024-04-23T00:00:00"/>
    <x v="7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9022"/>
    <x v="1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24T00:00:00"/>
    <x v="7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9576"/>
    <x v="1"/>
    <s v="Non-billable timecode"/>
    <s v="Standard Timecode"/>
    <n v="0"/>
    <n v="0.5"/>
    <d v="1899-12-30T00:30:00"/>
    <n v="0"/>
    <m/>
    <m/>
    <m/>
    <s v="GBP"/>
    <s v="Reviewed"/>
    <s v=" "/>
    <s v="Not submitted"/>
    <n v="4"/>
    <x v="1"/>
  </r>
  <r>
    <d v="2024-04-25T00:00:00"/>
    <x v="7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0339"/>
    <x v="1"/>
    <s v="Non-billable timecode"/>
    <s v="Standard Timecode"/>
    <n v="0"/>
    <n v="0.5"/>
    <d v="1899-12-30T00:30:00"/>
    <n v="0"/>
    <m/>
    <m/>
    <m/>
    <s v="GBP"/>
    <s v="Reviewed"/>
    <s v=" "/>
    <s v="Not submitted"/>
    <n v="4"/>
    <x v="1"/>
  </r>
  <r>
    <d v="2024-04-26T00:00:00"/>
    <x v="7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0375"/>
    <x v="1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29T00:00:00"/>
    <x v="7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1507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30T00:00:00"/>
    <x v="7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1946"/>
    <x v="1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5-03T00:00:00"/>
    <x v="7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3418"/>
    <x v="1"/>
    <s v="Non-billable timecode"/>
    <s v="Standard Timecode"/>
    <n v="0"/>
    <n v="0.5"/>
    <d v="1899-12-30T00:30:00"/>
    <n v="0"/>
    <m/>
    <m/>
    <m/>
    <s v="GBP"/>
    <s v="Reviewed"/>
    <s v=" "/>
    <s v="Not submitted"/>
    <n v="5"/>
    <x v="2"/>
  </r>
  <r>
    <d v="2024-05-06T00:00:00"/>
    <x v="7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3831"/>
    <x v="1"/>
    <s v="Non-billable timecode"/>
    <s v="Standard Timecode"/>
    <n v="0"/>
    <n v="0.5"/>
    <d v="1899-12-30T00:30:00"/>
    <n v="0"/>
    <m/>
    <m/>
    <m/>
    <s v="GBP"/>
    <s v="Reviewed"/>
    <s v=" "/>
    <s v="Not submitted"/>
    <n v="5"/>
    <x v="2"/>
  </r>
  <r>
    <d v="2024-05-07T00:00:00"/>
    <x v="7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4356"/>
    <x v="1"/>
    <s v="Non-billable timecode"/>
    <s v="Standard Timecode"/>
    <n v="0"/>
    <n v="0.5"/>
    <d v="1899-12-30T00:30:00"/>
    <n v="0"/>
    <m/>
    <m/>
    <m/>
    <s v="GBP"/>
    <s v="Reviewed"/>
    <s v=" "/>
    <s v="Not submitted"/>
    <n v="5"/>
    <x v="2"/>
  </r>
  <r>
    <d v="2024-05-08T00:00:00"/>
    <x v="7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4599"/>
    <x v="1"/>
    <s v="Non-billable timecode"/>
    <s v="Standard Timecode"/>
    <n v="0"/>
    <n v="0.5"/>
    <d v="1899-12-30T00:30:00"/>
    <n v="0"/>
    <m/>
    <m/>
    <m/>
    <s v="GBP"/>
    <s v="Reviewed"/>
    <s v=" "/>
    <s v="Not submitted"/>
    <n v="5"/>
    <x v="2"/>
  </r>
  <r>
    <d v="2024-05-09T00:00:00"/>
    <x v="7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5361"/>
    <x v="1"/>
    <s v="Non-billable timecode"/>
    <s v="Standard Timecode"/>
    <n v="0"/>
    <n v="1"/>
    <d v="1899-12-30T01:00:00"/>
    <n v="0"/>
    <m/>
    <m/>
    <m/>
    <s v="GBP"/>
    <s v="Reviewed"/>
    <s v=" "/>
    <s v="Not submitted"/>
    <n v="5"/>
    <x v="2"/>
  </r>
  <r>
    <d v="2024-05-10T00:00:00"/>
    <x v="7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5722"/>
    <x v="1"/>
    <s v="Non-billable timecode"/>
    <s v="Standard Timecode"/>
    <n v="0"/>
    <n v="0.5"/>
    <d v="1899-12-30T00:30:00"/>
    <n v="0"/>
    <m/>
    <m/>
    <m/>
    <s v="GBP"/>
    <m/>
    <s v=" "/>
    <s v="Not submitted"/>
    <n v="5"/>
    <x v="2"/>
  </r>
  <r>
    <d v="2024-05-13T00:00:00"/>
    <x v="7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6583"/>
    <x v="1"/>
    <s v="Non-billable timecode"/>
    <s v="Standard Timecode"/>
    <n v="0"/>
    <n v="1"/>
    <d v="1899-12-30T01:00:00"/>
    <n v="0"/>
    <m/>
    <m/>
    <m/>
    <s v="GBP"/>
    <m/>
    <s v=" "/>
    <s v="Not submitted"/>
    <n v="5"/>
    <x v="2"/>
  </r>
  <r>
    <d v="2024-05-14T00:00:00"/>
    <x v="7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7035"/>
    <x v="1"/>
    <s v="Non-billable timecode"/>
    <s v="Standard Timecode"/>
    <n v="0"/>
    <n v="0.5"/>
    <d v="1899-12-30T00:30:00"/>
    <n v="0"/>
    <m/>
    <m/>
    <m/>
    <s v="GBP"/>
    <m/>
    <s v=" "/>
    <s v="Not submitted"/>
    <n v="5"/>
    <x v="2"/>
  </r>
  <r>
    <d v="2024-05-15T00:00:00"/>
    <x v="7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7848"/>
    <x v="1"/>
    <s v="Non-billable timecode"/>
    <s v="Standard Timecode"/>
    <n v="0"/>
    <n v="1"/>
    <d v="1899-12-30T01:00:00"/>
    <n v="0"/>
    <m/>
    <m/>
    <m/>
    <s v="GBP"/>
    <m/>
    <s v=" "/>
    <s v="Not submitted"/>
    <n v="5"/>
    <x v="2"/>
  </r>
  <r>
    <d v="2024-05-16T00:00:00"/>
    <x v="7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8901"/>
    <x v="1"/>
    <s v="Non-billable timecode"/>
    <s v="Standard Timecode"/>
    <n v="0"/>
    <n v="0.5"/>
    <d v="1899-12-30T00:30:00"/>
    <n v="0"/>
    <m/>
    <m/>
    <m/>
    <s v="GBP"/>
    <m/>
    <s v=" "/>
    <s v="Not submitted"/>
    <n v="5"/>
    <x v="2"/>
  </r>
  <r>
    <d v="2024-05-17T00:00:00"/>
    <x v="7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8902"/>
    <x v="1"/>
    <s v="Non-billable timecode"/>
    <s v="Standard Timecode"/>
    <n v="0"/>
    <n v="0.5"/>
    <d v="1899-12-30T00:30:00"/>
    <n v="0"/>
    <m/>
    <m/>
    <m/>
    <s v="GBP"/>
    <m/>
    <s v=" "/>
    <s v="Not submitted"/>
    <n v="5"/>
    <x v="2"/>
  </r>
  <r>
    <d v="2024-05-20T00:00:00"/>
    <x v="7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9463"/>
    <x v="1"/>
    <s v="Non-billable timecode"/>
    <s v="Standard Timecode"/>
    <n v="0"/>
    <n v="0.5"/>
    <d v="1899-12-30T00:30:00"/>
    <n v="0"/>
    <m/>
    <m/>
    <m/>
    <s v="GBP"/>
    <m/>
    <s v=" "/>
    <s v="Not submitted"/>
    <n v="5"/>
    <x v="2"/>
  </r>
  <r>
    <d v="2024-05-21T00:00:00"/>
    <x v="7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0288"/>
    <x v="1"/>
    <s v="Non-billable timecode"/>
    <s v="Standard Timecode"/>
    <n v="0"/>
    <n v="0.5"/>
    <d v="1899-12-30T00:30:00"/>
    <n v="0"/>
    <m/>
    <m/>
    <m/>
    <s v="GBP"/>
    <m/>
    <s v=" "/>
    <s v="Not submitted"/>
    <n v="5"/>
    <x v="2"/>
  </r>
  <r>
    <d v="2024-05-22T00:00:00"/>
    <x v="7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0291"/>
    <x v="1"/>
    <s v="Non-billable timecode"/>
    <s v="Standard Timecode"/>
    <n v="0"/>
    <n v="0.5"/>
    <d v="1899-12-30T00:30:00"/>
    <n v="0"/>
    <m/>
    <m/>
    <m/>
    <s v="GBP"/>
    <m/>
    <s v=" "/>
    <s v="Not submitted"/>
    <n v="5"/>
    <x v="2"/>
  </r>
  <r>
    <d v="2024-05-23T00:00:00"/>
    <x v="7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0839"/>
    <x v="1"/>
    <s v="Non-billable timecode"/>
    <s v="Standard Timecode"/>
    <n v="0"/>
    <n v="0.25"/>
    <d v="1899-12-30T00:15:00"/>
    <n v="0"/>
    <m/>
    <m/>
    <m/>
    <s v="GBP"/>
    <m/>
    <s v=" "/>
    <s v="Not submitted"/>
    <n v="5"/>
    <x v="2"/>
  </r>
  <r>
    <d v="2024-03-28T00:00:00"/>
    <x v="8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29978"/>
    <x v="0"/>
    <s v="Billable timecode"/>
    <s v="Standard Timecode"/>
    <n v="90"/>
    <n v="0.5"/>
    <d v="1899-12-30T00:30:00"/>
    <n v="45"/>
    <n v="59.5"/>
    <n v="14.5"/>
    <s v="IN08074"/>
    <s v="GBP"/>
    <s v="Reviewed"/>
    <s v="Troubleshooting RSW ticket: https://graingerplc.atlassian.net/browse/RSW-62"/>
    <s v="Not submitted"/>
    <n v="3"/>
    <x v="0"/>
  </r>
  <r>
    <d v="2024-05-07T00:00:00"/>
    <x v="8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4430"/>
    <x v="1"/>
    <s v="Non-billable timecode"/>
    <s v="Standard Timecode"/>
    <n v="0"/>
    <n v="1"/>
    <d v="1899-12-30T01:00:00"/>
    <n v="0"/>
    <m/>
    <m/>
    <m/>
    <s v="GBP"/>
    <s v="Reviewed"/>
    <s v="BSS-28 Investigation"/>
    <s v="Not submitted"/>
    <n v="5"/>
    <x v="2"/>
  </r>
  <r>
    <d v="2024-05-08T00:00:00"/>
    <x v="8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4738"/>
    <x v="1"/>
    <s v="Non-billable timecode"/>
    <s v="Standard Timecode"/>
    <n v="0"/>
    <n v="2"/>
    <d v="1899-12-30T02:00:00"/>
    <n v="0"/>
    <m/>
    <m/>
    <m/>
    <s v="GBP"/>
    <s v="Reviewed"/>
    <s v=" "/>
    <s v="Not submitted"/>
    <n v="5"/>
    <x v="2"/>
  </r>
  <r>
    <d v="2024-05-09T00:00:00"/>
    <x v="8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5768"/>
    <x v="1"/>
    <s v="Non-billable timecode"/>
    <s v="Standard Timecode"/>
    <n v="0"/>
    <n v="2"/>
    <d v="1899-12-30T02:00:00"/>
    <n v="0"/>
    <m/>
    <m/>
    <m/>
    <s v="GBP"/>
    <m/>
    <s v="BSS-28"/>
    <s v="Not submitted"/>
    <n v="5"/>
    <x v="2"/>
  </r>
  <r>
    <d v="2024-05-10T00:00:00"/>
    <x v="8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5776"/>
    <x v="1"/>
    <s v="Non-billable timecode"/>
    <s v="Standard Timecode"/>
    <n v="0"/>
    <n v="2"/>
    <d v="1899-12-30T02:00:00"/>
    <n v="0"/>
    <m/>
    <m/>
    <m/>
    <s v="GBP"/>
    <m/>
    <s v=" "/>
    <s v="Not submitted"/>
    <n v="5"/>
    <x v="2"/>
  </r>
  <r>
    <d v="2024-05-13T00:00:00"/>
    <x v="8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7316"/>
    <x v="1"/>
    <s v="Non-billable timecode"/>
    <s v="Standard Timecode"/>
    <n v="0"/>
    <n v="5.25"/>
    <d v="1899-12-30T05:15:00"/>
    <n v="0"/>
    <m/>
    <m/>
    <m/>
    <s v="GBP"/>
    <m/>
    <s v="Stand Up BSS-28 Investigation and review"/>
    <s v="Not submitted"/>
    <n v="5"/>
    <x v="2"/>
  </r>
  <r>
    <d v="2024-05-14T00:00:00"/>
    <x v="8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7319"/>
    <x v="1"/>
    <s v="Non-billable timecode"/>
    <s v="Standard Timecode"/>
    <n v="0"/>
    <n v="3.25"/>
    <d v="1899-12-30T03:15:00"/>
    <n v="0"/>
    <m/>
    <m/>
    <m/>
    <s v="GBP"/>
    <m/>
    <s v="Stand Up BSS-22 Assistance with investigation BSS-28 Catch Up"/>
    <s v="Not submitted"/>
    <n v="5"/>
    <x v="2"/>
  </r>
  <r>
    <d v="2024-05-15T00:00:00"/>
    <x v="8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7793"/>
    <x v="1"/>
    <s v="Non-billable timecode"/>
    <s v="Standard Timecode"/>
    <n v="0"/>
    <n v="0.25"/>
    <d v="1899-12-30T00:15:00"/>
    <n v="0"/>
    <m/>
    <m/>
    <m/>
    <s v="GBP"/>
    <m/>
    <s v=" "/>
    <s v="Not submitted"/>
    <n v="5"/>
    <x v="2"/>
  </r>
  <r>
    <d v="2024-05-16T00:00:00"/>
    <x v="8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8860"/>
    <x v="1"/>
    <s v="Non-billable timecode"/>
    <s v="Standard Timecode"/>
    <n v="0"/>
    <n v="0.25"/>
    <d v="1899-12-30T00:15:00"/>
    <n v="0"/>
    <m/>
    <m/>
    <m/>
    <s v="GBP"/>
    <m/>
    <s v=" "/>
    <s v="Not submitted"/>
    <n v="5"/>
    <x v="2"/>
  </r>
  <r>
    <d v="2024-05-17T00:00:00"/>
    <x v="8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8878"/>
    <x v="1"/>
    <s v="Non-billable timecode"/>
    <s v="Standard Timecode"/>
    <n v="0"/>
    <n v="0.25"/>
    <d v="1899-12-30T00:15:00"/>
    <n v="0"/>
    <m/>
    <m/>
    <m/>
    <s v="GBP"/>
    <m/>
    <s v=" "/>
    <s v="Not submitted"/>
    <n v="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EC054A-6F28-4644-A1F6-1A1DC5C2F330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3" firstHeaderRow="1" firstDataRow="2" firstDataCol="1" rowPageCount="1" colPageCount="1"/>
  <pivotFields count="32">
    <pivotField numFmtId="15" showAll="0"/>
    <pivotField axis="axisRow" showAll="0">
      <items count="10">
        <item x="0"/>
        <item x="5"/>
        <item x="8"/>
        <item x="6"/>
        <item x="1"/>
        <item x="2"/>
        <item x="7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</pivotFields>
  <rowFields count="1">
    <field x="1"/>
  </rowFields>
  <rowItems count="9">
    <i>
      <x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6"/>
  </colFields>
  <colItems count="3">
    <i>
      <x/>
    </i>
    <i>
      <x v="1"/>
    </i>
    <i t="grand">
      <x/>
    </i>
  </colItems>
  <pageFields count="1">
    <pageField fld="31" item="2" hier="-1"/>
  </pageFields>
  <dataFields count="1">
    <dataField name="Sum of Hours" fld="20" baseField="0" baseItem="0"/>
  </dataFields>
  <formats count="3">
    <format dxfId="8">
      <pivotArea outline="0" collapsedLevelsAreSubtotals="1" fieldPosition="0">
        <references count="1">
          <reference field="16" count="1" selected="0">
            <x v="1"/>
          </reference>
        </references>
      </pivotArea>
    </format>
    <format dxfId="7">
      <pivotArea type="topRight" dataOnly="0" labelOnly="1" outline="0" fieldPosition="0"/>
    </format>
    <format dxfId="6">
      <pivotArea dataOnly="0" labelOnly="1" fieldPosition="0">
        <references count="1">
          <reference field="1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20" TargetMode="External"/><Relationship Id="rId13" Type="http://schemas.openxmlformats.org/officeDocument/2006/relationships/hyperlink" Target="https://graingerplc.atlassian.net/browse/BSS-17" TargetMode="External"/><Relationship Id="rId18" Type="http://schemas.openxmlformats.org/officeDocument/2006/relationships/hyperlink" Target="https://graingerplc.atlassian.net/browse/BSS-29" TargetMode="External"/><Relationship Id="rId3" Type="http://schemas.openxmlformats.org/officeDocument/2006/relationships/hyperlink" Target="https://graingerplc.atlassian.net/browse/BSS-27" TargetMode="External"/><Relationship Id="rId21" Type="http://schemas.openxmlformats.org/officeDocument/2006/relationships/hyperlink" Target="https://graingerplc.atlassian.net/browse/BSS-36" TargetMode="External"/><Relationship Id="rId7" Type="http://schemas.openxmlformats.org/officeDocument/2006/relationships/hyperlink" Target="https://graingerplc.atlassian.net/browse/BSS-4" TargetMode="External"/><Relationship Id="rId12" Type="http://schemas.openxmlformats.org/officeDocument/2006/relationships/hyperlink" Target="https://graingerplc.atlassian.net/browse/BSS-9" TargetMode="External"/><Relationship Id="rId17" Type="http://schemas.openxmlformats.org/officeDocument/2006/relationships/hyperlink" Target="https://graingerplc.atlassian.net/browse/BSS-25" TargetMode="External"/><Relationship Id="rId2" Type="http://schemas.openxmlformats.org/officeDocument/2006/relationships/hyperlink" Target="https://graingerplc.atlassian.net/browse/BSS-13" TargetMode="External"/><Relationship Id="rId16" Type="http://schemas.openxmlformats.org/officeDocument/2006/relationships/hyperlink" Target="https://graingerplc.atlassian.net/browse/BSS-19" TargetMode="External"/><Relationship Id="rId20" Type="http://schemas.openxmlformats.org/officeDocument/2006/relationships/hyperlink" Target="https://graingerplc.atlassian.net/browse/BSS-35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23" TargetMode="External"/><Relationship Id="rId11" Type="http://schemas.openxmlformats.org/officeDocument/2006/relationships/hyperlink" Target="https://graingerplc.atlassian.net/browse/BSS-28" TargetMode="External"/><Relationship Id="rId5" Type="http://schemas.openxmlformats.org/officeDocument/2006/relationships/hyperlink" Target="https://graingerplc.atlassian.net/browse/BSS-24" TargetMode="External"/><Relationship Id="rId15" Type="http://schemas.openxmlformats.org/officeDocument/2006/relationships/hyperlink" Target="https://graingerplc.atlassian.net/browse/BSS-21" TargetMode="External"/><Relationship Id="rId23" Type="http://schemas.openxmlformats.org/officeDocument/2006/relationships/hyperlink" Target="https://graingerplc.atlassian.net/browse/BSS-22" TargetMode="External"/><Relationship Id="rId10" Type="http://schemas.openxmlformats.org/officeDocument/2006/relationships/hyperlink" Target="https://graingerplc.atlassian.net/browse/BSS-16" TargetMode="External"/><Relationship Id="rId19" Type="http://schemas.openxmlformats.org/officeDocument/2006/relationships/hyperlink" Target="https://graingerplc.atlassian.net/browse/BSS-31" TargetMode="External"/><Relationship Id="rId4" Type="http://schemas.openxmlformats.org/officeDocument/2006/relationships/hyperlink" Target="https://graingerplc.atlassian.net/browse/BSS-15" TargetMode="External"/><Relationship Id="rId9" Type="http://schemas.openxmlformats.org/officeDocument/2006/relationships/hyperlink" Target="https://graingerplc.atlassian.net/browse/BSS-14" TargetMode="External"/><Relationship Id="rId14" Type="http://schemas.openxmlformats.org/officeDocument/2006/relationships/hyperlink" Target="https://graingerplc.atlassian.net/browse/BSS-8" TargetMode="External"/><Relationship Id="rId22" Type="http://schemas.openxmlformats.org/officeDocument/2006/relationships/hyperlink" Target="https://graingerplc.atlassian.net/browse/BSS-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zoomScaleNormal="100" workbookViewId="0"/>
  </sheetViews>
  <sheetFormatPr defaultRowHeight="14.4" x14ac:dyDescent="0.3"/>
  <cols>
    <col min="1" max="1" width="15.44140625" bestFit="1" customWidth="1"/>
    <col min="2" max="2" width="23" bestFit="1" customWidth="1"/>
    <col min="3" max="3" width="27.109375" bestFit="1" customWidth="1"/>
    <col min="4" max="4" width="15.33203125" bestFit="1" customWidth="1"/>
  </cols>
  <sheetData>
    <row r="1" spans="1:6" x14ac:dyDescent="0.3">
      <c r="A1" s="4" t="s">
        <v>45</v>
      </c>
      <c r="B1" t="s">
        <v>231</v>
      </c>
      <c r="D1" s="6" t="s">
        <v>50</v>
      </c>
    </row>
    <row r="2" spans="1:6" x14ac:dyDescent="0.3">
      <c r="C2" s="7"/>
    </row>
    <row r="3" spans="1:6" x14ac:dyDescent="0.3">
      <c r="A3" s="4" t="s">
        <v>49</v>
      </c>
      <c r="B3" s="4" t="s">
        <v>48</v>
      </c>
      <c r="C3" s="7"/>
      <c r="D3" s="7"/>
      <c r="F3" t="s">
        <v>51</v>
      </c>
    </row>
    <row r="4" spans="1:6" x14ac:dyDescent="0.3">
      <c r="A4" s="4" t="s">
        <v>46</v>
      </c>
      <c r="B4" t="s">
        <v>62</v>
      </c>
      <c r="C4" s="7" t="s">
        <v>79</v>
      </c>
      <c r="D4" t="s">
        <v>47</v>
      </c>
      <c r="F4" t="s">
        <v>52</v>
      </c>
    </row>
    <row r="5" spans="1:6" x14ac:dyDescent="0.3">
      <c r="A5" s="5" t="s">
        <v>58</v>
      </c>
      <c r="B5" s="19">
        <v>20.5</v>
      </c>
      <c r="C5" s="20">
        <v>22.25</v>
      </c>
      <c r="D5" s="19">
        <v>42.75</v>
      </c>
      <c r="F5" t="s">
        <v>53</v>
      </c>
    </row>
    <row r="6" spans="1:6" x14ac:dyDescent="0.3">
      <c r="A6" s="5" t="s">
        <v>69</v>
      </c>
      <c r="B6" s="19"/>
      <c r="C6" s="20">
        <v>16.25</v>
      </c>
      <c r="D6" s="19">
        <v>16.25</v>
      </c>
      <c r="F6" t="s">
        <v>54</v>
      </c>
    </row>
    <row r="7" spans="1:6" x14ac:dyDescent="0.3">
      <c r="A7" s="5" t="s">
        <v>42</v>
      </c>
      <c r="B7" s="19">
        <v>1</v>
      </c>
      <c r="C7" s="20"/>
      <c r="D7" s="19">
        <v>1</v>
      </c>
      <c r="F7" t="s">
        <v>55</v>
      </c>
    </row>
    <row r="8" spans="1:6" x14ac:dyDescent="0.3">
      <c r="A8" s="5" t="s">
        <v>77</v>
      </c>
      <c r="B8" s="19"/>
      <c r="C8" s="20">
        <v>4.75</v>
      </c>
      <c r="D8" s="19">
        <v>4.75</v>
      </c>
      <c r="F8" t="s">
        <v>56</v>
      </c>
    </row>
    <row r="9" spans="1:6" x14ac:dyDescent="0.3">
      <c r="A9" s="5" t="s">
        <v>89</v>
      </c>
      <c r="B9" s="19">
        <v>8</v>
      </c>
      <c r="C9" s="20">
        <v>16.75</v>
      </c>
      <c r="D9" s="19">
        <v>24.75</v>
      </c>
    </row>
    <row r="10" spans="1:6" x14ac:dyDescent="0.3">
      <c r="A10" s="5" t="s">
        <v>35</v>
      </c>
      <c r="B10" s="19"/>
      <c r="C10" s="20">
        <v>8.75</v>
      </c>
      <c r="D10" s="19">
        <v>8.75</v>
      </c>
      <c r="F10" t="s">
        <v>57</v>
      </c>
    </row>
    <row r="11" spans="1:6" x14ac:dyDescent="0.3">
      <c r="A11" s="5" t="s">
        <v>273</v>
      </c>
      <c r="B11" s="19">
        <v>0.5</v>
      </c>
      <c r="C11" s="20">
        <v>3.25</v>
      </c>
      <c r="D11" s="19">
        <v>3.75</v>
      </c>
    </row>
    <row r="12" spans="1:6" x14ac:dyDescent="0.3">
      <c r="A12" s="5" t="s">
        <v>311</v>
      </c>
      <c r="B12" s="19"/>
      <c r="C12" s="20">
        <v>2</v>
      </c>
      <c r="D12" s="19">
        <v>2</v>
      </c>
    </row>
    <row r="13" spans="1:6" x14ac:dyDescent="0.3">
      <c r="A13" s="5" t="s">
        <v>47</v>
      </c>
      <c r="B13" s="19">
        <v>30</v>
      </c>
      <c r="C13" s="20">
        <v>74</v>
      </c>
      <c r="D13" s="19">
        <v>104</v>
      </c>
    </row>
    <row r="16" spans="1:6" x14ac:dyDescent="0.3">
      <c r="C16" s="7"/>
    </row>
    <row r="17" spans="1:3" x14ac:dyDescent="0.3">
      <c r="C17" s="7" t="s">
        <v>98</v>
      </c>
    </row>
    <row r="18" spans="1:3" x14ac:dyDescent="0.3">
      <c r="A18" s="17" t="s">
        <v>267</v>
      </c>
      <c r="C18" s="7"/>
    </row>
    <row r="20" spans="1:3" x14ac:dyDescent="0.3">
      <c r="A20" s="13" t="s">
        <v>75</v>
      </c>
      <c r="B20" s="13" t="s">
        <v>74</v>
      </c>
      <c r="C20" s="13" t="s">
        <v>149</v>
      </c>
    </row>
    <row r="21" spans="1:3" x14ac:dyDescent="0.3">
      <c r="A21" s="18" t="s">
        <v>184</v>
      </c>
      <c r="B21" s="14" t="s">
        <v>177</v>
      </c>
      <c r="C21" s="15" t="s">
        <v>204</v>
      </c>
    </row>
    <row r="22" spans="1:3" x14ac:dyDescent="0.3">
      <c r="A22" s="18" t="s">
        <v>262</v>
      </c>
      <c r="B22" s="14" t="s">
        <v>177</v>
      </c>
      <c r="C22" s="15" t="s">
        <v>204</v>
      </c>
    </row>
    <row r="23" spans="1:3" x14ac:dyDescent="0.3">
      <c r="A23" s="18" t="s">
        <v>183</v>
      </c>
      <c r="B23" s="14" t="s">
        <v>177</v>
      </c>
      <c r="C23" s="15" t="s">
        <v>204</v>
      </c>
    </row>
    <row r="24" spans="1:3" x14ac:dyDescent="0.3">
      <c r="A24" s="18" t="s">
        <v>263</v>
      </c>
      <c r="B24" s="14" t="s">
        <v>177</v>
      </c>
      <c r="C24" s="15" t="s">
        <v>204</v>
      </c>
    </row>
    <row r="25" spans="1:3" x14ac:dyDescent="0.3">
      <c r="A25" s="18" t="s">
        <v>228</v>
      </c>
      <c r="B25" s="14" t="s">
        <v>177</v>
      </c>
      <c r="C25" s="15" t="s">
        <v>204</v>
      </c>
    </row>
    <row r="26" spans="1:3" x14ac:dyDescent="0.3">
      <c r="A26" s="18" t="s">
        <v>285</v>
      </c>
      <c r="B26" s="14" t="s">
        <v>177</v>
      </c>
      <c r="C26" s="15" t="s">
        <v>204</v>
      </c>
    </row>
    <row r="27" spans="1:3" x14ac:dyDescent="0.3">
      <c r="A27" s="18" t="s">
        <v>286</v>
      </c>
      <c r="B27" s="14" t="s">
        <v>177</v>
      </c>
      <c r="C27" s="15" t="s">
        <v>204</v>
      </c>
    </row>
    <row r="28" spans="1:3" x14ac:dyDescent="0.3">
      <c r="A28" s="18" t="s">
        <v>148</v>
      </c>
      <c r="B28" s="14" t="s">
        <v>177</v>
      </c>
      <c r="C28" s="15" t="s">
        <v>114</v>
      </c>
    </row>
    <row r="29" spans="1:3" x14ac:dyDescent="0.3">
      <c r="A29" s="18" t="s">
        <v>305</v>
      </c>
      <c r="B29" s="14" t="s">
        <v>177</v>
      </c>
      <c r="C29" s="15" t="s">
        <v>204</v>
      </c>
    </row>
    <row r="30" spans="1:3" x14ac:dyDescent="0.3">
      <c r="A30" s="18" t="s">
        <v>303</v>
      </c>
      <c r="B30" s="14" t="s">
        <v>177</v>
      </c>
      <c r="C30" s="15" t="s">
        <v>204</v>
      </c>
    </row>
    <row r="31" spans="1:3" x14ac:dyDescent="0.3">
      <c r="A31" s="18" t="s">
        <v>304</v>
      </c>
      <c r="B31" s="16" t="s">
        <v>306</v>
      </c>
      <c r="C31" s="15" t="s">
        <v>227</v>
      </c>
    </row>
    <row r="32" spans="1:3" x14ac:dyDescent="0.3">
      <c r="A32" s="18" t="s">
        <v>264</v>
      </c>
      <c r="B32" s="16" t="s">
        <v>132</v>
      </c>
      <c r="C32" s="15" t="s">
        <v>114</v>
      </c>
    </row>
    <row r="33" spans="1:3" x14ac:dyDescent="0.3">
      <c r="A33" s="18" t="s">
        <v>181</v>
      </c>
      <c r="B33" s="16" t="s">
        <v>132</v>
      </c>
      <c r="C33" s="15" t="s">
        <v>227</v>
      </c>
    </row>
    <row r="34" spans="1:3" x14ac:dyDescent="0.3">
      <c r="A34" s="18" t="s">
        <v>229</v>
      </c>
      <c r="B34" s="16" t="s">
        <v>132</v>
      </c>
      <c r="C34" s="15" t="s">
        <v>204</v>
      </c>
    </row>
    <row r="35" spans="1:3" x14ac:dyDescent="0.3">
      <c r="A35" s="18" t="s">
        <v>182</v>
      </c>
      <c r="B35" s="16" t="s">
        <v>132</v>
      </c>
      <c r="C35" s="15" t="s">
        <v>204</v>
      </c>
    </row>
    <row r="36" spans="1:3" x14ac:dyDescent="0.3">
      <c r="A36" s="18" t="s">
        <v>265</v>
      </c>
      <c r="B36" s="16" t="s">
        <v>132</v>
      </c>
      <c r="C36" s="15" t="s">
        <v>204</v>
      </c>
    </row>
    <row r="37" spans="1:3" x14ac:dyDescent="0.3">
      <c r="A37" s="18" t="s">
        <v>147</v>
      </c>
      <c r="B37" s="16" t="s">
        <v>132</v>
      </c>
      <c r="C37" s="15" t="s">
        <v>204</v>
      </c>
    </row>
    <row r="38" spans="1:3" x14ac:dyDescent="0.3">
      <c r="A38" s="18" t="s">
        <v>206</v>
      </c>
      <c r="B38" s="16" t="s">
        <v>132</v>
      </c>
      <c r="C38" s="15" t="s">
        <v>138</v>
      </c>
    </row>
    <row r="39" spans="1:3" x14ac:dyDescent="0.3">
      <c r="A39" s="18" t="s">
        <v>146</v>
      </c>
      <c r="B39" s="16" t="s">
        <v>132</v>
      </c>
      <c r="C39" s="15" t="s">
        <v>227</v>
      </c>
    </row>
    <row r="40" spans="1:3" x14ac:dyDescent="0.3">
      <c r="A40" s="18" t="s">
        <v>230</v>
      </c>
      <c r="B40" s="16" t="s">
        <v>132</v>
      </c>
      <c r="C40" s="15" t="s">
        <v>204</v>
      </c>
    </row>
    <row r="41" spans="1:3" x14ac:dyDescent="0.3">
      <c r="A41" s="18" t="s">
        <v>205</v>
      </c>
      <c r="B41" s="16" t="s">
        <v>132</v>
      </c>
      <c r="C41" s="15" t="s">
        <v>114</v>
      </c>
    </row>
    <row r="42" spans="1:3" x14ac:dyDescent="0.3">
      <c r="A42" s="18" t="s">
        <v>266</v>
      </c>
      <c r="B42" s="16" t="s">
        <v>132</v>
      </c>
      <c r="C42" s="15" t="s">
        <v>114</v>
      </c>
    </row>
  </sheetData>
  <hyperlinks>
    <hyperlink ref="A21" r:id="rId2" xr:uid="{9897CFEA-3DCE-4A48-9213-86F90496BCC2}"/>
    <hyperlink ref="A22" r:id="rId3" xr:uid="{4DCCDD13-32A1-4D29-B10B-68AD121AC238}"/>
    <hyperlink ref="A23" r:id="rId4" xr:uid="{7E7905CC-CAD9-4335-A76D-E3086C721A6C}"/>
    <hyperlink ref="A24" r:id="rId5" xr:uid="{C8055D81-F673-4727-B21B-32E954D2C04B}"/>
    <hyperlink ref="A25" r:id="rId6" xr:uid="{843B0FE2-781A-4A06-9644-A558CF4AC4D8}"/>
    <hyperlink ref="A28" r:id="rId7" xr:uid="{A237DC79-C453-457A-B60C-1F2B7E5C0E19}"/>
    <hyperlink ref="A34" r:id="rId8" xr:uid="{17B9CBD3-D30A-457F-82B5-1C16A776B26C}"/>
    <hyperlink ref="A33" r:id="rId9" xr:uid="{AD6376D1-6837-497F-9116-C441E5956C56}"/>
    <hyperlink ref="A35" r:id="rId10" xr:uid="{EFA2F496-C56E-4616-A241-434B95426E5D}"/>
    <hyperlink ref="A36" r:id="rId11" xr:uid="{74091544-4C64-4F03-A78F-9F37E8DC8430}"/>
    <hyperlink ref="A37" r:id="rId12" xr:uid="{12982137-A6FF-4287-BAAA-1FF341F17FA6}"/>
    <hyperlink ref="A38" r:id="rId13" xr:uid="{45B6D415-2D23-45C9-86B4-F6486A0530BA}"/>
    <hyperlink ref="A39" r:id="rId14" xr:uid="{43D177C1-D62A-4EE2-99ED-2985FEC419E2}"/>
    <hyperlink ref="A40" r:id="rId15" xr:uid="{1F2409A4-34F5-421D-B576-176924D781CE}"/>
    <hyperlink ref="A41" r:id="rId16" xr:uid="{3B0D9A4A-FF5C-4407-B0F0-22531D2FD8DA}"/>
    <hyperlink ref="A42" r:id="rId17" xr:uid="{FD2A78D6-A701-4DA9-9537-8FA7BEDC397E}"/>
    <hyperlink ref="A26" r:id="rId18" xr:uid="{9B69C9A0-1F0A-4A53-A6B8-D7A4EFAB2393}"/>
    <hyperlink ref="A27" r:id="rId19" xr:uid="{96650E43-1B38-4C94-BBBE-D2E2043F35F2}"/>
    <hyperlink ref="A29" r:id="rId20" xr:uid="{A4AB5AAE-4D4D-4795-8B3A-B3FF8A3B51BD}"/>
    <hyperlink ref="A30" r:id="rId21" xr:uid="{EC0FB3FE-A33D-41B5-B237-F1F681CE9529}"/>
    <hyperlink ref="A31" r:id="rId22" xr:uid="{5E940D47-391F-48AE-8A1E-CB1B42BF0400}"/>
    <hyperlink ref="A32" r:id="rId23" xr:uid="{55F8CEAA-355E-4CE9-8EB4-B5476CDFE5B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45"/>
  <sheetViews>
    <sheetView topLeftCell="V121" workbookViewId="0"/>
  </sheetViews>
  <sheetFormatPr defaultRowHeight="14.4" x14ac:dyDescent="0.3"/>
  <cols>
    <col min="1" max="1" width="9.5546875" bestFit="1" customWidth="1"/>
    <col min="2" max="2" width="17.44140625" bestFit="1" customWidth="1"/>
    <col min="29" max="29" width="110.1093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3" t="s">
        <v>44</v>
      </c>
      <c r="AF1" s="3" t="s">
        <v>45</v>
      </c>
    </row>
    <row r="2" spans="1:32" x14ac:dyDescent="0.3">
      <c r="A2" s="1">
        <v>45377</v>
      </c>
      <c r="B2" t="s">
        <v>58</v>
      </c>
      <c r="C2" t="s">
        <v>59</v>
      </c>
      <c r="D2" t="s">
        <v>31</v>
      </c>
      <c r="E2" t="s">
        <v>43</v>
      </c>
      <c r="F2" t="s">
        <v>32</v>
      </c>
      <c r="G2" t="s">
        <v>33</v>
      </c>
      <c r="H2" t="s">
        <v>60</v>
      </c>
      <c r="I2" t="s">
        <v>232</v>
      </c>
      <c r="J2" t="s">
        <v>34</v>
      </c>
      <c r="K2" t="s">
        <v>31</v>
      </c>
      <c r="L2" t="s">
        <v>35</v>
      </c>
      <c r="M2" t="s">
        <v>36</v>
      </c>
      <c r="N2" t="s">
        <v>42</v>
      </c>
      <c r="O2" t="s">
        <v>61</v>
      </c>
      <c r="P2">
        <v>229192</v>
      </c>
      <c r="Q2" t="s">
        <v>62</v>
      </c>
      <c r="R2" t="s">
        <v>37</v>
      </c>
      <c r="S2" t="s">
        <v>38</v>
      </c>
      <c r="T2">
        <v>90</v>
      </c>
      <c r="U2">
        <v>2</v>
      </c>
      <c r="V2" s="2">
        <v>8.3333333333333329E-2</v>
      </c>
      <c r="W2">
        <v>180</v>
      </c>
      <c r="X2">
        <v>238.02</v>
      </c>
      <c r="Y2">
        <v>58.02</v>
      </c>
      <c r="Z2" t="s">
        <v>207</v>
      </c>
      <c r="AA2" t="s">
        <v>39</v>
      </c>
      <c r="AB2" t="s">
        <v>40</v>
      </c>
      <c r="AC2" t="s">
        <v>63</v>
      </c>
      <c r="AD2" t="s">
        <v>41</v>
      </c>
      <c r="AE2">
        <f t="shared" ref="AE2:AE33" si="0">MONTH(A2)</f>
        <v>3</v>
      </c>
      <c r="AF2" t="str">
        <f t="shared" ref="AF2:AF33" si="1">IF(AE2=1,"January",IF(AE2=2,"February",IF(AE2=3,"March",IF(AE2=4,"April",IF(AE2=5,"May")))))</f>
        <v>March</v>
      </c>
    </row>
    <row r="3" spans="1:32" x14ac:dyDescent="0.3">
      <c r="A3" s="1">
        <v>45378</v>
      </c>
      <c r="B3" t="s">
        <v>58</v>
      </c>
      <c r="C3" t="s">
        <v>59</v>
      </c>
      <c r="D3" t="s">
        <v>31</v>
      </c>
      <c r="E3" t="s">
        <v>43</v>
      </c>
      <c r="F3" t="s">
        <v>32</v>
      </c>
      <c r="G3" t="s">
        <v>33</v>
      </c>
      <c r="H3" t="s">
        <v>60</v>
      </c>
      <c r="I3" t="s">
        <v>232</v>
      </c>
      <c r="J3" t="s">
        <v>34</v>
      </c>
      <c r="K3" t="s">
        <v>31</v>
      </c>
      <c r="L3" t="s">
        <v>35</v>
      </c>
      <c r="M3" t="s">
        <v>36</v>
      </c>
      <c r="N3" t="s">
        <v>42</v>
      </c>
      <c r="O3" t="s">
        <v>61</v>
      </c>
      <c r="P3">
        <v>229334</v>
      </c>
      <c r="Q3" t="s">
        <v>62</v>
      </c>
      <c r="R3" t="s">
        <v>37</v>
      </c>
      <c r="S3" t="s">
        <v>38</v>
      </c>
      <c r="T3">
        <v>90</v>
      </c>
      <c r="U3">
        <v>1</v>
      </c>
      <c r="V3" s="2">
        <v>4.1666666666666664E-2</v>
      </c>
      <c r="W3">
        <v>90</v>
      </c>
      <c r="X3">
        <v>119.01</v>
      </c>
      <c r="Y3">
        <v>29.01</v>
      </c>
      <c r="Z3" t="s">
        <v>207</v>
      </c>
      <c r="AA3" t="s">
        <v>39</v>
      </c>
      <c r="AB3" t="s">
        <v>40</v>
      </c>
      <c r="AC3" t="s">
        <v>64</v>
      </c>
      <c r="AD3" t="s">
        <v>41</v>
      </c>
      <c r="AE3">
        <f t="shared" si="0"/>
        <v>3</v>
      </c>
      <c r="AF3" t="str">
        <f t="shared" si="1"/>
        <v>March</v>
      </c>
    </row>
    <row r="4" spans="1:32" x14ac:dyDescent="0.3">
      <c r="A4" s="1">
        <v>45390</v>
      </c>
      <c r="B4" t="s">
        <v>58</v>
      </c>
      <c r="C4" t="s">
        <v>59</v>
      </c>
      <c r="D4" t="s">
        <v>31</v>
      </c>
      <c r="E4" t="s">
        <v>43</v>
      </c>
      <c r="F4" t="s">
        <v>32</v>
      </c>
      <c r="G4" t="s">
        <v>33</v>
      </c>
      <c r="H4" t="s">
        <v>60</v>
      </c>
      <c r="I4" t="s">
        <v>232</v>
      </c>
      <c r="J4" t="s">
        <v>34</v>
      </c>
      <c r="K4" t="s">
        <v>31</v>
      </c>
      <c r="L4" t="s">
        <v>35</v>
      </c>
      <c r="M4" t="s">
        <v>36</v>
      </c>
      <c r="N4" t="s">
        <v>42</v>
      </c>
      <c r="O4" t="s">
        <v>61</v>
      </c>
      <c r="P4">
        <v>232801</v>
      </c>
      <c r="Q4" t="s">
        <v>62</v>
      </c>
      <c r="R4" t="s">
        <v>37</v>
      </c>
      <c r="S4" t="s">
        <v>38</v>
      </c>
      <c r="T4">
        <v>90</v>
      </c>
      <c r="U4">
        <v>0.5</v>
      </c>
      <c r="V4" s="2">
        <v>2.0833333333333332E-2</v>
      </c>
      <c r="W4">
        <v>45</v>
      </c>
      <c r="X4">
        <v>59.5</v>
      </c>
      <c r="Y4">
        <v>14.5</v>
      </c>
      <c r="Z4" t="s">
        <v>207</v>
      </c>
      <c r="AA4" t="s">
        <v>39</v>
      </c>
      <c r="AB4" t="s">
        <v>40</v>
      </c>
      <c r="AC4" t="s">
        <v>76</v>
      </c>
      <c r="AD4" t="s">
        <v>41</v>
      </c>
      <c r="AE4">
        <f t="shared" si="0"/>
        <v>4</v>
      </c>
      <c r="AF4" t="str">
        <f t="shared" si="1"/>
        <v>April</v>
      </c>
    </row>
    <row r="5" spans="1:32" x14ac:dyDescent="0.3">
      <c r="A5" s="1">
        <v>45400</v>
      </c>
      <c r="B5" t="s">
        <v>58</v>
      </c>
      <c r="C5" t="s">
        <v>59</v>
      </c>
      <c r="D5" t="s">
        <v>31</v>
      </c>
      <c r="E5" t="s">
        <v>43</v>
      </c>
      <c r="F5" t="s">
        <v>32</v>
      </c>
      <c r="G5" t="s">
        <v>33</v>
      </c>
      <c r="H5" t="s">
        <v>60</v>
      </c>
      <c r="I5" t="s">
        <v>232</v>
      </c>
      <c r="J5" t="s">
        <v>34</v>
      </c>
      <c r="K5" t="s">
        <v>31</v>
      </c>
      <c r="L5" t="s">
        <v>35</v>
      </c>
      <c r="M5" t="s">
        <v>36</v>
      </c>
      <c r="N5" t="s">
        <v>42</v>
      </c>
      <c r="O5" t="s">
        <v>61</v>
      </c>
      <c r="P5">
        <v>236896</v>
      </c>
      <c r="Q5" t="s">
        <v>62</v>
      </c>
      <c r="R5" t="s">
        <v>37</v>
      </c>
      <c r="S5" t="s">
        <v>38</v>
      </c>
      <c r="T5">
        <v>90</v>
      </c>
      <c r="U5">
        <v>0.25</v>
      </c>
      <c r="V5" s="2">
        <v>1.0416666666666666E-2</v>
      </c>
      <c r="W5">
        <v>22.5</v>
      </c>
      <c r="X5">
        <v>29.75</v>
      </c>
      <c r="Y5">
        <v>7.25</v>
      </c>
      <c r="Z5" t="s">
        <v>207</v>
      </c>
      <c r="AA5" t="s">
        <v>39</v>
      </c>
      <c r="AB5" t="s">
        <v>40</v>
      </c>
      <c r="AC5" t="s">
        <v>150</v>
      </c>
      <c r="AD5" t="s">
        <v>41</v>
      </c>
      <c r="AE5">
        <f t="shared" si="0"/>
        <v>4</v>
      </c>
      <c r="AF5" t="str">
        <f t="shared" si="1"/>
        <v>April</v>
      </c>
    </row>
    <row r="6" spans="1:32" x14ac:dyDescent="0.3">
      <c r="A6" s="1">
        <v>45401</v>
      </c>
      <c r="B6" t="s">
        <v>58</v>
      </c>
      <c r="C6" t="s">
        <v>59</v>
      </c>
      <c r="D6" t="s">
        <v>31</v>
      </c>
      <c r="E6" t="s">
        <v>43</v>
      </c>
      <c r="F6" t="s">
        <v>32</v>
      </c>
      <c r="G6" t="s">
        <v>33</v>
      </c>
      <c r="H6" t="s">
        <v>60</v>
      </c>
      <c r="I6" t="s">
        <v>232</v>
      </c>
      <c r="J6" t="s">
        <v>34</v>
      </c>
      <c r="K6" t="s">
        <v>31</v>
      </c>
      <c r="L6" t="s">
        <v>35</v>
      </c>
      <c r="M6" t="s">
        <v>36</v>
      </c>
      <c r="N6" t="s">
        <v>42</v>
      </c>
      <c r="O6" t="s">
        <v>61</v>
      </c>
      <c r="P6">
        <v>237719</v>
      </c>
      <c r="Q6" t="s">
        <v>62</v>
      </c>
      <c r="R6" t="s">
        <v>37</v>
      </c>
      <c r="S6" t="s">
        <v>38</v>
      </c>
      <c r="T6">
        <v>90</v>
      </c>
      <c r="U6">
        <v>0.25</v>
      </c>
      <c r="V6" s="2">
        <v>1.0416666666666666E-2</v>
      </c>
      <c r="W6">
        <v>22.5</v>
      </c>
      <c r="X6">
        <v>29.75</v>
      </c>
      <c r="Y6">
        <v>7.25</v>
      </c>
      <c r="Z6" t="s">
        <v>207</v>
      </c>
      <c r="AA6" t="s">
        <v>39</v>
      </c>
      <c r="AB6" t="s">
        <v>40</v>
      </c>
      <c r="AC6" t="s">
        <v>151</v>
      </c>
      <c r="AD6" t="s">
        <v>41</v>
      </c>
      <c r="AE6">
        <f t="shared" si="0"/>
        <v>4</v>
      </c>
      <c r="AF6" t="str">
        <f t="shared" si="1"/>
        <v>April</v>
      </c>
    </row>
    <row r="7" spans="1:32" x14ac:dyDescent="0.3">
      <c r="A7" s="1">
        <v>45404</v>
      </c>
      <c r="B7" t="s">
        <v>58</v>
      </c>
      <c r="C7" t="s">
        <v>59</v>
      </c>
      <c r="D7" t="s">
        <v>31</v>
      </c>
      <c r="E7" t="s">
        <v>43</v>
      </c>
      <c r="F7" t="s">
        <v>32</v>
      </c>
      <c r="G7" t="s">
        <v>33</v>
      </c>
      <c r="H7" t="s">
        <v>60</v>
      </c>
      <c r="I7" t="s">
        <v>232</v>
      </c>
      <c r="J7" t="s">
        <v>34</v>
      </c>
      <c r="K7" t="s">
        <v>31</v>
      </c>
      <c r="L7" t="s">
        <v>35</v>
      </c>
      <c r="M7" t="s">
        <v>36</v>
      </c>
      <c r="N7" t="s">
        <v>42</v>
      </c>
      <c r="O7" t="s">
        <v>61</v>
      </c>
      <c r="P7">
        <v>237971</v>
      </c>
      <c r="Q7" t="s">
        <v>62</v>
      </c>
      <c r="R7" t="s">
        <v>37</v>
      </c>
      <c r="S7" t="s">
        <v>38</v>
      </c>
      <c r="T7">
        <v>90</v>
      </c>
      <c r="U7">
        <v>1.5</v>
      </c>
      <c r="V7" s="2">
        <v>6.25E-2</v>
      </c>
      <c r="W7">
        <v>135</v>
      </c>
      <c r="X7">
        <v>178.51</v>
      </c>
      <c r="Y7">
        <v>43.51</v>
      </c>
      <c r="Z7" t="s">
        <v>207</v>
      </c>
      <c r="AA7" t="s">
        <v>39</v>
      </c>
      <c r="AB7" t="s">
        <v>40</v>
      </c>
      <c r="AC7" t="s">
        <v>152</v>
      </c>
      <c r="AD7" t="s">
        <v>41</v>
      </c>
      <c r="AE7">
        <f t="shared" si="0"/>
        <v>4</v>
      </c>
      <c r="AF7" t="str">
        <f t="shared" si="1"/>
        <v>April</v>
      </c>
    </row>
    <row r="8" spans="1:32" x14ac:dyDescent="0.3">
      <c r="A8" s="1">
        <v>45407</v>
      </c>
      <c r="B8" t="s">
        <v>58</v>
      </c>
      <c r="C8" t="s">
        <v>59</v>
      </c>
      <c r="D8" t="s">
        <v>31</v>
      </c>
      <c r="E8" t="s">
        <v>43</v>
      </c>
      <c r="F8" t="s">
        <v>32</v>
      </c>
      <c r="G8" t="s">
        <v>33</v>
      </c>
      <c r="H8" t="s">
        <v>60</v>
      </c>
      <c r="I8" t="s">
        <v>232</v>
      </c>
      <c r="J8" t="s">
        <v>34</v>
      </c>
      <c r="K8" t="s">
        <v>31</v>
      </c>
      <c r="L8" t="s">
        <v>35</v>
      </c>
      <c r="M8" t="s">
        <v>36</v>
      </c>
      <c r="N8" t="s">
        <v>42</v>
      </c>
      <c r="O8" t="s">
        <v>61</v>
      </c>
      <c r="P8">
        <v>240111</v>
      </c>
      <c r="Q8" t="s">
        <v>62</v>
      </c>
      <c r="R8" t="s">
        <v>37</v>
      </c>
      <c r="S8" t="s">
        <v>38</v>
      </c>
      <c r="T8">
        <v>90</v>
      </c>
      <c r="U8">
        <v>0.5</v>
      </c>
      <c r="V8" s="2">
        <v>2.0833333333333332E-2</v>
      </c>
      <c r="W8">
        <v>45</v>
      </c>
      <c r="X8">
        <v>59.5</v>
      </c>
      <c r="Y8">
        <v>14.5</v>
      </c>
      <c r="Z8" t="s">
        <v>207</v>
      </c>
      <c r="AA8" t="s">
        <v>39</v>
      </c>
      <c r="AB8" t="s">
        <v>40</v>
      </c>
      <c r="AC8" t="s">
        <v>185</v>
      </c>
      <c r="AD8" t="s">
        <v>41</v>
      </c>
      <c r="AE8">
        <f t="shared" si="0"/>
        <v>4</v>
      </c>
      <c r="AF8" t="str">
        <f t="shared" si="1"/>
        <v>April</v>
      </c>
    </row>
    <row r="9" spans="1:32" x14ac:dyDescent="0.3">
      <c r="A9" s="1">
        <v>45413</v>
      </c>
      <c r="B9" t="s">
        <v>58</v>
      </c>
      <c r="C9" t="s">
        <v>59</v>
      </c>
      <c r="D9" t="s">
        <v>31</v>
      </c>
      <c r="E9" t="s">
        <v>43</v>
      </c>
      <c r="F9" t="s">
        <v>32</v>
      </c>
      <c r="G9" t="s">
        <v>33</v>
      </c>
      <c r="H9" t="s">
        <v>60</v>
      </c>
      <c r="I9" t="s">
        <v>232</v>
      </c>
      <c r="J9" t="s">
        <v>34</v>
      </c>
      <c r="K9" t="s">
        <v>31</v>
      </c>
      <c r="L9" t="s">
        <v>35</v>
      </c>
      <c r="M9" t="s">
        <v>36</v>
      </c>
      <c r="N9" t="s">
        <v>42</v>
      </c>
      <c r="O9" t="s">
        <v>61</v>
      </c>
      <c r="P9">
        <v>242573</v>
      </c>
      <c r="Q9" t="s">
        <v>62</v>
      </c>
      <c r="R9" t="s">
        <v>37</v>
      </c>
      <c r="S9" t="s">
        <v>38</v>
      </c>
      <c r="T9">
        <v>90</v>
      </c>
      <c r="U9">
        <v>0.25</v>
      </c>
      <c r="V9" s="2">
        <v>1.0416666666666666E-2</v>
      </c>
      <c r="W9">
        <v>22.5</v>
      </c>
      <c r="X9">
        <v>29.75</v>
      </c>
      <c r="Y9">
        <v>7.25</v>
      </c>
      <c r="Z9" t="s">
        <v>207</v>
      </c>
      <c r="AA9" t="s">
        <v>39</v>
      </c>
      <c r="AB9" t="s">
        <v>40</v>
      </c>
      <c r="AC9" t="s">
        <v>208</v>
      </c>
      <c r="AD9" t="s">
        <v>41</v>
      </c>
      <c r="AE9">
        <f t="shared" si="0"/>
        <v>5</v>
      </c>
      <c r="AF9" t="str">
        <f t="shared" si="1"/>
        <v>May</v>
      </c>
    </row>
    <row r="10" spans="1:32" x14ac:dyDescent="0.3">
      <c r="A10" s="1">
        <v>45414</v>
      </c>
      <c r="B10" t="s">
        <v>58</v>
      </c>
      <c r="C10" t="s">
        <v>59</v>
      </c>
      <c r="D10" t="s">
        <v>31</v>
      </c>
      <c r="E10" t="s">
        <v>43</v>
      </c>
      <c r="F10" t="s">
        <v>32</v>
      </c>
      <c r="G10" t="s">
        <v>33</v>
      </c>
      <c r="H10" t="s">
        <v>60</v>
      </c>
      <c r="I10" t="s">
        <v>232</v>
      </c>
      <c r="J10" t="s">
        <v>34</v>
      </c>
      <c r="K10" t="s">
        <v>31</v>
      </c>
      <c r="L10" t="s">
        <v>35</v>
      </c>
      <c r="M10" t="s">
        <v>36</v>
      </c>
      <c r="N10" t="s">
        <v>42</v>
      </c>
      <c r="O10" t="s">
        <v>61</v>
      </c>
      <c r="P10">
        <v>243530</v>
      </c>
      <c r="Q10" t="s">
        <v>62</v>
      </c>
      <c r="R10" t="s">
        <v>37</v>
      </c>
      <c r="S10" t="s">
        <v>38</v>
      </c>
      <c r="T10">
        <v>90</v>
      </c>
      <c r="U10">
        <v>6.25</v>
      </c>
      <c r="V10" s="2">
        <v>0.26041666666666669</v>
      </c>
      <c r="W10">
        <v>562.5</v>
      </c>
      <c r="AA10" t="s">
        <v>39</v>
      </c>
      <c r="AB10" t="s">
        <v>40</v>
      </c>
      <c r="AC10" t="s">
        <v>209</v>
      </c>
      <c r="AD10" t="s">
        <v>41</v>
      </c>
      <c r="AE10">
        <f t="shared" si="0"/>
        <v>5</v>
      </c>
      <c r="AF10" t="str">
        <f t="shared" si="1"/>
        <v>May</v>
      </c>
    </row>
    <row r="11" spans="1:32" x14ac:dyDescent="0.3">
      <c r="A11" s="1">
        <v>45415</v>
      </c>
      <c r="B11" t="s">
        <v>58</v>
      </c>
      <c r="C11" t="s">
        <v>59</v>
      </c>
      <c r="D11" t="s">
        <v>31</v>
      </c>
      <c r="E11" t="s">
        <v>43</v>
      </c>
      <c r="F11" t="s">
        <v>32</v>
      </c>
      <c r="G11" t="s">
        <v>33</v>
      </c>
      <c r="H11" t="s">
        <v>60</v>
      </c>
      <c r="I11" t="s">
        <v>232</v>
      </c>
      <c r="J11" t="s">
        <v>34</v>
      </c>
      <c r="K11" t="s">
        <v>31</v>
      </c>
      <c r="L11" t="s">
        <v>35</v>
      </c>
      <c r="M11" t="s">
        <v>36</v>
      </c>
      <c r="N11" t="s">
        <v>42</v>
      </c>
      <c r="O11" t="s">
        <v>61</v>
      </c>
      <c r="P11">
        <v>243531</v>
      </c>
      <c r="Q11" t="s">
        <v>62</v>
      </c>
      <c r="R11" t="s">
        <v>37</v>
      </c>
      <c r="S11" t="s">
        <v>38</v>
      </c>
      <c r="T11">
        <v>90</v>
      </c>
      <c r="U11">
        <v>3</v>
      </c>
      <c r="V11" s="2">
        <v>0.125</v>
      </c>
      <c r="W11">
        <v>270</v>
      </c>
      <c r="AA11" t="s">
        <v>39</v>
      </c>
      <c r="AB11" t="s">
        <v>40</v>
      </c>
      <c r="AC11" t="s">
        <v>210</v>
      </c>
      <c r="AD11" t="s">
        <v>41</v>
      </c>
      <c r="AE11">
        <f t="shared" si="0"/>
        <v>5</v>
      </c>
      <c r="AF11" t="str">
        <f t="shared" si="1"/>
        <v>May</v>
      </c>
    </row>
    <row r="12" spans="1:32" x14ac:dyDescent="0.3">
      <c r="A12" s="1">
        <v>45419</v>
      </c>
      <c r="B12" t="s">
        <v>58</v>
      </c>
      <c r="C12" t="s">
        <v>59</v>
      </c>
      <c r="D12" t="s">
        <v>31</v>
      </c>
      <c r="E12" t="s">
        <v>43</v>
      </c>
      <c r="F12" t="s">
        <v>32</v>
      </c>
      <c r="G12" t="s">
        <v>33</v>
      </c>
      <c r="H12" t="s">
        <v>60</v>
      </c>
      <c r="I12" t="s">
        <v>232</v>
      </c>
      <c r="J12" t="s">
        <v>34</v>
      </c>
      <c r="K12" t="s">
        <v>31</v>
      </c>
      <c r="L12" t="s">
        <v>35</v>
      </c>
      <c r="M12" t="s">
        <v>36</v>
      </c>
      <c r="N12" t="s">
        <v>42</v>
      </c>
      <c r="O12" t="s">
        <v>61</v>
      </c>
      <c r="P12">
        <v>244331</v>
      </c>
      <c r="Q12" t="s">
        <v>62</v>
      </c>
      <c r="R12" t="s">
        <v>37</v>
      </c>
      <c r="S12" t="s">
        <v>38</v>
      </c>
      <c r="T12">
        <v>90</v>
      </c>
      <c r="U12">
        <v>4</v>
      </c>
      <c r="V12" s="2">
        <v>0.16666666666666666</v>
      </c>
      <c r="W12">
        <v>360</v>
      </c>
      <c r="AA12" t="s">
        <v>39</v>
      </c>
      <c r="AB12" t="s">
        <v>40</v>
      </c>
      <c r="AC12" t="s">
        <v>233</v>
      </c>
      <c r="AD12" t="s">
        <v>41</v>
      </c>
      <c r="AE12">
        <f t="shared" si="0"/>
        <v>5</v>
      </c>
      <c r="AF12" t="str">
        <f t="shared" si="1"/>
        <v>May</v>
      </c>
    </row>
    <row r="13" spans="1:32" x14ac:dyDescent="0.3">
      <c r="A13" s="1">
        <v>45420</v>
      </c>
      <c r="B13" t="s">
        <v>58</v>
      </c>
      <c r="C13" t="s">
        <v>59</v>
      </c>
      <c r="D13" t="s">
        <v>31</v>
      </c>
      <c r="E13" t="s">
        <v>43</v>
      </c>
      <c r="F13" t="s">
        <v>32</v>
      </c>
      <c r="G13" t="s">
        <v>33</v>
      </c>
      <c r="H13" t="s">
        <v>60</v>
      </c>
      <c r="I13" t="s">
        <v>232</v>
      </c>
      <c r="J13" t="s">
        <v>34</v>
      </c>
      <c r="K13" t="s">
        <v>31</v>
      </c>
      <c r="L13" t="s">
        <v>35</v>
      </c>
      <c r="M13" t="s">
        <v>36</v>
      </c>
      <c r="N13" t="s">
        <v>42</v>
      </c>
      <c r="O13" t="s">
        <v>61</v>
      </c>
      <c r="P13">
        <v>244755</v>
      </c>
      <c r="Q13" t="s">
        <v>62</v>
      </c>
      <c r="R13" t="s">
        <v>37</v>
      </c>
      <c r="S13" t="s">
        <v>38</v>
      </c>
      <c r="T13">
        <v>90</v>
      </c>
      <c r="U13">
        <v>6</v>
      </c>
      <c r="V13" s="2">
        <v>0.25</v>
      </c>
      <c r="W13">
        <v>540</v>
      </c>
      <c r="AA13" t="s">
        <v>39</v>
      </c>
      <c r="AB13" t="s">
        <v>40</v>
      </c>
      <c r="AC13" t="s">
        <v>234</v>
      </c>
      <c r="AD13" t="s">
        <v>41</v>
      </c>
      <c r="AE13">
        <f t="shared" si="0"/>
        <v>5</v>
      </c>
      <c r="AF13" t="str">
        <f t="shared" si="1"/>
        <v>May</v>
      </c>
    </row>
    <row r="14" spans="1:32" x14ac:dyDescent="0.3">
      <c r="A14" s="1">
        <v>45421</v>
      </c>
      <c r="B14" t="s">
        <v>58</v>
      </c>
      <c r="C14" t="s">
        <v>59</v>
      </c>
      <c r="D14" t="s">
        <v>31</v>
      </c>
      <c r="E14" t="s">
        <v>43</v>
      </c>
      <c r="F14" t="s">
        <v>32</v>
      </c>
      <c r="G14" t="s">
        <v>33</v>
      </c>
      <c r="H14" t="s">
        <v>60</v>
      </c>
      <c r="I14" t="s">
        <v>232</v>
      </c>
      <c r="J14" t="s">
        <v>34</v>
      </c>
      <c r="K14" t="s">
        <v>31</v>
      </c>
      <c r="L14" t="s">
        <v>35</v>
      </c>
      <c r="M14" t="s">
        <v>36</v>
      </c>
      <c r="N14" t="s">
        <v>42</v>
      </c>
      <c r="O14" t="s">
        <v>61</v>
      </c>
      <c r="P14">
        <v>247351</v>
      </c>
      <c r="Q14" t="s">
        <v>79</v>
      </c>
      <c r="R14" t="s">
        <v>80</v>
      </c>
      <c r="S14" t="s">
        <v>38</v>
      </c>
      <c r="T14">
        <v>0</v>
      </c>
      <c r="U14">
        <v>7</v>
      </c>
      <c r="V14" s="2">
        <v>0.29166666666666669</v>
      </c>
      <c r="W14">
        <v>0</v>
      </c>
      <c r="AA14" t="s">
        <v>39</v>
      </c>
      <c r="AB14" t="s">
        <v>40</v>
      </c>
      <c r="AC14" t="s">
        <v>235</v>
      </c>
      <c r="AD14" t="s">
        <v>41</v>
      </c>
      <c r="AE14">
        <f t="shared" si="0"/>
        <v>5</v>
      </c>
      <c r="AF14" t="str">
        <f t="shared" si="1"/>
        <v>May</v>
      </c>
    </row>
    <row r="15" spans="1:32" x14ac:dyDescent="0.3">
      <c r="A15" s="1">
        <v>45426</v>
      </c>
      <c r="B15" t="s">
        <v>58</v>
      </c>
      <c r="C15" t="s">
        <v>59</v>
      </c>
      <c r="D15" t="s">
        <v>31</v>
      </c>
      <c r="E15" t="s">
        <v>43</v>
      </c>
      <c r="F15" t="s">
        <v>32</v>
      </c>
      <c r="G15" t="s">
        <v>33</v>
      </c>
      <c r="H15" t="s">
        <v>60</v>
      </c>
      <c r="I15" t="s">
        <v>232</v>
      </c>
      <c r="J15" t="s">
        <v>34</v>
      </c>
      <c r="K15" t="s">
        <v>31</v>
      </c>
      <c r="L15" t="s">
        <v>35</v>
      </c>
      <c r="M15" t="s">
        <v>36</v>
      </c>
      <c r="N15" t="s">
        <v>42</v>
      </c>
      <c r="O15" t="s">
        <v>61</v>
      </c>
      <c r="P15">
        <v>246857</v>
      </c>
      <c r="Q15" t="s">
        <v>62</v>
      </c>
      <c r="R15" t="s">
        <v>37</v>
      </c>
      <c r="S15" t="s">
        <v>38</v>
      </c>
      <c r="T15">
        <v>90</v>
      </c>
      <c r="U15">
        <v>1</v>
      </c>
      <c r="V15" s="2">
        <v>4.1666666666666664E-2</v>
      </c>
      <c r="W15">
        <v>90</v>
      </c>
      <c r="AA15" t="s">
        <v>39</v>
      </c>
      <c r="AB15" t="s">
        <v>40</v>
      </c>
      <c r="AC15" t="s">
        <v>268</v>
      </c>
      <c r="AD15" t="s">
        <v>41</v>
      </c>
      <c r="AE15">
        <f t="shared" si="0"/>
        <v>5</v>
      </c>
      <c r="AF15" t="str">
        <f t="shared" si="1"/>
        <v>May</v>
      </c>
    </row>
    <row r="16" spans="1:32" x14ac:dyDescent="0.3">
      <c r="A16" s="1">
        <v>45427</v>
      </c>
      <c r="B16" t="s">
        <v>58</v>
      </c>
      <c r="C16" t="s">
        <v>59</v>
      </c>
      <c r="D16" t="s">
        <v>31</v>
      </c>
      <c r="E16" t="s">
        <v>43</v>
      </c>
      <c r="F16" t="s">
        <v>32</v>
      </c>
      <c r="G16" t="s">
        <v>33</v>
      </c>
      <c r="H16" t="s">
        <v>60</v>
      </c>
      <c r="I16" t="s">
        <v>232</v>
      </c>
      <c r="J16" t="s">
        <v>34</v>
      </c>
      <c r="K16" t="s">
        <v>31</v>
      </c>
      <c r="L16" t="s">
        <v>35</v>
      </c>
      <c r="M16" t="s">
        <v>36</v>
      </c>
      <c r="N16" t="s">
        <v>42</v>
      </c>
      <c r="O16" t="s">
        <v>61</v>
      </c>
      <c r="P16">
        <v>247402</v>
      </c>
      <c r="Q16" t="s">
        <v>79</v>
      </c>
      <c r="R16" t="s">
        <v>80</v>
      </c>
      <c r="S16" t="s">
        <v>38</v>
      </c>
      <c r="T16">
        <v>0</v>
      </c>
      <c r="U16">
        <v>0.25</v>
      </c>
      <c r="V16" s="2">
        <v>1.0416666666666666E-2</v>
      </c>
      <c r="W16">
        <v>0</v>
      </c>
      <c r="AA16" t="s">
        <v>39</v>
      </c>
      <c r="AB16" t="s">
        <v>40</v>
      </c>
      <c r="AC16" t="s">
        <v>289</v>
      </c>
      <c r="AD16" t="s">
        <v>41</v>
      </c>
      <c r="AE16">
        <f t="shared" si="0"/>
        <v>5</v>
      </c>
      <c r="AF16" t="str">
        <f t="shared" si="1"/>
        <v>May</v>
      </c>
    </row>
    <row r="17" spans="1:32" x14ac:dyDescent="0.3">
      <c r="A17" s="1">
        <v>45428</v>
      </c>
      <c r="B17" t="s">
        <v>58</v>
      </c>
      <c r="C17" t="s">
        <v>59</v>
      </c>
      <c r="D17" t="s">
        <v>31</v>
      </c>
      <c r="E17" t="s">
        <v>43</v>
      </c>
      <c r="F17" t="s">
        <v>32</v>
      </c>
      <c r="G17" t="s">
        <v>33</v>
      </c>
      <c r="H17" t="s">
        <v>60</v>
      </c>
      <c r="I17" t="s">
        <v>232</v>
      </c>
      <c r="J17" t="s">
        <v>34</v>
      </c>
      <c r="K17" t="s">
        <v>31</v>
      </c>
      <c r="L17" t="s">
        <v>35</v>
      </c>
      <c r="M17" t="s">
        <v>36</v>
      </c>
      <c r="N17" t="s">
        <v>42</v>
      </c>
      <c r="O17" t="s">
        <v>61</v>
      </c>
      <c r="P17">
        <v>248499</v>
      </c>
      <c r="Q17" t="s">
        <v>79</v>
      </c>
      <c r="R17" t="s">
        <v>80</v>
      </c>
      <c r="S17" t="s">
        <v>38</v>
      </c>
      <c r="T17">
        <v>0</v>
      </c>
      <c r="U17">
        <v>6.25</v>
      </c>
      <c r="V17" s="2">
        <v>0.26041666666666669</v>
      </c>
      <c r="W17">
        <v>0</v>
      </c>
      <c r="AA17" t="s">
        <v>39</v>
      </c>
      <c r="AB17" t="s">
        <v>40</v>
      </c>
      <c r="AC17" t="s">
        <v>290</v>
      </c>
      <c r="AD17" t="s">
        <v>41</v>
      </c>
      <c r="AE17">
        <f t="shared" si="0"/>
        <v>5</v>
      </c>
      <c r="AF17" t="str">
        <f t="shared" si="1"/>
        <v>May</v>
      </c>
    </row>
    <row r="18" spans="1:32" x14ac:dyDescent="0.3">
      <c r="A18" s="1">
        <v>45429</v>
      </c>
      <c r="B18" t="s">
        <v>58</v>
      </c>
      <c r="C18" t="s">
        <v>59</v>
      </c>
      <c r="D18" t="s">
        <v>31</v>
      </c>
      <c r="E18" t="s">
        <v>43</v>
      </c>
      <c r="F18" t="s">
        <v>32</v>
      </c>
      <c r="G18" t="s">
        <v>33</v>
      </c>
      <c r="H18" t="s">
        <v>60</v>
      </c>
      <c r="I18" t="s">
        <v>232</v>
      </c>
      <c r="J18" t="s">
        <v>34</v>
      </c>
      <c r="K18" t="s">
        <v>31</v>
      </c>
      <c r="L18" t="s">
        <v>35</v>
      </c>
      <c r="M18" t="s">
        <v>36</v>
      </c>
      <c r="N18" t="s">
        <v>42</v>
      </c>
      <c r="O18" t="s">
        <v>61</v>
      </c>
      <c r="P18">
        <v>248501</v>
      </c>
      <c r="Q18" t="s">
        <v>79</v>
      </c>
      <c r="R18" t="s">
        <v>80</v>
      </c>
      <c r="S18" t="s">
        <v>38</v>
      </c>
      <c r="T18">
        <v>0</v>
      </c>
      <c r="U18">
        <v>0.75</v>
      </c>
      <c r="V18" s="2">
        <v>3.125E-2</v>
      </c>
      <c r="W18">
        <v>0</v>
      </c>
      <c r="AA18" t="s">
        <v>39</v>
      </c>
      <c r="AB18" t="s">
        <v>40</v>
      </c>
      <c r="AC18" t="s">
        <v>291</v>
      </c>
      <c r="AD18" t="s">
        <v>41</v>
      </c>
      <c r="AE18">
        <f t="shared" si="0"/>
        <v>5</v>
      </c>
      <c r="AF18" t="str">
        <f t="shared" si="1"/>
        <v>May</v>
      </c>
    </row>
    <row r="19" spans="1:32" x14ac:dyDescent="0.3">
      <c r="A19" s="1">
        <v>45432</v>
      </c>
      <c r="B19" t="s">
        <v>58</v>
      </c>
      <c r="C19" t="s">
        <v>59</v>
      </c>
      <c r="D19" t="s">
        <v>31</v>
      </c>
      <c r="E19" t="s">
        <v>43</v>
      </c>
      <c r="F19" t="s">
        <v>32</v>
      </c>
      <c r="G19" t="s">
        <v>33</v>
      </c>
      <c r="H19" t="s">
        <v>60</v>
      </c>
      <c r="I19" t="s">
        <v>232</v>
      </c>
      <c r="J19" t="s">
        <v>34</v>
      </c>
      <c r="K19" t="s">
        <v>31</v>
      </c>
      <c r="L19" t="s">
        <v>35</v>
      </c>
      <c r="M19" t="s">
        <v>36</v>
      </c>
      <c r="N19" t="s">
        <v>42</v>
      </c>
      <c r="O19" t="s">
        <v>61</v>
      </c>
      <c r="P19">
        <v>250099</v>
      </c>
      <c r="Q19" t="s">
        <v>79</v>
      </c>
      <c r="R19" t="s">
        <v>80</v>
      </c>
      <c r="S19" t="s">
        <v>38</v>
      </c>
      <c r="T19">
        <v>0</v>
      </c>
      <c r="U19">
        <v>8</v>
      </c>
      <c r="V19" s="2">
        <v>0.33333333333333331</v>
      </c>
      <c r="W19">
        <v>0</v>
      </c>
      <c r="AA19" t="s">
        <v>39</v>
      </c>
      <c r="AB19" t="s">
        <v>40</v>
      </c>
      <c r="AC19" t="s">
        <v>307</v>
      </c>
      <c r="AD19" t="s">
        <v>41</v>
      </c>
      <c r="AE19">
        <f t="shared" si="0"/>
        <v>5</v>
      </c>
      <c r="AF19" t="str">
        <f t="shared" si="1"/>
        <v>May</v>
      </c>
    </row>
    <row r="20" spans="1:32" x14ac:dyDescent="0.3">
      <c r="A20" s="1">
        <v>45378</v>
      </c>
      <c r="B20" t="s">
        <v>77</v>
      </c>
      <c r="C20" t="s">
        <v>30</v>
      </c>
      <c r="D20" t="s">
        <v>31</v>
      </c>
      <c r="E20" t="s">
        <v>78</v>
      </c>
      <c r="F20" t="s">
        <v>32</v>
      </c>
      <c r="G20" t="s">
        <v>33</v>
      </c>
      <c r="H20" t="s">
        <v>60</v>
      </c>
      <c r="I20" t="s">
        <v>232</v>
      </c>
      <c r="J20" t="s">
        <v>34</v>
      </c>
      <c r="K20" t="s">
        <v>31</v>
      </c>
      <c r="L20" t="s">
        <v>35</v>
      </c>
      <c r="M20" t="s">
        <v>36</v>
      </c>
      <c r="N20" t="s">
        <v>71</v>
      </c>
      <c r="O20" t="s">
        <v>61</v>
      </c>
      <c r="P20">
        <v>228528</v>
      </c>
      <c r="Q20" t="s">
        <v>79</v>
      </c>
      <c r="R20" t="s">
        <v>80</v>
      </c>
      <c r="S20" t="s">
        <v>38</v>
      </c>
      <c r="T20">
        <v>0</v>
      </c>
      <c r="U20">
        <v>0.5</v>
      </c>
      <c r="V20" s="2">
        <v>2.0833333333333332E-2</v>
      </c>
      <c r="W20">
        <v>0</v>
      </c>
      <c r="AA20" t="s">
        <v>39</v>
      </c>
      <c r="AB20" t="s">
        <v>40</v>
      </c>
      <c r="AC20" t="s">
        <v>81</v>
      </c>
      <c r="AD20" t="s">
        <v>41</v>
      </c>
      <c r="AE20">
        <f t="shared" si="0"/>
        <v>3</v>
      </c>
      <c r="AF20" t="str">
        <f t="shared" si="1"/>
        <v>March</v>
      </c>
    </row>
    <row r="21" spans="1:32" x14ac:dyDescent="0.3">
      <c r="A21" s="1">
        <v>45384</v>
      </c>
      <c r="B21" t="s">
        <v>77</v>
      </c>
      <c r="C21" t="s">
        <v>30</v>
      </c>
      <c r="D21" t="s">
        <v>31</v>
      </c>
      <c r="E21" t="s">
        <v>78</v>
      </c>
      <c r="F21" t="s">
        <v>32</v>
      </c>
      <c r="G21" t="s">
        <v>33</v>
      </c>
      <c r="H21" t="s">
        <v>60</v>
      </c>
      <c r="I21" t="s">
        <v>232</v>
      </c>
      <c r="J21" t="s">
        <v>34</v>
      </c>
      <c r="K21" t="s">
        <v>31</v>
      </c>
      <c r="L21" t="s">
        <v>35</v>
      </c>
      <c r="M21" t="s">
        <v>36</v>
      </c>
      <c r="N21" t="s">
        <v>71</v>
      </c>
      <c r="O21" t="s">
        <v>61</v>
      </c>
      <c r="P21">
        <v>230412</v>
      </c>
      <c r="Q21" t="s">
        <v>79</v>
      </c>
      <c r="R21" t="s">
        <v>80</v>
      </c>
      <c r="S21" t="s">
        <v>38</v>
      </c>
      <c r="T21">
        <v>0</v>
      </c>
      <c r="U21">
        <v>0.25</v>
      </c>
      <c r="V21" s="2">
        <v>1.0416666666666666E-2</v>
      </c>
      <c r="W21">
        <v>0</v>
      </c>
      <c r="AA21" t="s">
        <v>39</v>
      </c>
      <c r="AB21" t="s">
        <v>40</v>
      </c>
      <c r="AC21" t="s">
        <v>82</v>
      </c>
      <c r="AD21" t="s">
        <v>41</v>
      </c>
      <c r="AE21">
        <f t="shared" si="0"/>
        <v>4</v>
      </c>
      <c r="AF21" t="str">
        <f t="shared" si="1"/>
        <v>April</v>
      </c>
    </row>
    <row r="22" spans="1:32" x14ac:dyDescent="0.3">
      <c r="A22" s="1">
        <v>45386</v>
      </c>
      <c r="B22" t="s">
        <v>77</v>
      </c>
      <c r="C22" t="s">
        <v>30</v>
      </c>
      <c r="D22" t="s">
        <v>31</v>
      </c>
      <c r="E22" t="s">
        <v>78</v>
      </c>
      <c r="F22" t="s">
        <v>32</v>
      </c>
      <c r="G22" t="s">
        <v>33</v>
      </c>
      <c r="H22" t="s">
        <v>60</v>
      </c>
      <c r="I22" t="s">
        <v>232</v>
      </c>
      <c r="J22" t="s">
        <v>34</v>
      </c>
      <c r="K22" t="s">
        <v>31</v>
      </c>
      <c r="L22" t="s">
        <v>35</v>
      </c>
      <c r="M22" t="s">
        <v>36</v>
      </c>
      <c r="N22" t="s">
        <v>71</v>
      </c>
      <c r="O22" t="s">
        <v>61</v>
      </c>
      <c r="P22">
        <v>231490</v>
      </c>
      <c r="Q22" t="s">
        <v>79</v>
      </c>
      <c r="R22" t="s">
        <v>80</v>
      </c>
      <c r="S22" t="s">
        <v>38</v>
      </c>
      <c r="T22">
        <v>0</v>
      </c>
      <c r="U22">
        <v>0.5</v>
      </c>
      <c r="V22" s="2">
        <v>2.0833333333333332E-2</v>
      </c>
      <c r="W22">
        <v>0</v>
      </c>
      <c r="AA22" t="s">
        <v>39</v>
      </c>
      <c r="AB22" t="s">
        <v>40</v>
      </c>
      <c r="AC22" t="s">
        <v>83</v>
      </c>
      <c r="AD22" t="s">
        <v>41</v>
      </c>
      <c r="AE22">
        <f t="shared" si="0"/>
        <v>4</v>
      </c>
      <c r="AF22" t="str">
        <f t="shared" si="1"/>
        <v>April</v>
      </c>
    </row>
    <row r="23" spans="1:32" x14ac:dyDescent="0.3">
      <c r="A23" s="1">
        <v>45387</v>
      </c>
      <c r="B23" t="s">
        <v>77</v>
      </c>
      <c r="C23" t="s">
        <v>30</v>
      </c>
      <c r="D23" t="s">
        <v>31</v>
      </c>
      <c r="E23" t="s">
        <v>78</v>
      </c>
      <c r="F23" t="s">
        <v>32</v>
      </c>
      <c r="G23" t="s">
        <v>33</v>
      </c>
      <c r="H23" t="s">
        <v>60</v>
      </c>
      <c r="I23" t="s">
        <v>232</v>
      </c>
      <c r="J23" t="s">
        <v>34</v>
      </c>
      <c r="K23" t="s">
        <v>31</v>
      </c>
      <c r="L23" t="s">
        <v>35</v>
      </c>
      <c r="M23" t="s">
        <v>36</v>
      </c>
      <c r="N23" t="s">
        <v>71</v>
      </c>
      <c r="O23" t="s">
        <v>61</v>
      </c>
      <c r="P23">
        <v>231672</v>
      </c>
      <c r="Q23" t="s">
        <v>79</v>
      </c>
      <c r="R23" t="s">
        <v>80</v>
      </c>
      <c r="S23" t="s">
        <v>38</v>
      </c>
      <c r="T23">
        <v>0</v>
      </c>
      <c r="U23">
        <v>0.5</v>
      </c>
      <c r="V23" s="2">
        <v>2.0833333333333332E-2</v>
      </c>
      <c r="W23">
        <v>0</v>
      </c>
      <c r="AA23" t="s">
        <v>39</v>
      </c>
      <c r="AB23" t="s">
        <v>40</v>
      </c>
      <c r="AC23" t="s">
        <v>84</v>
      </c>
      <c r="AD23" t="s">
        <v>41</v>
      </c>
      <c r="AE23">
        <f t="shared" si="0"/>
        <v>4</v>
      </c>
      <c r="AF23" t="str">
        <f t="shared" si="1"/>
        <v>April</v>
      </c>
    </row>
    <row r="24" spans="1:32" x14ac:dyDescent="0.3">
      <c r="A24" s="1">
        <v>45390</v>
      </c>
      <c r="B24" t="s">
        <v>77</v>
      </c>
      <c r="C24" t="s">
        <v>30</v>
      </c>
      <c r="D24" t="s">
        <v>31</v>
      </c>
      <c r="E24" t="s">
        <v>78</v>
      </c>
      <c r="F24" t="s">
        <v>32</v>
      </c>
      <c r="G24" t="s">
        <v>33</v>
      </c>
      <c r="H24" t="s">
        <v>60</v>
      </c>
      <c r="I24" t="s">
        <v>232</v>
      </c>
      <c r="J24" t="s">
        <v>34</v>
      </c>
      <c r="K24" t="s">
        <v>31</v>
      </c>
      <c r="L24" t="s">
        <v>35</v>
      </c>
      <c r="M24" t="s">
        <v>36</v>
      </c>
      <c r="N24" t="s">
        <v>71</v>
      </c>
      <c r="O24" t="s">
        <v>61</v>
      </c>
      <c r="P24">
        <v>232453</v>
      </c>
      <c r="Q24" t="s">
        <v>79</v>
      </c>
      <c r="R24" t="s">
        <v>80</v>
      </c>
      <c r="S24" t="s">
        <v>38</v>
      </c>
      <c r="T24">
        <v>0</v>
      </c>
      <c r="U24">
        <v>1</v>
      </c>
      <c r="V24" s="2">
        <v>4.1666666666666664E-2</v>
      </c>
      <c r="W24">
        <v>0</v>
      </c>
      <c r="AA24" t="s">
        <v>39</v>
      </c>
      <c r="AB24" t="s">
        <v>40</v>
      </c>
      <c r="AC24" t="s">
        <v>85</v>
      </c>
      <c r="AD24" t="s">
        <v>41</v>
      </c>
      <c r="AE24">
        <f t="shared" si="0"/>
        <v>4</v>
      </c>
      <c r="AF24" t="str">
        <f t="shared" si="1"/>
        <v>April</v>
      </c>
    </row>
    <row r="25" spans="1:32" x14ac:dyDescent="0.3">
      <c r="A25" s="1">
        <v>45391</v>
      </c>
      <c r="B25" t="s">
        <v>77</v>
      </c>
      <c r="C25" t="s">
        <v>30</v>
      </c>
      <c r="D25" t="s">
        <v>31</v>
      </c>
      <c r="E25" t="s">
        <v>78</v>
      </c>
      <c r="F25" t="s">
        <v>32</v>
      </c>
      <c r="G25" t="s">
        <v>33</v>
      </c>
      <c r="H25" t="s">
        <v>60</v>
      </c>
      <c r="I25" t="s">
        <v>232</v>
      </c>
      <c r="J25" t="s">
        <v>34</v>
      </c>
      <c r="K25" t="s">
        <v>31</v>
      </c>
      <c r="L25" t="s">
        <v>35</v>
      </c>
      <c r="M25" t="s">
        <v>36</v>
      </c>
      <c r="N25" t="s">
        <v>71</v>
      </c>
      <c r="O25" t="s">
        <v>61</v>
      </c>
      <c r="P25">
        <v>233077</v>
      </c>
      <c r="Q25" t="s">
        <v>79</v>
      </c>
      <c r="R25" t="s">
        <v>80</v>
      </c>
      <c r="S25" t="s">
        <v>38</v>
      </c>
      <c r="T25">
        <v>0</v>
      </c>
      <c r="U25">
        <v>0.25</v>
      </c>
      <c r="V25" s="2">
        <v>1.0416666666666666E-2</v>
      </c>
      <c r="W25">
        <v>0</v>
      </c>
      <c r="AA25" t="s">
        <v>39</v>
      </c>
      <c r="AB25" t="s">
        <v>40</v>
      </c>
      <c r="AC25" t="s">
        <v>86</v>
      </c>
      <c r="AD25" t="s">
        <v>41</v>
      </c>
      <c r="AE25">
        <f t="shared" si="0"/>
        <v>4</v>
      </c>
      <c r="AF25" t="str">
        <f t="shared" si="1"/>
        <v>April</v>
      </c>
    </row>
    <row r="26" spans="1:32" x14ac:dyDescent="0.3">
      <c r="A26" s="1">
        <v>45393</v>
      </c>
      <c r="B26" t="s">
        <v>77</v>
      </c>
      <c r="C26" t="s">
        <v>30</v>
      </c>
      <c r="D26" t="s">
        <v>31</v>
      </c>
      <c r="E26" t="s">
        <v>78</v>
      </c>
      <c r="F26" t="s">
        <v>32</v>
      </c>
      <c r="G26" t="s">
        <v>33</v>
      </c>
      <c r="H26" t="s">
        <v>60</v>
      </c>
      <c r="I26" t="s">
        <v>232</v>
      </c>
      <c r="J26" t="s">
        <v>34</v>
      </c>
      <c r="K26" t="s">
        <v>31</v>
      </c>
      <c r="L26" t="s">
        <v>35</v>
      </c>
      <c r="M26" t="s">
        <v>36</v>
      </c>
      <c r="N26" t="s">
        <v>71</v>
      </c>
      <c r="O26" t="s">
        <v>61</v>
      </c>
      <c r="P26">
        <v>234192</v>
      </c>
      <c r="Q26" t="s">
        <v>79</v>
      </c>
      <c r="R26" t="s">
        <v>80</v>
      </c>
      <c r="S26" t="s">
        <v>38</v>
      </c>
      <c r="T26">
        <v>0</v>
      </c>
      <c r="U26">
        <v>0.25</v>
      </c>
      <c r="V26" s="2">
        <v>1.0416666666666666E-2</v>
      </c>
      <c r="W26">
        <v>0</v>
      </c>
      <c r="AA26" t="s">
        <v>39</v>
      </c>
      <c r="AB26" t="s">
        <v>40</v>
      </c>
      <c r="AC26" t="s">
        <v>87</v>
      </c>
      <c r="AD26" t="s">
        <v>41</v>
      </c>
      <c r="AE26">
        <f t="shared" si="0"/>
        <v>4</v>
      </c>
      <c r="AF26" t="str">
        <f t="shared" si="1"/>
        <v>April</v>
      </c>
    </row>
    <row r="27" spans="1:32" x14ac:dyDescent="0.3">
      <c r="A27" s="1">
        <v>45394</v>
      </c>
      <c r="B27" t="s">
        <v>77</v>
      </c>
      <c r="C27" t="s">
        <v>30</v>
      </c>
      <c r="D27" t="s">
        <v>31</v>
      </c>
      <c r="E27" t="s">
        <v>78</v>
      </c>
      <c r="F27" t="s">
        <v>32</v>
      </c>
      <c r="G27" t="s">
        <v>33</v>
      </c>
      <c r="H27" t="s">
        <v>60</v>
      </c>
      <c r="I27" t="s">
        <v>232</v>
      </c>
      <c r="J27" t="s">
        <v>34</v>
      </c>
      <c r="K27" t="s">
        <v>31</v>
      </c>
      <c r="L27" t="s">
        <v>35</v>
      </c>
      <c r="M27" t="s">
        <v>36</v>
      </c>
      <c r="N27" t="s">
        <v>71</v>
      </c>
      <c r="O27" t="s">
        <v>61</v>
      </c>
      <c r="P27">
        <v>234548</v>
      </c>
      <c r="Q27" t="s">
        <v>79</v>
      </c>
      <c r="R27" t="s">
        <v>80</v>
      </c>
      <c r="S27" t="s">
        <v>38</v>
      </c>
      <c r="T27">
        <v>0</v>
      </c>
      <c r="U27">
        <v>1</v>
      </c>
      <c r="V27" s="2">
        <v>4.1666666666666664E-2</v>
      </c>
      <c r="W27">
        <v>0</v>
      </c>
      <c r="AA27" t="s">
        <v>39</v>
      </c>
      <c r="AB27" t="s">
        <v>40</v>
      </c>
      <c r="AC27" t="s">
        <v>88</v>
      </c>
      <c r="AD27" t="s">
        <v>41</v>
      </c>
      <c r="AE27">
        <f t="shared" si="0"/>
        <v>4</v>
      </c>
      <c r="AF27" t="str">
        <f t="shared" si="1"/>
        <v>April</v>
      </c>
    </row>
    <row r="28" spans="1:32" x14ac:dyDescent="0.3">
      <c r="A28" s="1">
        <v>45397</v>
      </c>
      <c r="B28" t="s">
        <v>77</v>
      </c>
      <c r="C28" t="s">
        <v>30</v>
      </c>
      <c r="D28" t="s">
        <v>31</v>
      </c>
      <c r="E28" t="s">
        <v>78</v>
      </c>
      <c r="F28" t="s">
        <v>32</v>
      </c>
      <c r="G28" t="s">
        <v>33</v>
      </c>
      <c r="H28" t="s">
        <v>60</v>
      </c>
      <c r="I28" t="s">
        <v>232</v>
      </c>
      <c r="J28" t="s">
        <v>34</v>
      </c>
      <c r="K28" t="s">
        <v>31</v>
      </c>
      <c r="L28" t="s">
        <v>35</v>
      </c>
      <c r="M28" t="s">
        <v>36</v>
      </c>
      <c r="N28" t="s">
        <v>71</v>
      </c>
      <c r="O28" t="s">
        <v>61</v>
      </c>
      <c r="P28">
        <v>235384</v>
      </c>
      <c r="Q28" t="s">
        <v>79</v>
      </c>
      <c r="R28" t="s">
        <v>80</v>
      </c>
      <c r="S28" t="s">
        <v>38</v>
      </c>
      <c r="T28">
        <v>0</v>
      </c>
      <c r="U28">
        <v>0.25</v>
      </c>
      <c r="V28" s="2">
        <v>1.0416666666666666E-2</v>
      </c>
      <c r="W28">
        <v>0</v>
      </c>
      <c r="AA28" t="s">
        <v>39</v>
      </c>
      <c r="AB28" t="s">
        <v>40</v>
      </c>
      <c r="AC28" t="s">
        <v>153</v>
      </c>
      <c r="AD28" t="s">
        <v>41</v>
      </c>
      <c r="AE28">
        <f t="shared" si="0"/>
        <v>4</v>
      </c>
      <c r="AF28" t="str">
        <f t="shared" si="1"/>
        <v>April</v>
      </c>
    </row>
    <row r="29" spans="1:32" x14ac:dyDescent="0.3">
      <c r="A29" s="1">
        <v>45398</v>
      </c>
      <c r="B29" t="s">
        <v>77</v>
      </c>
      <c r="C29" t="s">
        <v>30</v>
      </c>
      <c r="D29" t="s">
        <v>31</v>
      </c>
      <c r="E29" t="s">
        <v>78</v>
      </c>
      <c r="F29" t="s">
        <v>32</v>
      </c>
      <c r="G29" t="s">
        <v>33</v>
      </c>
      <c r="H29" t="s">
        <v>60</v>
      </c>
      <c r="I29" t="s">
        <v>232</v>
      </c>
      <c r="J29" t="s">
        <v>34</v>
      </c>
      <c r="K29" t="s">
        <v>31</v>
      </c>
      <c r="L29" t="s">
        <v>35</v>
      </c>
      <c r="M29" t="s">
        <v>36</v>
      </c>
      <c r="N29" t="s">
        <v>71</v>
      </c>
      <c r="O29" t="s">
        <v>61</v>
      </c>
      <c r="P29">
        <v>235864</v>
      </c>
      <c r="Q29" t="s">
        <v>79</v>
      </c>
      <c r="R29" t="s">
        <v>80</v>
      </c>
      <c r="S29" t="s">
        <v>38</v>
      </c>
      <c r="T29">
        <v>0</v>
      </c>
      <c r="U29">
        <v>0.5</v>
      </c>
      <c r="V29" s="2">
        <v>2.0833333333333332E-2</v>
      </c>
      <c r="W29">
        <v>0</v>
      </c>
      <c r="AA29" t="s">
        <v>39</v>
      </c>
      <c r="AB29" t="s">
        <v>40</v>
      </c>
      <c r="AC29" t="s">
        <v>154</v>
      </c>
      <c r="AD29" t="s">
        <v>41</v>
      </c>
      <c r="AE29">
        <f t="shared" si="0"/>
        <v>4</v>
      </c>
      <c r="AF29" t="str">
        <f t="shared" si="1"/>
        <v>April</v>
      </c>
    </row>
    <row r="30" spans="1:32" x14ac:dyDescent="0.3">
      <c r="A30" s="1">
        <v>45399</v>
      </c>
      <c r="B30" t="s">
        <v>77</v>
      </c>
      <c r="C30" t="s">
        <v>30</v>
      </c>
      <c r="D30" t="s">
        <v>31</v>
      </c>
      <c r="E30" t="s">
        <v>78</v>
      </c>
      <c r="F30" t="s">
        <v>32</v>
      </c>
      <c r="G30" t="s">
        <v>33</v>
      </c>
      <c r="H30" t="s">
        <v>60</v>
      </c>
      <c r="I30" t="s">
        <v>232</v>
      </c>
      <c r="J30" t="s">
        <v>34</v>
      </c>
      <c r="K30" t="s">
        <v>31</v>
      </c>
      <c r="L30" t="s">
        <v>35</v>
      </c>
      <c r="M30" t="s">
        <v>36</v>
      </c>
      <c r="N30" t="s">
        <v>71</v>
      </c>
      <c r="O30" t="s">
        <v>61</v>
      </c>
      <c r="P30">
        <v>236594</v>
      </c>
      <c r="Q30" t="s">
        <v>79</v>
      </c>
      <c r="R30" t="s">
        <v>80</v>
      </c>
      <c r="S30" t="s">
        <v>38</v>
      </c>
      <c r="T30">
        <v>0</v>
      </c>
      <c r="U30">
        <v>2</v>
      </c>
      <c r="V30" s="2">
        <v>8.3333333333333329E-2</v>
      </c>
      <c r="W30">
        <v>0</v>
      </c>
      <c r="AA30" t="s">
        <v>39</v>
      </c>
      <c r="AB30" t="s">
        <v>40</v>
      </c>
      <c r="AC30" t="s">
        <v>155</v>
      </c>
      <c r="AD30" t="s">
        <v>41</v>
      </c>
      <c r="AE30">
        <f t="shared" si="0"/>
        <v>4</v>
      </c>
      <c r="AF30" t="str">
        <f t="shared" si="1"/>
        <v>April</v>
      </c>
    </row>
    <row r="31" spans="1:32" x14ac:dyDescent="0.3">
      <c r="A31" s="1">
        <v>45401</v>
      </c>
      <c r="B31" t="s">
        <v>77</v>
      </c>
      <c r="C31" t="s">
        <v>30</v>
      </c>
      <c r="D31" t="s">
        <v>31</v>
      </c>
      <c r="E31" t="s">
        <v>78</v>
      </c>
      <c r="F31" t="s">
        <v>32</v>
      </c>
      <c r="G31" t="s">
        <v>33</v>
      </c>
      <c r="H31" t="s">
        <v>60</v>
      </c>
      <c r="I31" t="s">
        <v>232</v>
      </c>
      <c r="J31" t="s">
        <v>34</v>
      </c>
      <c r="K31" t="s">
        <v>31</v>
      </c>
      <c r="L31" t="s">
        <v>35</v>
      </c>
      <c r="M31" t="s">
        <v>36</v>
      </c>
      <c r="N31" t="s">
        <v>71</v>
      </c>
      <c r="O31" t="s">
        <v>61</v>
      </c>
      <c r="P31">
        <v>237570</v>
      </c>
      <c r="Q31" t="s">
        <v>79</v>
      </c>
      <c r="R31" t="s">
        <v>80</v>
      </c>
      <c r="S31" t="s">
        <v>38</v>
      </c>
      <c r="T31">
        <v>0</v>
      </c>
      <c r="U31">
        <v>0.5</v>
      </c>
      <c r="V31" s="2">
        <v>2.0833333333333332E-2</v>
      </c>
      <c r="W31">
        <v>0</v>
      </c>
      <c r="AA31" t="s">
        <v>39</v>
      </c>
      <c r="AB31" t="s">
        <v>40</v>
      </c>
      <c r="AC31" t="s">
        <v>156</v>
      </c>
      <c r="AD31" t="s">
        <v>41</v>
      </c>
      <c r="AE31">
        <f t="shared" si="0"/>
        <v>4</v>
      </c>
      <c r="AF31" t="str">
        <f t="shared" si="1"/>
        <v>April</v>
      </c>
    </row>
    <row r="32" spans="1:32" x14ac:dyDescent="0.3">
      <c r="A32" s="1">
        <v>45411</v>
      </c>
      <c r="B32" t="s">
        <v>77</v>
      </c>
      <c r="C32" t="s">
        <v>30</v>
      </c>
      <c r="D32" t="s">
        <v>31</v>
      </c>
      <c r="E32" t="s">
        <v>78</v>
      </c>
      <c r="F32" t="s">
        <v>32</v>
      </c>
      <c r="G32" t="s">
        <v>33</v>
      </c>
      <c r="H32" t="s">
        <v>60</v>
      </c>
      <c r="I32" t="s">
        <v>232</v>
      </c>
      <c r="J32" t="s">
        <v>34</v>
      </c>
      <c r="K32" t="s">
        <v>31</v>
      </c>
      <c r="L32" t="s">
        <v>35</v>
      </c>
      <c r="M32" t="s">
        <v>36</v>
      </c>
      <c r="N32" t="s">
        <v>71</v>
      </c>
      <c r="O32" t="s">
        <v>61</v>
      </c>
      <c r="P32">
        <v>241549</v>
      </c>
      <c r="Q32" t="s">
        <v>79</v>
      </c>
      <c r="R32" t="s">
        <v>80</v>
      </c>
      <c r="S32" t="s">
        <v>38</v>
      </c>
      <c r="T32">
        <v>0</v>
      </c>
      <c r="U32">
        <v>0.25</v>
      </c>
      <c r="V32" s="2">
        <v>1.0416666666666666E-2</v>
      </c>
      <c r="W32">
        <v>0</v>
      </c>
      <c r="AA32" t="s">
        <v>39</v>
      </c>
      <c r="AB32" t="s">
        <v>40</v>
      </c>
      <c r="AC32" t="s">
        <v>153</v>
      </c>
      <c r="AD32" t="s">
        <v>41</v>
      </c>
      <c r="AE32">
        <f t="shared" si="0"/>
        <v>4</v>
      </c>
      <c r="AF32" t="str">
        <f t="shared" si="1"/>
        <v>April</v>
      </c>
    </row>
    <row r="33" spans="1:32" x14ac:dyDescent="0.3">
      <c r="A33" s="1">
        <v>45418</v>
      </c>
      <c r="B33" t="s">
        <v>77</v>
      </c>
      <c r="C33" t="s">
        <v>30</v>
      </c>
      <c r="D33" t="s">
        <v>31</v>
      </c>
      <c r="E33" t="s">
        <v>78</v>
      </c>
      <c r="F33" t="s">
        <v>32</v>
      </c>
      <c r="G33" t="s">
        <v>33</v>
      </c>
      <c r="H33" t="s">
        <v>60</v>
      </c>
      <c r="I33" t="s">
        <v>232</v>
      </c>
      <c r="J33" t="s">
        <v>34</v>
      </c>
      <c r="K33" t="s">
        <v>31</v>
      </c>
      <c r="L33" t="s">
        <v>35</v>
      </c>
      <c r="M33" t="s">
        <v>36</v>
      </c>
      <c r="N33" t="s">
        <v>71</v>
      </c>
      <c r="O33" t="s">
        <v>61</v>
      </c>
      <c r="P33">
        <v>243733</v>
      </c>
      <c r="Q33" t="s">
        <v>79</v>
      </c>
      <c r="R33" t="s">
        <v>80</v>
      </c>
      <c r="S33" t="s">
        <v>38</v>
      </c>
      <c r="T33">
        <v>0</v>
      </c>
      <c r="U33">
        <v>0.25</v>
      </c>
      <c r="V33" s="2">
        <v>1.0416666666666666E-2</v>
      </c>
      <c r="W33">
        <v>0</v>
      </c>
      <c r="AA33" t="s">
        <v>39</v>
      </c>
      <c r="AB33" t="s">
        <v>40</v>
      </c>
      <c r="AC33" t="s">
        <v>153</v>
      </c>
      <c r="AD33" t="s">
        <v>41</v>
      </c>
      <c r="AE33">
        <f t="shared" si="0"/>
        <v>5</v>
      </c>
      <c r="AF33" t="str">
        <f t="shared" si="1"/>
        <v>May</v>
      </c>
    </row>
    <row r="34" spans="1:32" x14ac:dyDescent="0.3">
      <c r="A34" s="1">
        <v>45420</v>
      </c>
      <c r="B34" t="s">
        <v>77</v>
      </c>
      <c r="C34" t="s">
        <v>30</v>
      </c>
      <c r="D34" t="s">
        <v>31</v>
      </c>
      <c r="E34" t="s">
        <v>78</v>
      </c>
      <c r="F34" t="s">
        <v>32</v>
      </c>
      <c r="G34" t="s">
        <v>33</v>
      </c>
      <c r="H34" t="s">
        <v>60</v>
      </c>
      <c r="I34" t="s">
        <v>232</v>
      </c>
      <c r="J34" t="s">
        <v>34</v>
      </c>
      <c r="K34" t="s">
        <v>31</v>
      </c>
      <c r="L34" t="s">
        <v>35</v>
      </c>
      <c r="M34" t="s">
        <v>36</v>
      </c>
      <c r="N34" t="s">
        <v>71</v>
      </c>
      <c r="O34" t="s">
        <v>61</v>
      </c>
      <c r="P34">
        <v>244453</v>
      </c>
      <c r="Q34" t="s">
        <v>79</v>
      </c>
      <c r="R34" t="s">
        <v>80</v>
      </c>
      <c r="S34" t="s">
        <v>38</v>
      </c>
      <c r="T34">
        <v>0</v>
      </c>
      <c r="U34">
        <v>0.25</v>
      </c>
      <c r="V34" s="2">
        <v>1.0416666666666666E-2</v>
      </c>
      <c r="W34">
        <v>0</v>
      </c>
      <c r="AA34" t="s">
        <v>39</v>
      </c>
      <c r="AB34" t="s">
        <v>40</v>
      </c>
      <c r="AC34" t="s">
        <v>236</v>
      </c>
      <c r="AD34" t="s">
        <v>41</v>
      </c>
      <c r="AE34">
        <f t="shared" ref="AE34:AE65" si="2">MONTH(A34)</f>
        <v>5</v>
      </c>
      <c r="AF34" t="str">
        <f t="shared" ref="AF34:AF65" si="3">IF(AE34=1,"January",IF(AE34=2,"February",IF(AE34=3,"March",IF(AE34=4,"April",IF(AE34=5,"May")))))</f>
        <v>May</v>
      </c>
    </row>
    <row r="35" spans="1:32" x14ac:dyDescent="0.3">
      <c r="A35" s="1">
        <v>45421</v>
      </c>
      <c r="B35" t="s">
        <v>77</v>
      </c>
      <c r="C35" t="s">
        <v>30</v>
      </c>
      <c r="D35" t="s">
        <v>31</v>
      </c>
      <c r="E35" t="s">
        <v>78</v>
      </c>
      <c r="F35" t="s">
        <v>32</v>
      </c>
      <c r="G35" t="s">
        <v>33</v>
      </c>
      <c r="H35" t="s">
        <v>60</v>
      </c>
      <c r="I35" t="s">
        <v>232</v>
      </c>
      <c r="J35" t="s">
        <v>34</v>
      </c>
      <c r="K35" t="s">
        <v>31</v>
      </c>
      <c r="L35" t="s">
        <v>35</v>
      </c>
      <c r="M35" t="s">
        <v>36</v>
      </c>
      <c r="N35" t="s">
        <v>71</v>
      </c>
      <c r="O35" t="s">
        <v>61</v>
      </c>
      <c r="P35">
        <v>245372</v>
      </c>
      <c r="Q35" t="s">
        <v>79</v>
      </c>
      <c r="R35" t="s">
        <v>80</v>
      </c>
      <c r="S35" t="s">
        <v>38</v>
      </c>
      <c r="T35">
        <v>0</v>
      </c>
      <c r="U35">
        <v>0.25</v>
      </c>
      <c r="V35" s="2">
        <v>1.0416666666666666E-2</v>
      </c>
      <c r="W35">
        <v>0</v>
      </c>
      <c r="AA35" t="s">
        <v>39</v>
      </c>
      <c r="AB35" t="s">
        <v>40</v>
      </c>
      <c r="AC35" t="s">
        <v>237</v>
      </c>
      <c r="AD35" t="s">
        <v>41</v>
      </c>
      <c r="AE35">
        <f t="shared" si="2"/>
        <v>5</v>
      </c>
      <c r="AF35" t="str">
        <f t="shared" si="3"/>
        <v>May</v>
      </c>
    </row>
    <row r="36" spans="1:32" x14ac:dyDescent="0.3">
      <c r="A36" s="1">
        <v>45425</v>
      </c>
      <c r="B36" t="s">
        <v>77</v>
      </c>
      <c r="C36" t="s">
        <v>30</v>
      </c>
      <c r="D36" t="s">
        <v>31</v>
      </c>
      <c r="E36" t="s">
        <v>78</v>
      </c>
      <c r="F36" t="s">
        <v>32</v>
      </c>
      <c r="G36" t="s">
        <v>33</v>
      </c>
      <c r="H36" t="s">
        <v>60</v>
      </c>
      <c r="I36" t="s">
        <v>232</v>
      </c>
      <c r="J36" t="s">
        <v>34</v>
      </c>
      <c r="K36" t="s">
        <v>31</v>
      </c>
      <c r="L36" t="s">
        <v>35</v>
      </c>
      <c r="M36" t="s">
        <v>36</v>
      </c>
      <c r="N36" t="s">
        <v>71</v>
      </c>
      <c r="O36" t="s">
        <v>61</v>
      </c>
      <c r="P36">
        <v>246667</v>
      </c>
      <c r="Q36" t="s">
        <v>79</v>
      </c>
      <c r="R36" t="s">
        <v>80</v>
      </c>
      <c r="S36" t="s">
        <v>38</v>
      </c>
      <c r="T36">
        <v>0</v>
      </c>
      <c r="U36">
        <v>0.5</v>
      </c>
      <c r="V36" s="2">
        <v>2.0833333333333332E-2</v>
      </c>
      <c r="W36">
        <v>0</v>
      </c>
      <c r="AA36" t="s">
        <v>39</v>
      </c>
      <c r="AC36" t="s">
        <v>269</v>
      </c>
      <c r="AD36" t="s">
        <v>41</v>
      </c>
      <c r="AE36">
        <f t="shared" si="2"/>
        <v>5</v>
      </c>
      <c r="AF36" t="str">
        <f t="shared" si="3"/>
        <v>May</v>
      </c>
    </row>
    <row r="37" spans="1:32" x14ac:dyDescent="0.3">
      <c r="A37" s="1">
        <v>45426</v>
      </c>
      <c r="B37" t="s">
        <v>77</v>
      </c>
      <c r="C37" t="s">
        <v>30</v>
      </c>
      <c r="D37" t="s">
        <v>31</v>
      </c>
      <c r="E37" t="s">
        <v>78</v>
      </c>
      <c r="F37" t="s">
        <v>32</v>
      </c>
      <c r="G37" t="s">
        <v>33</v>
      </c>
      <c r="H37" t="s">
        <v>60</v>
      </c>
      <c r="I37" t="s">
        <v>232</v>
      </c>
      <c r="J37" t="s">
        <v>34</v>
      </c>
      <c r="K37" t="s">
        <v>31</v>
      </c>
      <c r="L37" t="s">
        <v>35</v>
      </c>
      <c r="M37" t="s">
        <v>36</v>
      </c>
      <c r="N37" t="s">
        <v>71</v>
      </c>
      <c r="O37" t="s">
        <v>61</v>
      </c>
      <c r="P37">
        <v>246843</v>
      </c>
      <c r="Q37" t="s">
        <v>79</v>
      </c>
      <c r="R37" t="s">
        <v>80</v>
      </c>
      <c r="S37" t="s">
        <v>38</v>
      </c>
      <c r="T37">
        <v>0</v>
      </c>
      <c r="U37">
        <v>0.5</v>
      </c>
      <c r="V37" s="2">
        <v>2.0833333333333332E-2</v>
      </c>
      <c r="W37">
        <v>0</v>
      </c>
      <c r="AA37" t="s">
        <v>39</v>
      </c>
      <c r="AC37" t="s">
        <v>270</v>
      </c>
      <c r="AD37" t="s">
        <v>41</v>
      </c>
      <c r="AE37">
        <f t="shared" si="2"/>
        <v>5</v>
      </c>
      <c r="AF37" t="str">
        <f t="shared" si="3"/>
        <v>May</v>
      </c>
    </row>
    <row r="38" spans="1:32" x14ac:dyDescent="0.3">
      <c r="A38" s="1">
        <v>45427</v>
      </c>
      <c r="B38" t="s">
        <v>77</v>
      </c>
      <c r="C38" t="s">
        <v>30</v>
      </c>
      <c r="D38" t="s">
        <v>31</v>
      </c>
      <c r="E38" t="s">
        <v>78</v>
      </c>
      <c r="F38" t="s">
        <v>32</v>
      </c>
      <c r="G38" t="s">
        <v>33</v>
      </c>
      <c r="H38" t="s">
        <v>60</v>
      </c>
      <c r="I38" t="s">
        <v>232</v>
      </c>
      <c r="J38" t="s">
        <v>34</v>
      </c>
      <c r="K38" t="s">
        <v>31</v>
      </c>
      <c r="L38" t="s">
        <v>35</v>
      </c>
      <c r="M38" t="s">
        <v>36</v>
      </c>
      <c r="N38" t="s">
        <v>71</v>
      </c>
      <c r="O38" t="s">
        <v>61</v>
      </c>
      <c r="P38">
        <v>247740</v>
      </c>
      <c r="Q38" t="s">
        <v>79</v>
      </c>
      <c r="R38" t="s">
        <v>80</v>
      </c>
      <c r="S38" t="s">
        <v>38</v>
      </c>
      <c r="T38">
        <v>0</v>
      </c>
      <c r="U38">
        <v>1.25</v>
      </c>
      <c r="V38" s="2">
        <v>5.2083333333333336E-2</v>
      </c>
      <c r="W38">
        <v>0</v>
      </c>
      <c r="AA38" t="s">
        <v>39</v>
      </c>
      <c r="AC38" t="s">
        <v>292</v>
      </c>
      <c r="AD38" t="s">
        <v>41</v>
      </c>
      <c r="AE38">
        <f t="shared" si="2"/>
        <v>5</v>
      </c>
      <c r="AF38" t="str">
        <f t="shared" si="3"/>
        <v>May</v>
      </c>
    </row>
    <row r="39" spans="1:32" x14ac:dyDescent="0.3">
      <c r="A39" s="1">
        <v>45428</v>
      </c>
      <c r="B39" t="s">
        <v>77</v>
      </c>
      <c r="C39" t="s">
        <v>30</v>
      </c>
      <c r="D39" t="s">
        <v>31</v>
      </c>
      <c r="E39" t="s">
        <v>78</v>
      </c>
      <c r="F39" t="s">
        <v>32</v>
      </c>
      <c r="G39" t="s">
        <v>33</v>
      </c>
      <c r="H39" t="s">
        <v>60</v>
      </c>
      <c r="I39" t="s">
        <v>232</v>
      </c>
      <c r="J39" t="s">
        <v>34</v>
      </c>
      <c r="K39" t="s">
        <v>31</v>
      </c>
      <c r="L39" t="s">
        <v>35</v>
      </c>
      <c r="M39" t="s">
        <v>36</v>
      </c>
      <c r="N39" t="s">
        <v>71</v>
      </c>
      <c r="O39" t="s">
        <v>61</v>
      </c>
      <c r="P39">
        <v>248362</v>
      </c>
      <c r="Q39" t="s">
        <v>79</v>
      </c>
      <c r="R39" t="s">
        <v>80</v>
      </c>
      <c r="S39" t="s">
        <v>38</v>
      </c>
      <c r="T39">
        <v>0</v>
      </c>
      <c r="U39">
        <v>0.25</v>
      </c>
      <c r="V39" s="2">
        <v>1.0416666666666666E-2</v>
      </c>
      <c r="W39">
        <v>0</v>
      </c>
      <c r="AA39" t="s">
        <v>39</v>
      </c>
      <c r="AC39" t="s">
        <v>270</v>
      </c>
      <c r="AD39" t="s">
        <v>41</v>
      </c>
      <c r="AE39">
        <f t="shared" si="2"/>
        <v>5</v>
      </c>
      <c r="AF39" t="str">
        <f t="shared" si="3"/>
        <v>May</v>
      </c>
    </row>
    <row r="40" spans="1:32" x14ac:dyDescent="0.3">
      <c r="A40" s="1">
        <v>45429</v>
      </c>
      <c r="B40" t="s">
        <v>77</v>
      </c>
      <c r="C40" t="s">
        <v>30</v>
      </c>
      <c r="D40" t="s">
        <v>31</v>
      </c>
      <c r="E40" t="s">
        <v>78</v>
      </c>
      <c r="F40" t="s">
        <v>32</v>
      </c>
      <c r="G40" t="s">
        <v>33</v>
      </c>
      <c r="H40" t="s">
        <v>60</v>
      </c>
      <c r="I40" t="s">
        <v>232</v>
      </c>
      <c r="J40" t="s">
        <v>34</v>
      </c>
      <c r="K40" t="s">
        <v>31</v>
      </c>
      <c r="L40" t="s">
        <v>35</v>
      </c>
      <c r="M40" t="s">
        <v>36</v>
      </c>
      <c r="N40" t="s">
        <v>71</v>
      </c>
      <c r="O40" t="s">
        <v>61</v>
      </c>
      <c r="P40">
        <v>248511</v>
      </c>
      <c r="Q40" t="s">
        <v>79</v>
      </c>
      <c r="R40" t="s">
        <v>80</v>
      </c>
      <c r="S40" t="s">
        <v>38</v>
      </c>
      <c r="T40">
        <v>0</v>
      </c>
      <c r="U40">
        <v>0.25</v>
      </c>
      <c r="V40" s="2">
        <v>1.0416666666666666E-2</v>
      </c>
      <c r="W40">
        <v>0</v>
      </c>
      <c r="AA40" t="s">
        <v>39</v>
      </c>
      <c r="AC40" t="s">
        <v>270</v>
      </c>
      <c r="AD40" t="s">
        <v>41</v>
      </c>
      <c r="AE40">
        <f t="shared" si="2"/>
        <v>5</v>
      </c>
      <c r="AF40" t="str">
        <f t="shared" si="3"/>
        <v>May</v>
      </c>
    </row>
    <row r="41" spans="1:32" x14ac:dyDescent="0.3">
      <c r="A41" s="1">
        <v>45432</v>
      </c>
      <c r="B41" t="s">
        <v>77</v>
      </c>
      <c r="C41" t="s">
        <v>30</v>
      </c>
      <c r="D41" t="s">
        <v>31</v>
      </c>
      <c r="E41" t="s">
        <v>78</v>
      </c>
      <c r="F41" t="s">
        <v>32</v>
      </c>
      <c r="G41" t="s">
        <v>33</v>
      </c>
      <c r="H41" t="s">
        <v>60</v>
      </c>
      <c r="I41" t="s">
        <v>232</v>
      </c>
      <c r="J41" t="s">
        <v>34</v>
      </c>
      <c r="K41" t="s">
        <v>31</v>
      </c>
      <c r="L41" t="s">
        <v>35</v>
      </c>
      <c r="M41" t="s">
        <v>36</v>
      </c>
      <c r="N41" t="s">
        <v>71</v>
      </c>
      <c r="O41" t="s">
        <v>61</v>
      </c>
      <c r="P41">
        <v>249395</v>
      </c>
      <c r="Q41" t="s">
        <v>79</v>
      </c>
      <c r="R41" t="s">
        <v>80</v>
      </c>
      <c r="S41" t="s">
        <v>38</v>
      </c>
      <c r="T41">
        <v>0</v>
      </c>
      <c r="U41">
        <v>0.5</v>
      </c>
      <c r="V41" s="2">
        <v>2.0833333333333332E-2</v>
      </c>
      <c r="W41">
        <v>0</v>
      </c>
      <c r="AA41" t="s">
        <v>39</v>
      </c>
      <c r="AC41" t="s">
        <v>308</v>
      </c>
      <c r="AD41" t="s">
        <v>41</v>
      </c>
      <c r="AE41">
        <f t="shared" si="2"/>
        <v>5</v>
      </c>
      <c r="AF41" t="str">
        <f t="shared" si="3"/>
        <v>May</v>
      </c>
    </row>
    <row r="42" spans="1:32" x14ac:dyDescent="0.3">
      <c r="A42" s="1">
        <v>45433</v>
      </c>
      <c r="B42" t="s">
        <v>77</v>
      </c>
      <c r="C42" t="s">
        <v>30</v>
      </c>
      <c r="D42" t="s">
        <v>31</v>
      </c>
      <c r="E42" t="s">
        <v>78</v>
      </c>
      <c r="F42" t="s">
        <v>32</v>
      </c>
      <c r="G42" t="s">
        <v>33</v>
      </c>
      <c r="H42" t="s">
        <v>60</v>
      </c>
      <c r="I42" t="s">
        <v>232</v>
      </c>
      <c r="J42" t="s">
        <v>34</v>
      </c>
      <c r="K42" t="s">
        <v>31</v>
      </c>
      <c r="L42" t="s">
        <v>35</v>
      </c>
      <c r="M42" t="s">
        <v>36</v>
      </c>
      <c r="N42" t="s">
        <v>71</v>
      </c>
      <c r="O42" t="s">
        <v>61</v>
      </c>
      <c r="P42">
        <v>249820</v>
      </c>
      <c r="Q42" t="s">
        <v>79</v>
      </c>
      <c r="R42" t="s">
        <v>80</v>
      </c>
      <c r="S42" t="s">
        <v>38</v>
      </c>
      <c r="T42">
        <v>0</v>
      </c>
      <c r="U42">
        <v>0.25</v>
      </c>
      <c r="V42" s="2">
        <v>1.0416666666666666E-2</v>
      </c>
      <c r="W42">
        <v>0</v>
      </c>
      <c r="AA42" t="s">
        <v>39</v>
      </c>
      <c r="AC42" t="s">
        <v>270</v>
      </c>
      <c r="AD42" t="s">
        <v>41</v>
      </c>
      <c r="AE42">
        <f t="shared" si="2"/>
        <v>5</v>
      </c>
      <c r="AF42" t="str">
        <f t="shared" si="3"/>
        <v>May</v>
      </c>
    </row>
    <row r="43" spans="1:32" x14ac:dyDescent="0.3">
      <c r="A43" s="1">
        <v>45434</v>
      </c>
      <c r="B43" t="s">
        <v>77</v>
      </c>
      <c r="C43" t="s">
        <v>30</v>
      </c>
      <c r="D43" t="s">
        <v>31</v>
      </c>
      <c r="E43" t="s">
        <v>78</v>
      </c>
      <c r="F43" t="s">
        <v>32</v>
      </c>
      <c r="G43" t="s">
        <v>33</v>
      </c>
      <c r="H43" t="s">
        <v>60</v>
      </c>
      <c r="I43" t="s">
        <v>232</v>
      </c>
      <c r="J43" t="s">
        <v>34</v>
      </c>
      <c r="K43" t="s">
        <v>31</v>
      </c>
      <c r="L43" t="s">
        <v>35</v>
      </c>
      <c r="M43" t="s">
        <v>36</v>
      </c>
      <c r="N43" t="s">
        <v>71</v>
      </c>
      <c r="O43" t="s">
        <v>61</v>
      </c>
      <c r="P43">
        <v>250320</v>
      </c>
      <c r="Q43" t="s">
        <v>79</v>
      </c>
      <c r="R43" t="s">
        <v>80</v>
      </c>
      <c r="S43" t="s">
        <v>38</v>
      </c>
      <c r="T43">
        <v>0</v>
      </c>
      <c r="U43">
        <v>0.25</v>
      </c>
      <c r="V43" s="2">
        <v>1.0416666666666666E-2</v>
      </c>
      <c r="W43">
        <v>0</v>
      </c>
      <c r="AA43" t="s">
        <v>39</v>
      </c>
      <c r="AC43" t="s">
        <v>270</v>
      </c>
      <c r="AD43" t="s">
        <v>41</v>
      </c>
      <c r="AE43">
        <f t="shared" si="2"/>
        <v>5</v>
      </c>
      <c r="AF43" t="str">
        <f t="shared" si="3"/>
        <v>May</v>
      </c>
    </row>
    <row r="44" spans="1:32" x14ac:dyDescent="0.3">
      <c r="A44" s="1">
        <v>45435</v>
      </c>
      <c r="B44" t="s">
        <v>77</v>
      </c>
      <c r="C44" t="s">
        <v>30</v>
      </c>
      <c r="D44" t="s">
        <v>31</v>
      </c>
      <c r="E44" t="s">
        <v>78</v>
      </c>
      <c r="F44" t="s">
        <v>32</v>
      </c>
      <c r="G44" t="s">
        <v>33</v>
      </c>
      <c r="H44" t="s">
        <v>60</v>
      </c>
      <c r="I44" t="s">
        <v>232</v>
      </c>
      <c r="J44" t="s">
        <v>34</v>
      </c>
      <c r="K44" t="s">
        <v>31</v>
      </c>
      <c r="L44" t="s">
        <v>35</v>
      </c>
      <c r="M44" t="s">
        <v>36</v>
      </c>
      <c r="N44" t="s">
        <v>71</v>
      </c>
      <c r="O44" t="s">
        <v>61</v>
      </c>
      <c r="P44">
        <v>250867</v>
      </c>
      <c r="Q44" t="s">
        <v>79</v>
      </c>
      <c r="R44" t="s">
        <v>80</v>
      </c>
      <c r="S44" t="s">
        <v>38</v>
      </c>
      <c r="T44">
        <v>0</v>
      </c>
      <c r="U44">
        <v>0.25</v>
      </c>
      <c r="V44" s="2">
        <v>1.0416666666666666E-2</v>
      </c>
      <c r="W44">
        <v>0</v>
      </c>
      <c r="AA44" t="s">
        <v>39</v>
      </c>
      <c r="AC44" t="s">
        <v>270</v>
      </c>
      <c r="AD44" t="s">
        <v>41</v>
      </c>
      <c r="AE44">
        <f t="shared" si="2"/>
        <v>5</v>
      </c>
      <c r="AF44" t="str">
        <f t="shared" si="3"/>
        <v>May</v>
      </c>
    </row>
    <row r="45" spans="1:32" x14ac:dyDescent="0.3">
      <c r="A45" s="1">
        <v>45387</v>
      </c>
      <c r="B45" t="s">
        <v>89</v>
      </c>
      <c r="C45" t="s">
        <v>30</v>
      </c>
      <c r="D45" t="s">
        <v>31</v>
      </c>
      <c r="E45" t="s">
        <v>43</v>
      </c>
      <c r="F45" t="s">
        <v>32</v>
      </c>
      <c r="G45" t="s">
        <v>33</v>
      </c>
      <c r="H45" t="s">
        <v>60</v>
      </c>
      <c r="I45" t="s">
        <v>232</v>
      </c>
      <c r="J45" t="s">
        <v>34</v>
      </c>
      <c r="K45" t="s">
        <v>31</v>
      </c>
      <c r="L45" t="s">
        <v>35</v>
      </c>
      <c r="M45" t="s">
        <v>36</v>
      </c>
      <c r="N45" t="s">
        <v>42</v>
      </c>
      <c r="O45" t="s">
        <v>61</v>
      </c>
      <c r="P45">
        <v>231787</v>
      </c>
      <c r="Q45" t="s">
        <v>79</v>
      </c>
      <c r="R45" t="s">
        <v>80</v>
      </c>
      <c r="S45" t="s">
        <v>38</v>
      </c>
      <c r="T45">
        <v>0</v>
      </c>
      <c r="U45">
        <v>1</v>
      </c>
      <c r="V45" s="2">
        <v>4.1666666666666664E-2</v>
      </c>
      <c r="W45">
        <v>0</v>
      </c>
      <c r="AA45" t="s">
        <v>39</v>
      </c>
      <c r="AB45" t="s">
        <v>40</v>
      </c>
      <c r="AC45" t="s">
        <v>71</v>
      </c>
      <c r="AD45" t="s">
        <v>41</v>
      </c>
      <c r="AE45">
        <f t="shared" si="2"/>
        <v>4</v>
      </c>
      <c r="AF45" t="str">
        <f t="shared" si="3"/>
        <v>April</v>
      </c>
    </row>
    <row r="46" spans="1:32" x14ac:dyDescent="0.3">
      <c r="A46" s="1">
        <v>45390</v>
      </c>
      <c r="B46" t="s">
        <v>89</v>
      </c>
      <c r="C46" t="s">
        <v>30</v>
      </c>
      <c r="D46" t="s">
        <v>31</v>
      </c>
      <c r="E46" t="s">
        <v>43</v>
      </c>
      <c r="F46" t="s">
        <v>32</v>
      </c>
      <c r="G46" t="s">
        <v>33</v>
      </c>
      <c r="H46" t="s">
        <v>60</v>
      </c>
      <c r="I46" t="s">
        <v>232</v>
      </c>
      <c r="J46" t="s">
        <v>34</v>
      </c>
      <c r="K46" t="s">
        <v>31</v>
      </c>
      <c r="L46" t="s">
        <v>35</v>
      </c>
      <c r="M46" t="s">
        <v>36</v>
      </c>
      <c r="N46" t="s">
        <v>42</v>
      </c>
      <c r="O46" t="s">
        <v>61</v>
      </c>
      <c r="P46">
        <v>232286</v>
      </c>
      <c r="Q46" t="s">
        <v>62</v>
      </c>
      <c r="R46" t="s">
        <v>37</v>
      </c>
      <c r="S46" t="s">
        <v>38</v>
      </c>
      <c r="T46">
        <v>90</v>
      </c>
      <c r="U46">
        <v>0.5</v>
      </c>
      <c r="V46" s="2">
        <v>2.0833333333333332E-2</v>
      </c>
      <c r="W46">
        <v>45</v>
      </c>
      <c r="X46">
        <v>59.5</v>
      </c>
      <c r="Y46">
        <v>14.5</v>
      </c>
      <c r="Z46" t="s">
        <v>207</v>
      </c>
      <c r="AA46" t="s">
        <v>39</v>
      </c>
      <c r="AB46" t="s">
        <v>40</v>
      </c>
      <c r="AC46" t="s">
        <v>90</v>
      </c>
      <c r="AD46" t="s">
        <v>41</v>
      </c>
      <c r="AE46">
        <f t="shared" si="2"/>
        <v>4</v>
      </c>
      <c r="AF46" t="str">
        <f t="shared" si="3"/>
        <v>April</v>
      </c>
    </row>
    <row r="47" spans="1:32" x14ac:dyDescent="0.3">
      <c r="A47" s="1">
        <v>45390</v>
      </c>
      <c r="B47" t="s">
        <v>89</v>
      </c>
      <c r="C47" t="s">
        <v>30</v>
      </c>
      <c r="D47" t="s">
        <v>31</v>
      </c>
      <c r="E47" t="s">
        <v>43</v>
      </c>
      <c r="F47" t="s">
        <v>32</v>
      </c>
      <c r="G47" t="s">
        <v>33</v>
      </c>
      <c r="H47" t="s">
        <v>60</v>
      </c>
      <c r="I47" t="s">
        <v>232</v>
      </c>
      <c r="J47" t="s">
        <v>34</v>
      </c>
      <c r="K47" t="s">
        <v>31</v>
      </c>
      <c r="L47" t="s">
        <v>35</v>
      </c>
      <c r="M47" t="s">
        <v>36</v>
      </c>
      <c r="N47" t="s">
        <v>42</v>
      </c>
      <c r="O47" t="s">
        <v>61</v>
      </c>
      <c r="P47">
        <v>232311</v>
      </c>
      <c r="Q47" t="s">
        <v>79</v>
      </c>
      <c r="R47" t="s">
        <v>80</v>
      </c>
      <c r="S47" t="s">
        <v>38</v>
      </c>
      <c r="T47">
        <v>0</v>
      </c>
      <c r="U47">
        <v>0.5</v>
      </c>
      <c r="V47" s="2">
        <v>2.0833333333333332E-2</v>
      </c>
      <c r="W47">
        <v>0</v>
      </c>
      <c r="AA47" t="s">
        <v>39</v>
      </c>
      <c r="AB47" t="s">
        <v>40</v>
      </c>
      <c r="AC47" t="s">
        <v>91</v>
      </c>
      <c r="AD47" t="s">
        <v>41</v>
      </c>
      <c r="AE47">
        <f t="shared" si="2"/>
        <v>4</v>
      </c>
      <c r="AF47" t="str">
        <f t="shared" si="3"/>
        <v>April</v>
      </c>
    </row>
    <row r="48" spans="1:32" x14ac:dyDescent="0.3">
      <c r="A48" s="1">
        <v>45391</v>
      </c>
      <c r="B48" t="s">
        <v>89</v>
      </c>
      <c r="C48" t="s">
        <v>30</v>
      </c>
      <c r="D48" t="s">
        <v>31</v>
      </c>
      <c r="E48" t="s">
        <v>43</v>
      </c>
      <c r="F48" t="s">
        <v>32</v>
      </c>
      <c r="G48" t="s">
        <v>33</v>
      </c>
      <c r="H48" t="s">
        <v>60</v>
      </c>
      <c r="I48" t="s">
        <v>232</v>
      </c>
      <c r="J48" t="s">
        <v>34</v>
      </c>
      <c r="K48" t="s">
        <v>31</v>
      </c>
      <c r="L48" t="s">
        <v>35</v>
      </c>
      <c r="M48" t="s">
        <v>36</v>
      </c>
      <c r="N48" t="s">
        <v>42</v>
      </c>
      <c r="O48" t="s">
        <v>61</v>
      </c>
      <c r="P48">
        <v>232949</v>
      </c>
      <c r="Q48" t="s">
        <v>62</v>
      </c>
      <c r="R48" t="s">
        <v>37</v>
      </c>
      <c r="S48" t="s">
        <v>38</v>
      </c>
      <c r="T48">
        <v>90</v>
      </c>
      <c r="U48">
        <v>1</v>
      </c>
      <c r="V48" s="2">
        <v>4.1666666666666664E-2</v>
      </c>
      <c r="W48">
        <v>90</v>
      </c>
      <c r="X48">
        <v>119.01</v>
      </c>
      <c r="Y48">
        <v>29.01</v>
      </c>
      <c r="Z48" t="s">
        <v>207</v>
      </c>
      <c r="AA48" t="s">
        <v>39</v>
      </c>
      <c r="AB48" t="s">
        <v>40</v>
      </c>
      <c r="AC48" t="s">
        <v>92</v>
      </c>
      <c r="AD48" t="s">
        <v>41</v>
      </c>
      <c r="AE48">
        <f t="shared" si="2"/>
        <v>4</v>
      </c>
      <c r="AF48" t="str">
        <f t="shared" si="3"/>
        <v>April</v>
      </c>
    </row>
    <row r="49" spans="1:32" x14ac:dyDescent="0.3">
      <c r="A49" s="1">
        <v>45392</v>
      </c>
      <c r="B49" t="s">
        <v>89</v>
      </c>
      <c r="C49" t="s">
        <v>30</v>
      </c>
      <c r="D49" t="s">
        <v>31</v>
      </c>
      <c r="E49" t="s">
        <v>43</v>
      </c>
      <c r="F49" t="s">
        <v>32</v>
      </c>
      <c r="G49" t="s">
        <v>33</v>
      </c>
      <c r="H49" t="s">
        <v>60</v>
      </c>
      <c r="I49" t="s">
        <v>232</v>
      </c>
      <c r="J49" t="s">
        <v>34</v>
      </c>
      <c r="K49" t="s">
        <v>31</v>
      </c>
      <c r="L49" t="s">
        <v>35</v>
      </c>
      <c r="M49" t="s">
        <v>36</v>
      </c>
      <c r="N49" t="s">
        <v>42</v>
      </c>
      <c r="O49" t="s">
        <v>61</v>
      </c>
      <c r="P49">
        <v>233353</v>
      </c>
      <c r="Q49" t="s">
        <v>62</v>
      </c>
      <c r="R49" t="s">
        <v>37</v>
      </c>
      <c r="S49" t="s">
        <v>38</v>
      </c>
      <c r="T49">
        <v>90</v>
      </c>
      <c r="U49">
        <v>1</v>
      </c>
      <c r="V49" s="2">
        <v>4.1666666666666664E-2</v>
      </c>
      <c r="W49">
        <v>90</v>
      </c>
      <c r="X49">
        <v>119.01</v>
      </c>
      <c r="Y49">
        <v>29.01</v>
      </c>
      <c r="Z49" t="s">
        <v>207</v>
      </c>
      <c r="AA49" t="s">
        <v>39</v>
      </c>
      <c r="AB49" t="s">
        <v>40</v>
      </c>
      <c r="AC49" t="s">
        <v>93</v>
      </c>
      <c r="AD49" t="s">
        <v>41</v>
      </c>
      <c r="AE49">
        <f t="shared" si="2"/>
        <v>4</v>
      </c>
      <c r="AF49" t="str">
        <f t="shared" si="3"/>
        <v>April</v>
      </c>
    </row>
    <row r="50" spans="1:32" x14ac:dyDescent="0.3">
      <c r="A50" s="1">
        <v>45393</v>
      </c>
      <c r="B50" t="s">
        <v>89</v>
      </c>
      <c r="C50" t="s">
        <v>30</v>
      </c>
      <c r="D50" t="s">
        <v>31</v>
      </c>
      <c r="E50" t="s">
        <v>43</v>
      </c>
      <c r="F50" t="s">
        <v>32</v>
      </c>
      <c r="G50" t="s">
        <v>33</v>
      </c>
      <c r="H50" t="s">
        <v>60</v>
      </c>
      <c r="I50" t="s">
        <v>232</v>
      </c>
      <c r="J50" t="s">
        <v>34</v>
      </c>
      <c r="K50" t="s">
        <v>31</v>
      </c>
      <c r="L50" t="s">
        <v>35</v>
      </c>
      <c r="M50" t="s">
        <v>36</v>
      </c>
      <c r="N50" t="s">
        <v>42</v>
      </c>
      <c r="O50" t="s">
        <v>61</v>
      </c>
      <c r="P50">
        <v>233858</v>
      </c>
      <c r="Q50" t="s">
        <v>62</v>
      </c>
      <c r="R50" t="s">
        <v>37</v>
      </c>
      <c r="S50" t="s">
        <v>38</v>
      </c>
      <c r="T50">
        <v>90</v>
      </c>
      <c r="U50">
        <v>0.5</v>
      </c>
      <c r="V50" s="2">
        <v>2.0833333333333332E-2</v>
      </c>
      <c r="W50">
        <v>45</v>
      </c>
      <c r="X50">
        <v>59.5</v>
      </c>
      <c r="Y50">
        <v>14.5</v>
      </c>
      <c r="Z50" t="s">
        <v>207</v>
      </c>
      <c r="AA50" t="s">
        <v>39</v>
      </c>
      <c r="AB50" t="s">
        <v>40</v>
      </c>
      <c r="AC50" t="s">
        <v>94</v>
      </c>
      <c r="AD50" t="s">
        <v>41</v>
      </c>
      <c r="AE50">
        <f t="shared" si="2"/>
        <v>4</v>
      </c>
      <c r="AF50" t="str">
        <f t="shared" si="3"/>
        <v>April</v>
      </c>
    </row>
    <row r="51" spans="1:32" x14ac:dyDescent="0.3">
      <c r="A51" s="1">
        <v>45393</v>
      </c>
      <c r="B51" t="s">
        <v>89</v>
      </c>
      <c r="C51" t="s">
        <v>30</v>
      </c>
      <c r="D51" t="s">
        <v>31</v>
      </c>
      <c r="E51" t="s">
        <v>43</v>
      </c>
      <c r="F51" t="s">
        <v>32</v>
      </c>
      <c r="G51" t="s">
        <v>33</v>
      </c>
      <c r="H51" t="s">
        <v>60</v>
      </c>
      <c r="I51" t="s">
        <v>232</v>
      </c>
      <c r="J51" t="s">
        <v>34</v>
      </c>
      <c r="K51" t="s">
        <v>31</v>
      </c>
      <c r="L51" t="s">
        <v>35</v>
      </c>
      <c r="M51" t="s">
        <v>36</v>
      </c>
      <c r="N51" t="s">
        <v>42</v>
      </c>
      <c r="O51" t="s">
        <v>61</v>
      </c>
      <c r="P51">
        <v>234332</v>
      </c>
      <c r="Q51" t="s">
        <v>79</v>
      </c>
      <c r="R51" t="s">
        <v>80</v>
      </c>
      <c r="S51" t="s">
        <v>38</v>
      </c>
      <c r="T51">
        <v>0</v>
      </c>
      <c r="U51">
        <v>0.5</v>
      </c>
      <c r="V51" s="2">
        <v>2.0833333333333332E-2</v>
      </c>
      <c r="W51">
        <v>0</v>
      </c>
      <c r="AA51" t="s">
        <v>39</v>
      </c>
      <c r="AB51" t="s">
        <v>40</v>
      </c>
      <c r="AC51" t="s">
        <v>95</v>
      </c>
      <c r="AD51" t="s">
        <v>41</v>
      </c>
      <c r="AE51">
        <f t="shared" si="2"/>
        <v>4</v>
      </c>
      <c r="AF51" t="str">
        <f t="shared" si="3"/>
        <v>April</v>
      </c>
    </row>
    <row r="52" spans="1:32" x14ac:dyDescent="0.3">
      <c r="A52" s="1">
        <v>45397</v>
      </c>
      <c r="B52" t="s">
        <v>89</v>
      </c>
      <c r="C52" t="s">
        <v>30</v>
      </c>
      <c r="D52" t="s">
        <v>31</v>
      </c>
      <c r="E52" t="s">
        <v>43</v>
      </c>
      <c r="F52" t="s">
        <v>32</v>
      </c>
      <c r="G52" t="s">
        <v>33</v>
      </c>
      <c r="H52" t="s">
        <v>60</v>
      </c>
      <c r="I52" t="s">
        <v>232</v>
      </c>
      <c r="J52" t="s">
        <v>34</v>
      </c>
      <c r="K52" t="s">
        <v>31</v>
      </c>
      <c r="L52" t="s">
        <v>35</v>
      </c>
      <c r="M52" t="s">
        <v>36</v>
      </c>
      <c r="N52" t="s">
        <v>42</v>
      </c>
      <c r="O52" t="s">
        <v>61</v>
      </c>
      <c r="P52">
        <v>235144</v>
      </c>
      <c r="Q52" t="s">
        <v>62</v>
      </c>
      <c r="R52" t="s">
        <v>37</v>
      </c>
      <c r="S52" t="s">
        <v>38</v>
      </c>
      <c r="T52">
        <v>90</v>
      </c>
      <c r="U52">
        <v>2</v>
      </c>
      <c r="V52" s="2">
        <v>8.3333333333333329E-2</v>
      </c>
      <c r="W52">
        <v>180</v>
      </c>
      <c r="X52">
        <v>238.02</v>
      </c>
      <c r="Y52">
        <v>58.02</v>
      </c>
      <c r="Z52" t="s">
        <v>207</v>
      </c>
      <c r="AA52" t="s">
        <v>39</v>
      </c>
      <c r="AB52" t="s">
        <v>40</v>
      </c>
      <c r="AC52" t="s">
        <v>157</v>
      </c>
      <c r="AD52" t="s">
        <v>41</v>
      </c>
      <c r="AE52">
        <f t="shared" si="2"/>
        <v>4</v>
      </c>
      <c r="AF52" t="str">
        <f t="shared" si="3"/>
        <v>April</v>
      </c>
    </row>
    <row r="53" spans="1:32" x14ac:dyDescent="0.3">
      <c r="A53" s="1">
        <v>45397</v>
      </c>
      <c r="B53" t="s">
        <v>89</v>
      </c>
      <c r="C53" t="s">
        <v>30</v>
      </c>
      <c r="D53" t="s">
        <v>31</v>
      </c>
      <c r="E53" t="s">
        <v>43</v>
      </c>
      <c r="F53" t="s">
        <v>32</v>
      </c>
      <c r="G53" t="s">
        <v>33</v>
      </c>
      <c r="H53" t="s">
        <v>60</v>
      </c>
      <c r="I53" t="s">
        <v>232</v>
      </c>
      <c r="J53" t="s">
        <v>34</v>
      </c>
      <c r="K53" t="s">
        <v>31</v>
      </c>
      <c r="L53" t="s">
        <v>35</v>
      </c>
      <c r="M53" t="s">
        <v>36</v>
      </c>
      <c r="N53" t="s">
        <v>42</v>
      </c>
      <c r="O53" t="s">
        <v>61</v>
      </c>
      <c r="P53">
        <v>235145</v>
      </c>
      <c r="Q53" t="s">
        <v>79</v>
      </c>
      <c r="R53" t="s">
        <v>80</v>
      </c>
      <c r="S53" t="s">
        <v>38</v>
      </c>
      <c r="T53">
        <v>0</v>
      </c>
      <c r="U53">
        <v>1.5</v>
      </c>
      <c r="V53" s="2">
        <v>6.25E-2</v>
      </c>
      <c r="W53">
        <v>0</v>
      </c>
      <c r="AA53" t="s">
        <v>39</v>
      </c>
      <c r="AB53" t="s">
        <v>40</v>
      </c>
      <c r="AC53" t="s">
        <v>92</v>
      </c>
      <c r="AD53" t="s">
        <v>41</v>
      </c>
      <c r="AE53">
        <f t="shared" si="2"/>
        <v>4</v>
      </c>
      <c r="AF53" t="str">
        <f t="shared" si="3"/>
        <v>April</v>
      </c>
    </row>
    <row r="54" spans="1:32" x14ac:dyDescent="0.3">
      <c r="A54" s="1">
        <v>45398</v>
      </c>
      <c r="B54" t="s">
        <v>89</v>
      </c>
      <c r="C54" t="s">
        <v>30</v>
      </c>
      <c r="D54" t="s">
        <v>31</v>
      </c>
      <c r="E54" t="s">
        <v>43</v>
      </c>
      <c r="F54" t="s">
        <v>32</v>
      </c>
      <c r="G54" t="s">
        <v>33</v>
      </c>
      <c r="H54" t="s">
        <v>60</v>
      </c>
      <c r="I54" t="s">
        <v>232</v>
      </c>
      <c r="J54" t="s">
        <v>34</v>
      </c>
      <c r="K54" t="s">
        <v>31</v>
      </c>
      <c r="L54" t="s">
        <v>35</v>
      </c>
      <c r="M54" t="s">
        <v>36</v>
      </c>
      <c r="N54" t="s">
        <v>42</v>
      </c>
      <c r="O54" t="s">
        <v>61</v>
      </c>
      <c r="P54">
        <v>235698</v>
      </c>
      <c r="Q54" t="s">
        <v>62</v>
      </c>
      <c r="R54" t="s">
        <v>37</v>
      </c>
      <c r="S54" t="s">
        <v>38</v>
      </c>
      <c r="T54">
        <v>90</v>
      </c>
      <c r="U54">
        <v>1.75</v>
      </c>
      <c r="V54" s="2">
        <v>7.2916666666666671E-2</v>
      </c>
      <c r="W54">
        <v>157.5</v>
      </c>
      <c r="X54">
        <v>208.26</v>
      </c>
      <c r="Y54">
        <v>50.76</v>
      </c>
      <c r="Z54" t="s">
        <v>207</v>
      </c>
      <c r="AA54" t="s">
        <v>39</v>
      </c>
      <c r="AB54" t="s">
        <v>40</v>
      </c>
      <c r="AC54" t="s">
        <v>158</v>
      </c>
      <c r="AD54" t="s">
        <v>41</v>
      </c>
      <c r="AE54">
        <f t="shared" si="2"/>
        <v>4</v>
      </c>
      <c r="AF54" t="str">
        <f t="shared" si="3"/>
        <v>April</v>
      </c>
    </row>
    <row r="55" spans="1:32" x14ac:dyDescent="0.3">
      <c r="A55" s="1">
        <v>45398</v>
      </c>
      <c r="B55" t="s">
        <v>89</v>
      </c>
      <c r="C55" t="s">
        <v>30</v>
      </c>
      <c r="D55" t="s">
        <v>31</v>
      </c>
      <c r="E55" t="s">
        <v>43</v>
      </c>
      <c r="F55" t="s">
        <v>32</v>
      </c>
      <c r="G55" t="s">
        <v>33</v>
      </c>
      <c r="H55" t="s">
        <v>60</v>
      </c>
      <c r="I55" t="s">
        <v>232</v>
      </c>
      <c r="J55" t="s">
        <v>34</v>
      </c>
      <c r="K55" t="s">
        <v>31</v>
      </c>
      <c r="L55" t="s">
        <v>35</v>
      </c>
      <c r="M55" t="s">
        <v>36</v>
      </c>
      <c r="N55" t="s">
        <v>42</v>
      </c>
      <c r="O55" t="s">
        <v>61</v>
      </c>
      <c r="P55">
        <v>235696</v>
      </c>
      <c r="Q55" t="s">
        <v>79</v>
      </c>
      <c r="R55" t="s">
        <v>80</v>
      </c>
      <c r="S55" t="s">
        <v>38</v>
      </c>
      <c r="T55">
        <v>0</v>
      </c>
      <c r="U55">
        <v>3</v>
      </c>
      <c r="V55" s="2">
        <v>0.125</v>
      </c>
      <c r="W55">
        <v>0</v>
      </c>
      <c r="AA55" t="s">
        <v>39</v>
      </c>
      <c r="AB55" t="s">
        <v>40</v>
      </c>
      <c r="AC55" t="e">
        <f>- Call with Sachin to investigate previous error fix - Stand up - Signl4 Grainger support mailbox alert options</f>
        <v>#NAME?</v>
      </c>
      <c r="AD55" t="s">
        <v>41</v>
      </c>
      <c r="AE55">
        <f t="shared" si="2"/>
        <v>4</v>
      </c>
      <c r="AF55" t="str">
        <f t="shared" si="3"/>
        <v>April</v>
      </c>
    </row>
    <row r="56" spans="1:32" x14ac:dyDescent="0.3">
      <c r="A56" s="1">
        <v>45399</v>
      </c>
      <c r="B56" t="s">
        <v>89</v>
      </c>
      <c r="C56" t="s">
        <v>30</v>
      </c>
      <c r="D56" t="s">
        <v>31</v>
      </c>
      <c r="E56" t="s">
        <v>43</v>
      </c>
      <c r="F56" t="s">
        <v>32</v>
      </c>
      <c r="G56" t="s">
        <v>33</v>
      </c>
      <c r="H56" t="s">
        <v>60</v>
      </c>
      <c r="I56" t="s">
        <v>232</v>
      </c>
      <c r="J56" t="s">
        <v>34</v>
      </c>
      <c r="K56" t="s">
        <v>31</v>
      </c>
      <c r="L56" t="s">
        <v>35</v>
      </c>
      <c r="M56" t="s">
        <v>36</v>
      </c>
      <c r="N56" t="s">
        <v>42</v>
      </c>
      <c r="O56" t="s">
        <v>61</v>
      </c>
      <c r="P56">
        <v>236100</v>
      </c>
      <c r="Q56" t="s">
        <v>79</v>
      </c>
      <c r="R56" t="s">
        <v>80</v>
      </c>
      <c r="S56" t="s">
        <v>38</v>
      </c>
      <c r="T56">
        <v>0</v>
      </c>
      <c r="U56">
        <v>1.25</v>
      </c>
      <c r="V56" s="2">
        <v>5.2083333333333336E-2</v>
      </c>
      <c r="W56">
        <v>0</v>
      </c>
      <c r="AA56" t="s">
        <v>39</v>
      </c>
      <c r="AB56" t="s">
        <v>40</v>
      </c>
      <c r="AC56" t="s">
        <v>159</v>
      </c>
      <c r="AD56" t="s">
        <v>41</v>
      </c>
      <c r="AE56">
        <f t="shared" si="2"/>
        <v>4</v>
      </c>
      <c r="AF56" t="str">
        <f t="shared" si="3"/>
        <v>April</v>
      </c>
    </row>
    <row r="57" spans="1:32" x14ac:dyDescent="0.3">
      <c r="A57" s="1">
        <v>45400</v>
      </c>
      <c r="B57" t="s">
        <v>89</v>
      </c>
      <c r="C57" t="s">
        <v>30</v>
      </c>
      <c r="D57" t="s">
        <v>31</v>
      </c>
      <c r="E57" t="s">
        <v>43</v>
      </c>
      <c r="F57" t="s">
        <v>32</v>
      </c>
      <c r="G57" t="s">
        <v>33</v>
      </c>
      <c r="H57" t="s">
        <v>60</v>
      </c>
      <c r="I57" t="s">
        <v>232</v>
      </c>
      <c r="J57" t="s">
        <v>34</v>
      </c>
      <c r="K57" t="s">
        <v>31</v>
      </c>
      <c r="L57" t="s">
        <v>35</v>
      </c>
      <c r="M57" t="s">
        <v>36</v>
      </c>
      <c r="N57" t="s">
        <v>42</v>
      </c>
      <c r="O57" t="s">
        <v>61</v>
      </c>
      <c r="P57">
        <v>236900</v>
      </c>
      <c r="Q57" t="s">
        <v>62</v>
      </c>
      <c r="R57" t="s">
        <v>37</v>
      </c>
      <c r="S57" t="s">
        <v>38</v>
      </c>
      <c r="T57">
        <v>90</v>
      </c>
      <c r="U57">
        <v>0.5</v>
      </c>
      <c r="V57" s="2">
        <v>2.0833333333333332E-2</v>
      </c>
      <c r="W57">
        <v>45</v>
      </c>
      <c r="X57">
        <v>59.5</v>
      </c>
      <c r="Y57">
        <v>14.5</v>
      </c>
      <c r="Z57" t="s">
        <v>207</v>
      </c>
      <c r="AA57" t="s">
        <v>39</v>
      </c>
      <c r="AB57" t="s">
        <v>40</v>
      </c>
      <c r="AC57" t="s">
        <v>160</v>
      </c>
      <c r="AD57" t="s">
        <v>41</v>
      </c>
      <c r="AE57">
        <f t="shared" si="2"/>
        <v>4</v>
      </c>
      <c r="AF57" t="str">
        <f t="shared" si="3"/>
        <v>April</v>
      </c>
    </row>
    <row r="58" spans="1:32" x14ac:dyDescent="0.3">
      <c r="A58" s="1">
        <v>45400</v>
      </c>
      <c r="B58" t="s">
        <v>89</v>
      </c>
      <c r="C58" t="s">
        <v>30</v>
      </c>
      <c r="D58" t="s">
        <v>31</v>
      </c>
      <c r="E58" t="s">
        <v>43</v>
      </c>
      <c r="F58" t="s">
        <v>32</v>
      </c>
      <c r="G58" t="s">
        <v>33</v>
      </c>
      <c r="H58" t="s">
        <v>60</v>
      </c>
      <c r="I58" t="s">
        <v>232</v>
      </c>
      <c r="J58" t="s">
        <v>34</v>
      </c>
      <c r="K58" t="s">
        <v>31</v>
      </c>
      <c r="L58" t="s">
        <v>35</v>
      </c>
      <c r="M58" t="s">
        <v>36</v>
      </c>
      <c r="N58" t="s">
        <v>42</v>
      </c>
      <c r="O58" t="s">
        <v>61</v>
      </c>
      <c r="P58">
        <v>236740</v>
      </c>
      <c r="Q58" t="s">
        <v>79</v>
      </c>
      <c r="R58" t="s">
        <v>80</v>
      </c>
      <c r="S58" t="s">
        <v>38</v>
      </c>
      <c r="T58">
        <v>0</v>
      </c>
      <c r="U58">
        <v>0.25</v>
      </c>
      <c r="V58" s="2">
        <v>1.0416666666666666E-2</v>
      </c>
      <c r="W58">
        <v>0</v>
      </c>
      <c r="AA58" t="s">
        <v>39</v>
      </c>
      <c r="AB58" t="s">
        <v>40</v>
      </c>
      <c r="AC58" t="s">
        <v>71</v>
      </c>
      <c r="AD58" t="s">
        <v>41</v>
      </c>
      <c r="AE58">
        <f t="shared" si="2"/>
        <v>4</v>
      </c>
      <c r="AF58" t="str">
        <f t="shared" si="3"/>
        <v>April</v>
      </c>
    </row>
    <row r="59" spans="1:32" x14ac:dyDescent="0.3">
      <c r="A59" s="1">
        <v>45401</v>
      </c>
      <c r="B59" t="s">
        <v>89</v>
      </c>
      <c r="C59" t="s">
        <v>30</v>
      </c>
      <c r="D59" t="s">
        <v>31</v>
      </c>
      <c r="E59" t="s">
        <v>43</v>
      </c>
      <c r="F59" t="s">
        <v>32</v>
      </c>
      <c r="G59" t="s">
        <v>33</v>
      </c>
      <c r="H59" t="s">
        <v>60</v>
      </c>
      <c r="I59" t="s">
        <v>232</v>
      </c>
      <c r="J59" t="s">
        <v>34</v>
      </c>
      <c r="K59" t="s">
        <v>31</v>
      </c>
      <c r="L59" t="s">
        <v>35</v>
      </c>
      <c r="M59" t="s">
        <v>36</v>
      </c>
      <c r="N59" t="s">
        <v>42</v>
      </c>
      <c r="O59" t="s">
        <v>61</v>
      </c>
      <c r="P59">
        <v>237309</v>
      </c>
      <c r="Q59" t="s">
        <v>62</v>
      </c>
      <c r="R59" t="s">
        <v>37</v>
      </c>
      <c r="S59" t="s">
        <v>38</v>
      </c>
      <c r="T59">
        <v>90</v>
      </c>
      <c r="U59">
        <v>1.75</v>
      </c>
      <c r="V59" s="2">
        <v>7.2916666666666671E-2</v>
      </c>
      <c r="W59">
        <v>157.5</v>
      </c>
      <c r="X59">
        <v>208.26</v>
      </c>
      <c r="Y59">
        <v>50.76</v>
      </c>
      <c r="Z59" t="s">
        <v>207</v>
      </c>
      <c r="AA59" t="s">
        <v>39</v>
      </c>
      <c r="AB59" t="s">
        <v>40</v>
      </c>
      <c r="AC59" t="s">
        <v>161</v>
      </c>
      <c r="AD59" t="s">
        <v>41</v>
      </c>
      <c r="AE59">
        <f t="shared" si="2"/>
        <v>4</v>
      </c>
      <c r="AF59" t="str">
        <f t="shared" si="3"/>
        <v>April</v>
      </c>
    </row>
    <row r="60" spans="1:32" x14ac:dyDescent="0.3">
      <c r="A60" s="1">
        <v>45404</v>
      </c>
      <c r="B60" t="s">
        <v>89</v>
      </c>
      <c r="C60" t="s">
        <v>30</v>
      </c>
      <c r="D60" t="s">
        <v>31</v>
      </c>
      <c r="E60" t="s">
        <v>43</v>
      </c>
      <c r="F60" t="s">
        <v>32</v>
      </c>
      <c r="G60" t="s">
        <v>33</v>
      </c>
      <c r="H60" t="s">
        <v>60</v>
      </c>
      <c r="I60" t="s">
        <v>232</v>
      </c>
      <c r="J60" t="s">
        <v>34</v>
      </c>
      <c r="K60" t="s">
        <v>31</v>
      </c>
      <c r="L60" t="s">
        <v>35</v>
      </c>
      <c r="M60" t="s">
        <v>36</v>
      </c>
      <c r="N60" t="s">
        <v>42</v>
      </c>
      <c r="O60" t="s">
        <v>61</v>
      </c>
      <c r="P60">
        <v>237812</v>
      </c>
      <c r="Q60" t="s">
        <v>62</v>
      </c>
      <c r="R60" t="s">
        <v>37</v>
      </c>
      <c r="S60" t="s">
        <v>38</v>
      </c>
      <c r="T60">
        <v>90</v>
      </c>
      <c r="U60">
        <v>0.75</v>
      </c>
      <c r="V60" s="2">
        <v>3.125E-2</v>
      </c>
      <c r="W60">
        <v>67.5</v>
      </c>
      <c r="X60">
        <v>89.26</v>
      </c>
      <c r="Y60">
        <v>21.76</v>
      </c>
      <c r="Z60" t="s">
        <v>207</v>
      </c>
      <c r="AA60" t="s">
        <v>39</v>
      </c>
      <c r="AB60" t="s">
        <v>40</v>
      </c>
      <c r="AC60" t="s">
        <v>162</v>
      </c>
      <c r="AD60" t="s">
        <v>41</v>
      </c>
      <c r="AE60">
        <f t="shared" si="2"/>
        <v>4</v>
      </c>
      <c r="AF60" t="str">
        <f t="shared" si="3"/>
        <v>April</v>
      </c>
    </row>
    <row r="61" spans="1:32" x14ac:dyDescent="0.3">
      <c r="A61" s="1">
        <v>45405</v>
      </c>
      <c r="B61" t="s">
        <v>89</v>
      </c>
      <c r="C61" t="s">
        <v>30</v>
      </c>
      <c r="D61" t="s">
        <v>31</v>
      </c>
      <c r="E61" t="s">
        <v>43</v>
      </c>
      <c r="F61" t="s">
        <v>32</v>
      </c>
      <c r="G61" t="s">
        <v>33</v>
      </c>
      <c r="H61" t="s">
        <v>60</v>
      </c>
      <c r="I61" t="s">
        <v>232</v>
      </c>
      <c r="J61" t="s">
        <v>34</v>
      </c>
      <c r="K61" t="s">
        <v>31</v>
      </c>
      <c r="L61" t="s">
        <v>35</v>
      </c>
      <c r="M61" t="s">
        <v>36</v>
      </c>
      <c r="N61" t="s">
        <v>42</v>
      </c>
      <c r="O61" t="s">
        <v>61</v>
      </c>
      <c r="P61">
        <v>238745</v>
      </c>
      <c r="Q61" t="s">
        <v>62</v>
      </c>
      <c r="R61" t="s">
        <v>37</v>
      </c>
      <c r="S61" t="s">
        <v>38</v>
      </c>
      <c r="T61">
        <v>90</v>
      </c>
      <c r="U61">
        <v>0.75</v>
      </c>
      <c r="V61" s="2">
        <v>3.125E-2</v>
      </c>
      <c r="W61">
        <v>67.5</v>
      </c>
      <c r="X61">
        <v>89.26</v>
      </c>
      <c r="Y61">
        <v>21.76</v>
      </c>
      <c r="Z61" t="s">
        <v>207</v>
      </c>
      <c r="AA61" t="s">
        <v>39</v>
      </c>
      <c r="AB61" t="s">
        <v>40</v>
      </c>
      <c r="AC61" t="s">
        <v>186</v>
      </c>
      <c r="AD61" t="s">
        <v>41</v>
      </c>
      <c r="AE61">
        <f t="shared" si="2"/>
        <v>4</v>
      </c>
      <c r="AF61" t="str">
        <f t="shared" si="3"/>
        <v>April</v>
      </c>
    </row>
    <row r="62" spans="1:32" x14ac:dyDescent="0.3">
      <c r="A62" s="1">
        <v>45408</v>
      </c>
      <c r="B62" t="s">
        <v>89</v>
      </c>
      <c r="C62" t="s">
        <v>30</v>
      </c>
      <c r="D62" t="s">
        <v>31</v>
      </c>
      <c r="E62" t="s">
        <v>43</v>
      </c>
      <c r="F62" t="s">
        <v>32</v>
      </c>
      <c r="G62" t="s">
        <v>33</v>
      </c>
      <c r="H62" t="s">
        <v>60</v>
      </c>
      <c r="I62" t="s">
        <v>232</v>
      </c>
      <c r="J62" t="s">
        <v>34</v>
      </c>
      <c r="K62" t="s">
        <v>31</v>
      </c>
      <c r="L62" t="s">
        <v>35</v>
      </c>
      <c r="M62" t="s">
        <v>36</v>
      </c>
      <c r="N62" t="s">
        <v>42</v>
      </c>
      <c r="O62" t="s">
        <v>61</v>
      </c>
      <c r="P62">
        <v>240088</v>
      </c>
      <c r="Q62" t="s">
        <v>62</v>
      </c>
      <c r="R62" t="s">
        <v>37</v>
      </c>
      <c r="S62" t="s">
        <v>38</v>
      </c>
      <c r="T62">
        <v>90</v>
      </c>
      <c r="U62">
        <v>2</v>
      </c>
      <c r="V62" s="2">
        <v>8.3333333333333329E-2</v>
      </c>
      <c r="W62">
        <v>180</v>
      </c>
      <c r="X62">
        <v>238.02</v>
      </c>
      <c r="Y62">
        <v>58.02</v>
      </c>
      <c r="Z62" t="s">
        <v>207</v>
      </c>
      <c r="AA62" t="s">
        <v>39</v>
      </c>
      <c r="AB62" t="s">
        <v>40</v>
      </c>
      <c r="AC62" t="s">
        <v>187</v>
      </c>
      <c r="AD62" t="s">
        <v>41</v>
      </c>
      <c r="AE62">
        <f t="shared" si="2"/>
        <v>4</v>
      </c>
      <c r="AF62" t="str">
        <f t="shared" si="3"/>
        <v>April</v>
      </c>
    </row>
    <row r="63" spans="1:32" x14ac:dyDescent="0.3">
      <c r="A63" s="1">
        <v>45411</v>
      </c>
      <c r="B63" t="s">
        <v>89</v>
      </c>
      <c r="C63" t="s">
        <v>30</v>
      </c>
      <c r="D63" t="s">
        <v>31</v>
      </c>
      <c r="E63" t="s">
        <v>43</v>
      </c>
      <c r="F63" t="s">
        <v>32</v>
      </c>
      <c r="G63" t="s">
        <v>33</v>
      </c>
      <c r="H63" t="s">
        <v>60</v>
      </c>
      <c r="I63" t="s">
        <v>232</v>
      </c>
      <c r="J63" t="s">
        <v>34</v>
      </c>
      <c r="K63" t="s">
        <v>31</v>
      </c>
      <c r="L63" t="s">
        <v>35</v>
      </c>
      <c r="M63" t="s">
        <v>36</v>
      </c>
      <c r="N63" t="s">
        <v>42</v>
      </c>
      <c r="O63" t="s">
        <v>61</v>
      </c>
      <c r="P63">
        <v>240870</v>
      </c>
      <c r="Q63" t="s">
        <v>62</v>
      </c>
      <c r="R63" t="s">
        <v>37</v>
      </c>
      <c r="S63" t="s">
        <v>38</v>
      </c>
      <c r="T63">
        <v>90</v>
      </c>
      <c r="U63">
        <v>1.5</v>
      </c>
      <c r="V63" s="2">
        <v>6.25E-2</v>
      </c>
      <c r="W63">
        <v>135</v>
      </c>
      <c r="X63">
        <v>178.51</v>
      </c>
      <c r="Y63">
        <v>43.51</v>
      </c>
      <c r="Z63" t="s">
        <v>207</v>
      </c>
      <c r="AA63" t="s">
        <v>39</v>
      </c>
      <c r="AB63" t="s">
        <v>40</v>
      </c>
      <c r="AC63" t="s">
        <v>188</v>
      </c>
      <c r="AD63" t="s">
        <v>41</v>
      </c>
      <c r="AE63">
        <f t="shared" si="2"/>
        <v>4</v>
      </c>
      <c r="AF63" t="str">
        <f t="shared" si="3"/>
        <v>April</v>
      </c>
    </row>
    <row r="64" spans="1:32" x14ac:dyDescent="0.3">
      <c r="A64" s="1">
        <v>45411</v>
      </c>
      <c r="B64" t="s">
        <v>89</v>
      </c>
      <c r="C64" t="s">
        <v>30</v>
      </c>
      <c r="D64" t="s">
        <v>31</v>
      </c>
      <c r="E64" t="s">
        <v>43</v>
      </c>
      <c r="F64" t="s">
        <v>32</v>
      </c>
      <c r="G64" t="s">
        <v>33</v>
      </c>
      <c r="H64" t="s">
        <v>60</v>
      </c>
      <c r="I64" t="s">
        <v>232</v>
      </c>
      <c r="J64" t="s">
        <v>34</v>
      </c>
      <c r="K64" t="s">
        <v>31</v>
      </c>
      <c r="L64" t="s">
        <v>35</v>
      </c>
      <c r="M64" t="s">
        <v>36</v>
      </c>
      <c r="N64" t="s">
        <v>42</v>
      </c>
      <c r="O64" t="s">
        <v>61</v>
      </c>
      <c r="P64">
        <v>241891</v>
      </c>
      <c r="Q64" t="s">
        <v>79</v>
      </c>
      <c r="R64" t="s">
        <v>80</v>
      </c>
      <c r="S64" t="s">
        <v>38</v>
      </c>
      <c r="T64">
        <v>0</v>
      </c>
      <c r="U64">
        <v>0.5</v>
      </c>
      <c r="V64" s="2">
        <v>2.0833333333333332E-2</v>
      </c>
      <c r="W64">
        <v>0</v>
      </c>
      <c r="AA64" t="s">
        <v>39</v>
      </c>
      <c r="AB64" t="s">
        <v>40</v>
      </c>
      <c r="AC64" t="s">
        <v>71</v>
      </c>
      <c r="AD64" t="s">
        <v>41</v>
      </c>
      <c r="AE64">
        <f t="shared" si="2"/>
        <v>4</v>
      </c>
      <c r="AF64" t="str">
        <f t="shared" si="3"/>
        <v>April</v>
      </c>
    </row>
    <row r="65" spans="1:32" x14ac:dyDescent="0.3">
      <c r="A65" s="1">
        <v>45414</v>
      </c>
      <c r="B65" t="s">
        <v>89</v>
      </c>
      <c r="C65" t="s">
        <v>30</v>
      </c>
      <c r="D65" t="s">
        <v>31</v>
      </c>
      <c r="E65" t="s">
        <v>43</v>
      </c>
      <c r="F65" t="s">
        <v>32</v>
      </c>
      <c r="G65" t="s">
        <v>33</v>
      </c>
      <c r="H65" t="s">
        <v>60</v>
      </c>
      <c r="I65" t="s">
        <v>232</v>
      </c>
      <c r="J65" t="s">
        <v>34</v>
      </c>
      <c r="K65" t="s">
        <v>31</v>
      </c>
      <c r="L65" t="s">
        <v>35</v>
      </c>
      <c r="M65" t="s">
        <v>36</v>
      </c>
      <c r="N65" t="s">
        <v>42</v>
      </c>
      <c r="O65" t="s">
        <v>61</v>
      </c>
      <c r="P65">
        <v>242593</v>
      </c>
      <c r="Q65" t="s">
        <v>62</v>
      </c>
      <c r="R65" t="s">
        <v>37</v>
      </c>
      <c r="S65" t="s">
        <v>38</v>
      </c>
      <c r="T65">
        <v>90</v>
      </c>
      <c r="U65">
        <v>1.5</v>
      </c>
      <c r="V65" s="2">
        <v>6.25E-2</v>
      </c>
      <c r="W65">
        <v>135</v>
      </c>
      <c r="AA65" t="s">
        <v>39</v>
      </c>
      <c r="AB65" t="s">
        <v>40</v>
      </c>
      <c r="AC65" t="s">
        <v>211</v>
      </c>
      <c r="AD65" t="s">
        <v>41</v>
      </c>
      <c r="AE65">
        <f t="shared" si="2"/>
        <v>5</v>
      </c>
      <c r="AF65" t="str">
        <f t="shared" si="3"/>
        <v>May</v>
      </c>
    </row>
    <row r="66" spans="1:32" x14ac:dyDescent="0.3">
      <c r="A66" s="1">
        <v>45415</v>
      </c>
      <c r="B66" t="s">
        <v>89</v>
      </c>
      <c r="C66" t="s">
        <v>30</v>
      </c>
      <c r="D66" t="s">
        <v>31</v>
      </c>
      <c r="E66" t="s">
        <v>43</v>
      </c>
      <c r="F66" t="s">
        <v>32</v>
      </c>
      <c r="G66" t="s">
        <v>33</v>
      </c>
      <c r="H66" t="s">
        <v>60</v>
      </c>
      <c r="I66" t="s">
        <v>232</v>
      </c>
      <c r="J66" t="s">
        <v>34</v>
      </c>
      <c r="K66" t="s">
        <v>31</v>
      </c>
      <c r="L66" t="s">
        <v>35</v>
      </c>
      <c r="M66" t="s">
        <v>36</v>
      </c>
      <c r="N66" t="s">
        <v>42</v>
      </c>
      <c r="O66" t="s">
        <v>61</v>
      </c>
      <c r="P66">
        <v>243054</v>
      </c>
      <c r="Q66" t="s">
        <v>62</v>
      </c>
      <c r="R66" t="s">
        <v>37</v>
      </c>
      <c r="S66" t="s">
        <v>38</v>
      </c>
      <c r="T66">
        <v>90</v>
      </c>
      <c r="U66">
        <v>2.75</v>
      </c>
      <c r="V66" s="2">
        <v>0.11458333333333333</v>
      </c>
      <c r="W66">
        <v>247.5</v>
      </c>
      <c r="AA66" t="s">
        <v>39</v>
      </c>
      <c r="AB66" t="s">
        <v>40</v>
      </c>
      <c r="AC66" t="s">
        <v>212</v>
      </c>
      <c r="AD66" t="s">
        <v>41</v>
      </c>
      <c r="AE66">
        <f t="shared" ref="AE66:AE74" si="4">MONTH(A66)</f>
        <v>5</v>
      </c>
      <c r="AF66" t="str">
        <f t="shared" ref="AF66:AF114" si="5">IF(AE66=1,"January",IF(AE66=2,"February",IF(AE66=3,"March",IF(AE66=4,"April",IF(AE66=5,"May")))))</f>
        <v>May</v>
      </c>
    </row>
    <row r="67" spans="1:32" x14ac:dyDescent="0.3">
      <c r="A67" s="1">
        <v>45418</v>
      </c>
      <c r="B67" t="s">
        <v>89</v>
      </c>
      <c r="C67" t="s">
        <v>30</v>
      </c>
      <c r="D67" t="s">
        <v>31</v>
      </c>
      <c r="E67" t="s">
        <v>43</v>
      </c>
      <c r="F67" t="s">
        <v>32</v>
      </c>
      <c r="G67" t="s">
        <v>33</v>
      </c>
      <c r="H67" t="s">
        <v>60</v>
      </c>
      <c r="I67" t="s">
        <v>232</v>
      </c>
      <c r="J67" t="s">
        <v>34</v>
      </c>
      <c r="K67" t="s">
        <v>31</v>
      </c>
      <c r="L67" t="s">
        <v>35</v>
      </c>
      <c r="M67" t="s">
        <v>36</v>
      </c>
      <c r="N67" t="s">
        <v>42</v>
      </c>
      <c r="O67" t="s">
        <v>61</v>
      </c>
      <c r="P67">
        <v>243722</v>
      </c>
      <c r="Q67" t="s">
        <v>62</v>
      </c>
      <c r="R67" t="s">
        <v>37</v>
      </c>
      <c r="S67" t="s">
        <v>38</v>
      </c>
      <c r="T67">
        <v>90</v>
      </c>
      <c r="U67">
        <v>2</v>
      </c>
      <c r="V67" s="2">
        <v>8.3333333333333329E-2</v>
      </c>
      <c r="W67">
        <v>180</v>
      </c>
      <c r="AA67" t="s">
        <v>39</v>
      </c>
      <c r="AB67" t="s">
        <v>40</v>
      </c>
      <c r="AC67" t="s">
        <v>238</v>
      </c>
      <c r="AD67" t="s">
        <v>41</v>
      </c>
      <c r="AE67">
        <f t="shared" si="4"/>
        <v>5</v>
      </c>
      <c r="AF67" t="str">
        <f t="shared" si="5"/>
        <v>May</v>
      </c>
    </row>
    <row r="68" spans="1:32" x14ac:dyDescent="0.3">
      <c r="A68" s="1">
        <v>45418</v>
      </c>
      <c r="B68" t="s">
        <v>89</v>
      </c>
      <c r="C68" t="s">
        <v>30</v>
      </c>
      <c r="D68" t="s">
        <v>31</v>
      </c>
      <c r="E68" t="s">
        <v>43</v>
      </c>
      <c r="F68" t="s">
        <v>32</v>
      </c>
      <c r="G68" t="s">
        <v>33</v>
      </c>
      <c r="H68" t="s">
        <v>60</v>
      </c>
      <c r="I68" t="s">
        <v>232</v>
      </c>
      <c r="J68" t="s">
        <v>34</v>
      </c>
      <c r="K68" t="s">
        <v>31</v>
      </c>
      <c r="L68" t="s">
        <v>35</v>
      </c>
      <c r="M68" t="s">
        <v>36</v>
      </c>
      <c r="N68" t="s">
        <v>42</v>
      </c>
      <c r="O68" t="s">
        <v>61</v>
      </c>
      <c r="P68">
        <v>243723</v>
      </c>
      <c r="Q68" t="s">
        <v>79</v>
      </c>
      <c r="R68" t="s">
        <v>80</v>
      </c>
      <c r="S68" t="s">
        <v>38</v>
      </c>
      <c r="T68">
        <v>0</v>
      </c>
      <c r="U68">
        <v>1.5</v>
      </c>
      <c r="V68" s="2">
        <v>6.25E-2</v>
      </c>
      <c r="W68">
        <v>0</v>
      </c>
      <c r="AA68" t="s">
        <v>39</v>
      </c>
      <c r="AB68" t="s">
        <v>40</v>
      </c>
      <c r="AC68" t="s">
        <v>239</v>
      </c>
      <c r="AD68" t="s">
        <v>41</v>
      </c>
      <c r="AE68">
        <f t="shared" si="4"/>
        <v>5</v>
      </c>
      <c r="AF68" t="str">
        <f t="shared" si="5"/>
        <v>May</v>
      </c>
    </row>
    <row r="69" spans="1:32" x14ac:dyDescent="0.3">
      <c r="A69" s="1">
        <v>45421</v>
      </c>
      <c r="B69" t="s">
        <v>89</v>
      </c>
      <c r="C69" t="s">
        <v>30</v>
      </c>
      <c r="D69" t="s">
        <v>31</v>
      </c>
      <c r="E69" t="s">
        <v>43</v>
      </c>
      <c r="F69" t="s">
        <v>32</v>
      </c>
      <c r="G69" t="s">
        <v>33</v>
      </c>
      <c r="H69" t="s">
        <v>60</v>
      </c>
      <c r="I69" t="s">
        <v>232</v>
      </c>
      <c r="J69" t="s">
        <v>34</v>
      </c>
      <c r="K69" t="s">
        <v>31</v>
      </c>
      <c r="L69" t="s">
        <v>35</v>
      </c>
      <c r="M69" t="s">
        <v>36</v>
      </c>
      <c r="N69" t="s">
        <v>42</v>
      </c>
      <c r="O69" t="s">
        <v>61</v>
      </c>
      <c r="P69">
        <v>245138</v>
      </c>
      <c r="Q69" t="s">
        <v>62</v>
      </c>
      <c r="R69" t="s">
        <v>37</v>
      </c>
      <c r="S69" t="s">
        <v>38</v>
      </c>
      <c r="T69">
        <v>90</v>
      </c>
      <c r="U69">
        <v>0.75</v>
      </c>
      <c r="V69" s="2">
        <v>3.125E-2</v>
      </c>
      <c r="W69">
        <v>67.5</v>
      </c>
      <c r="AA69" t="s">
        <v>39</v>
      </c>
      <c r="AB69" t="s">
        <v>40</v>
      </c>
      <c r="AC69" t="s">
        <v>240</v>
      </c>
      <c r="AD69" t="s">
        <v>41</v>
      </c>
      <c r="AE69">
        <f t="shared" si="4"/>
        <v>5</v>
      </c>
      <c r="AF69" t="str">
        <f t="shared" si="5"/>
        <v>May</v>
      </c>
    </row>
    <row r="70" spans="1:32" x14ac:dyDescent="0.3">
      <c r="A70" s="1">
        <v>45421</v>
      </c>
      <c r="B70" t="s">
        <v>89</v>
      </c>
      <c r="C70" t="s">
        <v>30</v>
      </c>
      <c r="D70" t="s">
        <v>31</v>
      </c>
      <c r="E70" t="s">
        <v>43</v>
      </c>
      <c r="F70" t="s">
        <v>32</v>
      </c>
      <c r="G70" t="s">
        <v>33</v>
      </c>
      <c r="H70" t="s">
        <v>60</v>
      </c>
      <c r="I70" t="s">
        <v>232</v>
      </c>
      <c r="J70" t="s">
        <v>34</v>
      </c>
      <c r="K70" t="s">
        <v>31</v>
      </c>
      <c r="L70" t="s">
        <v>35</v>
      </c>
      <c r="M70" t="s">
        <v>36</v>
      </c>
      <c r="N70" t="s">
        <v>42</v>
      </c>
      <c r="O70" t="s">
        <v>61</v>
      </c>
      <c r="P70">
        <v>245137</v>
      </c>
      <c r="Q70" t="s">
        <v>79</v>
      </c>
      <c r="R70" t="s">
        <v>80</v>
      </c>
      <c r="S70" t="s">
        <v>38</v>
      </c>
      <c r="T70">
        <v>0</v>
      </c>
      <c r="U70">
        <v>1.75</v>
      </c>
      <c r="V70" s="2">
        <v>7.2916666666666671E-2</v>
      </c>
      <c r="W70">
        <v>0</v>
      </c>
      <c r="AA70" t="s">
        <v>39</v>
      </c>
      <c r="AB70" t="s">
        <v>40</v>
      </c>
      <c r="AC70" t="e">
        <f>- Ticket update catch ups - BSS-22</f>
        <v>#NAME?</v>
      </c>
      <c r="AD70" t="s">
        <v>41</v>
      </c>
      <c r="AE70">
        <f t="shared" si="4"/>
        <v>5</v>
      </c>
      <c r="AF70" t="str">
        <f t="shared" si="5"/>
        <v>May</v>
      </c>
    </row>
    <row r="71" spans="1:32" x14ac:dyDescent="0.3">
      <c r="A71" s="1">
        <v>45422</v>
      </c>
      <c r="B71" t="s">
        <v>89</v>
      </c>
      <c r="C71" t="s">
        <v>30</v>
      </c>
      <c r="D71" t="s">
        <v>31</v>
      </c>
      <c r="E71" t="s">
        <v>43</v>
      </c>
      <c r="F71" t="s">
        <v>32</v>
      </c>
      <c r="G71" t="s">
        <v>33</v>
      </c>
      <c r="H71" t="s">
        <v>60</v>
      </c>
      <c r="I71" t="s">
        <v>232</v>
      </c>
      <c r="J71" t="s">
        <v>34</v>
      </c>
      <c r="K71" t="s">
        <v>31</v>
      </c>
      <c r="L71" t="s">
        <v>35</v>
      </c>
      <c r="M71" t="s">
        <v>36</v>
      </c>
      <c r="N71" t="s">
        <v>42</v>
      </c>
      <c r="O71" t="s">
        <v>61</v>
      </c>
      <c r="P71">
        <v>247045</v>
      </c>
      <c r="Q71" t="s">
        <v>79</v>
      </c>
      <c r="R71" t="s">
        <v>80</v>
      </c>
      <c r="S71" t="s">
        <v>38</v>
      </c>
      <c r="T71">
        <v>0</v>
      </c>
      <c r="U71">
        <v>1.5</v>
      </c>
      <c r="V71" s="2">
        <v>6.25E-2</v>
      </c>
      <c r="W71">
        <v>0</v>
      </c>
      <c r="AA71" t="s">
        <v>39</v>
      </c>
      <c r="AB71" t="s">
        <v>40</v>
      </c>
      <c r="AC71" t="s">
        <v>71</v>
      </c>
      <c r="AD71" t="s">
        <v>41</v>
      </c>
      <c r="AE71">
        <f t="shared" si="4"/>
        <v>5</v>
      </c>
      <c r="AF71" t="str">
        <f t="shared" si="5"/>
        <v>May</v>
      </c>
    </row>
    <row r="72" spans="1:32" x14ac:dyDescent="0.3">
      <c r="A72" s="1">
        <v>45425</v>
      </c>
      <c r="B72" t="s">
        <v>89</v>
      </c>
      <c r="C72" t="s">
        <v>30</v>
      </c>
      <c r="D72" t="s">
        <v>31</v>
      </c>
      <c r="E72" t="s">
        <v>43</v>
      </c>
      <c r="F72" t="s">
        <v>32</v>
      </c>
      <c r="G72" t="s">
        <v>33</v>
      </c>
      <c r="H72" t="s">
        <v>60</v>
      </c>
      <c r="I72" t="s">
        <v>232</v>
      </c>
      <c r="J72" t="s">
        <v>34</v>
      </c>
      <c r="K72" t="s">
        <v>31</v>
      </c>
      <c r="L72" t="s">
        <v>35</v>
      </c>
      <c r="M72" t="s">
        <v>36</v>
      </c>
      <c r="N72" t="s">
        <v>42</v>
      </c>
      <c r="O72" t="s">
        <v>61</v>
      </c>
      <c r="P72">
        <v>247044</v>
      </c>
      <c r="Q72" t="s">
        <v>79</v>
      </c>
      <c r="R72" t="s">
        <v>80</v>
      </c>
      <c r="S72" t="s">
        <v>38</v>
      </c>
      <c r="T72">
        <v>0</v>
      </c>
      <c r="U72">
        <v>3.5</v>
      </c>
      <c r="V72" s="2">
        <v>0.14583333333333334</v>
      </c>
      <c r="W72">
        <v>0</v>
      </c>
      <c r="AA72" t="s">
        <v>39</v>
      </c>
      <c r="AB72" t="s">
        <v>40</v>
      </c>
      <c r="AC72" t="s">
        <v>71</v>
      </c>
      <c r="AD72" t="s">
        <v>41</v>
      </c>
      <c r="AE72">
        <f t="shared" si="4"/>
        <v>5</v>
      </c>
      <c r="AF72" t="str">
        <f t="shared" si="5"/>
        <v>May</v>
      </c>
    </row>
    <row r="73" spans="1:32" x14ac:dyDescent="0.3">
      <c r="A73" s="1">
        <v>45426</v>
      </c>
      <c r="B73" t="s">
        <v>89</v>
      </c>
      <c r="C73" t="s">
        <v>30</v>
      </c>
      <c r="D73" t="s">
        <v>31</v>
      </c>
      <c r="E73" t="s">
        <v>43</v>
      </c>
      <c r="F73" t="s">
        <v>32</v>
      </c>
      <c r="G73" t="s">
        <v>33</v>
      </c>
      <c r="H73" t="s">
        <v>60</v>
      </c>
      <c r="I73" t="s">
        <v>232</v>
      </c>
      <c r="J73" t="s">
        <v>34</v>
      </c>
      <c r="K73" t="s">
        <v>31</v>
      </c>
      <c r="L73" t="s">
        <v>35</v>
      </c>
      <c r="M73" t="s">
        <v>36</v>
      </c>
      <c r="N73" t="s">
        <v>42</v>
      </c>
      <c r="O73" t="s">
        <v>61</v>
      </c>
      <c r="P73">
        <v>246863</v>
      </c>
      <c r="Q73" t="s">
        <v>79</v>
      </c>
      <c r="R73" t="s">
        <v>80</v>
      </c>
      <c r="S73" t="s">
        <v>38</v>
      </c>
      <c r="T73">
        <v>0</v>
      </c>
      <c r="U73">
        <v>4.5</v>
      </c>
      <c r="V73" s="2">
        <v>0.1875</v>
      </c>
      <c r="W73">
        <v>0</v>
      </c>
      <c r="AA73" t="s">
        <v>39</v>
      </c>
      <c r="AB73" t="s">
        <v>40</v>
      </c>
      <c r="AC73" t="s">
        <v>271</v>
      </c>
      <c r="AD73" t="s">
        <v>41</v>
      </c>
      <c r="AE73">
        <f t="shared" si="4"/>
        <v>5</v>
      </c>
      <c r="AF73" t="str">
        <f t="shared" si="5"/>
        <v>May</v>
      </c>
    </row>
    <row r="74" spans="1:32" x14ac:dyDescent="0.3">
      <c r="A74" s="1">
        <v>45427</v>
      </c>
      <c r="B74" t="s">
        <v>89</v>
      </c>
      <c r="C74" t="s">
        <v>30</v>
      </c>
      <c r="D74" t="s">
        <v>31</v>
      </c>
      <c r="E74" t="s">
        <v>43</v>
      </c>
      <c r="F74" t="s">
        <v>32</v>
      </c>
      <c r="G74" t="s">
        <v>33</v>
      </c>
      <c r="H74" t="s">
        <v>60</v>
      </c>
      <c r="I74" t="s">
        <v>232</v>
      </c>
      <c r="J74" t="s">
        <v>34</v>
      </c>
      <c r="K74" t="s">
        <v>31</v>
      </c>
      <c r="L74" t="s">
        <v>35</v>
      </c>
      <c r="M74" t="s">
        <v>36</v>
      </c>
      <c r="N74" t="s">
        <v>42</v>
      </c>
      <c r="O74" t="s">
        <v>61</v>
      </c>
      <c r="P74">
        <v>247320</v>
      </c>
      <c r="Q74" t="s">
        <v>79</v>
      </c>
      <c r="R74" t="s">
        <v>80</v>
      </c>
      <c r="S74" t="s">
        <v>38</v>
      </c>
      <c r="T74">
        <v>0</v>
      </c>
      <c r="U74">
        <v>1.75</v>
      </c>
      <c r="V74" s="2">
        <v>7.2916666666666671E-2</v>
      </c>
      <c r="W74">
        <v>0</v>
      </c>
      <c r="AA74" t="s">
        <v>39</v>
      </c>
      <c r="AB74" t="s">
        <v>40</v>
      </c>
      <c r="AC74" t="s">
        <v>272</v>
      </c>
      <c r="AD74" t="s">
        <v>41</v>
      </c>
      <c r="AE74">
        <f t="shared" si="4"/>
        <v>5</v>
      </c>
      <c r="AF74" t="str">
        <f t="shared" si="5"/>
        <v>May</v>
      </c>
    </row>
    <row r="75" spans="1:32" x14ac:dyDescent="0.3">
      <c r="A75" s="1">
        <v>45428</v>
      </c>
      <c r="B75" t="s">
        <v>89</v>
      </c>
      <c r="C75" t="s">
        <v>30</v>
      </c>
      <c r="D75" t="s">
        <v>31</v>
      </c>
      <c r="E75" t="s">
        <v>43</v>
      </c>
      <c r="F75" t="s">
        <v>32</v>
      </c>
      <c r="G75" t="s">
        <v>33</v>
      </c>
      <c r="H75" t="s">
        <v>60</v>
      </c>
      <c r="I75" t="s">
        <v>232</v>
      </c>
      <c r="J75" t="s">
        <v>34</v>
      </c>
      <c r="K75" t="s">
        <v>31</v>
      </c>
      <c r="L75" t="s">
        <v>35</v>
      </c>
      <c r="M75" t="s">
        <v>36</v>
      </c>
      <c r="N75" t="s">
        <v>42</v>
      </c>
      <c r="O75" t="s">
        <v>61</v>
      </c>
      <c r="P75">
        <v>247963</v>
      </c>
      <c r="Q75" t="s">
        <v>79</v>
      </c>
      <c r="R75" t="s">
        <v>80</v>
      </c>
      <c r="S75" t="s">
        <v>38</v>
      </c>
      <c r="T75">
        <v>0</v>
      </c>
      <c r="U75">
        <v>0.75</v>
      </c>
      <c r="V75" s="2">
        <v>3.125E-2</v>
      </c>
      <c r="W75">
        <v>0</v>
      </c>
      <c r="AA75" t="s">
        <v>39</v>
      </c>
      <c r="AB75" t="s">
        <v>40</v>
      </c>
      <c r="AC75" t="e">
        <f>- Grainger support &amp; Projects - New support Ticket BSS-36</f>
        <v>#NAME?</v>
      </c>
      <c r="AD75" t="s">
        <v>41</v>
      </c>
      <c r="AE75">
        <f t="shared" ref="AE75:AE114" si="6">MONTH(A75)</f>
        <v>5</v>
      </c>
      <c r="AF75" t="str">
        <f t="shared" si="5"/>
        <v>May</v>
      </c>
    </row>
    <row r="76" spans="1:32" x14ac:dyDescent="0.3">
      <c r="A76" s="1">
        <v>45429</v>
      </c>
      <c r="B76" t="s">
        <v>89</v>
      </c>
      <c r="C76" t="s">
        <v>30</v>
      </c>
      <c r="D76" t="s">
        <v>31</v>
      </c>
      <c r="E76" t="s">
        <v>43</v>
      </c>
      <c r="F76" t="s">
        <v>32</v>
      </c>
      <c r="G76" t="s">
        <v>33</v>
      </c>
      <c r="H76" t="s">
        <v>60</v>
      </c>
      <c r="I76" t="s">
        <v>232</v>
      </c>
      <c r="J76" t="s">
        <v>34</v>
      </c>
      <c r="K76" t="s">
        <v>31</v>
      </c>
      <c r="L76" t="s">
        <v>35</v>
      </c>
      <c r="M76" t="s">
        <v>36</v>
      </c>
      <c r="N76" t="s">
        <v>42</v>
      </c>
      <c r="O76" t="s">
        <v>61</v>
      </c>
      <c r="P76">
        <v>250040</v>
      </c>
      <c r="Q76" t="s">
        <v>62</v>
      </c>
      <c r="R76" t="s">
        <v>37</v>
      </c>
      <c r="S76" t="s">
        <v>38</v>
      </c>
      <c r="T76">
        <v>90</v>
      </c>
      <c r="U76">
        <v>1</v>
      </c>
      <c r="V76" s="2">
        <v>4.1666666666666664E-2</v>
      </c>
      <c r="W76">
        <v>90</v>
      </c>
      <c r="AA76" t="s">
        <v>39</v>
      </c>
      <c r="AB76" t="s">
        <v>40</v>
      </c>
      <c r="AC76" t="s">
        <v>309</v>
      </c>
      <c r="AD76" t="s">
        <v>41</v>
      </c>
      <c r="AE76">
        <f t="shared" si="6"/>
        <v>5</v>
      </c>
      <c r="AF76" t="str">
        <f t="shared" si="5"/>
        <v>May</v>
      </c>
    </row>
    <row r="77" spans="1:32" x14ac:dyDescent="0.3">
      <c r="A77" s="1">
        <v>45429</v>
      </c>
      <c r="B77" t="s">
        <v>89</v>
      </c>
      <c r="C77" t="s">
        <v>30</v>
      </c>
      <c r="D77" t="s">
        <v>31</v>
      </c>
      <c r="E77" t="s">
        <v>43</v>
      </c>
      <c r="F77" t="s">
        <v>32</v>
      </c>
      <c r="G77" t="s">
        <v>33</v>
      </c>
      <c r="H77" t="s">
        <v>60</v>
      </c>
      <c r="I77" t="s">
        <v>232</v>
      </c>
      <c r="J77" t="s">
        <v>34</v>
      </c>
      <c r="K77" t="s">
        <v>31</v>
      </c>
      <c r="L77" t="s">
        <v>35</v>
      </c>
      <c r="M77" t="s">
        <v>36</v>
      </c>
      <c r="N77" t="s">
        <v>42</v>
      </c>
      <c r="O77" t="s">
        <v>61</v>
      </c>
      <c r="P77">
        <v>248633</v>
      </c>
      <c r="Q77" t="s">
        <v>79</v>
      </c>
      <c r="R77" t="s">
        <v>80</v>
      </c>
      <c r="S77" t="s">
        <v>38</v>
      </c>
      <c r="T77">
        <v>0</v>
      </c>
      <c r="U77">
        <v>0.5</v>
      </c>
      <c r="V77" s="2">
        <v>2.0833333333333332E-2</v>
      </c>
      <c r="W77">
        <v>0</v>
      </c>
      <c r="AA77" t="s">
        <v>39</v>
      </c>
      <c r="AB77" t="s">
        <v>40</v>
      </c>
      <c r="AC77" t="e">
        <f>- Grainger User Guide - Grainger support &amp; Projects</f>
        <v>#NAME?</v>
      </c>
      <c r="AD77" t="s">
        <v>41</v>
      </c>
      <c r="AE77">
        <f t="shared" si="6"/>
        <v>5</v>
      </c>
      <c r="AF77" t="str">
        <f t="shared" si="5"/>
        <v>May</v>
      </c>
    </row>
    <row r="78" spans="1:32" x14ac:dyDescent="0.3">
      <c r="A78" s="1">
        <v>45432</v>
      </c>
      <c r="B78" t="s">
        <v>89</v>
      </c>
      <c r="C78" t="s">
        <v>30</v>
      </c>
      <c r="D78" t="s">
        <v>31</v>
      </c>
      <c r="E78" t="s">
        <v>43</v>
      </c>
      <c r="F78" t="s">
        <v>32</v>
      </c>
      <c r="G78" t="s">
        <v>33</v>
      </c>
      <c r="H78" t="s">
        <v>60</v>
      </c>
      <c r="I78" t="s">
        <v>232</v>
      </c>
      <c r="J78" t="s">
        <v>34</v>
      </c>
      <c r="K78" t="s">
        <v>31</v>
      </c>
      <c r="L78" t="s">
        <v>35</v>
      </c>
      <c r="M78" t="s">
        <v>36</v>
      </c>
      <c r="N78" t="s">
        <v>42</v>
      </c>
      <c r="O78" t="s">
        <v>61</v>
      </c>
      <c r="P78">
        <v>249317</v>
      </c>
      <c r="Q78" t="s">
        <v>79</v>
      </c>
      <c r="R78" t="s">
        <v>80</v>
      </c>
      <c r="S78" t="s">
        <v>38</v>
      </c>
      <c r="T78">
        <v>0</v>
      </c>
      <c r="U78">
        <v>0.25</v>
      </c>
      <c r="V78" s="2">
        <v>1.0416666666666666E-2</v>
      </c>
      <c r="W78">
        <v>0</v>
      </c>
      <c r="AA78" t="s">
        <v>39</v>
      </c>
      <c r="AB78" t="s">
        <v>40</v>
      </c>
      <c r="AC78" t="s">
        <v>310</v>
      </c>
      <c r="AD78" t="s">
        <v>41</v>
      </c>
      <c r="AE78">
        <f t="shared" si="6"/>
        <v>5</v>
      </c>
      <c r="AF78" t="str">
        <f t="shared" si="5"/>
        <v>May</v>
      </c>
    </row>
    <row r="79" spans="1:32" x14ac:dyDescent="0.3">
      <c r="A79" s="1">
        <v>45433</v>
      </c>
      <c r="B79" t="s">
        <v>89</v>
      </c>
      <c r="C79" t="s">
        <v>30</v>
      </c>
      <c r="D79" t="s">
        <v>31</v>
      </c>
      <c r="E79" t="s">
        <v>43</v>
      </c>
      <c r="F79" t="s">
        <v>32</v>
      </c>
      <c r="G79" t="s">
        <v>33</v>
      </c>
      <c r="H79" t="s">
        <v>60</v>
      </c>
      <c r="I79" t="s">
        <v>232</v>
      </c>
      <c r="J79" t="s">
        <v>34</v>
      </c>
      <c r="K79" t="s">
        <v>31</v>
      </c>
      <c r="L79" t="s">
        <v>35</v>
      </c>
      <c r="M79" t="s">
        <v>36</v>
      </c>
      <c r="N79" t="s">
        <v>42</v>
      </c>
      <c r="O79" t="s">
        <v>61</v>
      </c>
      <c r="P79">
        <v>249788</v>
      </c>
      <c r="Q79" t="s">
        <v>79</v>
      </c>
      <c r="R79" t="s">
        <v>80</v>
      </c>
      <c r="S79" t="s">
        <v>38</v>
      </c>
      <c r="T79">
        <v>0</v>
      </c>
      <c r="U79">
        <v>0.25</v>
      </c>
      <c r="V79" s="2">
        <v>1.0416666666666666E-2</v>
      </c>
      <c r="W79">
        <v>0</v>
      </c>
      <c r="AA79" t="s">
        <v>39</v>
      </c>
      <c r="AB79" t="s">
        <v>40</v>
      </c>
      <c r="AC79" t="s">
        <v>310</v>
      </c>
      <c r="AD79" t="s">
        <v>41</v>
      </c>
      <c r="AE79">
        <f t="shared" si="6"/>
        <v>5</v>
      </c>
      <c r="AF79" t="str">
        <f t="shared" si="5"/>
        <v>May</v>
      </c>
    </row>
    <row r="80" spans="1:32" x14ac:dyDescent="0.3">
      <c r="A80" s="1">
        <v>45434</v>
      </c>
      <c r="B80" t="s">
        <v>89</v>
      </c>
      <c r="C80" t="s">
        <v>30</v>
      </c>
      <c r="D80" t="s">
        <v>31</v>
      </c>
      <c r="E80" t="s">
        <v>43</v>
      </c>
      <c r="F80" t="s">
        <v>32</v>
      </c>
      <c r="G80" t="s">
        <v>33</v>
      </c>
      <c r="H80" t="s">
        <v>60</v>
      </c>
      <c r="I80" t="s">
        <v>232</v>
      </c>
      <c r="J80" t="s">
        <v>34</v>
      </c>
      <c r="K80" t="s">
        <v>31</v>
      </c>
      <c r="L80" t="s">
        <v>35</v>
      </c>
      <c r="M80" t="s">
        <v>36</v>
      </c>
      <c r="N80" t="s">
        <v>42</v>
      </c>
      <c r="O80" t="s">
        <v>61</v>
      </c>
      <c r="P80">
        <v>251330</v>
      </c>
      <c r="Q80" t="s">
        <v>79</v>
      </c>
      <c r="R80" t="s">
        <v>80</v>
      </c>
      <c r="S80" t="s">
        <v>38</v>
      </c>
      <c r="T80">
        <v>0</v>
      </c>
      <c r="U80">
        <v>0.25</v>
      </c>
      <c r="V80" s="2">
        <v>1.0416666666666666E-2</v>
      </c>
      <c r="W80">
        <v>0</v>
      </c>
      <c r="AA80" t="s">
        <v>39</v>
      </c>
      <c r="AC80" t="s">
        <v>310</v>
      </c>
      <c r="AD80" t="s">
        <v>41</v>
      </c>
      <c r="AE80">
        <f t="shared" si="6"/>
        <v>5</v>
      </c>
      <c r="AF80" t="str">
        <f t="shared" si="5"/>
        <v>May</v>
      </c>
    </row>
    <row r="81" spans="1:32" x14ac:dyDescent="0.3">
      <c r="A81" s="1">
        <v>45435</v>
      </c>
      <c r="B81" t="s">
        <v>89</v>
      </c>
      <c r="C81" t="s">
        <v>30</v>
      </c>
      <c r="D81" t="s">
        <v>31</v>
      </c>
      <c r="E81" t="s">
        <v>43</v>
      </c>
      <c r="F81" t="s">
        <v>32</v>
      </c>
      <c r="G81" t="s">
        <v>33</v>
      </c>
      <c r="H81" t="s">
        <v>60</v>
      </c>
      <c r="I81" t="s">
        <v>232</v>
      </c>
      <c r="J81" t="s">
        <v>34</v>
      </c>
      <c r="K81" t="s">
        <v>31</v>
      </c>
      <c r="L81" t="s">
        <v>35</v>
      </c>
      <c r="M81" t="s">
        <v>36</v>
      </c>
      <c r="N81" t="s">
        <v>42</v>
      </c>
      <c r="O81" t="s">
        <v>61</v>
      </c>
      <c r="P81">
        <v>251331</v>
      </c>
      <c r="Q81" t="s">
        <v>79</v>
      </c>
      <c r="R81" t="s">
        <v>80</v>
      </c>
      <c r="S81" t="s">
        <v>38</v>
      </c>
      <c r="T81">
        <v>0</v>
      </c>
      <c r="U81">
        <v>0.25</v>
      </c>
      <c r="V81" s="2">
        <v>1.0416666666666666E-2</v>
      </c>
      <c r="W81">
        <v>0</v>
      </c>
      <c r="AA81" t="s">
        <v>39</v>
      </c>
      <c r="AC81" t="s">
        <v>310</v>
      </c>
      <c r="AD81" t="s">
        <v>41</v>
      </c>
      <c r="AE81">
        <f t="shared" si="6"/>
        <v>5</v>
      </c>
      <c r="AF81" t="str">
        <f t="shared" si="5"/>
        <v>May</v>
      </c>
    </row>
    <row r="82" spans="1:32" x14ac:dyDescent="0.3">
      <c r="A82" s="1">
        <v>45426</v>
      </c>
      <c r="B82" t="s">
        <v>273</v>
      </c>
      <c r="C82" t="s">
        <v>30</v>
      </c>
      <c r="D82" t="s">
        <v>31</v>
      </c>
      <c r="E82" t="s">
        <v>43</v>
      </c>
      <c r="F82" t="s">
        <v>32</v>
      </c>
      <c r="G82" t="s">
        <v>33</v>
      </c>
      <c r="H82" t="s">
        <v>60</v>
      </c>
      <c r="I82" t="s">
        <v>232</v>
      </c>
      <c r="J82" t="s">
        <v>34</v>
      </c>
      <c r="K82" t="s">
        <v>31</v>
      </c>
      <c r="L82" t="s">
        <v>35</v>
      </c>
      <c r="M82" t="s">
        <v>36</v>
      </c>
      <c r="N82" t="s">
        <v>71</v>
      </c>
      <c r="O82" t="s">
        <v>61</v>
      </c>
      <c r="P82">
        <v>247325</v>
      </c>
      <c r="Q82" t="s">
        <v>62</v>
      </c>
      <c r="R82" t="s">
        <v>37</v>
      </c>
      <c r="S82" t="s">
        <v>38</v>
      </c>
      <c r="T82">
        <v>90</v>
      </c>
      <c r="U82">
        <v>0.5</v>
      </c>
      <c r="V82" s="2">
        <v>2.0833333333333332E-2</v>
      </c>
      <c r="W82">
        <v>45</v>
      </c>
      <c r="AA82" t="s">
        <v>39</v>
      </c>
      <c r="AC82" t="s">
        <v>287</v>
      </c>
      <c r="AD82" t="s">
        <v>41</v>
      </c>
      <c r="AE82">
        <f t="shared" si="6"/>
        <v>5</v>
      </c>
      <c r="AF82" t="str">
        <f t="shared" si="5"/>
        <v>May</v>
      </c>
    </row>
    <row r="83" spans="1:32" x14ac:dyDescent="0.3">
      <c r="A83" s="1">
        <v>45426</v>
      </c>
      <c r="B83" t="s">
        <v>273</v>
      </c>
      <c r="C83" t="s">
        <v>30</v>
      </c>
      <c r="D83" t="s">
        <v>31</v>
      </c>
      <c r="E83" t="s">
        <v>43</v>
      </c>
      <c r="F83" t="s">
        <v>32</v>
      </c>
      <c r="G83" t="s">
        <v>33</v>
      </c>
      <c r="H83" t="s">
        <v>60</v>
      </c>
      <c r="I83" t="s">
        <v>232</v>
      </c>
      <c r="J83" t="s">
        <v>34</v>
      </c>
      <c r="K83" t="s">
        <v>31</v>
      </c>
      <c r="L83" t="s">
        <v>35</v>
      </c>
      <c r="M83" t="s">
        <v>36</v>
      </c>
      <c r="N83" t="s">
        <v>71</v>
      </c>
      <c r="O83" t="s">
        <v>61</v>
      </c>
      <c r="P83">
        <v>247383</v>
      </c>
      <c r="Q83" t="s">
        <v>79</v>
      </c>
      <c r="R83" t="s">
        <v>80</v>
      </c>
      <c r="S83" t="s">
        <v>38</v>
      </c>
      <c r="T83">
        <v>0</v>
      </c>
      <c r="U83">
        <v>3</v>
      </c>
      <c r="V83" s="2">
        <v>0.125</v>
      </c>
      <c r="W83">
        <v>0</v>
      </c>
      <c r="AA83" t="s">
        <v>39</v>
      </c>
      <c r="AC83" t="s">
        <v>287</v>
      </c>
      <c r="AD83" t="s">
        <v>41</v>
      </c>
      <c r="AE83">
        <f t="shared" si="6"/>
        <v>5</v>
      </c>
      <c r="AF83" t="str">
        <f t="shared" si="5"/>
        <v>May</v>
      </c>
    </row>
    <row r="84" spans="1:32" x14ac:dyDescent="0.3">
      <c r="A84" s="1">
        <v>45427</v>
      </c>
      <c r="B84" t="s">
        <v>273</v>
      </c>
      <c r="C84" t="s">
        <v>30</v>
      </c>
      <c r="D84" t="s">
        <v>31</v>
      </c>
      <c r="E84" t="s">
        <v>43</v>
      </c>
      <c r="F84" t="s">
        <v>32</v>
      </c>
      <c r="G84" t="s">
        <v>33</v>
      </c>
      <c r="H84" t="s">
        <v>60</v>
      </c>
      <c r="I84" t="s">
        <v>232</v>
      </c>
      <c r="J84" t="s">
        <v>34</v>
      </c>
      <c r="K84" t="s">
        <v>31</v>
      </c>
      <c r="L84" t="s">
        <v>35</v>
      </c>
      <c r="M84" t="s">
        <v>36</v>
      </c>
      <c r="N84" t="s">
        <v>71</v>
      </c>
      <c r="O84" t="s">
        <v>61</v>
      </c>
      <c r="P84">
        <v>247384</v>
      </c>
      <c r="Q84" t="s">
        <v>79</v>
      </c>
      <c r="R84" t="s">
        <v>80</v>
      </c>
      <c r="S84" t="s">
        <v>38</v>
      </c>
      <c r="T84">
        <v>0</v>
      </c>
      <c r="U84">
        <v>0.25</v>
      </c>
      <c r="V84" s="2">
        <v>1.0416666666666666E-2</v>
      </c>
      <c r="W84">
        <v>0</v>
      </c>
      <c r="AA84" t="s">
        <v>39</v>
      </c>
      <c r="AC84" t="s">
        <v>288</v>
      </c>
      <c r="AD84" t="s">
        <v>41</v>
      </c>
      <c r="AE84">
        <f t="shared" si="6"/>
        <v>5</v>
      </c>
      <c r="AF84" t="str">
        <f t="shared" si="5"/>
        <v>May</v>
      </c>
    </row>
    <row r="85" spans="1:32" x14ac:dyDescent="0.3">
      <c r="A85" s="1">
        <v>45433</v>
      </c>
      <c r="B85" t="s">
        <v>311</v>
      </c>
      <c r="C85" t="s">
        <v>30</v>
      </c>
      <c r="D85" t="s">
        <v>31</v>
      </c>
      <c r="E85" t="s">
        <v>43</v>
      </c>
      <c r="F85" t="s">
        <v>32</v>
      </c>
      <c r="G85" t="s">
        <v>33</v>
      </c>
      <c r="H85" t="s">
        <v>60</v>
      </c>
      <c r="I85" t="s">
        <v>232</v>
      </c>
      <c r="J85" t="s">
        <v>34</v>
      </c>
      <c r="K85" t="s">
        <v>31</v>
      </c>
      <c r="L85" t="s">
        <v>35</v>
      </c>
      <c r="M85" t="s">
        <v>36</v>
      </c>
      <c r="N85" t="s">
        <v>71</v>
      </c>
      <c r="O85" t="s">
        <v>61</v>
      </c>
      <c r="P85">
        <v>249514</v>
      </c>
      <c r="Q85" t="s">
        <v>79</v>
      </c>
      <c r="R85" t="s">
        <v>80</v>
      </c>
      <c r="S85" t="s">
        <v>38</v>
      </c>
      <c r="T85">
        <v>0</v>
      </c>
      <c r="U85">
        <v>0.25</v>
      </c>
      <c r="V85" s="2">
        <v>1.0416666666666666E-2</v>
      </c>
      <c r="W85">
        <v>0</v>
      </c>
      <c r="AA85" t="s">
        <v>39</v>
      </c>
      <c r="AC85" t="s">
        <v>312</v>
      </c>
      <c r="AD85" t="s">
        <v>41</v>
      </c>
      <c r="AE85">
        <f t="shared" si="6"/>
        <v>5</v>
      </c>
      <c r="AF85" t="str">
        <f t="shared" si="5"/>
        <v>May</v>
      </c>
    </row>
    <row r="86" spans="1:32" x14ac:dyDescent="0.3">
      <c r="A86" s="1">
        <v>45434</v>
      </c>
      <c r="B86" t="s">
        <v>311</v>
      </c>
      <c r="C86" t="s">
        <v>30</v>
      </c>
      <c r="D86" t="s">
        <v>31</v>
      </c>
      <c r="E86" t="s">
        <v>43</v>
      </c>
      <c r="F86" t="s">
        <v>32</v>
      </c>
      <c r="G86" t="s">
        <v>33</v>
      </c>
      <c r="H86" t="s">
        <v>60</v>
      </c>
      <c r="I86" t="s">
        <v>232</v>
      </c>
      <c r="J86" t="s">
        <v>34</v>
      </c>
      <c r="K86" t="s">
        <v>31</v>
      </c>
      <c r="L86" t="s">
        <v>35</v>
      </c>
      <c r="M86" t="s">
        <v>36</v>
      </c>
      <c r="N86" t="s">
        <v>71</v>
      </c>
      <c r="O86" t="s">
        <v>61</v>
      </c>
      <c r="P86">
        <v>250134</v>
      </c>
      <c r="Q86" t="s">
        <v>79</v>
      </c>
      <c r="R86" t="s">
        <v>80</v>
      </c>
      <c r="S86" t="s">
        <v>38</v>
      </c>
      <c r="T86">
        <v>0</v>
      </c>
      <c r="U86">
        <v>0.75</v>
      </c>
      <c r="V86" s="2">
        <v>3.125E-2</v>
      </c>
      <c r="W86">
        <v>0</v>
      </c>
      <c r="AA86" t="s">
        <v>39</v>
      </c>
      <c r="AC86" t="s">
        <v>313</v>
      </c>
      <c r="AD86" t="s">
        <v>41</v>
      </c>
      <c r="AE86">
        <f t="shared" si="6"/>
        <v>5</v>
      </c>
      <c r="AF86" t="str">
        <f t="shared" si="5"/>
        <v>May</v>
      </c>
    </row>
    <row r="87" spans="1:32" x14ac:dyDescent="0.3">
      <c r="A87" s="1">
        <v>45439</v>
      </c>
      <c r="B87" t="s">
        <v>311</v>
      </c>
      <c r="C87" t="s">
        <v>30</v>
      </c>
      <c r="D87" t="s">
        <v>31</v>
      </c>
      <c r="E87" t="s">
        <v>43</v>
      </c>
      <c r="F87" t="s">
        <v>32</v>
      </c>
      <c r="G87" t="s">
        <v>33</v>
      </c>
      <c r="H87" t="s">
        <v>60</v>
      </c>
      <c r="I87" t="s">
        <v>232</v>
      </c>
      <c r="J87" t="s">
        <v>34</v>
      </c>
      <c r="K87" t="s">
        <v>31</v>
      </c>
      <c r="L87" t="s">
        <v>35</v>
      </c>
      <c r="M87" t="s">
        <v>36</v>
      </c>
      <c r="N87" t="s">
        <v>71</v>
      </c>
      <c r="O87" t="s">
        <v>61</v>
      </c>
      <c r="P87">
        <v>251639</v>
      </c>
      <c r="Q87" t="s">
        <v>79</v>
      </c>
      <c r="R87" t="s">
        <v>80</v>
      </c>
      <c r="S87" t="s">
        <v>38</v>
      </c>
      <c r="T87">
        <v>0</v>
      </c>
      <c r="U87">
        <v>1</v>
      </c>
      <c r="V87" s="2">
        <v>4.1666666666666664E-2</v>
      </c>
      <c r="W87">
        <v>0</v>
      </c>
      <c r="AA87" t="s">
        <v>39</v>
      </c>
      <c r="AC87" t="s">
        <v>314</v>
      </c>
      <c r="AD87" t="s">
        <v>41</v>
      </c>
      <c r="AE87">
        <f t="shared" si="6"/>
        <v>5</v>
      </c>
      <c r="AF87" t="str">
        <f t="shared" si="5"/>
        <v>May</v>
      </c>
    </row>
    <row r="88" spans="1:32" x14ac:dyDescent="0.3">
      <c r="A88" s="1">
        <v>45373</v>
      </c>
      <c r="B88" t="s">
        <v>65</v>
      </c>
      <c r="C88" t="s">
        <v>59</v>
      </c>
      <c r="D88" t="s">
        <v>31</v>
      </c>
      <c r="E88" t="s">
        <v>43</v>
      </c>
      <c r="F88" t="s">
        <v>32</v>
      </c>
      <c r="G88" t="s">
        <v>33</v>
      </c>
      <c r="H88" t="s">
        <v>60</v>
      </c>
      <c r="I88" t="s">
        <v>232</v>
      </c>
      <c r="J88" t="s">
        <v>34</v>
      </c>
      <c r="K88" t="s">
        <v>31</v>
      </c>
      <c r="L88" t="s">
        <v>35</v>
      </c>
      <c r="M88" t="s">
        <v>36</v>
      </c>
      <c r="N88" t="s">
        <v>42</v>
      </c>
      <c r="O88" t="s">
        <v>61</v>
      </c>
      <c r="P88">
        <v>227014</v>
      </c>
      <c r="Q88" t="s">
        <v>62</v>
      </c>
      <c r="R88" t="s">
        <v>37</v>
      </c>
      <c r="S88" t="s">
        <v>38</v>
      </c>
      <c r="T88">
        <v>90</v>
      </c>
      <c r="U88">
        <v>1</v>
      </c>
      <c r="V88" s="2">
        <v>4.1666666666666664E-2</v>
      </c>
      <c r="W88">
        <v>90</v>
      </c>
      <c r="X88">
        <v>119.01</v>
      </c>
      <c r="Y88">
        <v>29.01</v>
      </c>
      <c r="Z88" t="s">
        <v>207</v>
      </c>
      <c r="AA88" t="s">
        <v>39</v>
      </c>
      <c r="AB88" t="s">
        <v>40</v>
      </c>
      <c r="AC88" t="s">
        <v>66</v>
      </c>
      <c r="AD88" t="s">
        <v>41</v>
      </c>
      <c r="AE88">
        <f t="shared" si="6"/>
        <v>3</v>
      </c>
      <c r="AF88" t="str">
        <f t="shared" si="5"/>
        <v>March</v>
      </c>
    </row>
    <row r="89" spans="1:32" x14ac:dyDescent="0.3">
      <c r="A89" s="1">
        <v>45377</v>
      </c>
      <c r="B89" t="s">
        <v>65</v>
      </c>
      <c r="C89" t="s">
        <v>59</v>
      </c>
      <c r="D89" t="s">
        <v>31</v>
      </c>
      <c r="E89" t="s">
        <v>43</v>
      </c>
      <c r="F89" t="s">
        <v>32</v>
      </c>
      <c r="G89" t="s">
        <v>33</v>
      </c>
      <c r="H89" t="s">
        <v>60</v>
      </c>
      <c r="I89" t="s">
        <v>232</v>
      </c>
      <c r="J89" t="s">
        <v>34</v>
      </c>
      <c r="K89" t="s">
        <v>31</v>
      </c>
      <c r="L89" t="s">
        <v>35</v>
      </c>
      <c r="M89" t="s">
        <v>36</v>
      </c>
      <c r="N89" t="s">
        <v>42</v>
      </c>
      <c r="O89" t="s">
        <v>61</v>
      </c>
      <c r="P89">
        <v>228560</v>
      </c>
      <c r="Q89" t="s">
        <v>62</v>
      </c>
      <c r="R89" t="s">
        <v>37</v>
      </c>
      <c r="S89" t="s">
        <v>38</v>
      </c>
      <c r="T89">
        <v>90</v>
      </c>
      <c r="U89">
        <v>1</v>
      </c>
      <c r="V89" s="2">
        <v>4.1666666666666664E-2</v>
      </c>
      <c r="W89">
        <v>90</v>
      </c>
      <c r="X89">
        <v>119.01</v>
      </c>
      <c r="Y89">
        <v>29.01</v>
      </c>
      <c r="Z89" t="s">
        <v>207</v>
      </c>
      <c r="AA89" t="s">
        <v>39</v>
      </c>
      <c r="AB89" t="s">
        <v>40</v>
      </c>
      <c r="AC89" t="s">
        <v>67</v>
      </c>
      <c r="AD89" t="s">
        <v>41</v>
      </c>
      <c r="AE89">
        <f t="shared" si="6"/>
        <v>3</v>
      </c>
      <c r="AF89" t="str">
        <f t="shared" si="5"/>
        <v>March</v>
      </c>
    </row>
    <row r="90" spans="1:32" x14ac:dyDescent="0.3">
      <c r="A90" s="1">
        <v>45378</v>
      </c>
      <c r="B90" t="s">
        <v>65</v>
      </c>
      <c r="C90" t="s">
        <v>59</v>
      </c>
      <c r="D90" t="s">
        <v>31</v>
      </c>
      <c r="E90" t="s">
        <v>43</v>
      </c>
      <c r="F90" t="s">
        <v>32</v>
      </c>
      <c r="G90" t="s">
        <v>33</v>
      </c>
      <c r="H90" t="s">
        <v>60</v>
      </c>
      <c r="I90" t="s">
        <v>232</v>
      </c>
      <c r="J90" t="s">
        <v>34</v>
      </c>
      <c r="K90" t="s">
        <v>31</v>
      </c>
      <c r="L90" t="s">
        <v>35</v>
      </c>
      <c r="M90" t="s">
        <v>36</v>
      </c>
      <c r="N90" t="s">
        <v>42</v>
      </c>
      <c r="O90" t="s">
        <v>61</v>
      </c>
      <c r="P90">
        <v>229177</v>
      </c>
      <c r="Q90" t="s">
        <v>62</v>
      </c>
      <c r="R90" t="s">
        <v>37</v>
      </c>
      <c r="S90" t="s">
        <v>38</v>
      </c>
      <c r="T90">
        <v>90</v>
      </c>
      <c r="U90">
        <v>0.5</v>
      </c>
      <c r="V90" s="2">
        <v>2.0833333333333332E-2</v>
      </c>
      <c r="W90">
        <v>45</v>
      </c>
      <c r="X90">
        <v>59.5</v>
      </c>
      <c r="Y90">
        <v>14.5</v>
      </c>
      <c r="Z90" t="s">
        <v>207</v>
      </c>
      <c r="AA90" t="s">
        <v>39</v>
      </c>
      <c r="AB90" t="s">
        <v>40</v>
      </c>
      <c r="AC90" t="s">
        <v>68</v>
      </c>
      <c r="AD90" t="s">
        <v>41</v>
      </c>
      <c r="AE90">
        <f t="shared" si="6"/>
        <v>3</v>
      </c>
      <c r="AF90" t="str">
        <f t="shared" si="5"/>
        <v>March</v>
      </c>
    </row>
    <row r="91" spans="1:32" x14ac:dyDescent="0.3">
      <c r="A91" s="1">
        <v>45386</v>
      </c>
      <c r="B91" t="s">
        <v>42</v>
      </c>
      <c r="C91" t="s">
        <v>30</v>
      </c>
      <c r="D91" t="s">
        <v>31</v>
      </c>
      <c r="E91" t="s">
        <v>43</v>
      </c>
      <c r="F91" t="s">
        <v>32</v>
      </c>
      <c r="G91" t="s">
        <v>33</v>
      </c>
      <c r="H91" t="s">
        <v>60</v>
      </c>
      <c r="I91" t="s">
        <v>232</v>
      </c>
      <c r="J91" t="s">
        <v>34</v>
      </c>
      <c r="K91" t="s">
        <v>31</v>
      </c>
      <c r="L91" t="s">
        <v>35</v>
      </c>
      <c r="M91" t="s">
        <v>36</v>
      </c>
      <c r="N91" t="s">
        <v>71</v>
      </c>
      <c r="O91" t="s">
        <v>61</v>
      </c>
      <c r="P91">
        <v>231333</v>
      </c>
      <c r="Q91" t="s">
        <v>62</v>
      </c>
      <c r="R91" t="s">
        <v>37</v>
      </c>
      <c r="S91" t="s">
        <v>38</v>
      </c>
      <c r="T91">
        <v>90</v>
      </c>
      <c r="U91">
        <v>0.5</v>
      </c>
      <c r="V91" s="2">
        <v>2.0833333333333332E-2</v>
      </c>
      <c r="W91">
        <v>45</v>
      </c>
      <c r="X91">
        <v>59.5</v>
      </c>
      <c r="Y91">
        <v>14.5</v>
      </c>
      <c r="Z91" t="s">
        <v>207</v>
      </c>
      <c r="AA91" t="s">
        <v>39</v>
      </c>
      <c r="AB91" t="s">
        <v>40</v>
      </c>
      <c r="AC91" t="s">
        <v>72</v>
      </c>
      <c r="AD91" t="s">
        <v>41</v>
      </c>
      <c r="AE91">
        <f t="shared" si="6"/>
        <v>4</v>
      </c>
      <c r="AF91" t="str">
        <f t="shared" si="5"/>
        <v>April</v>
      </c>
    </row>
    <row r="92" spans="1:32" x14ac:dyDescent="0.3">
      <c r="A92" s="1">
        <v>45390</v>
      </c>
      <c r="B92" t="s">
        <v>42</v>
      </c>
      <c r="C92" t="s">
        <v>30</v>
      </c>
      <c r="D92" t="s">
        <v>31</v>
      </c>
      <c r="E92" t="s">
        <v>43</v>
      </c>
      <c r="F92" t="s">
        <v>32</v>
      </c>
      <c r="G92" t="s">
        <v>33</v>
      </c>
      <c r="H92" t="s">
        <v>60</v>
      </c>
      <c r="I92" t="s">
        <v>232</v>
      </c>
      <c r="J92" t="s">
        <v>34</v>
      </c>
      <c r="K92" t="s">
        <v>31</v>
      </c>
      <c r="L92" t="s">
        <v>35</v>
      </c>
      <c r="M92" t="s">
        <v>36</v>
      </c>
      <c r="N92" t="s">
        <v>71</v>
      </c>
      <c r="O92" t="s">
        <v>61</v>
      </c>
      <c r="P92">
        <v>232216</v>
      </c>
      <c r="Q92" t="s">
        <v>62</v>
      </c>
      <c r="R92" t="s">
        <v>37</v>
      </c>
      <c r="S92" t="s">
        <v>38</v>
      </c>
      <c r="T92">
        <v>90</v>
      </c>
      <c r="U92">
        <v>0.5</v>
      </c>
      <c r="V92" s="2">
        <v>2.0833333333333332E-2</v>
      </c>
      <c r="W92">
        <v>45</v>
      </c>
      <c r="X92">
        <v>59.5</v>
      </c>
      <c r="Y92">
        <v>14.5</v>
      </c>
      <c r="Z92" t="s">
        <v>207</v>
      </c>
      <c r="AA92" t="s">
        <v>39</v>
      </c>
      <c r="AB92" t="s">
        <v>40</v>
      </c>
      <c r="AC92" t="s">
        <v>73</v>
      </c>
      <c r="AD92" t="s">
        <v>41</v>
      </c>
      <c r="AE92">
        <f t="shared" si="6"/>
        <v>4</v>
      </c>
      <c r="AF92" t="str">
        <f t="shared" si="5"/>
        <v>April</v>
      </c>
    </row>
    <row r="93" spans="1:32" x14ac:dyDescent="0.3">
      <c r="A93" s="1">
        <v>45391</v>
      </c>
      <c r="B93" t="s">
        <v>42</v>
      </c>
      <c r="C93" t="s">
        <v>30</v>
      </c>
      <c r="D93" t="s">
        <v>31</v>
      </c>
      <c r="E93" t="s">
        <v>43</v>
      </c>
      <c r="F93" t="s">
        <v>32</v>
      </c>
      <c r="G93" t="s">
        <v>33</v>
      </c>
      <c r="H93" t="s">
        <v>60</v>
      </c>
      <c r="I93" t="s">
        <v>232</v>
      </c>
      <c r="J93" t="s">
        <v>34</v>
      </c>
      <c r="K93" t="s">
        <v>31</v>
      </c>
      <c r="L93" t="s">
        <v>35</v>
      </c>
      <c r="M93" t="s">
        <v>36</v>
      </c>
      <c r="N93" t="s">
        <v>71</v>
      </c>
      <c r="O93" t="s">
        <v>61</v>
      </c>
      <c r="P93">
        <v>232898</v>
      </c>
      <c r="Q93" t="s">
        <v>62</v>
      </c>
      <c r="R93" t="s">
        <v>37</v>
      </c>
      <c r="S93" t="s">
        <v>38</v>
      </c>
      <c r="T93">
        <v>90</v>
      </c>
      <c r="U93">
        <v>0.5</v>
      </c>
      <c r="V93" s="2">
        <v>2.0833333333333332E-2</v>
      </c>
      <c r="W93">
        <v>45</v>
      </c>
      <c r="X93">
        <v>59.5</v>
      </c>
      <c r="Y93">
        <v>14.5</v>
      </c>
      <c r="Z93" t="s">
        <v>207</v>
      </c>
      <c r="AA93" t="s">
        <v>39</v>
      </c>
      <c r="AB93" t="s">
        <v>40</v>
      </c>
      <c r="AC93" t="s">
        <v>96</v>
      </c>
      <c r="AD93" t="s">
        <v>41</v>
      </c>
      <c r="AE93">
        <f t="shared" si="6"/>
        <v>4</v>
      </c>
      <c r="AF93" t="str">
        <f t="shared" si="5"/>
        <v>April</v>
      </c>
    </row>
    <row r="94" spans="1:32" x14ac:dyDescent="0.3">
      <c r="A94" s="1">
        <v>45405</v>
      </c>
      <c r="B94" t="s">
        <v>42</v>
      </c>
      <c r="C94" t="s">
        <v>30</v>
      </c>
      <c r="D94" t="s">
        <v>31</v>
      </c>
      <c r="E94" t="s">
        <v>43</v>
      </c>
      <c r="F94" t="s">
        <v>32</v>
      </c>
      <c r="G94" t="s">
        <v>33</v>
      </c>
      <c r="H94" t="s">
        <v>60</v>
      </c>
      <c r="I94" t="s">
        <v>232</v>
      </c>
      <c r="J94" t="s">
        <v>34</v>
      </c>
      <c r="K94" t="s">
        <v>31</v>
      </c>
      <c r="L94" t="s">
        <v>35</v>
      </c>
      <c r="M94" t="s">
        <v>36</v>
      </c>
      <c r="N94" t="s">
        <v>71</v>
      </c>
      <c r="O94" t="s">
        <v>61</v>
      </c>
      <c r="P94">
        <v>240660</v>
      </c>
      <c r="Q94" t="s">
        <v>62</v>
      </c>
      <c r="R94" t="s">
        <v>37</v>
      </c>
      <c r="S94" t="s">
        <v>38</v>
      </c>
      <c r="T94">
        <v>90</v>
      </c>
      <c r="U94">
        <v>1</v>
      </c>
      <c r="V94" s="2">
        <v>4.1666666666666664E-2</v>
      </c>
      <c r="W94">
        <v>90</v>
      </c>
      <c r="X94">
        <v>119.01</v>
      </c>
      <c r="Y94">
        <v>29.01</v>
      </c>
      <c r="Z94" t="s">
        <v>207</v>
      </c>
      <c r="AA94" t="s">
        <v>39</v>
      </c>
      <c r="AB94" t="s">
        <v>40</v>
      </c>
      <c r="AC94" t="s">
        <v>189</v>
      </c>
      <c r="AD94" t="s">
        <v>41</v>
      </c>
      <c r="AE94">
        <f t="shared" si="6"/>
        <v>4</v>
      </c>
      <c r="AF94" t="str">
        <f t="shared" si="5"/>
        <v>April</v>
      </c>
    </row>
    <row r="95" spans="1:32" x14ac:dyDescent="0.3">
      <c r="A95" s="1">
        <v>45406</v>
      </c>
      <c r="B95" t="s">
        <v>42</v>
      </c>
      <c r="C95" t="s">
        <v>30</v>
      </c>
      <c r="D95" t="s">
        <v>31</v>
      </c>
      <c r="E95" t="s">
        <v>43</v>
      </c>
      <c r="F95" t="s">
        <v>32</v>
      </c>
      <c r="G95" t="s">
        <v>33</v>
      </c>
      <c r="H95" t="s">
        <v>60</v>
      </c>
      <c r="I95" t="s">
        <v>232</v>
      </c>
      <c r="J95" t="s">
        <v>34</v>
      </c>
      <c r="K95" t="s">
        <v>31</v>
      </c>
      <c r="L95" t="s">
        <v>35</v>
      </c>
      <c r="M95" t="s">
        <v>36</v>
      </c>
      <c r="N95" t="s">
        <v>71</v>
      </c>
      <c r="O95" t="s">
        <v>61</v>
      </c>
      <c r="P95">
        <v>239365</v>
      </c>
      <c r="Q95" t="s">
        <v>62</v>
      </c>
      <c r="R95" t="s">
        <v>37</v>
      </c>
      <c r="S95" t="s">
        <v>38</v>
      </c>
      <c r="T95">
        <v>90</v>
      </c>
      <c r="U95">
        <v>1.5</v>
      </c>
      <c r="V95" s="2">
        <v>6.25E-2</v>
      </c>
      <c r="W95">
        <v>135</v>
      </c>
      <c r="X95">
        <v>178.51</v>
      </c>
      <c r="Y95">
        <v>43.51</v>
      </c>
      <c r="Z95" t="s">
        <v>207</v>
      </c>
      <c r="AA95" t="s">
        <v>39</v>
      </c>
      <c r="AB95" t="s">
        <v>40</v>
      </c>
      <c r="AC95" t="s">
        <v>190</v>
      </c>
      <c r="AD95" t="s">
        <v>41</v>
      </c>
      <c r="AE95">
        <f t="shared" si="6"/>
        <v>4</v>
      </c>
      <c r="AF95" t="str">
        <f t="shared" si="5"/>
        <v>April</v>
      </c>
    </row>
    <row r="96" spans="1:32" x14ac:dyDescent="0.3">
      <c r="A96" s="1">
        <v>45407</v>
      </c>
      <c r="B96" t="s">
        <v>42</v>
      </c>
      <c r="C96" t="s">
        <v>30</v>
      </c>
      <c r="D96" t="s">
        <v>31</v>
      </c>
      <c r="E96" t="s">
        <v>43</v>
      </c>
      <c r="F96" t="s">
        <v>32</v>
      </c>
      <c r="G96" t="s">
        <v>33</v>
      </c>
      <c r="H96" t="s">
        <v>60</v>
      </c>
      <c r="I96" t="s">
        <v>232</v>
      </c>
      <c r="J96" t="s">
        <v>34</v>
      </c>
      <c r="K96" t="s">
        <v>31</v>
      </c>
      <c r="L96" t="s">
        <v>35</v>
      </c>
      <c r="M96" t="s">
        <v>36</v>
      </c>
      <c r="N96" t="s">
        <v>71</v>
      </c>
      <c r="O96" t="s">
        <v>61</v>
      </c>
      <c r="P96">
        <v>240672</v>
      </c>
      <c r="Q96" t="s">
        <v>62</v>
      </c>
      <c r="R96" t="s">
        <v>37</v>
      </c>
      <c r="S96" t="s">
        <v>38</v>
      </c>
      <c r="T96">
        <v>90</v>
      </c>
      <c r="U96">
        <v>1</v>
      </c>
      <c r="V96" s="2">
        <v>4.1666666666666664E-2</v>
      </c>
      <c r="W96">
        <v>90</v>
      </c>
      <c r="X96">
        <v>119.01</v>
      </c>
      <c r="Y96">
        <v>29.01</v>
      </c>
      <c r="Z96" t="s">
        <v>207</v>
      </c>
      <c r="AA96" t="s">
        <v>39</v>
      </c>
      <c r="AB96" t="s">
        <v>40</v>
      </c>
      <c r="AC96" t="s">
        <v>92</v>
      </c>
      <c r="AD96" t="s">
        <v>41</v>
      </c>
      <c r="AE96">
        <f t="shared" si="6"/>
        <v>4</v>
      </c>
      <c r="AF96" t="str">
        <f t="shared" si="5"/>
        <v>April</v>
      </c>
    </row>
    <row r="97" spans="1:32" x14ac:dyDescent="0.3">
      <c r="A97" s="1">
        <v>45408</v>
      </c>
      <c r="B97" t="s">
        <v>42</v>
      </c>
      <c r="C97" t="s">
        <v>30</v>
      </c>
      <c r="D97" t="s">
        <v>31</v>
      </c>
      <c r="E97" t="s">
        <v>43</v>
      </c>
      <c r="F97" t="s">
        <v>32</v>
      </c>
      <c r="G97" t="s">
        <v>33</v>
      </c>
      <c r="H97" t="s">
        <v>60</v>
      </c>
      <c r="I97" t="s">
        <v>232</v>
      </c>
      <c r="J97" t="s">
        <v>34</v>
      </c>
      <c r="K97" t="s">
        <v>31</v>
      </c>
      <c r="L97" t="s">
        <v>35</v>
      </c>
      <c r="M97" t="s">
        <v>36</v>
      </c>
      <c r="N97" t="s">
        <v>71</v>
      </c>
      <c r="O97" t="s">
        <v>61</v>
      </c>
      <c r="P97">
        <v>240433</v>
      </c>
      <c r="Q97" t="s">
        <v>62</v>
      </c>
      <c r="R97" t="s">
        <v>37</v>
      </c>
      <c r="S97" t="s">
        <v>38</v>
      </c>
      <c r="T97">
        <v>90</v>
      </c>
      <c r="U97">
        <v>1</v>
      </c>
      <c r="V97" s="2">
        <v>4.1666666666666664E-2</v>
      </c>
      <c r="W97">
        <v>90</v>
      </c>
      <c r="X97">
        <v>119.01</v>
      </c>
      <c r="Y97">
        <v>29.01</v>
      </c>
      <c r="Z97" t="s">
        <v>207</v>
      </c>
      <c r="AA97" t="s">
        <v>39</v>
      </c>
      <c r="AB97" t="s">
        <v>40</v>
      </c>
      <c r="AC97" t="s">
        <v>92</v>
      </c>
      <c r="AD97" t="s">
        <v>41</v>
      </c>
      <c r="AE97">
        <f t="shared" si="6"/>
        <v>4</v>
      </c>
      <c r="AF97" t="str">
        <f t="shared" si="5"/>
        <v>April</v>
      </c>
    </row>
    <row r="98" spans="1:32" x14ac:dyDescent="0.3">
      <c r="A98" s="1">
        <v>45408</v>
      </c>
      <c r="B98" t="s">
        <v>42</v>
      </c>
      <c r="C98" t="s">
        <v>30</v>
      </c>
      <c r="D98" t="s">
        <v>31</v>
      </c>
      <c r="E98" t="s">
        <v>43</v>
      </c>
      <c r="F98" t="s">
        <v>32</v>
      </c>
      <c r="G98" t="s">
        <v>33</v>
      </c>
      <c r="H98" t="s">
        <v>60</v>
      </c>
      <c r="I98" t="s">
        <v>232</v>
      </c>
      <c r="J98" t="s">
        <v>34</v>
      </c>
      <c r="K98" t="s">
        <v>31</v>
      </c>
      <c r="L98" t="s">
        <v>35</v>
      </c>
      <c r="M98" t="s">
        <v>36</v>
      </c>
      <c r="N98" t="s">
        <v>71</v>
      </c>
      <c r="O98" t="s">
        <v>61</v>
      </c>
      <c r="P98">
        <v>240434</v>
      </c>
      <c r="Q98" t="s">
        <v>62</v>
      </c>
      <c r="R98" t="s">
        <v>37</v>
      </c>
      <c r="S98" t="s">
        <v>38</v>
      </c>
      <c r="T98">
        <v>90</v>
      </c>
      <c r="U98">
        <v>1</v>
      </c>
      <c r="V98" s="2">
        <v>4.1666666666666664E-2</v>
      </c>
      <c r="W98">
        <v>90</v>
      </c>
      <c r="X98">
        <v>119.01</v>
      </c>
      <c r="Y98">
        <v>29.01</v>
      </c>
      <c r="Z98" t="s">
        <v>207</v>
      </c>
      <c r="AA98" t="s">
        <v>39</v>
      </c>
      <c r="AB98" t="s">
        <v>40</v>
      </c>
      <c r="AC98" t="s">
        <v>189</v>
      </c>
      <c r="AD98" t="s">
        <v>41</v>
      </c>
      <c r="AE98">
        <f t="shared" si="6"/>
        <v>4</v>
      </c>
      <c r="AF98" t="str">
        <f t="shared" si="5"/>
        <v>April</v>
      </c>
    </row>
    <row r="99" spans="1:32" x14ac:dyDescent="0.3">
      <c r="A99" s="1">
        <v>45419</v>
      </c>
      <c r="B99" t="s">
        <v>42</v>
      </c>
      <c r="C99" t="s">
        <v>30</v>
      </c>
      <c r="D99" t="s">
        <v>31</v>
      </c>
      <c r="E99" t="s">
        <v>43</v>
      </c>
      <c r="F99" t="s">
        <v>32</v>
      </c>
      <c r="G99" t="s">
        <v>33</v>
      </c>
      <c r="H99" t="s">
        <v>60</v>
      </c>
      <c r="I99" t="s">
        <v>232</v>
      </c>
      <c r="J99" t="s">
        <v>34</v>
      </c>
      <c r="K99" t="s">
        <v>31</v>
      </c>
      <c r="L99" t="s">
        <v>35</v>
      </c>
      <c r="M99" t="s">
        <v>36</v>
      </c>
      <c r="N99" t="s">
        <v>71</v>
      </c>
      <c r="O99" t="s">
        <v>61</v>
      </c>
      <c r="P99">
        <v>243918</v>
      </c>
      <c r="Q99" t="s">
        <v>62</v>
      </c>
      <c r="R99" t="s">
        <v>37</v>
      </c>
      <c r="S99" t="s">
        <v>38</v>
      </c>
      <c r="T99">
        <v>90</v>
      </c>
      <c r="U99">
        <v>1</v>
      </c>
      <c r="V99" s="2">
        <v>4.1666666666666664E-2</v>
      </c>
      <c r="W99">
        <v>90</v>
      </c>
      <c r="AA99" t="s">
        <v>39</v>
      </c>
      <c r="AB99" t="s">
        <v>40</v>
      </c>
      <c r="AC99" t="s">
        <v>241</v>
      </c>
      <c r="AD99" t="s">
        <v>41</v>
      </c>
      <c r="AE99">
        <f t="shared" si="6"/>
        <v>5</v>
      </c>
      <c r="AF99" t="str">
        <f t="shared" si="5"/>
        <v>May</v>
      </c>
    </row>
    <row r="100" spans="1:32" x14ac:dyDescent="0.3">
      <c r="A100" s="1">
        <v>45378</v>
      </c>
      <c r="B100" t="s">
        <v>35</v>
      </c>
      <c r="C100" t="s">
        <v>30</v>
      </c>
      <c r="D100" t="s">
        <v>31</v>
      </c>
      <c r="E100" t="s">
        <v>78</v>
      </c>
      <c r="F100" t="s">
        <v>32</v>
      </c>
      <c r="G100" t="s">
        <v>33</v>
      </c>
      <c r="H100" t="s">
        <v>60</v>
      </c>
      <c r="I100" t="s">
        <v>232</v>
      </c>
      <c r="J100" t="s">
        <v>34</v>
      </c>
      <c r="K100" t="s">
        <v>31</v>
      </c>
      <c r="L100" t="s">
        <v>35</v>
      </c>
      <c r="M100" t="s">
        <v>36</v>
      </c>
      <c r="N100" t="s">
        <v>71</v>
      </c>
      <c r="O100" t="s">
        <v>61</v>
      </c>
      <c r="P100">
        <v>228826</v>
      </c>
      <c r="Q100" t="s">
        <v>79</v>
      </c>
      <c r="R100" t="s">
        <v>80</v>
      </c>
      <c r="S100" t="s">
        <v>38</v>
      </c>
      <c r="T100">
        <v>0</v>
      </c>
      <c r="U100">
        <v>0.5</v>
      </c>
      <c r="V100" s="2">
        <v>2.0833333333333332E-2</v>
      </c>
      <c r="W100">
        <v>0</v>
      </c>
      <c r="AA100" t="s">
        <v>39</v>
      </c>
      <c r="AB100" t="s">
        <v>40</v>
      </c>
      <c r="AC100" t="s">
        <v>97</v>
      </c>
      <c r="AD100" t="s">
        <v>41</v>
      </c>
      <c r="AE100">
        <f t="shared" si="6"/>
        <v>3</v>
      </c>
      <c r="AF100" t="str">
        <f t="shared" si="5"/>
        <v>March</v>
      </c>
    </row>
    <row r="101" spans="1:32" x14ac:dyDescent="0.3">
      <c r="A101" s="1">
        <v>45385</v>
      </c>
      <c r="B101" t="s">
        <v>35</v>
      </c>
      <c r="C101" t="s">
        <v>30</v>
      </c>
      <c r="D101" t="s">
        <v>31</v>
      </c>
      <c r="E101" t="s">
        <v>78</v>
      </c>
      <c r="F101" t="s">
        <v>32</v>
      </c>
      <c r="G101" t="s">
        <v>33</v>
      </c>
      <c r="H101" t="s">
        <v>60</v>
      </c>
      <c r="I101" t="s">
        <v>232</v>
      </c>
      <c r="J101" t="s">
        <v>34</v>
      </c>
      <c r="K101" t="s">
        <v>31</v>
      </c>
      <c r="L101" t="s">
        <v>35</v>
      </c>
      <c r="M101" t="s">
        <v>36</v>
      </c>
      <c r="N101" t="s">
        <v>71</v>
      </c>
      <c r="O101" t="s">
        <v>61</v>
      </c>
      <c r="P101">
        <v>230872</v>
      </c>
      <c r="Q101" t="s">
        <v>79</v>
      </c>
      <c r="R101" t="s">
        <v>80</v>
      </c>
      <c r="S101" t="s">
        <v>38</v>
      </c>
      <c r="T101">
        <v>0</v>
      </c>
      <c r="U101">
        <v>0.75</v>
      </c>
      <c r="V101" s="2">
        <v>3.125E-2</v>
      </c>
      <c r="W101">
        <v>0</v>
      </c>
      <c r="AA101" t="s">
        <v>39</v>
      </c>
      <c r="AB101" t="s">
        <v>40</v>
      </c>
      <c r="AC101" t="s">
        <v>71</v>
      </c>
      <c r="AD101" t="s">
        <v>41</v>
      </c>
      <c r="AE101">
        <f t="shared" si="6"/>
        <v>4</v>
      </c>
      <c r="AF101" t="str">
        <f t="shared" si="5"/>
        <v>April</v>
      </c>
    </row>
    <row r="102" spans="1:32" x14ac:dyDescent="0.3">
      <c r="A102" s="1">
        <v>45386</v>
      </c>
      <c r="B102" t="s">
        <v>35</v>
      </c>
      <c r="C102" t="s">
        <v>30</v>
      </c>
      <c r="D102" t="s">
        <v>31</v>
      </c>
      <c r="E102" t="s">
        <v>78</v>
      </c>
      <c r="F102" t="s">
        <v>32</v>
      </c>
      <c r="G102" t="s">
        <v>33</v>
      </c>
      <c r="H102" t="s">
        <v>60</v>
      </c>
      <c r="I102" t="s">
        <v>232</v>
      </c>
      <c r="J102" t="s">
        <v>34</v>
      </c>
      <c r="K102" t="s">
        <v>31</v>
      </c>
      <c r="L102" t="s">
        <v>35</v>
      </c>
      <c r="M102" t="s">
        <v>36</v>
      </c>
      <c r="N102" t="s">
        <v>71</v>
      </c>
      <c r="O102" t="s">
        <v>61</v>
      </c>
      <c r="P102">
        <v>231546</v>
      </c>
      <c r="Q102" t="s">
        <v>79</v>
      </c>
      <c r="R102" t="s">
        <v>80</v>
      </c>
      <c r="S102" t="s">
        <v>38</v>
      </c>
      <c r="T102">
        <v>0</v>
      </c>
      <c r="U102">
        <v>0.75</v>
      </c>
      <c r="V102" s="2">
        <v>3.125E-2</v>
      </c>
      <c r="W102">
        <v>0</v>
      </c>
      <c r="AA102" t="s">
        <v>39</v>
      </c>
      <c r="AB102" t="s">
        <v>40</v>
      </c>
      <c r="AC102" t="s">
        <v>71</v>
      </c>
      <c r="AD102" t="s">
        <v>41</v>
      </c>
      <c r="AE102">
        <f t="shared" si="6"/>
        <v>4</v>
      </c>
      <c r="AF102" t="str">
        <f t="shared" si="5"/>
        <v>April</v>
      </c>
    </row>
    <row r="103" spans="1:32" x14ac:dyDescent="0.3">
      <c r="A103" s="1">
        <v>45387</v>
      </c>
      <c r="B103" t="s">
        <v>35</v>
      </c>
      <c r="C103" t="s">
        <v>30</v>
      </c>
      <c r="D103" t="s">
        <v>31</v>
      </c>
      <c r="E103" t="s">
        <v>78</v>
      </c>
      <c r="F103" t="s">
        <v>32</v>
      </c>
      <c r="G103" t="s">
        <v>33</v>
      </c>
      <c r="H103" t="s">
        <v>60</v>
      </c>
      <c r="I103" t="s">
        <v>232</v>
      </c>
      <c r="J103" t="s">
        <v>34</v>
      </c>
      <c r="K103" t="s">
        <v>31</v>
      </c>
      <c r="L103" t="s">
        <v>35</v>
      </c>
      <c r="M103" t="s">
        <v>36</v>
      </c>
      <c r="N103" t="s">
        <v>71</v>
      </c>
      <c r="O103" t="s">
        <v>61</v>
      </c>
      <c r="P103">
        <v>231837</v>
      </c>
      <c r="Q103" t="s">
        <v>79</v>
      </c>
      <c r="R103" t="s">
        <v>80</v>
      </c>
      <c r="S103" t="s">
        <v>38</v>
      </c>
      <c r="T103">
        <v>0</v>
      </c>
      <c r="U103">
        <v>1</v>
      </c>
      <c r="V103" s="2">
        <v>4.1666666666666664E-2</v>
      </c>
      <c r="W103">
        <v>0</v>
      </c>
      <c r="AA103" t="s">
        <v>39</v>
      </c>
      <c r="AB103" t="s">
        <v>40</v>
      </c>
      <c r="AC103" t="s">
        <v>71</v>
      </c>
      <c r="AD103" t="s">
        <v>41</v>
      </c>
      <c r="AE103">
        <f t="shared" si="6"/>
        <v>4</v>
      </c>
      <c r="AF103" t="str">
        <f t="shared" si="5"/>
        <v>April</v>
      </c>
    </row>
    <row r="104" spans="1:32" x14ac:dyDescent="0.3">
      <c r="A104" s="1">
        <v>45390</v>
      </c>
      <c r="B104" t="s">
        <v>35</v>
      </c>
      <c r="C104" t="s">
        <v>30</v>
      </c>
      <c r="D104" t="s">
        <v>31</v>
      </c>
      <c r="E104" t="s">
        <v>78</v>
      </c>
      <c r="F104" t="s">
        <v>32</v>
      </c>
      <c r="G104" t="s">
        <v>33</v>
      </c>
      <c r="H104" t="s">
        <v>60</v>
      </c>
      <c r="I104" t="s">
        <v>232</v>
      </c>
      <c r="J104" t="s">
        <v>34</v>
      </c>
      <c r="K104" t="s">
        <v>31</v>
      </c>
      <c r="L104" t="s">
        <v>35</v>
      </c>
      <c r="M104" t="s">
        <v>36</v>
      </c>
      <c r="N104" t="s">
        <v>71</v>
      </c>
      <c r="O104" t="s">
        <v>61</v>
      </c>
      <c r="P104">
        <v>232524</v>
      </c>
      <c r="Q104" t="s">
        <v>79</v>
      </c>
      <c r="R104" t="s">
        <v>80</v>
      </c>
      <c r="S104" t="s">
        <v>38</v>
      </c>
      <c r="T104">
        <v>0</v>
      </c>
      <c r="U104">
        <v>0.75</v>
      </c>
      <c r="V104" s="2">
        <v>3.125E-2</v>
      </c>
      <c r="W104">
        <v>0</v>
      </c>
      <c r="AA104" t="s">
        <v>39</v>
      </c>
      <c r="AB104" t="s">
        <v>40</v>
      </c>
      <c r="AC104" t="s">
        <v>71</v>
      </c>
      <c r="AD104" t="s">
        <v>41</v>
      </c>
      <c r="AE104">
        <f t="shared" si="6"/>
        <v>4</v>
      </c>
      <c r="AF104" t="str">
        <f t="shared" si="5"/>
        <v>April</v>
      </c>
    </row>
    <row r="105" spans="1:32" x14ac:dyDescent="0.3">
      <c r="A105" s="1">
        <v>45391</v>
      </c>
      <c r="B105" t="s">
        <v>35</v>
      </c>
      <c r="C105" t="s">
        <v>30</v>
      </c>
      <c r="D105" t="s">
        <v>31</v>
      </c>
      <c r="E105" t="s">
        <v>78</v>
      </c>
      <c r="F105" t="s">
        <v>32</v>
      </c>
      <c r="G105" t="s">
        <v>33</v>
      </c>
      <c r="H105" t="s">
        <v>60</v>
      </c>
      <c r="I105" t="s">
        <v>232</v>
      </c>
      <c r="J105" t="s">
        <v>34</v>
      </c>
      <c r="K105" t="s">
        <v>31</v>
      </c>
      <c r="L105" t="s">
        <v>35</v>
      </c>
      <c r="M105" t="s">
        <v>36</v>
      </c>
      <c r="N105" t="s">
        <v>71</v>
      </c>
      <c r="O105" t="s">
        <v>61</v>
      </c>
      <c r="P105">
        <v>233122</v>
      </c>
      <c r="Q105" t="s">
        <v>79</v>
      </c>
      <c r="R105" t="s">
        <v>80</v>
      </c>
      <c r="S105" t="s">
        <v>38</v>
      </c>
      <c r="T105">
        <v>0</v>
      </c>
      <c r="U105">
        <v>0.75</v>
      </c>
      <c r="V105" s="2">
        <v>3.125E-2</v>
      </c>
      <c r="W105">
        <v>0</v>
      </c>
      <c r="AA105" t="s">
        <v>39</v>
      </c>
      <c r="AB105" t="s">
        <v>40</v>
      </c>
      <c r="AC105" t="s">
        <v>71</v>
      </c>
      <c r="AD105" t="s">
        <v>41</v>
      </c>
      <c r="AE105">
        <f t="shared" si="6"/>
        <v>4</v>
      </c>
      <c r="AF105" t="str">
        <f t="shared" si="5"/>
        <v>April</v>
      </c>
    </row>
    <row r="106" spans="1:32" x14ac:dyDescent="0.3">
      <c r="A106" s="1">
        <v>45392</v>
      </c>
      <c r="B106" t="s">
        <v>35</v>
      </c>
      <c r="C106" t="s">
        <v>30</v>
      </c>
      <c r="D106" t="s">
        <v>31</v>
      </c>
      <c r="E106" t="s">
        <v>78</v>
      </c>
      <c r="F106" t="s">
        <v>32</v>
      </c>
      <c r="G106" t="s">
        <v>33</v>
      </c>
      <c r="H106" t="s">
        <v>60</v>
      </c>
      <c r="I106" t="s">
        <v>232</v>
      </c>
      <c r="J106" t="s">
        <v>34</v>
      </c>
      <c r="K106" t="s">
        <v>31</v>
      </c>
      <c r="L106" t="s">
        <v>35</v>
      </c>
      <c r="M106" t="s">
        <v>36</v>
      </c>
      <c r="N106" t="s">
        <v>71</v>
      </c>
      <c r="O106" t="s">
        <v>61</v>
      </c>
      <c r="P106">
        <v>233821</v>
      </c>
      <c r="Q106" t="s">
        <v>79</v>
      </c>
      <c r="R106" t="s">
        <v>80</v>
      </c>
      <c r="S106" t="s">
        <v>38</v>
      </c>
      <c r="T106">
        <v>0</v>
      </c>
      <c r="U106">
        <v>1</v>
      </c>
      <c r="V106" s="2">
        <v>4.1666666666666664E-2</v>
      </c>
      <c r="W106">
        <v>0</v>
      </c>
      <c r="AA106" t="s">
        <v>39</v>
      </c>
      <c r="AB106" t="s">
        <v>40</v>
      </c>
      <c r="AC106" t="s">
        <v>71</v>
      </c>
      <c r="AD106" t="s">
        <v>41</v>
      </c>
      <c r="AE106">
        <f t="shared" si="6"/>
        <v>4</v>
      </c>
      <c r="AF106" t="str">
        <f t="shared" si="5"/>
        <v>April</v>
      </c>
    </row>
    <row r="107" spans="1:32" x14ac:dyDescent="0.3">
      <c r="A107" s="1">
        <v>45393</v>
      </c>
      <c r="B107" t="s">
        <v>35</v>
      </c>
      <c r="C107" t="s">
        <v>30</v>
      </c>
      <c r="D107" t="s">
        <v>31</v>
      </c>
      <c r="E107" t="s">
        <v>78</v>
      </c>
      <c r="F107" t="s">
        <v>32</v>
      </c>
      <c r="G107" t="s">
        <v>33</v>
      </c>
      <c r="H107" t="s">
        <v>60</v>
      </c>
      <c r="I107" t="s">
        <v>232</v>
      </c>
      <c r="J107" t="s">
        <v>34</v>
      </c>
      <c r="K107" t="s">
        <v>31</v>
      </c>
      <c r="L107" t="s">
        <v>35</v>
      </c>
      <c r="M107" t="s">
        <v>36</v>
      </c>
      <c r="N107" t="s">
        <v>71</v>
      </c>
      <c r="O107" t="s">
        <v>61</v>
      </c>
      <c r="P107">
        <v>234263</v>
      </c>
      <c r="Q107" t="s">
        <v>79</v>
      </c>
      <c r="R107" t="s">
        <v>80</v>
      </c>
      <c r="S107" t="s">
        <v>38</v>
      </c>
      <c r="T107">
        <v>0</v>
      </c>
      <c r="U107">
        <v>1</v>
      </c>
      <c r="V107" s="2">
        <v>4.1666666666666664E-2</v>
      </c>
      <c r="W107">
        <v>0</v>
      </c>
      <c r="AA107" t="s">
        <v>39</v>
      </c>
      <c r="AB107" t="s">
        <v>40</v>
      </c>
      <c r="AC107" t="s">
        <v>71</v>
      </c>
      <c r="AD107" t="s">
        <v>41</v>
      </c>
      <c r="AE107">
        <f t="shared" si="6"/>
        <v>4</v>
      </c>
      <c r="AF107" t="str">
        <f t="shared" si="5"/>
        <v>April</v>
      </c>
    </row>
    <row r="108" spans="1:32" x14ac:dyDescent="0.3">
      <c r="A108" s="1">
        <v>45394</v>
      </c>
      <c r="B108" t="s">
        <v>35</v>
      </c>
      <c r="C108" t="s">
        <v>30</v>
      </c>
      <c r="D108" t="s">
        <v>31</v>
      </c>
      <c r="E108" t="s">
        <v>78</v>
      </c>
      <c r="F108" t="s">
        <v>32</v>
      </c>
      <c r="G108" t="s">
        <v>33</v>
      </c>
      <c r="H108" t="s">
        <v>60</v>
      </c>
      <c r="I108" t="s">
        <v>232</v>
      </c>
      <c r="J108" t="s">
        <v>34</v>
      </c>
      <c r="K108" t="s">
        <v>31</v>
      </c>
      <c r="L108" t="s">
        <v>35</v>
      </c>
      <c r="M108" t="s">
        <v>36</v>
      </c>
      <c r="N108" t="s">
        <v>71</v>
      </c>
      <c r="O108" t="s">
        <v>61</v>
      </c>
      <c r="P108">
        <v>234430</v>
      </c>
      <c r="Q108" t="s">
        <v>79</v>
      </c>
      <c r="R108" t="s">
        <v>80</v>
      </c>
      <c r="S108" t="s">
        <v>38</v>
      </c>
      <c r="T108">
        <v>0</v>
      </c>
      <c r="U108">
        <v>0.75</v>
      </c>
      <c r="V108" s="2">
        <v>3.125E-2</v>
      </c>
      <c r="W108">
        <v>0</v>
      </c>
      <c r="AA108" t="s">
        <v>39</v>
      </c>
      <c r="AB108" t="s">
        <v>40</v>
      </c>
      <c r="AC108" t="s">
        <v>71</v>
      </c>
      <c r="AD108" t="s">
        <v>41</v>
      </c>
      <c r="AE108">
        <f t="shared" si="6"/>
        <v>4</v>
      </c>
      <c r="AF108" t="str">
        <f t="shared" si="5"/>
        <v>April</v>
      </c>
    </row>
    <row r="109" spans="1:32" x14ac:dyDescent="0.3">
      <c r="A109" s="1">
        <v>45397</v>
      </c>
      <c r="B109" t="s">
        <v>35</v>
      </c>
      <c r="C109" t="s">
        <v>30</v>
      </c>
      <c r="D109" t="s">
        <v>31</v>
      </c>
      <c r="E109" t="s">
        <v>78</v>
      </c>
      <c r="F109" t="s">
        <v>32</v>
      </c>
      <c r="G109" t="s">
        <v>33</v>
      </c>
      <c r="H109" t="s">
        <v>60</v>
      </c>
      <c r="I109" t="s">
        <v>232</v>
      </c>
      <c r="J109" t="s">
        <v>34</v>
      </c>
      <c r="K109" t="s">
        <v>31</v>
      </c>
      <c r="L109" t="s">
        <v>35</v>
      </c>
      <c r="M109" t="s">
        <v>36</v>
      </c>
      <c r="N109" t="s">
        <v>71</v>
      </c>
      <c r="O109" t="s">
        <v>61</v>
      </c>
      <c r="P109">
        <v>235324</v>
      </c>
      <c r="Q109" t="s">
        <v>79</v>
      </c>
      <c r="R109" t="s">
        <v>80</v>
      </c>
      <c r="S109" t="s">
        <v>38</v>
      </c>
      <c r="T109">
        <v>0</v>
      </c>
      <c r="U109">
        <v>1</v>
      </c>
      <c r="V109" s="2">
        <v>4.1666666666666664E-2</v>
      </c>
      <c r="W109">
        <v>0</v>
      </c>
      <c r="AA109" t="s">
        <v>39</v>
      </c>
      <c r="AB109" t="s">
        <v>40</v>
      </c>
      <c r="AC109" t="s">
        <v>71</v>
      </c>
      <c r="AD109" t="s">
        <v>41</v>
      </c>
      <c r="AE109">
        <f t="shared" si="6"/>
        <v>4</v>
      </c>
      <c r="AF109" t="str">
        <f t="shared" si="5"/>
        <v>April</v>
      </c>
    </row>
    <row r="110" spans="1:32" x14ac:dyDescent="0.3">
      <c r="A110" s="1">
        <v>45398</v>
      </c>
      <c r="B110" t="s">
        <v>35</v>
      </c>
      <c r="C110" t="s">
        <v>30</v>
      </c>
      <c r="D110" t="s">
        <v>31</v>
      </c>
      <c r="E110" t="s">
        <v>78</v>
      </c>
      <c r="F110" t="s">
        <v>32</v>
      </c>
      <c r="G110" t="s">
        <v>33</v>
      </c>
      <c r="H110" t="s">
        <v>60</v>
      </c>
      <c r="I110" t="s">
        <v>232</v>
      </c>
      <c r="J110" t="s">
        <v>34</v>
      </c>
      <c r="K110" t="s">
        <v>31</v>
      </c>
      <c r="L110" t="s">
        <v>35</v>
      </c>
      <c r="M110" t="s">
        <v>36</v>
      </c>
      <c r="N110" t="s">
        <v>71</v>
      </c>
      <c r="O110" t="s">
        <v>61</v>
      </c>
      <c r="P110">
        <v>235992</v>
      </c>
      <c r="Q110" t="s">
        <v>79</v>
      </c>
      <c r="R110" t="s">
        <v>80</v>
      </c>
      <c r="S110" t="s">
        <v>38</v>
      </c>
      <c r="T110">
        <v>0</v>
      </c>
      <c r="U110">
        <v>1.5</v>
      </c>
      <c r="V110" s="2">
        <v>6.25E-2</v>
      </c>
      <c r="W110">
        <v>0</v>
      </c>
      <c r="AA110" t="s">
        <v>39</v>
      </c>
      <c r="AB110" t="s">
        <v>40</v>
      </c>
      <c r="AC110" t="s">
        <v>71</v>
      </c>
      <c r="AD110" t="s">
        <v>41</v>
      </c>
      <c r="AE110">
        <f t="shared" si="6"/>
        <v>4</v>
      </c>
      <c r="AF110" t="str">
        <f t="shared" si="5"/>
        <v>April</v>
      </c>
    </row>
    <row r="111" spans="1:32" x14ac:dyDescent="0.3">
      <c r="A111" s="1">
        <v>45399</v>
      </c>
      <c r="B111" t="s">
        <v>35</v>
      </c>
      <c r="C111" t="s">
        <v>30</v>
      </c>
      <c r="D111" t="s">
        <v>31</v>
      </c>
      <c r="E111" t="s">
        <v>78</v>
      </c>
      <c r="F111" t="s">
        <v>32</v>
      </c>
      <c r="G111" t="s">
        <v>33</v>
      </c>
      <c r="H111" t="s">
        <v>60</v>
      </c>
      <c r="I111" t="s">
        <v>232</v>
      </c>
      <c r="J111" t="s">
        <v>34</v>
      </c>
      <c r="K111" t="s">
        <v>31</v>
      </c>
      <c r="L111" t="s">
        <v>35</v>
      </c>
      <c r="M111" t="s">
        <v>36</v>
      </c>
      <c r="N111" t="s">
        <v>71</v>
      </c>
      <c r="O111" t="s">
        <v>61</v>
      </c>
      <c r="P111">
        <v>236701</v>
      </c>
      <c r="Q111" t="s">
        <v>79</v>
      </c>
      <c r="R111" t="s">
        <v>80</v>
      </c>
      <c r="S111" t="s">
        <v>38</v>
      </c>
      <c r="T111">
        <v>0</v>
      </c>
      <c r="U111">
        <v>0.75</v>
      </c>
      <c r="V111" s="2">
        <v>3.125E-2</v>
      </c>
      <c r="W111">
        <v>0</v>
      </c>
      <c r="AA111" t="s">
        <v>39</v>
      </c>
      <c r="AB111" t="s">
        <v>40</v>
      </c>
      <c r="AC111" t="s">
        <v>71</v>
      </c>
      <c r="AD111" t="s">
        <v>41</v>
      </c>
      <c r="AE111">
        <f t="shared" si="6"/>
        <v>4</v>
      </c>
      <c r="AF111" t="str">
        <f t="shared" si="5"/>
        <v>April</v>
      </c>
    </row>
    <row r="112" spans="1:32" x14ac:dyDescent="0.3">
      <c r="A112" s="1">
        <v>45400</v>
      </c>
      <c r="B112" t="s">
        <v>35</v>
      </c>
      <c r="C112" t="s">
        <v>30</v>
      </c>
      <c r="D112" t="s">
        <v>31</v>
      </c>
      <c r="E112" t="s">
        <v>78</v>
      </c>
      <c r="F112" t="s">
        <v>32</v>
      </c>
      <c r="G112" t="s">
        <v>33</v>
      </c>
      <c r="H112" t="s">
        <v>60</v>
      </c>
      <c r="I112" t="s">
        <v>232</v>
      </c>
      <c r="J112" t="s">
        <v>34</v>
      </c>
      <c r="K112" t="s">
        <v>31</v>
      </c>
      <c r="L112" t="s">
        <v>35</v>
      </c>
      <c r="M112" t="s">
        <v>36</v>
      </c>
      <c r="N112" t="s">
        <v>71</v>
      </c>
      <c r="O112" t="s">
        <v>61</v>
      </c>
      <c r="P112">
        <v>237125</v>
      </c>
      <c r="Q112" t="s">
        <v>79</v>
      </c>
      <c r="R112" t="s">
        <v>80</v>
      </c>
      <c r="S112" t="s">
        <v>38</v>
      </c>
      <c r="T112">
        <v>0</v>
      </c>
      <c r="U112">
        <v>1</v>
      </c>
      <c r="V112" s="2">
        <v>4.1666666666666664E-2</v>
      </c>
      <c r="W112">
        <v>0</v>
      </c>
      <c r="AA112" t="s">
        <v>39</v>
      </c>
      <c r="AB112" t="s">
        <v>40</v>
      </c>
      <c r="AC112" t="s">
        <v>71</v>
      </c>
      <c r="AD112" t="s">
        <v>41</v>
      </c>
      <c r="AE112">
        <f t="shared" si="6"/>
        <v>4</v>
      </c>
      <c r="AF112" t="str">
        <f t="shared" si="5"/>
        <v>April</v>
      </c>
    </row>
    <row r="113" spans="1:32" x14ac:dyDescent="0.3">
      <c r="A113" s="1">
        <v>45401</v>
      </c>
      <c r="B113" t="s">
        <v>35</v>
      </c>
      <c r="C113" t="s">
        <v>30</v>
      </c>
      <c r="D113" t="s">
        <v>31</v>
      </c>
      <c r="E113" t="s">
        <v>78</v>
      </c>
      <c r="F113" t="s">
        <v>32</v>
      </c>
      <c r="G113" t="s">
        <v>33</v>
      </c>
      <c r="H113" t="s">
        <v>60</v>
      </c>
      <c r="I113" t="s">
        <v>232</v>
      </c>
      <c r="J113" t="s">
        <v>34</v>
      </c>
      <c r="K113" t="s">
        <v>31</v>
      </c>
      <c r="L113" t="s">
        <v>35</v>
      </c>
      <c r="M113" t="s">
        <v>36</v>
      </c>
      <c r="N113" t="s">
        <v>71</v>
      </c>
      <c r="O113" t="s">
        <v>61</v>
      </c>
      <c r="P113">
        <v>237711</v>
      </c>
      <c r="Q113" t="s">
        <v>79</v>
      </c>
      <c r="R113" t="s">
        <v>80</v>
      </c>
      <c r="S113" t="s">
        <v>38</v>
      </c>
      <c r="T113">
        <v>0</v>
      </c>
      <c r="U113">
        <v>0.75</v>
      </c>
      <c r="V113" s="2">
        <v>3.125E-2</v>
      </c>
      <c r="W113">
        <v>0</v>
      </c>
      <c r="AA113" t="s">
        <v>39</v>
      </c>
      <c r="AB113" t="s">
        <v>40</v>
      </c>
      <c r="AC113" t="s">
        <v>71</v>
      </c>
      <c r="AD113" t="s">
        <v>41</v>
      </c>
      <c r="AE113">
        <f t="shared" si="6"/>
        <v>4</v>
      </c>
      <c r="AF113" t="str">
        <f t="shared" si="5"/>
        <v>April</v>
      </c>
    </row>
    <row r="114" spans="1:32" x14ac:dyDescent="0.3">
      <c r="A114" s="1">
        <v>45404</v>
      </c>
      <c r="B114" t="s">
        <v>35</v>
      </c>
      <c r="C114" t="s">
        <v>30</v>
      </c>
      <c r="D114" t="s">
        <v>31</v>
      </c>
      <c r="E114" t="s">
        <v>78</v>
      </c>
      <c r="F114" t="s">
        <v>32</v>
      </c>
      <c r="G114" t="s">
        <v>33</v>
      </c>
      <c r="H114" t="s">
        <v>60</v>
      </c>
      <c r="I114" t="s">
        <v>232</v>
      </c>
      <c r="J114" t="s">
        <v>34</v>
      </c>
      <c r="K114" t="s">
        <v>31</v>
      </c>
      <c r="L114" t="s">
        <v>35</v>
      </c>
      <c r="M114" t="s">
        <v>36</v>
      </c>
      <c r="N114" t="s">
        <v>71</v>
      </c>
      <c r="O114" t="s">
        <v>61</v>
      </c>
      <c r="P114">
        <v>238353</v>
      </c>
      <c r="Q114" t="s">
        <v>79</v>
      </c>
      <c r="R114" t="s">
        <v>80</v>
      </c>
      <c r="S114" t="s">
        <v>38</v>
      </c>
      <c r="T114">
        <v>0</v>
      </c>
      <c r="U114">
        <v>0.5</v>
      </c>
      <c r="V114" s="2">
        <v>2.0833333333333332E-2</v>
      </c>
      <c r="W114">
        <v>0</v>
      </c>
      <c r="AA114" t="s">
        <v>39</v>
      </c>
      <c r="AB114" t="s">
        <v>40</v>
      </c>
      <c r="AC114" t="s">
        <v>71</v>
      </c>
      <c r="AD114" t="s">
        <v>41</v>
      </c>
      <c r="AE114">
        <f t="shared" si="6"/>
        <v>4</v>
      </c>
      <c r="AF114" t="str">
        <f t="shared" si="5"/>
        <v>April</v>
      </c>
    </row>
    <row r="115" spans="1:32" x14ac:dyDescent="0.3">
      <c r="A115" s="1">
        <v>45405</v>
      </c>
      <c r="B115" t="s">
        <v>35</v>
      </c>
      <c r="C115" t="s">
        <v>30</v>
      </c>
      <c r="D115" t="s">
        <v>31</v>
      </c>
      <c r="E115" t="s">
        <v>78</v>
      </c>
      <c r="F115" t="s">
        <v>32</v>
      </c>
      <c r="G115" t="s">
        <v>33</v>
      </c>
      <c r="H115" t="s">
        <v>60</v>
      </c>
      <c r="I115" t="s">
        <v>232</v>
      </c>
      <c r="J115" t="s">
        <v>34</v>
      </c>
      <c r="K115" t="s">
        <v>31</v>
      </c>
      <c r="L115" t="s">
        <v>35</v>
      </c>
      <c r="M115" t="s">
        <v>36</v>
      </c>
      <c r="N115" t="s">
        <v>71</v>
      </c>
      <c r="O115" t="s">
        <v>61</v>
      </c>
      <c r="P115">
        <v>239022</v>
      </c>
      <c r="Q115" t="s">
        <v>79</v>
      </c>
      <c r="R115" t="s">
        <v>80</v>
      </c>
      <c r="S115" t="s">
        <v>38</v>
      </c>
      <c r="T115">
        <v>0</v>
      </c>
      <c r="U115">
        <v>0.25</v>
      </c>
      <c r="V115" s="2">
        <v>1.0416666666666666E-2</v>
      </c>
      <c r="W115">
        <v>0</v>
      </c>
      <c r="AA115" t="s">
        <v>39</v>
      </c>
      <c r="AB115" t="s">
        <v>40</v>
      </c>
      <c r="AC115" t="s">
        <v>71</v>
      </c>
      <c r="AD115" t="s">
        <v>41</v>
      </c>
      <c r="AE115">
        <f t="shared" ref="AE115:AE128" si="7">MONTH(A115)</f>
        <v>4</v>
      </c>
      <c r="AF115" t="str">
        <f t="shared" ref="AF115:AF128" si="8">IF(AE115=1,"January",IF(AE115=2,"February",IF(AE115=3,"March",IF(AE115=4,"April",IF(AE115=5,"May")))))</f>
        <v>April</v>
      </c>
    </row>
    <row r="116" spans="1:32" x14ac:dyDescent="0.3">
      <c r="A116" s="1">
        <v>45406</v>
      </c>
      <c r="B116" t="s">
        <v>35</v>
      </c>
      <c r="C116" t="s">
        <v>30</v>
      </c>
      <c r="D116" t="s">
        <v>31</v>
      </c>
      <c r="E116" t="s">
        <v>78</v>
      </c>
      <c r="F116" t="s">
        <v>32</v>
      </c>
      <c r="G116" t="s">
        <v>33</v>
      </c>
      <c r="H116" t="s">
        <v>60</v>
      </c>
      <c r="I116" t="s">
        <v>232</v>
      </c>
      <c r="J116" t="s">
        <v>34</v>
      </c>
      <c r="K116" t="s">
        <v>31</v>
      </c>
      <c r="L116" t="s">
        <v>35</v>
      </c>
      <c r="M116" t="s">
        <v>36</v>
      </c>
      <c r="N116" t="s">
        <v>71</v>
      </c>
      <c r="O116" t="s">
        <v>61</v>
      </c>
      <c r="P116">
        <v>239576</v>
      </c>
      <c r="Q116" t="s">
        <v>79</v>
      </c>
      <c r="R116" t="s">
        <v>80</v>
      </c>
      <c r="S116" t="s">
        <v>38</v>
      </c>
      <c r="T116">
        <v>0</v>
      </c>
      <c r="U116">
        <v>0.5</v>
      </c>
      <c r="V116" s="2">
        <v>2.0833333333333332E-2</v>
      </c>
      <c r="W116">
        <v>0</v>
      </c>
      <c r="AA116" t="s">
        <v>39</v>
      </c>
      <c r="AB116" t="s">
        <v>40</v>
      </c>
      <c r="AC116" t="s">
        <v>71</v>
      </c>
      <c r="AD116" t="s">
        <v>41</v>
      </c>
      <c r="AE116">
        <f t="shared" si="7"/>
        <v>4</v>
      </c>
      <c r="AF116" t="str">
        <f t="shared" si="8"/>
        <v>April</v>
      </c>
    </row>
    <row r="117" spans="1:32" x14ac:dyDescent="0.3">
      <c r="A117" s="1">
        <v>45407</v>
      </c>
      <c r="B117" t="s">
        <v>35</v>
      </c>
      <c r="C117" t="s">
        <v>30</v>
      </c>
      <c r="D117" t="s">
        <v>31</v>
      </c>
      <c r="E117" t="s">
        <v>78</v>
      </c>
      <c r="F117" t="s">
        <v>32</v>
      </c>
      <c r="G117" t="s">
        <v>33</v>
      </c>
      <c r="H117" t="s">
        <v>60</v>
      </c>
      <c r="I117" t="s">
        <v>232</v>
      </c>
      <c r="J117" t="s">
        <v>34</v>
      </c>
      <c r="K117" t="s">
        <v>31</v>
      </c>
      <c r="L117" t="s">
        <v>35</v>
      </c>
      <c r="M117" t="s">
        <v>36</v>
      </c>
      <c r="N117" t="s">
        <v>71</v>
      </c>
      <c r="O117" t="s">
        <v>61</v>
      </c>
      <c r="P117">
        <v>240339</v>
      </c>
      <c r="Q117" t="s">
        <v>79</v>
      </c>
      <c r="R117" t="s">
        <v>80</v>
      </c>
      <c r="S117" t="s">
        <v>38</v>
      </c>
      <c r="T117">
        <v>0</v>
      </c>
      <c r="U117">
        <v>0.5</v>
      </c>
      <c r="V117" s="2">
        <v>2.0833333333333332E-2</v>
      </c>
      <c r="W117">
        <v>0</v>
      </c>
      <c r="AA117" t="s">
        <v>39</v>
      </c>
      <c r="AB117" t="s">
        <v>40</v>
      </c>
      <c r="AC117" t="s">
        <v>71</v>
      </c>
      <c r="AD117" t="s">
        <v>41</v>
      </c>
      <c r="AE117">
        <f t="shared" si="7"/>
        <v>4</v>
      </c>
      <c r="AF117" t="str">
        <f t="shared" si="8"/>
        <v>April</v>
      </c>
    </row>
    <row r="118" spans="1:32" x14ac:dyDescent="0.3">
      <c r="A118" s="1">
        <v>45408</v>
      </c>
      <c r="B118" t="s">
        <v>35</v>
      </c>
      <c r="C118" t="s">
        <v>30</v>
      </c>
      <c r="D118" t="s">
        <v>31</v>
      </c>
      <c r="E118" t="s">
        <v>78</v>
      </c>
      <c r="F118" t="s">
        <v>32</v>
      </c>
      <c r="G118" t="s">
        <v>33</v>
      </c>
      <c r="H118" t="s">
        <v>60</v>
      </c>
      <c r="I118" t="s">
        <v>232</v>
      </c>
      <c r="J118" t="s">
        <v>34</v>
      </c>
      <c r="K118" t="s">
        <v>31</v>
      </c>
      <c r="L118" t="s">
        <v>35</v>
      </c>
      <c r="M118" t="s">
        <v>36</v>
      </c>
      <c r="N118" t="s">
        <v>71</v>
      </c>
      <c r="O118" t="s">
        <v>61</v>
      </c>
      <c r="P118">
        <v>240375</v>
      </c>
      <c r="Q118" t="s">
        <v>79</v>
      </c>
      <c r="R118" t="s">
        <v>80</v>
      </c>
      <c r="S118" t="s">
        <v>38</v>
      </c>
      <c r="T118">
        <v>0</v>
      </c>
      <c r="U118">
        <v>0.25</v>
      </c>
      <c r="V118" s="2">
        <v>1.0416666666666666E-2</v>
      </c>
      <c r="W118">
        <v>0</v>
      </c>
      <c r="AA118" t="s">
        <v>39</v>
      </c>
      <c r="AB118" t="s">
        <v>40</v>
      </c>
      <c r="AC118" t="s">
        <v>71</v>
      </c>
      <c r="AD118" t="s">
        <v>41</v>
      </c>
      <c r="AE118">
        <f t="shared" si="7"/>
        <v>4</v>
      </c>
      <c r="AF118" t="str">
        <f t="shared" si="8"/>
        <v>April</v>
      </c>
    </row>
    <row r="119" spans="1:32" x14ac:dyDescent="0.3">
      <c r="A119" s="1">
        <v>45411</v>
      </c>
      <c r="B119" t="s">
        <v>35</v>
      </c>
      <c r="C119" t="s">
        <v>30</v>
      </c>
      <c r="D119" t="s">
        <v>31</v>
      </c>
      <c r="E119" t="s">
        <v>78</v>
      </c>
      <c r="F119" t="s">
        <v>32</v>
      </c>
      <c r="G119" t="s">
        <v>33</v>
      </c>
      <c r="H119" t="s">
        <v>60</v>
      </c>
      <c r="I119" t="s">
        <v>232</v>
      </c>
      <c r="J119" t="s">
        <v>34</v>
      </c>
      <c r="K119" t="s">
        <v>31</v>
      </c>
      <c r="L119" t="s">
        <v>35</v>
      </c>
      <c r="M119" t="s">
        <v>36</v>
      </c>
      <c r="N119" t="s">
        <v>71</v>
      </c>
      <c r="O119" t="s">
        <v>61</v>
      </c>
      <c r="P119">
        <v>241507</v>
      </c>
      <c r="Q119" t="s">
        <v>79</v>
      </c>
      <c r="R119" t="s">
        <v>80</v>
      </c>
      <c r="S119" t="s">
        <v>38</v>
      </c>
      <c r="T119">
        <v>0</v>
      </c>
      <c r="U119">
        <v>0.75</v>
      </c>
      <c r="V119" s="2">
        <v>3.125E-2</v>
      </c>
      <c r="W119">
        <v>0</v>
      </c>
      <c r="AA119" t="s">
        <v>39</v>
      </c>
      <c r="AB119" t="s">
        <v>40</v>
      </c>
      <c r="AC119" t="s">
        <v>71</v>
      </c>
      <c r="AD119" t="s">
        <v>41</v>
      </c>
      <c r="AE119">
        <f t="shared" si="7"/>
        <v>4</v>
      </c>
      <c r="AF119" t="str">
        <f t="shared" si="8"/>
        <v>April</v>
      </c>
    </row>
    <row r="120" spans="1:32" x14ac:dyDescent="0.3">
      <c r="A120" s="1">
        <v>45412</v>
      </c>
      <c r="B120" t="s">
        <v>35</v>
      </c>
      <c r="C120" t="s">
        <v>30</v>
      </c>
      <c r="D120" t="s">
        <v>31</v>
      </c>
      <c r="E120" t="s">
        <v>78</v>
      </c>
      <c r="F120" t="s">
        <v>32</v>
      </c>
      <c r="G120" t="s">
        <v>33</v>
      </c>
      <c r="H120" t="s">
        <v>60</v>
      </c>
      <c r="I120" t="s">
        <v>232</v>
      </c>
      <c r="J120" t="s">
        <v>34</v>
      </c>
      <c r="K120" t="s">
        <v>31</v>
      </c>
      <c r="L120" t="s">
        <v>35</v>
      </c>
      <c r="M120" t="s">
        <v>36</v>
      </c>
      <c r="N120" t="s">
        <v>71</v>
      </c>
      <c r="O120" t="s">
        <v>61</v>
      </c>
      <c r="P120">
        <v>241946</v>
      </c>
      <c r="Q120" t="s">
        <v>79</v>
      </c>
      <c r="R120" t="s">
        <v>80</v>
      </c>
      <c r="S120" t="s">
        <v>38</v>
      </c>
      <c r="T120">
        <v>0</v>
      </c>
      <c r="U120">
        <v>0.25</v>
      </c>
      <c r="V120" s="2">
        <v>1.0416666666666666E-2</v>
      </c>
      <c r="W120">
        <v>0</v>
      </c>
      <c r="AA120" t="s">
        <v>39</v>
      </c>
      <c r="AB120" t="s">
        <v>40</v>
      </c>
      <c r="AC120" t="s">
        <v>71</v>
      </c>
      <c r="AD120" t="s">
        <v>41</v>
      </c>
      <c r="AE120">
        <f t="shared" si="7"/>
        <v>4</v>
      </c>
      <c r="AF120" t="str">
        <f t="shared" si="8"/>
        <v>April</v>
      </c>
    </row>
    <row r="121" spans="1:32" x14ac:dyDescent="0.3">
      <c r="A121" s="1">
        <v>45415</v>
      </c>
      <c r="B121" t="s">
        <v>35</v>
      </c>
      <c r="C121" t="s">
        <v>30</v>
      </c>
      <c r="D121" t="s">
        <v>31</v>
      </c>
      <c r="E121" t="s">
        <v>78</v>
      </c>
      <c r="F121" t="s">
        <v>32</v>
      </c>
      <c r="G121" t="s">
        <v>33</v>
      </c>
      <c r="H121" t="s">
        <v>60</v>
      </c>
      <c r="I121" t="s">
        <v>232</v>
      </c>
      <c r="J121" t="s">
        <v>34</v>
      </c>
      <c r="K121" t="s">
        <v>31</v>
      </c>
      <c r="L121" t="s">
        <v>35</v>
      </c>
      <c r="M121" t="s">
        <v>36</v>
      </c>
      <c r="N121" t="s">
        <v>71</v>
      </c>
      <c r="O121" t="s">
        <v>61</v>
      </c>
      <c r="P121">
        <v>243418</v>
      </c>
      <c r="Q121" t="s">
        <v>79</v>
      </c>
      <c r="R121" t="s">
        <v>80</v>
      </c>
      <c r="S121" t="s">
        <v>38</v>
      </c>
      <c r="T121">
        <v>0</v>
      </c>
      <c r="U121">
        <v>0.5</v>
      </c>
      <c r="V121" s="2">
        <v>2.0833333333333332E-2</v>
      </c>
      <c r="W121">
        <v>0</v>
      </c>
      <c r="AA121" t="s">
        <v>39</v>
      </c>
      <c r="AB121" t="s">
        <v>40</v>
      </c>
      <c r="AC121" t="s">
        <v>71</v>
      </c>
      <c r="AD121" t="s">
        <v>41</v>
      </c>
      <c r="AE121">
        <f t="shared" si="7"/>
        <v>5</v>
      </c>
      <c r="AF121" t="str">
        <f t="shared" si="8"/>
        <v>May</v>
      </c>
    </row>
    <row r="122" spans="1:32" x14ac:dyDescent="0.3">
      <c r="A122" s="1">
        <v>45418</v>
      </c>
      <c r="B122" t="s">
        <v>35</v>
      </c>
      <c r="C122" t="s">
        <v>30</v>
      </c>
      <c r="D122" t="s">
        <v>31</v>
      </c>
      <c r="E122" t="s">
        <v>78</v>
      </c>
      <c r="F122" t="s">
        <v>32</v>
      </c>
      <c r="G122" t="s">
        <v>33</v>
      </c>
      <c r="H122" t="s">
        <v>60</v>
      </c>
      <c r="I122" t="s">
        <v>232</v>
      </c>
      <c r="J122" t="s">
        <v>34</v>
      </c>
      <c r="K122" t="s">
        <v>31</v>
      </c>
      <c r="L122" t="s">
        <v>35</v>
      </c>
      <c r="M122" t="s">
        <v>36</v>
      </c>
      <c r="N122" t="s">
        <v>71</v>
      </c>
      <c r="O122" t="s">
        <v>61</v>
      </c>
      <c r="P122">
        <v>243831</v>
      </c>
      <c r="Q122" t="s">
        <v>79</v>
      </c>
      <c r="R122" t="s">
        <v>80</v>
      </c>
      <c r="S122" t="s">
        <v>38</v>
      </c>
      <c r="T122">
        <v>0</v>
      </c>
      <c r="U122">
        <v>0.5</v>
      </c>
      <c r="V122" s="2">
        <v>2.0833333333333332E-2</v>
      </c>
      <c r="W122">
        <v>0</v>
      </c>
      <c r="AA122" t="s">
        <v>39</v>
      </c>
      <c r="AB122" t="s">
        <v>40</v>
      </c>
      <c r="AC122" t="s">
        <v>71</v>
      </c>
      <c r="AD122" t="s">
        <v>41</v>
      </c>
      <c r="AE122">
        <f t="shared" si="7"/>
        <v>5</v>
      </c>
      <c r="AF122" t="str">
        <f t="shared" si="8"/>
        <v>May</v>
      </c>
    </row>
    <row r="123" spans="1:32" x14ac:dyDescent="0.3">
      <c r="A123" s="1">
        <v>45419</v>
      </c>
      <c r="B123" t="s">
        <v>35</v>
      </c>
      <c r="C123" t="s">
        <v>30</v>
      </c>
      <c r="D123" t="s">
        <v>31</v>
      </c>
      <c r="E123" t="s">
        <v>78</v>
      </c>
      <c r="F123" t="s">
        <v>32</v>
      </c>
      <c r="G123" t="s">
        <v>33</v>
      </c>
      <c r="H123" t="s">
        <v>60</v>
      </c>
      <c r="I123" t="s">
        <v>232</v>
      </c>
      <c r="J123" t="s">
        <v>34</v>
      </c>
      <c r="K123" t="s">
        <v>31</v>
      </c>
      <c r="L123" t="s">
        <v>35</v>
      </c>
      <c r="M123" t="s">
        <v>36</v>
      </c>
      <c r="N123" t="s">
        <v>71</v>
      </c>
      <c r="O123" t="s">
        <v>61</v>
      </c>
      <c r="P123">
        <v>244356</v>
      </c>
      <c r="Q123" t="s">
        <v>79</v>
      </c>
      <c r="R123" t="s">
        <v>80</v>
      </c>
      <c r="S123" t="s">
        <v>38</v>
      </c>
      <c r="T123">
        <v>0</v>
      </c>
      <c r="U123">
        <v>0.5</v>
      </c>
      <c r="V123" s="2">
        <v>2.0833333333333332E-2</v>
      </c>
      <c r="W123">
        <v>0</v>
      </c>
      <c r="AA123" t="s">
        <v>39</v>
      </c>
      <c r="AB123" t="s">
        <v>40</v>
      </c>
      <c r="AC123" t="s">
        <v>71</v>
      </c>
      <c r="AD123" t="s">
        <v>41</v>
      </c>
      <c r="AE123">
        <f t="shared" si="7"/>
        <v>5</v>
      </c>
      <c r="AF123" t="str">
        <f t="shared" si="8"/>
        <v>May</v>
      </c>
    </row>
    <row r="124" spans="1:32" x14ac:dyDescent="0.3">
      <c r="A124" s="1">
        <v>45420</v>
      </c>
      <c r="B124" t="s">
        <v>35</v>
      </c>
      <c r="C124" t="s">
        <v>30</v>
      </c>
      <c r="D124" t="s">
        <v>31</v>
      </c>
      <c r="E124" t="s">
        <v>78</v>
      </c>
      <c r="F124" t="s">
        <v>32</v>
      </c>
      <c r="G124" t="s">
        <v>33</v>
      </c>
      <c r="H124" t="s">
        <v>60</v>
      </c>
      <c r="I124" t="s">
        <v>232</v>
      </c>
      <c r="J124" t="s">
        <v>34</v>
      </c>
      <c r="K124" t="s">
        <v>31</v>
      </c>
      <c r="L124" t="s">
        <v>35</v>
      </c>
      <c r="M124" t="s">
        <v>36</v>
      </c>
      <c r="N124" t="s">
        <v>71</v>
      </c>
      <c r="O124" t="s">
        <v>61</v>
      </c>
      <c r="P124">
        <v>244599</v>
      </c>
      <c r="Q124" t="s">
        <v>79</v>
      </c>
      <c r="R124" t="s">
        <v>80</v>
      </c>
      <c r="S124" t="s">
        <v>38</v>
      </c>
      <c r="T124">
        <v>0</v>
      </c>
      <c r="U124">
        <v>0.5</v>
      </c>
      <c r="V124" s="2">
        <v>2.0833333333333332E-2</v>
      </c>
      <c r="W124">
        <v>0</v>
      </c>
      <c r="AA124" t="s">
        <v>39</v>
      </c>
      <c r="AB124" t="s">
        <v>40</v>
      </c>
      <c r="AC124" t="s">
        <v>71</v>
      </c>
      <c r="AD124" t="s">
        <v>41</v>
      </c>
      <c r="AE124">
        <f t="shared" si="7"/>
        <v>5</v>
      </c>
      <c r="AF124" t="str">
        <f t="shared" si="8"/>
        <v>May</v>
      </c>
    </row>
    <row r="125" spans="1:32" x14ac:dyDescent="0.3">
      <c r="A125" s="1">
        <v>45421</v>
      </c>
      <c r="B125" t="s">
        <v>35</v>
      </c>
      <c r="C125" t="s">
        <v>30</v>
      </c>
      <c r="D125" t="s">
        <v>31</v>
      </c>
      <c r="E125" t="s">
        <v>78</v>
      </c>
      <c r="F125" t="s">
        <v>32</v>
      </c>
      <c r="G125" t="s">
        <v>33</v>
      </c>
      <c r="H125" t="s">
        <v>60</v>
      </c>
      <c r="I125" t="s">
        <v>232</v>
      </c>
      <c r="J125" t="s">
        <v>34</v>
      </c>
      <c r="K125" t="s">
        <v>31</v>
      </c>
      <c r="L125" t="s">
        <v>35</v>
      </c>
      <c r="M125" t="s">
        <v>36</v>
      </c>
      <c r="N125" t="s">
        <v>71</v>
      </c>
      <c r="O125" t="s">
        <v>61</v>
      </c>
      <c r="P125">
        <v>245361</v>
      </c>
      <c r="Q125" t="s">
        <v>79</v>
      </c>
      <c r="R125" t="s">
        <v>80</v>
      </c>
      <c r="S125" t="s">
        <v>38</v>
      </c>
      <c r="T125">
        <v>0</v>
      </c>
      <c r="U125">
        <v>1</v>
      </c>
      <c r="V125" s="2">
        <v>4.1666666666666664E-2</v>
      </c>
      <c r="W125">
        <v>0</v>
      </c>
      <c r="AA125" t="s">
        <v>39</v>
      </c>
      <c r="AB125" t="s">
        <v>40</v>
      </c>
      <c r="AC125" t="s">
        <v>71</v>
      </c>
      <c r="AD125" t="s">
        <v>41</v>
      </c>
      <c r="AE125">
        <f t="shared" si="7"/>
        <v>5</v>
      </c>
      <c r="AF125" t="str">
        <f t="shared" si="8"/>
        <v>May</v>
      </c>
    </row>
    <row r="126" spans="1:32" x14ac:dyDescent="0.3">
      <c r="A126" s="1">
        <v>45422</v>
      </c>
      <c r="B126" t="s">
        <v>35</v>
      </c>
      <c r="C126" t="s">
        <v>30</v>
      </c>
      <c r="D126" t="s">
        <v>31</v>
      </c>
      <c r="E126" t="s">
        <v>78</v>
      </c>
      <c r="F126" t="s">
        <v>32</v>
      </c>
      <c r="G126" t="s">
        <v>33</v>
      </c>
      <c r="H126" t="s">
        <v>60</v>
      </c>
      <c r="I126" t="s">
        <v>232</v>
      </c>
      <c r="J126" t="s">
        <v>34</v>
      </c>
      <c r="K126" t="s">
        <v>31</v>
      </c>
      <c r="L126" t="s">
        <v>35</v>
      </c>
      <c r="M126" t="s">
        <v>36</v>
      </c>
      <c r="N126" t="s">
        <v>71</v>
      </c>
      <c r="O126" t="s">
        <v>61</v>
      </c>
      <c r="P126">
        <v>245722</v>
      </c>
      <c r="Q126" t="s">
        <v>79</v>
      </c>
      <c r="R126" t="s">
        <v>80</v>
      </c>
      <c r="S126" t="s">
        <v>38</v>
      </c>
      <c r="T126">
        <v>0</v>
      </c>
      <c r="U126">
        <v>0.5</v>
      </c>
      <c r="V126" s="2">
        <v>2.0833333333333332E-2</v>
      </c>
      <c r="W126">
        <v>0</v>
      </c>
      <c r="AA126" t="s">
        <v>39</v>
      </c>
      <c r="AC126" t="s">
        <v>71</v>
      </c>
      <c r="AD126" t="s">
        <v>41</v>
      </c>
      <c r="AE126">
        <f t="shared" si="7"/>
        <v>5</v>
      </c>
      <c r="AF126" t="str">
        <f t="shared" si="8"/>
        <v>May</v>
      </c>
    </row>
    <row r="127" spans="1:32" x14ac:dyDescent="0.3">
      <c r="A127" s="1">
        <v>45425</v>
      </c>
      <c r="B127" t="s">
        <v>35</v>
      </c>
      <c r="C127" t="s">
        <v>30</v>
      </c>
      <c r="D127" t="s">
        <v>31</v>
      </c>
      <c r="E127" t="s">
        <v>78</v>
      </c>
      <c r="F127" t="s">
        <v>32</v>
      </c>
      <c r="G127" t="s">
        <v>33</v>
      </c>
      <c r="H127" t="s">
        <v>60</v>
      </c>
      <c r="I127" t="s">
        <v>232</v>
      </c>
      <c r="J127" t="s">
        <v>34</v>
      </c>
      <c r="K127" t="s">
        <v>31</v>
      </c>
      <c r="L127" t="s">
        <v>35</v>
      </c>
      <c r="M127" t="s">
        <v>36</v>
      </c>
      <c r="N127" t="s">
        <v>71</v>
      </c>
      <c r="O127" t="s">
        <v>61</v>
      </c>
      <c r="P127">
        <v>246583</v>
      </c>
      <c r="Q127" t="s">
        <v>79</v>
      </c>
      <c r="R127" t="s">
        <v>80</v>
      </c>
      <c r="S127" t="s">
        <v>38</v>
      </c>
      <c r="T127">
        <v>0</v>
      </c>
      <c r="U127">
        <v>1</v>
      </c>
      <c r="V127" s="2">
        <v>4.1666666666666664E-2</v>
      </c>
      <c r="W127">
        <v>0</v>
      </c>
      <c r="AA127" t="s">
        <v>39</v>
      </c>
      <c r="AC127" t="s">
        <v>71</v>
      </c>
      <c r="AD127" t="s">
        <v>41</v>
      </c>
      <c r="AE127">
        <f t="shared" si="7"/>
        <v>5</v>
      </c>
      <c r="AF127" t="str">
        <f t="shared" si="8"/>
        <v>May</v>
      </c>
    </row>
    <row r="128" spans="1:32" x14ac:dyDescent="0.3">
      <c r="A128" s="1">
        <v>45426</v>
      </c>
      <c r="B128" t="s">
        <v>35</v>
      </c>
      <c r="C128" t="s">
        <v>30</v>
      </c>
      <c r="D128" t="s">
        <v>31</v>
      </c>
      <c r="E128" t="s">
        <v>78</v>
      </c>
      <c r="F128" t="s">
        <v>32</v>
      </c>
      <c r="G128" t="s">
        <v>33</v>
      </c>
      <c r="H128" t="s">
        <v>60</v>
      </c>
      <c r="I128" t="s">
        <v>232</v>
      </c>
      <c r="J128" t="s">
        <v>34</v>
      </c>
      <c r="K128" t="s">
        <v>31</v>
      </c>
      <c r="L128" t="s">
        <v>35</v>
      </c>
      <c r="M128" t="s">
        <v>36</v>
      </c>
      <c r="N128" t="s">
        <v>71</v>
      </c>
      <c r="O128" t="s">
        <v>61</v>
      </c>
      <c r="P128">
        <v>247035</v>
      </c>
      <c r="Q128" t="s">
        <v>79</v>
      </c>
      <c r="R128" t="s">
        <v>80</v>
      </c>
      <c r="S128" t="s">
        <v>38</v>
      </c>
      <c r="T128">
        <v>0</v>
      </c>
      <c r="U128">
        <v>0.5</v>
      </c>
      <c r="V128" s="2">
        <v>2.0833333333333332E-2</v>
      </c>
      <c r="W128">
        <v>0</v>
      </c>
      <c r="AA128" t="s">
        <v>39</v>
      </c>
      <c r="AC128" t="s">
        <v>71</v>
      </c>
      <c r="AD128" t="s">
        <v>41</v>
      </c>
      <c r="AE128">
        <f t="shared" si="7"/>
        <v>5</v>
      </c>
      <c r="AF128" t="str">
        <f t="shared" si="8"/>
        <v>May</v>
      </c>
    </row>
    <row r="129" spans="1:32" x14ac:dyDescent="0.3">
      <c r="A129" s="1">
        <v>45427</v>
      </c>
      <c r="B129" t="s">
        <v>35</v>
      </c>
      <c r="C129" t="s">
        <v>30</v>
      </c>
      <c r="D129" t="s">
        <v>31</v>
      </c>
      <c r="E129" t="s">
        <v>78</v>
      </c>
      <c r="F129" t="s">
        <v>32</v>
      </c>
      <c r="G129" t="s">
        <v>33</v>
      </c>
      <c r="H129" t="s">
        <v>60</v>
      </c>
      <c r="I129" t="s">
        <v>232</v>
      </c>
      <c r="J129" t="s">
        <v>34</v>
      </c>
      <c r="K129" t="s">
        <v>31</v>
      </c>
      <c r="L129" t="s">
        <v>35</v>
      </c>
      <c r="M129" t="s">
        <v>36</v>
      </c>
      <c r="N129" t="s">
        <v>71</v>
      </c>
      <c r="O129" t="s">
        <v>61</v>
      </c>
      <c r="P129">
        <v>247848</v>
      </c>
      <c r="Q129" t="s">
        <v>79</v>
      </c>
      <c r="R129" t="s">
        <v>80</v>
      </c>
      <c r="S129" t="s">
        <v>38</v>
      </c>
      <c r="T129">
        <v>0</v>
      </c>
      <c r="U129">
        <v>1</v>
      </c>
      <c r="V129" s="2">
        <v>4.1666666666666664E-2</v>
      </c>
      <c r="W129">
        <v>0</v>
      </c>
      <c r="AA129" t="s">
        <v>39</v>
      </c>
      <c r="AC129" t="s">
        <v>71</v>
      </c>
      <c r="AD129" t="s">
        <v>41</v>
      </c>
      <c r="AE129">
        <f t="shared" ref="AE129:AE145" si="9">MONTH(A129)</f>
        <v>5</v>
      </c>
      <c r="AF129" t="str">
        <f t="shared" ref="AF129:AF145" si="10">IF(AE129=1,"January",IF(AE129=2,"February",IF(AE129=3,"March",IF(AE129=4,"April",IF(AE129=5,"May")))))</f>
        <v>May</v>
      </c>
    </row>
    <row r="130" spans="1:32" x14ac:dyDescent="0.3">
      <c r="A130" s="1">
        <v>45428</v>
      </c>
      <c r="B130" t="s">
        <v>35</v>
      </c>
      <c r="C130" t="s">
        <v>30</v>
      </c>
      <c r="D130" t="s">
        <v>31</v>
      </c>
      <c r="E130" t="s">
        <v>78</v>
      </c>
      <c r="F130" t="s">
        <v>32</v>
      </c>
      <c r="G130" t="s">
        <v>33</v>
      </c>
      <c r="H130" t="s">
        <v>60</v>
      </c>
      <c r="I130" t="s">
        <v>232</v>
      </c>
      <c r="J130" t="s">
        <v>34</v>
      </c>
      <c r="K130" t="s">
        <v>31</v>
      </c>
      <c r="L130" t="s">
        <v>35</v>
      </c>
      <c r="M130" t="s">
        <v>36</v>
      </c>
      <c r="N130" t="s">
        <v>71</v>
      </c>
      <c r="O130" t="s">
        <v>61</v>
      </c>
      <c r="P130">
        <v>248901</v>
      </c>
      <c r="Q130" t="s">
        <v>79</v>
      </c>
      <c r="R130" t="s">
        <v>80</v>
      </c>
      <c r="S130" t="s">
        <v>38</v>
      </c>
      <c r="T130">
        <v>0</v>
      </c>
      <c r="U130">
        <v>0.5</v>
      </c>
      <c r="V130" s="2">
        <v>2.0833333333333332E-2</v>
      </c>
      <c r="W130">
        <v>0</v>
      </c>
      <c r="AA130" t="s">
        <v>39</v>
      </c>
      <c r="AC130" t="s">
        <v>71</v>
      </c>
      <c r="AD130" t="s">
        <v>41</v>
      </c>
      <c r="AE130">
        <f t="shared" si="9"/>
        <v>5</v>
      </c>
      <c r="AF130" t="str">
        <f t="shared" si="10"/>
        <v>May</v>
      </c>
    </row>
    <row r="131" spans="1:32" x14ac:dyDescent="0.3">
      <c r="A131" s="1">
        <v>45429</v>
      </c>
      <c r="B131" t="s">
        <v>35</v>
      </c>
      <c r="C131" t="s">
        <v>30</v>
      </c>
      <c r="D131" t="s">
        <v>31</v>
      </c>
      <c r="E131" t="s">
        <v>78</v>
      </c>
      <c r="F131" t="s">
        <v>32</v>
      </c>
      <c r="G131" t="s">
        <v>33</v>
      </c>
      <c r="H131" t="s">
        <v>60</v>
      </c>
      <c r="I131" t="s">
        <v>232</v>
      </c>
      <c r="J131" t="s">
        <v>34</v>
      </c>
      <c r="K131" t="s">
        <v>31</v>
      </c>
      <c r="L131" t="s">
        <v>35</v>
      </c>
      <c r="M131" t="s">
        <v>36</v>
      </c>
      <c r="N131" t="s">
        <v>71</v>
      </c>
      <c r="O131" t="s">
        <v>61</v>
      </c>
      <c r="P131">
        <v>248902</v>
      </c>
      <c r="Q131" t="s">
        <v>79</v>
      </c>
      <c r="R131" t="s">
        <v>80</v>
      </c>
      <c r="S131" t="s">
        <v>38</v>
      </c>
      <c r="T131">
        <v>0</v>
      </c>
      <c r="U131">
        <v>0.5</v>
      </c>
      <c r="V131" s="2">
        <v>2.0833333333333332E-2</v>
      </c>
      <c r="W131">
        <v>0</v>
      </c>
      <c r="AA131" t="s">
        <v>39</v>
      </c>
      <c r="AC131" t="s">
        <v>71</v>
      </c>
      <c r="AD131" t="s">
        <v>41</v>
      </c>
      <c r="AE131">
        <f t="shared" si="9"/>
        <v>5</v>
      </c>
      <c r="AF131" t="str">
        <f t="shared" si="10"/>
        <v>May</v>
      </c>
    </row>
    <row r="132" spans="1:32" x14ac:dyDescent="0.3">
      <c r="A132" s="1">
        <v>45432</v>
      </c>
      <c r="B132" t="s">
        <v>35</v>
      </c>
      <c r="C132" t="s">
        <v>30</v>
      </c>
      <c r="D132" t="s">
        <v>31</v>
      </c>
      <c r="E132" t="s">
        <v>78</v>
      </c>
      <c r="F132" t="s">
        <v>32</v>
      </c>
      <c r="G132" t="s">
        <v>33</v>
      </c>
      <c r="H132" t="s">
        <v>60</v>
      </c>
      <c r="I132" t="s">
        <v>232</v>
      </c>
      <c r="J132" t="s">
        <v>34</v>
      </c>
      <c r="K132" t="s">
        <v>31</v>
      </c>
      <c r="L132" t="s">
        <v>35</v>
      </c>
      <c r="M132" t="s">
        <v>36</v>
      </c>
      <c r="N132" t="s">
        <v>71</v>
      </c>
      <c r="O132" t="s">
        <v>61</v>
      </c>
      <c r="P132">
        <v>249463</v>
      </c>
      <c r="Q132" t="s">
        <v>79</v>
      </c>
      <c r="R132" t="s">
        <v>80</v>
      </c>
      <c r="S132" t="s">
        <v>38</v>
      </c>
      <c r="T132">
        <v>0</v>
      </c>
      <c r="U132">
        <v>0.5</v>
      </c>
      <c r="V132" s="2">
        <v>2.0833333333333332E-2</v>
      </c>
      <c r="W132">
        <v>0</v>
      </c>
      <c r="AA132" t="s">
        <v>39</v>
      </c>
      <c r="AC132" t="s">
        <v>71</v>
      </c>
      <c r="AD132" t="s">
        <v>41</v>
      </c>
      <c r="AE132">
        <f t="shared" si="9"/>
        <v>5</v>
      </c>
      <c r="AF132" t="str">
        <f t="shared" si="10"/>
        <v>May</v>
      </c>
    </row>
    <row r="133" spans="1:32" x14ac:dyDescent="0.3">
      <c r="A133" s="1">
        <v>45433</v>
      </c>
      <c r="B133" t="s">
        <v>35</v>
      </c>
      <c r="C133" t="s">
        <v>30</v>
      </c>
      <c r="D133" t="s">
        <v>31</v>
      </c>
      <c r="E133" t="s">
        <v>78</v>
      </c>
      <c r="F133" t="s">
        <v>32</v>
      </c>
      <c r="G133" t="s">
        <v>33</v>
      </c>
      <c r="H133" t="s">
        <v>60</v>
      </c>
      <c r="I133" t="s">
        <v>232</v>
      </c>
      <c r="J133" t="s">
        <v>34</v>
      </c>
      <c r="K133" t="s">
        <v>31</v>
      </c>
      <c r="L133" t="s">
        <v>35</v>
      </c>
      <c r="M133" t="s">
        <v>36</v>
      </c>
      <c r="N133" t="s">
        <v>71</v>
      </c>
      <c r="O133" t="s">
        <v>61</v>
      </c>
      <c r="P133">
        <v>250288</v>
      </c>
      <c r="Q133" t="s">
        <v>79</v>
      </c>
      <c r="R133" t="s">
        <v>80</v>
      </c>
      <c r="S133" t="s">
        <v>38</v>
      </c>
      <c r="T133">
        <v>0</v>
      </c>
      <c r="U133">
        <v>0.5</v>
      </c>
      <c r="V133" s="2">
        <v>2.0833333333333332E-2</v>
      </c>
      <c r="W133">
        <v>0</v>
      </c>
      <c r="AA133" t="s">
        <v>39</v>
      </c>
      <c r="AC133" t="s">
        <v>71</v>
      </c>
      <c r="AD133" t="s">
        <v>41</v>
      </c>
      <c r="AE133">
        <f t="shared" si="9"/>
        <v>5</v>
      </c>
      <c r="AF133" t="str">
        <f t="shared" si="10"/>
        <v>May</v>
      </c>
    </row>
    <row r="134" spans="1:32" x14ac:dyDescent="0.3">
      <c r="A134" s="1">
        <v>45434</v>
      </c>
      <c r="B134" t="s">
        <v>35</v>
      </c>
      <c r="C134" t="s">
        <v>30</v>
      </c>
      <c r="D134" t="s">
        <v>31</v>
      </c>
      <c r="E134" t="s">
        <v>78</v>
      </c>
      <c r="F134" t="s">
        <v>32</v>
      </c>
      <c r="G134" t="s">
        <v>33</v>
      </c>
      <c r="H134" t="s">
        <v>60</v>
      </c>
      <c r="I134" t="s">
        <v>232</v>
      </c>
      <c r="J134" t="s">
        <v>34</v>
      </c>
      <c r="K134" t="s">
        <v>31</v>
      </c>
      <c r="L134" t="s">
        <v>35</v>
      </c>
      <c r="M134" t="s">
        <v>36</v>
      </c>
      <c r="N134" t="s">
        <v>71</v>
      </c>
      <c r="O134" t="s">
        <v>61</v>
      </c>
      <c r="P134">
        <v>250291</v>
      </c>
      <c r="Q134" t="s">
        <v>79</v>
      </c>
      <c r="R134" t="s">
        <v>80</v>
      </c>
      <c r="S134" t="s">
        <v>38</v>
      </c>
      <c r="T134">
        <v>0</v>
      </c>
      <c r="U134">
        <v>0.5</v>
      </c>
      <c r="V134" s="2">
        <v>2.0833333333333332E-2</v>
      </c>
      <c r="W134">
        <v>0</v>
      </c>
      <c r="AA134" t="s">
        <v>39</v>
      </c>
      <c r="AC134" t="s">
        <v>71</v>
      </c>
      <c r="AD134" t="s">
        <v>41</v>
      </c>
      <c r="AE134">
        <f t="shared" si="9"/>
        <v>5</v>
      </c>
      <c r="AF134" t="str">
        <f t="shared" si="10"/>
        <v>May</v>
      </c>
    </row>
    <row r="135" spans="1:32" x14ac:dyDescent="0.3">
      <c r="A135" s="1">
        <v>45435</v>
      </c>
      <c r="B135" t="s">
        <v>35</v>
      </c>
      <c r="C135" t="s">
        <v>30</v>
      </c>
      <c r="D135" t="s">
        <v>31</v>
      </c>
      <c r="E135" t="s">
        <v>78</v>
      </c>
      <c r="F135" t="s">
        <v>32</v>
      </c>
      <c r="G135" t="s">
        <v>33</v>
      </c>
      <c r="H135" t="s">
        <v>60</v>
      </c>
      <c r="I135" t="s">
        <v>232</v>
      </c>
      <c r="J135" t="s">
        <v>34</v>
      </c>
      <c r="K135" t="s">
        <v>31</v>
      </c>
      <c r="L135" t="s">
        <v>35</v>
      </c>
      <c r="M135" t="s">
        <v>36</v>
      </c>
      <c r="N135" t="s">
        <v>71</v>
      </c>
      <c r="O135" t="s">
        <v>61</v>
      </c>
      <c r="P135">
        <v>250839</v>
      </c>
      <c r="Q135" t="s">
        <v>79</v>
      </c>
      <c r="R135" t="s">
        <v>80</v>
      </c>
      <c r="S135" t="s">
        <v>38</v>
      </c>
      <c r="T135">
        <v>0</v>
      </c>
      <c r="U135">
        <v>0.25</v>
      </c>
      <c r="V135" s="2">
        <v>1.0416666666666666E-2</v>
      </c>
      <c r="W135">
        <v>0</v>
      </c>
      <c r="AA135" t="s">
        <v>39</v>
      </c>
      <c r="AC135" t="s">
        <v>71</v>
      </c>
      <c r="AD135" t="s">
        <v>41</v>
      </c>
      <c r="AE135">
        <f t="shared" si="9"/>
        <v>5</v>
      </c>
      <c r="AF135" t="str">
        <f t="shared" si="10"/>
        <v>May</v>
      </c>
    </row>
    <row r="136" spans="1:32" x14ac:dyDescent="0.3">
      <c r="A136" s="1">
        <v>45379</v>
      </c>
      <c r="B136" t="s">
        <v>69</v>
      </c>
      <c r="C136" t="s">
        <v>30</v>
      </c>
      <c r="D136" t="s">
        <v>31</v>
      </c>
      <c r="E136" t="s">
        <v>43</v>
      </c>
      <c r="F136" t="s">
        <v>32</v>
      </c>
      <c r="G136" t="s">
        <v>33</v>
      </c>
      <c r="H136" t="s">
        <v>60</v>
      </c>
      <c r="I136" t="s">
        <v>232</v>
      </c>
      <c r="J136" t="s">
        <v>34</v>
      </c>
      <c r="K136" t="s">
        <v>31</v>
      </c>
      <c r="L136" t="s">
        <v>35</v>
      </c>
      <c r="M136" t="s">
        <v>36</v>
      </c>
      <c r="N136" t="s">
        <v>42</v>
      </c>
      <c r="O136" t="s">
        <v>61</v>
      </c>
      <c r="P136">
        <v>229978</v>
      </c>
      <c r="Q136" t="s">
        <v>62</v>
      </c>
      <c r="R136" t="s">
        <v>37</v>
      </c>
      <c r="S136" t="s">
        <v>38</v>
      </c>
      <c r="T136">
        <v>90</v>
      </c>
      <c r="U136">
        <v>0.5</v>
      </c>
      <c r="V136" s="2">
        <v>2.0833333333333332E-2</v>
      </c>
      <c r="W136">
        <v>45</v>
      </c>
      <c r="X136">
        <v>59.5</v>
      </c>
      <c r="Y136">
        <v>14.5</v>
      </c>
      <c r="Z136" t="s">
        <v>207</v>
      </c>
      <c r="AA136" t="s">
        <v>39</v>
      </c>
      <c r="AB136" t="s">
        <v>40</v>
      </c>
      <c r="AC136" t="s">
        <v>70</v>
      </c>
      <c r="AD136" t="s">
        <v>41</v>
      </c>
      <c r="AE136">
        <f t="shared" si="9"/>
        <v>3</v>
      </c>
      <c r="AF136" t="str">
        <f t="shared" si="10"/>
        <v>March</v>
      </c>
    </row>
    <row r="137" spans="1:32" x14ac:dyDescent="0.3">
      <c r="A137" s="1">
        <v>45419</v>
      </c>
      <c r="B137" t="s">
        <v>69</v>
      </c>
      <c r="C137" t="s">
        <v>30</v>
      </c>
      <c r="D137" t="s">
        <v>31</v>
      </c>
      <c r="E137" t="s">
        <v>43</v>
      </c>
      <c r="F137" t="s">
        <v>32</v>
      </c>
      <c r="G137" t="s">
        <v>33</v>
      </c>
      <c r="H137" t="s">
        <v>60</v>
      </c>
      <c r="I137" t="s">
        <v>232</v>
      </c>
      <c r="J137" t="s">
        <v>34</v>
      </c>
      <c r="K137" t="s">
        <v>31</v>
      </c>
      <c r="L137" t="s">
        <v>35</v>
      </c>
      <c r="M137" t="s">
        <v>36</v>
      </c>
      <c r="N137" t="s">
        <v>42</v>
      </c>
      <c r="O137" t="s">
        <v>61</v>
      </c>
      <c r="P137">
        <v>244430</v>
      </c>
      <c r="Q137" t="s">
        <v>79</v>
      </c>
      <c r="R137" t="s">
        <v>80</v>
      </c>
      <c r="S137" t="s">
        <v>38</v>
      </c>
      <c r="T137">
        <v>0</v>
      </c>
      <c r="U137">
        <v>1</v>
      </c>
      <c r="V137" s="2">
        <v>4.1666666666666664E-2</v>
      </c>
      <c r="W137">
        <v>0</v>
      </c>
      <c r="AA137" t="s">
        <v>39</v>
      </c>
      <c r="AB137" t="s">
        <v>40</v>
      </c>
      <c r="AC137" t="s">
        <v>242</v>
      </c>
      <c r="AD137" t="s">
        <v>41</v>
      </c>
      <c r="AE137">
        <f t="shared" si="9"/>
        <v>5</v>
      </c>
      <c r="AF137" t="str">
        <f t="shared" si="10"/>
        <v>May</v>
      </c>
    </row>
    <row r="138" spans="1:32" x14ac:dyDescent="0.3">
      <c r="A138" s="1">
        <v>45420</v>
      </c>
      <c r="B138" t="s">
        <v>69</v>
      </c>
      <c r="C138" t="s">
        <v>30</v>
      </c>
      <c r="D138" t="s">
        <v>31</v>
      </c>
      <c r="E138" t="s">
        <v>43</v>
      </c>
      <c r="F138" t="s">
        <v>32</v>
      </c>
      <c r="G138" t="s">
        <v>33</v>
      </c>
      <c r="H138" t="s">
        <v>60</v>
      </c>
      <c r="I138" t="s">
        <v>232</v>
      </c>
      <c r="J138" t="s">
        <v>34</v>
      </c>
      <c r="K138" t="s">
        <v>31</v>
      </c>
      <c r="L138" t="s">
        <v>35</v>
      </c>
      <c r="M138" t="s">
        <v>36</v>
      </c>
      <c r="N138" t="s">
        <v>42</v>
      </c>
      <c r="O138" t="s">
        <v>61</v>
      </c>
      <c r="P138">
        <v>244738</v>
      </c>
      <c r="Q138" t="s">
        <v>79</v>
      </c>
      <c r="R138" t="s">
        <v>80</v>
      </c>
      <c r="S138" t="s">
        <v>38</v>
      </c>
      <c r="T138">
        <v>0</v>
      </c>
      <c r="U138">
        <v>2</v>
      </c>
      <c r="V138" s="2">
        <v>8.3333333333333329E-2</v>
      </c>
      <c r="W138">
        <v>0</v>
      </c>
      <c r="AA138" t="s">
        <v>39</v>
      </c>
      <c r="AB138" t="s">
        <v>40</v>
      </c>
      <c r="AC138" t="s">
        <v>71</v>
      </c>
      <c r="AD138" t="s">
        <v>41</v>
      </c>
      <c r="AE138">
        <f t="shared" si="9"/>
        <v>5</v>
      </c>
      <c r="AF138" t="str">
        <f t="shared" si="10"/>
        <v>May</v>
      </c>
    </row>
    <row r="139" spans="1:32" x14ac:dyDescent="0.3">
      <c r="A139" s="1">
        <v>45421</v>
      </c>
      <c r="B139" t="s">
        <v>69</v>
      </c>
      <c r="C139" t="s">
        <v>30</v>
      </c>
      <c r="D139" t="s">
        <v>31</v>
      </c>
      <c r="E139" t="s">
        <v>43</v>
      </c>
      <c r="F139" t="s">
        <v>32</v>
      </c>
      <c r="G139" t="s">
        <v>33</v>
      </c>
      <c r="H139" t="s">
        <v>60</v>
      </c>
      <c r="I139" t="s">
        <v>232</v>
      </c>
      <c r="J139" t="s">
        <v>34</v>
      </c>
      <c r="K139" t="s">
        <v>31</v>
      </c>
      <c r="L139" t="s">
        <v>35</v>
      </c>
      <c r="M139" t="s">
        <v>36</v>
      </c>
      <c r="N139" t="s">
        <v>42</v>
      </c>
      <c r="O139" t="s">
        <v>61</v>
      </c>
      <c r="P139">
        <v>245768</v>
      </c>
      <c r="Q139" t="s">
        <v>79</v>
      </c>
      <c r="R139" t="s">
        <v>80</v>
      </c>
      <c r="S139" t="s">
        <v>38</v>
      </c>
      <c r="T139">
        <v>0</v>
      </c>
      <c r="U139">
        <v>2</v>
      </c>
      <c r="V139" s="2">
        <v>8.3333333333333329E-2</v>
      </c>
      <c r="W139">
        <v>0</v>
      </c>
      <c r="AA139" t="s">
        <v>39</v>
      </c>
      <c r="AC139" t="s">
        <v>243</v>
      </c>
      <c r="AD139" t="s">
        <v>41</v>
      </c>
      <c r="AE139">
        <f t="shared" si="9"/>
        <v>5</v>
      </c>
      <c r="AF139" t="str">
        <f t="shared" si="10"/>
        <v>May</v>
      </c>
    </row>
    <row r="140" spans="1:32" x14ac:dyDescent="0.3">
      <c r="A140" s="1">
        <v>45422</v>
      </c>
      <c r="B140" t="s">
        <v>69</v>
      </c>
      <c r="C140" t="s">
        <v>30</v>
      </c>
      <c r="D140" t="s">
        <v>31</v>
      </c>
      <c r="E140" t="s">
        <v>43</v>
      </c>
      <c r="F140" t="s">
        <v>32</v>
      </c>
      <c r="G140" t="s">
        <v>33</v>
      </c>
      <c r="H140" t="s">
        <v>60</v>
      </c>
      <c r="I140" t="s">
        <v>232</v>
      </c>
      <c r="J140" t="s">
        <v>34</v>
      </c>
      <c r="K140" t="s">
        <v>31</v>
      </c>
      <c r="L140" t="s">
        <v>35</v>
      </c>
      <c r="M140" t="s">
        <v>36</v>
      </c>
      <c r="N140" t="s">
        <v>42</v>
      </c>
      <c r="O140" t="s">
        <v>61</v>
      </c>
      <c r="P140">
        <v>245776</v>
      </c>
      <c r="Q140" t="s">
        <v>79</v>
      </c>
      <c r="R140" t="s">
        <v>80</v>
      </c>
      <c r="S140" t="s">
        <v>38</v>
      </c>
      <c r="T140">
        <v>0</v>
      </c>
      <c r="U140">
        <v>2</v>
      </c>
      <c r="V140" s="2">
        <v>8.3333333333333329E-2</v>
      </c>
      <c r="W140">
        <v>0</v>
      </c>
      <c r="AA140" t="s">
        <v>39</v>
      </c>
      <c r="AC140" t="s">
        <v>71</v>
      </c>
      <c r="AD140" t="s">
        <v>41</v>
      </c>
      <c r="AE140">
        <f t="shared" si="9"/>
        <v>5</v>
      </c>
      <c r="AF140" t="str">
        <f t="shared" si="10"/>
        <v>May</v>
      </c>
    </row>
    <row r="141" spans="1:32" x14ac:dyDescent="0.3">
      <c r="A141" s="1">
        <v>45425</v>
      </c>
      <c r="B141" t="s">
        <v>69</v>
      </c>
      <c r="C141" t="s">
        <v>30</v>
      </c>
      <c r="D141" t="s">
        <v>31</v>
      </c>
      <c r="E141" t="s">
        <v>43</v>
      </c>
      <c r="F141" t="s">
        <v>32</v>
      </c>
      <c r="G141" t="s">
        <v>33</v>
      </c>
      <c r="H141" t="s">
        <v>60</v>
      </c>
      <c r="I141" t="s">
        <v>232</v>
      </c>
      <c r="J141" t="s">
        <v>34</v>
      </c>
      <c r="K141" t="s">
        <v>31</v>
      </c>
      <c r="L141" t="s">
        <v>35</v>
      </c>
      <c r="M141" t="s">
        <v>36</v>
      </c>
      <c r="N141" t="s">
        <v>42</v>
      </c>
      <c r="O141" t="s">
        <v>61</v>
      </c>
      <c r="P141">
        <v>247316</v>
      </c>
      <c r="Q141" t="s">
        <v>79</v>
      </c>
      <c r="R141" t="s">
        <v>80</v>
      </c>
      <c r="S141" t="s">
        <v>38</v>
      </c>
      <c r="T141">
        <v>0</v>
      </c>
      <c r="U141">
        <v>5.25</v>
      </c>
      <c r="V141" s="2">
        <v>0.21875</v>
      </c>
      <c r="W141">
        <v>0</v>
      </c>
      <c r="AA141" t="s">
        <v>39</v>
      </c>
      <c r="AC141" t="s">
        <v>274</v>
      </c>
      <c r="AD141" t="s">
        <v>41</v>
      </c>
      <c r="AE141">
        <f t="shared" si="9"/>
        <v>5</v>
      </c>
      <c r="AF141" t="str">
        <f t="shared" si="10"/>
        <v>May</v>
      </c>
    </row>
    <row r="142" spans="1:32" x14ac:dyDescent="0.3">
      <c r="A142" s="1">
        <v>45426</v>
      </c>
      <c r="B142" t="s">
        <v>69</v>
      </c>
      <c r="C142" t="s">
        <v>30</v>
      </c>
      <c r="D142" t="s">
        <v>31</v>
      </c>
      <c r="E142" t="s">
        <v>43</v>
      </c>
      <c r="F142" t="s">
        <v>32</v>
      </c>
      <c r="G142" t="s">
        <v>33</v>
      </c>
      <c r="H142" t="s">
        <v>60</v>
      </c>
      <c r="I142" t="s">
        <v>232</v>
      </c>
      <c r="J142" t="s">
        <v>34</v>
      </c>
      <c r="K142" t="s">
        <v>31</v>
      </c>
      <c r="L142" t="s">
        <v>35</v>
      </c>
      <c r="M142" t="s">
        <v>36</v>
      </c>
      <c r="N142" t="s">
        <v>42</v>
      </c>
      <c r="O142" t="s">
        <v>61</v>
      </c>
      <c r="P142">
        <v>247319</v>
      </c>
      <c r="Q142" t="s">
        <v>79</v>
      </c>
      <c r="R142" t="s">
        <v>80</v>
      </c>
      <c r="S142" t="s">
        <v>38</v>
      </c>
      <c r="T142">
        <v>0</v>
      </c>
      <c r="U142">
        <v>3.25</v>
      </c>
      <c r="V142" s="2">
        <v>0.13541666666666666</v>
      </c>
      <c r="W142">
        <v>0</v>
      </c>
      <c r="AA142" t="s">
        <v>39</v>
      </c>
      <c r="AC142" t="s">
        <v>293</v>
      </c>
      <c r="AD142" t="s">
        <v>41</v>
      </c>
      <c r="AE142">
        <f t="shared" si="9"/>
        <v>5</v>
      </c>
      <c r="AF142" t="str">
        <f t="shared" si="10"/>
        <v>May</v>
      </c>
    </row>
    <row r="143" spans="1:32" x14ac:dyDescent="0.3">
      <c r="A143" s="1">
        <v>45427</v>
      </c>
      <c r="B143" t="s">
        <v>69</v>
      </c>
      <c r="C143" t="s">
        <v>30</v>
      </c>
      <c r="D143" t="s">
        <v>31</v>
      </c>
      <c r="E143" t="s">
        <v>43</v>
      </c>
      <c r="F143" t="s">
        <v>32</v>
      </c>
      <c r="G143" t="s">
        <v>33</v>
      </c>
      <c r="H143" t="s">
        <v>60</v>
      </c>
      <c r="I143" t="s">
        <v>232</v>
      </c>
      <c r="J143" t="s">
        <v>34</v>
      </c>
      <c r="K143" t="s">
        <v>31</v>
      </c>
      <c r="L143" t="s">
        <v>35</v>
      </c>
      <c r="M143" t="s">
        <v>36</v>
      </c>
      <c r="N143" t="s">
        <v>42</v>
      </c>
      <c r="O143" t="s">
        <v>61</v>
      </c>
      <c r="P143">
        <v>247793</v>
      </c>
      <c r="Q143" t="s">
        <v>79</v>
      </c>
      <c r="R143" t="s">
        <v>80</v>
      </c>
      <c r="S143" t="s">
        <v>38</v>
      </c>
      <c r="T143">
        <v>0</v>
      </c>
      <c r="U143">
        <v>0.25</v>
      </c>
      <c r="V143" s="2">
        <v>1.0416666666666666E-2</v>
      </c>
      <c r="W143">
        <v>0</v>
      </c>
      <c r="AA143" t="s">
        <v>39</v>
      </c>
      <c r="AC143" t="s">
        <v>71</v>
      </c>
      <c r="AD143" t="s">
        <v>41</v>
      </c>
      <c r="AE143">
        <f t="shared" si="9"/>
        <v>5</v>
      </c>
      <c r="AF143" t="str">
        <f t="shared" si="10"/>
        <v>May</v>
      </c>
    </row>
    <row r="144" spans="1:32" x14ac:dyDescent="0.3">
      <c r="A144" s="1">
        <v>45428</v>
      </c>
      <c r="B144" t="s">
        <v>69</v>
      </c>
      <c r="C144" t="s">
        <v>30</v>
      </c>
      <c r="D144" t="s">
        <v>31</v>
      </c>
      <c r="E144" t="s">
        <v>43</v>
      </c>
      <c r="F144" t="s">
        <v>32</v>
      </c>
      <c r="G144" t="s">
        <v>33</v>
      </c>
      <c r="H144" t="s">
        <v>60</v>
      </c>
      <c r="I144" t="s">
        <v>232</v>
      </c>
      <c r="J144" t="s">
        <v>34</v>
      </c>
      <c r="K144" t="s">
        <v>31</v>
      </c>
      <c r="L144" t="s">
        <v>35</v>
      </c>
      <c r="M144" t="s">
        <v>36</v>
      </c>
      <c r="N144" t="s">
        <v>42</v>
      </c>
      <c r="O144" t="s">
        <v>61</v>
      </c>
      <c r="P144">
        <v>248860</v>
      </c>
      <c r="Q144" t="s">
        <v>79</v>
      </c>
      <c r="R144" t="s">
        <v>80</v>
      </c>
      <c r="S144" t="s">
        <v>38</v>
      </c>
      <c r="T144">
        <v>0</v>
      </c>
      <c r="U144">
        <v>0.25</v>
      </c>
      <c r="V144" s="2">
        <v>1.0416666666666666E-2</v>
      </c>
      <c r="W144">
        <v>0</v>
      </c>
      <c r="AA144" t="s">
        <v>39</v>
      </c>
      <c r="AC144" t="s">
        <v>71</v>
      </c>
      <c r="AD144" t="s">
        <v>41</v>
      </c>
      <c r="AE144">
        <f t="shared" si="9"/>
        <v>5</v>
      </c>
      <c r="AF144" t="str">
        <f t="shared" si="10"/>
        <v>May</v>
      </c>
    </row>
    <row r="145" spans="1:32" x14ac:dyDescent="0.3">
      <c r="A145" s="1">
        <v>45429</v>
      </c>
      <c r="B145" t="s">
        <v>69</v>
      </c>
      <c r="C145" t="s">
        <v>30</v>
      </c>
      <c r="D145" t="s">
        <v>31</v>
      </c>
      <c r="E145" t="s">
        <v>43</v>
      </c>
      <c r="F145" t="s">
        <v>32</v>
      </c>
      <c r="G145" t="s">
        <v>33</v>
      </c>
      <c r="H145" t="s">
        <v>60</v>
      </c>
      <c r="I145" t="s">
        <v>232</v>
      </c>
      <c r="J145" t="s">
        <v>34</v>
      </c>
      <c r="K145" t="s">
        <v>31</v>
      </c>
      <c r="L145" t="s">
        <v>35</v>
      </c>
      <c r="M145" t="s">
        <v>36</v>
      </c>
      <c r="N145" t="s">
        <v>42</v>
      </c>
      <c r="O145" t="s">
        <v>61</v>
      </c>
      <c r="P145">
        <v>248878</v>
      </c>
      <c r="Q145" t="s">
        <v>79</v>
      </c>
      <c r="R145" t="s">
        <v>80</v>
      </c>
      <c r="S145" t="s">
        <v>38</v>
      </c>
      <c r="T145">
        <v>0</v>
      </c>
      <c r="U145">
        <v>0.25</v>
      </c>
      <c r="V145" s="2">
        <v>1.0416666666666666E-2</v>
      </c>
      <c r="W145">
        <v>0</v>
      </c>
      <c r="AA145" t="s">
        <v>39</v>
      </c>
      <c r="AC145" t="s">
        <v>71</v>
      </c>
      <c r="AD145" t="s">
        <v>41</v>
      </c>
      <c r="AE145">
        <f t="shared" si="9"/>
        <v>5</v>
      </c>
      <c r="AF145" t="str">
        <f t="shared" si="10"/>
        <v>May</v>
      </c>
    </row>
  </sheetData>
  <autoFilter ref="A1:AF128" xr:uid="{00000000-0001-0000-0100-000000000000}"/>
  <sortState xmlns:xlrd2="http://schemas.microsoft.com/office/spreadsheetml/2017/richdata2" ref="A2:AF74">
    <sortCondition ref="A2:A7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6985-0825-4F0E-8215-111405B6C843}">
  <dimension ref="A1:L129"/>
  <sheetViews>
    <sheetView topLeftCell="A103" zoomScale="85" zoomScaleNormal="85" workbookViewId="0">
      <selection activeCell="E111" activeCellId="1" sqref="D111:D129 E111:F129"/>
    </sheetView>
  </sheetViews>
  <sheetFormatPr defaultRowHeight="14.4" x14ac:dyDescent="0.3"/>
  <cols>
    <col min="3" max="3" width="59.33203125" bestFit="1" customWidth="1"/>
    <col min="4" max="4" width="65.109375" bestFit="1" customWidth="1"/>
    <col min="5" max="5" width="17.6640625" bestFit="1" customWidth="1"/>
    <col min="6" max="6" width="18.21875" bestFit="1" customWidth="1"/>
    <col min="8" max="9" width="36.88671875" bestFit="1" customWidth="1"/>
    <col min="10" max="11" width="10.6640625" bestFit="1" customWidth="1"/>
  </cols>
  <sheetData>
    <row r="1" spans="1:12" x14ac:dyDescent="0.3">
      <c r="A1" t="s">
        <v>179</v>
      </c>
    </row>
    <row r="2" spans="1:12" x14ac:dyDescent="0.3">
      <c r="A2" t="s">
        <v>99</v>
      </c>
      <c r="B2" t="s">
        <v>100</v>
      </c>
      <c r="C2" t="s">
        <v>101</v>
      </c>
      <c r="E2" t="s">
        <v>102</v>
      </c>
      <c r="F2" t="s">
        <v>103</v>
      </c>
      <c r="G2" t="s">
        <v>104</v>
      </c>
      <c r="H2" t="s">
        <v>105</v>
      </c>
      <c r="I2" t="s">
        <v>106</v>
      </c>
      <c r="J2" t="s">
        <v>107</v>
      </c>
      <c r="K2" t="s">
        <v>108</v>
      </c>
      <c r="L2" t="s">
        <v>109</v>
      </c>
    </row>
    <row r="3" spans="1:12" x14ac:dyDescent="0.3">
      <c r="A3" t="s">
        <v>110</v>
      </c>
      <c r="B3" t="s">
        <v>111</v>
      </c>
      <c r="C3" t="s">
        <v>112</v>
      </c>
      <c r="D3" t="str">
        <f>CONCATENATE(B3," ",C3)</f>
        <v xml:space="preserve"> BSS-8  Unable to complete task on EOT</v>
      </c>
      <c r="E3" t="s">
        <v>113</v>
      </c>
      <c r="F3" t="s">
        <v>114</v>
      </c>
      <c r="G3" t="s">
        <v>115</v>
      </c>
      <c r="H3" t="s">
        <v>116</v>
      </c>
      <c r="I3" t="s">
        <v>115</v>
      </c>
      <c r="J3" t="s">
        <v>117</v>
      </c>
      <c r="K3" t="s">
        <v>118</v>
      </c>
      <c r="L3" t="s">
        <v>227</v>
      </c>
    </row>
    <row r="4" spans="1:12" x14ac:dyDescent="0.3">
      <c r="A4" t="s">
        <v>110</v>
      </c>
      <c r="B4" t="s">
        <v>119</v>
      </c>
      <c r="C4" t="s">
        <v>120</v>
      </c>
      <c r="D4" t="str">
        <f t="shared" ref="D4:D10" si="0">CONCATENATE(B4," ",C4)</f>
        <v xml:space="preserve"> BSS-9  HomeLet referencing error showing in this opportunity</v>
      </c>
      <c r="E4" t="s">
        <v>121</v>
      </c>
      <c r="F4" t="s">
        <v>204</v>
      </c>
      <c r="G4" t="s">
        <v>115</v>
      </c>
      <c r="H4" t="s">
        <v>116</v>
      </c>
      <c r="I4" t="s">
        <v>115</v>
      </c>
      <c r="J4" t="s">
        <v>122</v>
      </c>
      <c r="K4" t="s">
        <v>122</v>
      </c>
      <c r="L4" t="s">
        <v>204</v>
      </c>
    </row>
    <row r="5" spans="1:12" x14ac:dyDescent="0.3">
      <c r="A5" t="s">
        <v>110</v>
      </c>
      <c r="B5" t="s">
        <v>123</v>
      </c>
      <c r="C5" t="s">
        <v>124</v>
      </c>
      <c r="D5" t="str">
        <f t="shared" si="0"/>
        <v xml:space="preserve"> BSS-3  EOT task- Couldn't  be cancelled through approver ( record owner)</v>
      </c>
      <c r="E5" t="s">
        <v>121</v>
      </c>
      <c r="F5" t="s">
        <v>227</v>
      </c>
      <c r="G5" t="s">
        <v>115</v>
      </c>
      <c r="H5" t="s">
        <v>116</v>
      </c>
      <c r="I5" t="s">
        <v>125</v>
      </c>
      <c r="J5" t="s">
        <v>126</v>
      </c>
      <c r="K5" t="s">
        <v>122</v>
      </c>
      <c r="L5" t="s">
        <v>227</v>
      </c>
    </row>
    <row r="6" spans="1:12" x14ac:dyDescent="0.3">
      <c r="A6" t="s">
        <v>110</v>
      </c>
      <c r="B6" t="s">
        <v>127</v>
      </c>
      <c r="C6" t="s">
        <v>128</v>
      </c>
      <c r="D6" t="str">
        <f t="shared" si="0"/>
        <v xml:space="preserve"> BSS-4  Agreement not pulling the template with 1 tenant and 2 guarantors </v>
      </c>
      <c r="E6" t="s">
        <v>121</v>
      </c>
      <c r="F6" t="s">
        <v>227</v>
      </c>
      <c r="G6" t="s">
        <v>115</v>
      </c>
      <c r="H6" t="s">
        <v>116</v>
      </c>
      <c r="I6" t="s">
        <v>125</v>
      </c>
      <c r="J6" t="s">
        <v>129</v>
      </c>
      <c r="K6" t="s">
        <v>122</v>
      </c>
      <c r="L6" t="s">
        <v>227</v>
      </c>
    </row>
    <row r="7" spans="1:12" x14ac:dyDescent="0.3">
      <c r="A7" t="s">
        <v>110</v>
      </c>
      <c r="B7" t="s">
        <v>130</v>
      </c>
      <c r="C7" t="s">
        <v>131</v>
      </c>
      <c r="D7" t="str">
        <f t="shared" si="0"/>
        <v xml:space="preserve"> BSS-2   Receiving an error on every task I try and complete </v>
      </c>
      <c r="E7" t="s">
        <v>132</v>
      </c>
      <c r="F7" t="s">
        <v>227</v>
      </c>
      <c r="G7" t="s">
        <v>115</v>
      </c>
      <c r="H7" t="s">
        <v>116</v>
      </c>
      <c r="I7" t="s">
        <v>125</v>
      </c>
      <c r="J7" t="s">
        <v>133</v>
      </c>
      <c r="K7" t="s">
        <v>134</v>
      </c>
      <c r="L7" t="s">
        <v>227</v>
      </c>
    </row>
    <row r="8" spans="1:12" x14ac:dyDescent="0.3">
      <c r="A8" t="s">
        <v>110</v>
      </c>
      <c r="B8" t="s">
        <v>135</v>
      </c>
      <c r="C8" t="s">
        <v>136</v>
      </c>
      <c r="D8" t="str">
        <f t="shared" si="0"/>
        <v xml:space="preserve"> BSS-5  Security deposit not populated for renewals</v>
      </c>
      <c r="E8" t="s">
        <v>132</v>
      </c>
      <c r="F8" t="s">
        <v>114</v>
      </c>
      <c r="G8" t="s">
        <v>115</v>
      </c>
      <c r="H8" t="s">
        <v>116</v>
      </c>
      <c r="I8" t="s">
        <v>125</v>
      </c>
      <c r="J8" t="s">
        <v>137</v>
      </c>
      <c r="K8" t="s">
        <v>134</v>
      </c>
      <c r="L8" t="s">
        <v>138</v>
      </c>
    </row>
    <row r="9" spans="1:12" x14ac:dyDescent="0.3">
      <c r="A9" t="s">
        <v>139</v>
      </c>
      <c r="B9" t="s">
        <v>140</v>
      </c>
      <c r="C9" t="s">
        <v>141</v>
      </c>
      <c r="D9" t="str">
        <f t="shared" si="0"/>
        <v xml:space="preserve"> BSS-6  Update the noOfAdultOccupants calculation</v>
      </c>
      <c r="E9" t="s">
        <v>132</v>
      </c>
      <c r="F9" t="s">
        <v>138</v>
      </c>
      <c r="G9" t="s">
        <v>115</v>
      </c>
      <c r="H9" t="s">
        <v>116</v>
      </c>
      <c r="I9" t="s">
        <v>125</v>
      </c>
      <c r="J9" t="s">
        <v>142</v>
      </c>
      <c r="K9" t="s">
        <v>143</v>
      </c>
      <c r="L9" t="s">
        <v>204</v>
      </c>
    </row>
    <row r="10" spans="1:12" x14ac:dyDescent="0.3">
      <c r="A10" t="s">
        <v>139</v>
      </c>
      <c r="B10" t="s">
        <v>144</v>
      </c>
      <c r="C10" t="s">
        <v>145</v>
      </c>
      <c r="D10" t="str">
        <f t="shared" si="0"/>
        <v xml:space="preserve"> BSS-7  Update the referencing Provider to HomeLet</v>
      </c>
      <c r="E10" t="s">
        <v>132</v>
      </c>
      <c r="F10" t="s">
        <v>138</v>
      </c>
      <c r="G10" t="s">
        <v>115</v>
      </c>
      <c r="H10" t="s">
        <v>116</v>
      </c>
      <c r="I10" t="s">
        <v>125</v>
      </c>
      <c r="J10" t="s">
        <v>117</v>
      </c>
      <c r="K10" t="s">
        <v>143</v>
      </c>
      <c r="L10" t="s">
        <v>204</v>
      </c>
    </row>
    <row r="12" spans="1:12" x14ac:dyDescent="0.3">
      <c r="A12" t="s">
        <v>180</v>
      </c>
    </row>
    <row r="13" spans="1:12" x14ac:dyDescent="0.3">
      <c r="A13" t="s">
        <v>99</v>
      </c>
      <c r="B13" t="s">
        <v>100</v>
      </c>
      <c r="C13" t="s">
        <v>101</v>
      </c>
      <c r="E13" t="s">
        <v>102</v>
      </c>
      <c r="F13" t="s">
        <v>103</v>
      </c>
      <c r="G13" t="s">
        <v>104</v>
      </c>
      <c r="H13" t="s">
        <v>105</v>
      </c>
      <c r="I13" t="s">
        <v>106</v>
      </c>
      <c r="J13" t="s">
        <v>107</v>
      </c>
      <c r="K13" t="s">
        <v>108</v>
      </c>
      <c r="L13" t="s">
        <v>109</v>
      </c>
    </row>
    <row r="14" spans="1:12" x14ac:dyDescent="0.3">
      <c r="A14" t="s">
        <v>110</v>
      </c>
      <c r="B14" s="10" t="s">
        <v>111</v>
      </c>
      <c r="C14" t="s">
        <v>112</v>
      </c>
      <c r="D14" t="str">
        <f t="shared" ref="D14:D25" si="1">CONCATENATE(B14," ",C14)</f>
        <v xml:space="preserve"> BSS-8  Unable to complete task on EOT</v>
      </c>
      <c r="E14" s="10" t="s">
        <v>113</v>
      </c>
      <c r="F14" t="s">
        <v>114</v>
      </c>
      <c r="G14" t="s">
        <v>115</v>
      </c>
      <c r="H14" t="s">
        <v>116</v>
      </c>
      <c r="I14" t="s">
        <v>115</v>
      </c>
      <c r="J14" t="s">
        <v>117</v>
      </c>
      <c r="K14" t="s">
        <v>163</v>
      </c>
      <c r="L14" t="s">
        <v>227</v>
      </c>
    </row>
    <row r="15" spans="1:12" x14ac:dyDescent="0.3">
      <c r="A15" t="s">
        <v>110</v>
      </c>
      <c r="B15" s="9" t="s">
        <v>164</v>
      </c>
      <c r="C15" t="s">
        <v>165</v>
      </c>
      <c r="D15" t="str">
        <f t="shared" si="1"/>
        <v xml:space="preserve"> BSS-14  An unhandled fault occurred in this flow</v>
      </c>
      <c r="E15" s="9" t="s">
        <v>113</v>
      </c>
      <c r="F15" t="s">
        <v>114</v>
      </c>
      <c r="G15" t="s">
        <v>115</v>
      </c>
      <c r="H15" t="s">
        <v>116</v>
      </c>
      <c r="I15" t="s">
        <v>115</v>
      </c>
      <c r="J15" t="s">
        <v>166</v>
      </c>
      <c r="K15" t="s">
        <v>166</v>
      </c>
      <c r="L15" t="s">
        <v>227</v>
      </c>
    </row>
    <row r="16" spans="1:12" x14ac:dyDescent="0.3">
      <c r="A16" t="s">
        <v>110</v>
      </c>
      <c r="B16" s="9" t="s">
        <v>167</v>
      </c>
      <c r="C16" t="s">
        <v>168</v>
      </c>
      <c r="D16" t="str">
        <f t="shared" si="1"/>
        <v xml:space="preserve"> BSS-16  Unable to send to Homelet</v>
      </c>
      <c r="E16" s="9" t="s">
        <v>169</v>
      </c>
      <c r="F16" t="s">
        <v>227</v>
      </c>
      <c r="G16" t="s">
        <v>115</v>
      </c>
      <c r="H16" t="s">
        <v>116</v>
      </c>
      <c r="I16" t="s">
        <v>115</v>
      </c>
      <c r="J16" t="s">
        <v>163</v>
      </c>
      <c r="K16" t="s">
        <v>170</v>
      </c>
      <c r="L16" t="s">
        <v>204</v>
      </c>
    </row>
    <row r="17" spans="1:12" x14ac:dyDescent="0.3">
      <c r="A17" t="s">
        <v>110</v>
      </c>
      <c r="B17" s="9" t="s">
        <v>171</v>
      </c>
      <c r="C17" t="s">
        <v>172</v>
      </c>
      <c r="D17" t="str">
        <f t="shared" si="1"/>
        <v xml:space="preserve"> BSS-15  Trim the spaces before sending to HomeLet</v>
      </c>
      <c r="E17" s="9" t="s">
        <v>169</v>
      </c>
      <c r="F17" t="s">
        <v>204</v>
      </c>
      <c r="G17" t="s">
        <v>115</v>
      </c>
      <c r="H17" t="s">
        <v>116</v>
      </c>
      <c r="I17" t="s">
        <v>115</v>
      </c>
      <c r="J17" t="s">
        <v>163</v>
      </c>
      <c r="K17" t="s">
        <v>173</v>
      </c>
      <c r="L17" t="s">
        <v>204</v>
      </c>
    </row>
    <row r="18" spans="1:12" x14ac:dyDescent="0.3">
      <c r="A18" t="s">
        <v>110</v>
      </c>
      <c r="B18" s="10" t="s">
        <v>119</v>
      </c>
      <c r="C18" t="s">
        <v>120</v>
      </c>
      <c r="D18" t="str">
        <f t="shared" si="1"/>
        <v xml:space="preserve"> BSS-9  HomeLet referencing error showing in this opportunity</v>
      </c>
      <c r="E18" s="10" t="s">
        <v>169</v>
      </c>
      <c r="F18" t="s">
        <v>204</v>
      </c>
      <c r="G18" t="s">
        <v>115</v>
      </c>
      <c r="H18" t="s">
        <v>116</v>
      </c>
      <c r="I18" t="s">
        <v>115</v>
      </c>
      <c r="J18" t="s">
        <v>122</v>
      </c>
      <c r="K18" t="s">
        <v>122</v>
      </c>
      <c r="L18" t="s">
        <v>204</v>
      </c>
    </row>
    <row r="19" spans="1:12" x14ac:dyDescent="0.3">
      <c r="A19" t="s">
        <v>110</v>
      </c>
      <c r="B19" s="10" t="s">
        <v>127</v>
      </c>
      <c r="C19" t="s">
        <v>128</v>
      </c>
      <c r="D19" t="str">
        <f t="shared" si="1"/>
        <v xml:space="preserve"> BSS-4  Agreement not pulling the template with 1 tenant and 2 guarantors </v>
      </c>
      <c r="E19" s="10" t="s">
        <v>169</v>
      </c>
      <c r="F19" t="s">
        <v>227</v>
      </c>
      <c r="G19" t="s">
        <v>115</v>
      </c>
      <c r="H19" t="s">
        <v>116</v>
      </c>
      <c r="I19" t="s">
        <v>125</v>
      </c>
      <c r="J19" t="s">
        <v>129</v>
      </c>
      <c r="K19" t="s">
        <v>122</v>
      </c>
      <c r="L19" t="s">
        <v>227</v>
      </c>
    </row>
    <row r="20" spans="1:12" x14ac:dyDescent="0.3">
      <c r="A20" t="s">
        <v>110</v>
      </c>
      <c r="B20" s="8" t="s">
        <v>130</v>
      </c>
      <c r="C20" t="s">
        <v>131</v>
      </c>
      <c r="D20" t="str">
        <f t="shared" si="1"/>
        <v xml:space="preserve"> BSS-2   Receiving an error on every task I try and complete </v>
      </c>
      <c r="E20" s="8" t="s">
        <v>132</v>
      </c>
      <c r="F20" t="s">
        <v>227</v>
      </c>
      <c r="G20" t="s">
        <v>115</v>
      </c>
      <c r="H20" t="s">
        <v>116</v>
      </c>
      <c r="I20" t="s">
        <v>125</v>
      </c>
      <c r="J20" t="s">
        <v>133</v>
      </c>
      <c r="K20" t="s">
        <v>134</v>
      </c>
      <c r="L20" t="s">
        <v>227</v>
      </c>
    </row>
    <row r="21" spans="1:12" x14ac:dyDescent="0.3">
      <c r="A21" t="s">
        <v>110</v>
      </c>
      <c r="B21" s="8" t="s">
        <v>135</v>
      </c>
      <c r="C21" t="s">
        <v>136</v>
      </c>
      <c r="D21" t="str">
        <f t="shared" si="1"/>
        <v xml:space="preserve"> BSS-5  Security deposit not populated for renewals</v>
      </c>
      <c r="E21" s="8" t="s">
        <v>132</v>
      </c>
      <c r="F21" t="s">
        <v>114</v>
      </c>
      <c r="G21" t="s">
        <v>115</v>
      </c>
      <c r="H21" t="s">
        <v>116</v>
      </c>
      <c r="I21" t="s">
        <v>125</v>
      </c>
      <c r="J21" t="s">
        <v>137</v>
      </c>
      <c r="K21" t="s">
        <v>134</v>
      </c>
      <c r="L21" t="s">
        <v>138</v>
      </c>
    </row>
    <row r="22" spans="1:12" x14ac:dyDescent="0.3">
      <c r="A22" t="s">
        <v>139</v>
      </c>
      <c r="B22" s="8" t="s">
        <v>140</v>
      </c>
      <c r="C22" t="s">
        <v>141</v>
      </c>
      <c r="D22" t="str">
        <f t="shared" si="1"/>
        <v xml:space="preserve"> BSS-6  Update the noOfAdultOccupants calculation</v>
      </c>
      <c r="E22" s="8" t="s">
        <v>132</v>
      </c>
      <c r="F22" t="s">
        <v>138</v>
      </c>
      <c r="G22" t="s">
        <v>115</v>
      </c>
      <c r="H22" t="s">
        <v>116</v>
      </c>
      <c r="I22" t="s">
        <v>125</v>
      </c>
      <c r="J22" t="s">
        <v>142</v>
      </c>
      <c r="K22" t="s">
        <v>143</v>
      </c>
      <c r="L22" t="s">
        <v>204</v>
      </c>
    </row>
    <row r="23" spans="1:12" x14ac:dyDescent="0.3">
      <c r="A23" t="s">
        <v>139</v>
      </c>
      <c r="B23" s="8" t="s">
        <v>144</v>
      </c>
      <c r="C23" t="s">
        <v>145</v>
      </c>
      <c r="D23" t="str">
        <f t="shared" si="1"/>
        <v xml:space="preserve"> BSS-7  Update the referencing Provider to HomeLet</v>
      </c>
      <c r="E23" s="8" t="s">
        <v>132</v>
      </c>
      <c r="F23" t="s">
        <v>138</v>
      </c>
      <c r="G23" t="s">
        <v>115</v>
      </c>
      <c r="H23" t="s">
        <v>116</v>
      </c>
      <c r="I23" t="s">
        <v>125</v>
      </c>
      <c r="J23" t="s">
        <v>117</v>
      </c>
      <c r="K23" t="s">
        <v>143</v>
      </c>
      <c r="L23" t="s">
        <v>204</v>
      </c>
    </row>
    <row r="24" spans="1:12" x14ac:dyDescent="0.3">
      <c r="A24" t="s">
        <v>110</v>
      </c>
      <c r="B24" s="9" t="s">
        <v>123</v>
      </c>
      <c r="C24" t="s">
        <v>124</v>
      </c>
      <c r="D24" t="str">
        <f t="shared" si="1"/>
        <v xml:space="preserve"> BSS-3  EOT task- Couldn't  be cancelled through approver ( record owner)</v>
      </c>
      <c r="E24" s="9" t="s">
        <v>132</v>
      </c>
      <c r="F24" t="s">
        <v>227</v>
      </c>
      <c r="G24" t="s">
        <v>115</v>
      </c>
      <c r="H24" t="s">
        <v>116</v>
      </c>
      <c r="I24" t="s">
        <v>125</v>
      </c>
      <c r="J24" t="s">
        <v>126</v>
      </c>
      <c r="K24" t="s">
        <v>170</v>
      </c>
      <c r="L24" t="s">
        <v>227</v>
      </c>
    </row>
    <row r="25" spans="1:12" x14ac:dyDescent="0.3">
      <c r="A25" t="s">
        <v>174</v>
      </c>
      <c r="B25" s="9" t="s">
        <v>175</v>
      </c>
      <c r="C25" t="s">
        <v>176</v>
      </c>
      <c r="D25" t="str">
        <f t="shared" si="1"/>
        <v xml:space="preserve"> BSS-13  Flow error message improvement</v>
      </c>
      <c r="E25" s="9" t="s">
        <v>177</v>
      </c>
      <c r="F25" t="s">
        <v>114</v>
      </c>
      <c r="G25" t="s">
        <v>115</v>
      </c>
      <c r="H25" t="s">
        <v>116</v>
      </c>
      <c r="I25" t="s">
        <v>178</v>
      </c>
      <c r="J25" t="s">
        <v>118</v>
      </c>
      <c r="K25" t="s">
        <v>118</v>
      </c>
      <c r="L25" t="s">
        <v>114</v>
      </c>
    </row>
    <row r="27" spans="1:12" x14ac:dyDescent="0.3">
      <c r="A27" t="s">
        <v>191</v>
      </c>
    </row>
    <row r="28" spans="1:12" x14ac:dyDescent="0.3">
      <c r="A28" t="s">
        <v>99</v>
      </c>
      <c r="B28" t="s">
        <v>100</v>
      </c>
      <c r="C28" t="s">
        <v>101</v>
      </c>
      <c r="E28" t="s">
        <v>102</v>
      </c>
      <c r="F28" t="s">
        <v>103</v>
      </c>
      <c r="G28" t="s">
        <v>104</v>
      </c>
      <c r="H28" t="s">
        <v>105</v>
      </c>
      <c r="I28" t="s">
        <v>106</v>
      </c>
      <c r="J28" t="s">
        <v>107</v>
      </c>
      <c r="K28" t="s">
        <v>108</v>
      </c>
      <c r="L28" t="s">
        <v>109</v>
      </c>
    </row>
    <row r="29" spans="1:12" x14ac:dyDescent="0.3">
      <c r="A29" t="s">
        <v>110</v>
      </c>
      <c r="B29" s="11" t="s">
        <v>167</v>
      </c>
      <c r="C29" t="s">
        <v>168</v>
      </c>
      <c r="D29" t="str">
        <f t="shared" ref="D29:D34" si="2">CONCATENATE(B29," ",C29)</f>
        <v xml:space="preserve"> BSS-16  Unable to send to Homelet</v>
      </c>
      <c r="E29" s="11" t="s">
        <v>113</v>
      </c>
      <c r="F29" t="s">
        <v>192</v>
      </c>
      <c r="G29" t="s">
        <v>115</v>
      </c>
      <c r="H29" t="s">
        <v>116</v>
      </c>
      <c r="I29" t="s">
        <v>115</v>
      </c>
      <c r="J29" t="s">
        <v>163</v>
      </c>
      <c r="K29" t="s">
        <v>193</v>
      </c>
      <c r="L29" t="s">
        <v>204</v>
      </c>
    </row>
    <row r="30" spans="1:12" x14ac:dyDescent="0.3">
      <c r="A30" t="s">
        <v>110</v>
      </c>
      <c r="B30" s="11" t="s">
        <v>194</v>
      </c>
      <c r="C30" t="s">
        <v>195</v>
      </c>
      <c r="D30" t="str">
        <f t="shared" si="2"/>
        <v xml:space="preserve"> BSS-19  The Units  with status “On the market – no access” are not able to be posted onto Rightmove</v>
      </c>
      <c r="E30" s="11" t="s">
        <v>113</v>
      </c>
      <c r="F30" t="s">
        <v>138</v>
      </c>
      <c r="G30" t="s">
        <v>115</v>
      </c>
      <c r="H30" t="s">
        <v>116</v>
      </c>
      <c r="I30" t="s">
        <v>115</v>
      </c>
      <c r="J30" t="s">
        <v>193</v>
      </c>
      <c r="K30" t="s">
        <v>193</v>
      </c>
      <c r="L30" t="s">
        <v>204</v>
      </c>
    </row>
    <row r="31" spans="1:12" x14ac:dyDescent="0.3">
      <c r="A31" t="s">
        <v>110</v>
      </c>
      <c r="B31" s="11" t="s">
        <v>164</v>
      </c>
      <c r="C31" t="s">
        <v>165</v>
      </c>
      <c r="D31" t="str">
        <f t="shared" si="2"/>
        <v xml:space="preserve"> BSS-14  An unhandled fault occurred in this flow</v>
      </c>
      <c r="E31" s="11" t="s">
        <v>169</v>
      </c>
      <c r="F31" t="s">
        <v>227</v>
      </c>
      <c r="G31" t="s">
        <v>115</v>
      </c>
      <c r="H31" t="s">
        <v>116</v>
      </c>
      <c r="I31" t="s">
        <v>115</v>
      </c>
      <c r="J31" t="s">
        <v>166</v>
      </c>
      <c r="K31" t="s">
        <v>193</v>
      </c>
      <c r="L31" t="s">
        <v>227</v>
      </c>
    </row>
    <row r="32" spans="1:12" x14ac:dyDescent="0.3">
      <c r="A32" t="s">
        <v>110</v>
      </c>
      <c r="B32" s="11" t="s">
        <v>111</v>
      </c>
      <c r="C32" t="s">
        <v>112</v>
      </c>
      <c r="D32" t="str">
        <f t="shared" si="2"/>
        <v xml:space="preserve"> BSS-8  Unable to complete task on EOT</v>
      </c>
      <c r="E32" s="11" t="s">
        <v>169</v>
      </c>
      <c r="F32" t="s">
        <v>227</v>
      </c>
      <c r="G32" t="s">
        <v>115</v>
      </c>
      <c r="H32" t="s">
        <v>116</v>
      </c>
      <c r="I32" t="s">
        <v>115</v>
      </c>
      <c r="J32" t="s">
        <v>117</v>
      </c>
      <c r="K32" t="s">
        <v>193</v>
      </c>
      <c r="L32" t="s">
        <v>227</v>
      </c>
    </row>
    <row r="33" spans="1:12" x14ac:dyDescent="0.3">
      <c r="A33" t="s">
        <v>110</v>
      </c>
      <c r="B33" s="11" t="s">
        <v>196</v>
      </c>
      <c r="C33" t="s">
        <v>197</v>
      </c>
      <c r="D33" t="str">
        <f t="shared" si="2"/>
        <v xml:space="preserve"> BSS-18  Limit Exceeded Error while trying to update a Unit via Salesforce connector</v>
      </c>
      <c r="E33" s="11" t="s">
        <v>132</v>
      </c>
      <c r="F33" t="s">
        <v>204</v>
      </c>
      <c r="G33" t="s">
        <v>115</v>
      </c>
      <c r="H33" t="s">
        <v>116</v>
      </c>
      <c r="I33" t="s">
        <v>115</v>
      </c>
      <c r="J33" t="s">
        <v>198</v>
      </c>
      <c r="K33" t="s">
        <v>199</v>
      </c>
      <c r="L33" t="s">
        <v>204</v>
      </c>
    </row>
    <row r="34" spans="1:12" x14ac:dyDescent="0.3">
      <c r="A34" t="s">
        <v>110</v>
      </c>
      <c r="B34" s="11" t="s">
        <v>201</v>
      </c>
      <c r="C34" t="s">
        <v>202</v>
      </c>
      <c r="D34" t="str">
        <f t="shared" si="2"/>
        <v xml:space="preserve"> BSS-17  Guarantor not being sent for referencing</v>
      </c>
      <c r="E34" s="11" t="s">
        <v>203</v>
      </c>
      <c r="F34" t="s">
        <v>138</v>
      </c>
      <c r="G34" t="s">
        <v>115</v>
      </c>
      <c r="H34" t="s">
        <v>116</v>
      </c>
      <c r="I34" t="s">
        <v>115</v>
      </c>
      <c r="J34" t="s">
        <v>200</v>
      </c>
      <c r="K34" t="s">
        <v>199</v>
      </c>
      <c r="L34" t="s">
        <v>138</v>
      </c>
    </row>
    <row r="35" spans="1:12" x14ac:dyDescent="0.3">
      <c r="A35" t="s">
        <v>110</v>
      </c>
      <c r="B35" s="10" t="s">
        <v>171</v>
      </c>
      <c r="C35" t="s">
        <v>172</v>
      </c>
      <c r="D35" t="str">
        <f t="shared" ref="D35:D43" si="3">CONCATENATE(B35," ",C35)</f>
        <v xml:space="preserve"> BSS-15  Trim the spaces before sending to HomeLet</v>
      </c>
      <c r="E35" s="10" t="s">
        <v>169</v>
      </c>
      <c r="F35" t="s">
        <v>204</v>
      </c>
      <c r="G35" t="s">
        <v>115</v>
      </c>
      <c r="H35" t="s">
        <v>116</v>
      </c>
      <c r="I35" t="s">
        <v>115</v>
      </c>
      <c r="J35" t="s">
        <v>163</v>
      </c>
      <c r="K35" t="s">
        <v>173</v>
      </c>
      <c r="L35" t="s">
        <v>204</v>
      </c>
    </row>
    <row r="36" spans="1:12" x14ac:dyDescent="0.3">
      <c r="A36" t="s">
        <v>110</v>
      </c>
      <c r="B36" s="10" t="s">
        <v>119</v>
      </c>
      <c r="C36" t="s">
        <v>120</v>
      </c>
      <c r="D36" t="str">
        <f t="shared" si="3"/>
        <v xml:space="preserve"> BSS-9  HomeLet referencing error showing in this opportunity</v>
      </c>
      <c r="E36" s="10" t="s">
        <v>169</v>
      </c>
      <c r="F36" t="s">
        <v>204</v>
      </c>
      <c r="G36" t="s">
        <v>115</v>
      </c>
      <c r="H36" t="s">
        <v>116</v>
      </c>
      <c r="I36" t="s">
        <v>115</v>
      </c>
      <c r="J36" t="s">
        <v>122</v>
      </c>
      <c r="K36" t="s">
        <v>122</v>
      </c>
      <c r="L36" t="s">
        <v>204</v>
      </c>
    </row>
    <row r="37" spans="1:12" x14ac:dyDescent="0.3">
      <c r="A37" t="s">
        <v>110</v>
      </c>
      <c r="B37" s="10" t="s">
        <v>127</v>
      </c>
      <c r="C37" t="s">
        <v>128</v>
      </c>
      <c r="D37" t="str">
        <f t="shared" si="3"/>
        <v xml:space="preserve"> BSS-4  Agreement not pulling the template with 1 tenant and 2 guarantors </v>
      </c>
      <c r="E37" s="10" t="s">
        <v>169</v>
      </c>
      <c r="F37" t="s">
        <v>227</v>
      </c>
      <c r="G37" t="s">
        <v>115</v>
      </c>
      <c r="H37" t="s">
        <v>116</v>
      </c>
      <c r="I37" t="s">
        <v>125</v>
      </c>
      <c r="J37" t="s">
        <v>129</v>
      </c>
      <c r="K37" t="s">
        <v>122</v>
      </c>
      <c r="L37" t="s">
        <v>227</v>
      </c>
    </row>
    <row r="38" spans="1:12" x14ac:dyDescent="0.3">
      <c r="A38" t="s">
        <v>174</v>
      </c>
      <c r="B38" s="10" t="s">
        <v>175</v>
      </c>
      <c r="C38" t="s">
        <v>176</v>
      </c>
      <c r="D38" t="str">
        <f t="shared" si="3"/>
        <v xml:space="preserve"> BSS-13  Flow error message improvement</v>
      </c>
      <c r="E38" s="10" t="s">
        <v>177</v>
      </c>
      <c r="F38" t="s">
        <v>114</v>
      </c>
      <c r="G38" t="s">
        <v>115</v>
      </c>
      <c r="H38" t="s">
        <v>116</v>
      </c>
      <c r="I38" t="s">
        <v>178</v>
      </c>
      <c r="J38" t="s">
        <v>118</v>
      </c>
      <c r="K38" t="s">
        <v>118</v>
      </c>
      <c r="L38" t="s">
        <v>114</v>
      </c>
    </row>
    <row r="39" spans="1:12" x14ac:dyDescent="0.3">
      <c r="A39" t="s">
        <v>110</v>
      </c>
      <c r="B39" s="8" t="s">
        <v>130</v>
      </c>
      <c r="C39" t="s">
        <v>131</v>
      </c>
      <c r="D39" t="str">
        <f t="shared" si="3"/>
        <v xml:space="preserve"> BSS-2   Receiving an error on every task I try and complete </v>
      </c>
      <c r="E39" s="8" t="s">
        <v>132</v>
      </c>
      <c r="F39" t="s">
        <v>227</v>
      </c>
      <c r="G39" t="s">
        <v>115</v>
      </c>
      <c r="H39" t="s">
        <v>116</v>
      </c>
      <c r="I39" t="s">
        <v>125</v>
      </c>
      <c r="J39" t="s">
        <v>133</v>
      </c>
      <c r="K39" t="s">
        <v>134</v>
      </c>
      <c r="L39" t="s">
        <v>227</v>
      </c>
    </row>
    <row r="40" spans="1:12" x14ac:dyDescent="0.3">
      <c r="A40" t="s">
        <v>110</v>
      </c>
      <c r="B40" s="8" t="s">
        <v>135</v>
      </c>
      <c r="C40" t="s">
        <v>136</v>
      </c>
      <c r="D40" t="str">
        <f t="shared" si="3"/>
        <v xml:space="preserve"> BSS-5  Security deposit not populated for renewals</v>
      </c>
      <c r="E40" s="8" t="s">
        <v>132</v>
      </c>
      <c r="F40" t="s">
        <v>114</v>
      </c>
      <c r="G40" t="s">
        <v>115</v>
      </c>
      <c r="H40" t="s">
        <v>116</v>
      </c>
      <c r="I40" t="s">
        <v>125</v>
      </c>
      <c r="J40" t="s">
        <v>137</v>
      </c>
      <c r="K40" t="s">
        <v>134</v>
      </c>
      <c r="L40" t="s">
        <v>138</v>
      </c>
    </row>
    <row r="41" spans="1:12" x14ac:dyDescent="0.3">
      <c r="A41" t="s">
        <v>139</v>
      </c>
      <c r="B41" s="8" t="s">
        <v>144</v>
      </c>
      <c r="C41" t="s">
        <v>145</v>
      </c>
      <c r="D41" t="str">
        <f t="shared" si="3"/>
        <v xml:space="preserve"> BSS-7  Update the referencing Provider to HomeLet</v>
      </c>
      <c r="E41" s="8" t="s">
        <v>132</v>
      </c>
      <c r="F41" t="s">
        <v>138</v>
      </c>
      <c r="G41" t="s">
        <v>115</v>
      </c>
      <c r="H41" t="s">
        <v>116</v>
      </c>
      <c r="I41" t="s">
        <v>125</v>
      </c>
      <c r="J41" t="s">
        <v>117</v>
      </c>
      <c r="K41" t="s">
        <v>143</v>
      </c>
      <c r="L41" t="s">
        <v>204</v>
      </c>
    </row>
    <row r="42" spans="1:12" x14ac:dyDescent="0.3">
      <c r="A42" t="s">
        <v>139</v>
      </c>
      <c r="B42" s="8" t="s">
        <v>140</v>
      </c>
      <c r="C42" t="s">
        <v>141</v>
      </c>
      <c r="D42" t="str">
        <f t="shared" si="3"/>
        <v xml:space="preserve"> BSS-6  Update the noOfAdultOccupants calculation</v>
      </c>
      <c r="E42" s="8" t="s">
        <v>132</v>
      </c>
      <c r="F42" t="s">
        <v>138</v>
      </c>
      <c r="G42" t="s">
        <v>115</v>
      </c>
      <c r="H42" t="s">
        <v>116</v>
      </c>
      <c r="I42" t="s">
        <v>125</v>
      </c>
      <c r="J42" t="s">
        <v>142</v>
      </c>
      <c r="K42" t="s">
        <v>200</v>
      </c>
      <c r="L42" t="s">
        <v>204</v>
      </c>
    </row>
    <row r="43" spans="1:12" x14ac:dyDescent="0.3">
      <c r="A43" t="s">
        <v>110</v>
      </c>
      <c r="B43" s="8" t="s">
        <v>123</v>
      </c>
      <c r="C43" t="s">
        <v>124</v>
      </c>
      <c r="D43" t="str">
        <f t="shared" si="3"/>
        <v xml:space="preserve"> BSS-3  EOT task- Couldn't  be cancelled through approver ( record owner)</v>
      </c>
      <c r="E43" s="8" t="s">
        <v>132</v>
      </c>
      <c r="F43" t="s">
        <v>227</v>
      </c>
      <c r="G43" t="s">
        <v>115</v>
      </c>
      <c r="H43" t="s">
        <v>116</v>
      </c>
      <c r="I43" t="s">
        <v>125</v>
      </c>
      <c r="J43" t="s">
        <v>126</v>
      </c>
      <c r="K43" t="s">
        <v>170</v>
      </c>
      <c r="L43" t="s">
        <v>227</v>
      </c>
    </row>
    <row r="45" spans="1:12" x14ac:dyDescent="0.3">
      <c r="A45" t="s">
        <v>213</v>
      </c>
    </row>
    <row r="46" spans="1:12" x14ac:dyDescent="0.3">
      <c r="A46" t="s">
        <v>99</v>
      </c>
      <c r="B46" t="s">
        <v>100</v>
      </c>
      <c r="C46" t="s">
        <v>101</v>
      </c>
      <c r="E46" t="s">
        <v>102</v>
      </c>
      <c r="F46" t="s">
        <v>103</v>
      </c>
      <c r="G46" t="s">
        <v>104</v>
      </c>
      <c r="H46" t="s">
        <v>105</v>
      </c>
      <c r="I46" t="s">
        <v>106</v>
      </c>
      <c r="J46" t="s">
        <v>107</v>
      </c>
      <c r="K46" t="s">
        <v>108</v>
      </c>
      <c r="L46" t="s">
        <v>109</v>
      </c>
    </row>
    <row r="47" spans="1:12" x14ac:dyDescent="0.3">
      <c r="A47" t="s">
        <v>110</v>
      </c>
      <c r="B47" s="11" t="s">
        <v>217</v>
      </c>
      <c r="C47" t="s">
        <v>218</v>
      </c>
      <c r="D47" t="str">
        <f>CONCATENATE(B47," ",C47)</f>
        <v xml:space="preserve"> BSS-22  An Error Occurred with Your "Opportunity Contact Role PB Handler" Flow</v>
      </c>
      <c r="E47" s="11" t="s">
        <v>177</v>
      </c>
      <c r="F47" t="s">
        <v>114</v>
      </c>
      <c r="G47" t="s">
        <v>115</v>
      </c>
      <c r="H47" t="s">
        <v>116</v>
      </c>
      <c r="I47" t="s">
        <v>219</v>
      </c>
      <c r="J47" t="s">
        <v>216</v>
      </c>
      <c r="K47" t="s">
        <v>216</v>
      </c>
      <c r="L47" t="s">
        <v>114</v>
      </c>
    </row>
    <row r="48" spans="1:12" x14ac:dyDescent="0.3">
      <c r="A48" t="s">
        <v>110</v>
      </c>
      <c r="B48" s="11" t="s">
        <v>220</v>
      </c>
      <c r="C48" t="s">
        <v>221</v>
      </c>
      <c r="D48" t="str">
        <f>CONCATENATE(B48," ",C48)</f>
        <v xml:space="preserve"> BSS-23  An Error Occurred with Your "Renewals - Send email to OCRs" Flow</v>
      </c>
      <c r="E48" s="11" t="s">
        <v>177</v>
      </c>
      <c r="F48" t="s">
        <v>114</v>
      </c>
      <c r="G48" t="s">
        <v>115</v>
      </c>
      <c r="H48" t="s">
        <v>116</v>
      </c>
      <c r="I48" t="s">
        <v>219</v>
      </c>
      <c r="J48" t="s">
        <v>216</v>
      </c>
      <c r="K48" t="s">
        <v>216</v>
      </c>
      <c r="L48" t="s">
        <v>114</v>
      </c>
    </row>
    <row r="49" spans="1:12" x14ac:dyDescent="0.3">
      <c r="A49" t="s">
        <v>174</v>
      </c>
      <c r="B49" s="10" t="s">
        <v>175</v>
      </c>
      <c r="C49" t="s">
        <v>176</v>
      </c>
      <c r="D49" t="str">
        <f>CONCATENATE(B49," ",C49)</f>
        <v xml:space="preserve"> BSS-13  Flow error message improvement</v>
      </c>
      <c r="E49" s="10" t="s">
        <v>177</v>
      </c>
      <c r="F49" t="s">
        <v>114</v>
      </c>
      <c r="G49" t="s">
        <v>115</v>
      </c>
      <c r="H49" t="s">
        <v>116</v>
      </c>
      <c r="I49" t="s">
        <v>178</v>
      </c>
      <c r="J49" t="s">
        <v>118</v>
      </c>
      <c r="K49" t="s">
        <v>118</v>
      </c>
      <c r="L49" t="s">
        <v>114</v>
      </c>
    </row>
    <row r="50" spans="1:12" x14ac:dyDescent="0.3">
      <c r="A50" t="s">
        <v>110</v>
      </c>
      <c r="B50" s="10" t="s">
        <v>171</v>
      </c>
      <c r="C50" t="s">
        <v>172</v>
      </c>
      <c r="D50" t="str">
        <f t="shared" ref="D50:D59" si="4">CONCATENATE(B50," ",C50)</f>
        <v xml:space="preserve"> BSS-15  Trim the spaces before sending to HomeLet</v>
      </c>
      <c r="E50" s="10" t="s">
        <v>169</v>
      </c>
      <c r="F50" t="s">
        <v>204</v>
      </c>
      <c r="G50" t="s">
        <v>115</v>
      </c>
      <c r="H50" t="s">
        <v>116</v>
      </c>
      <c r="I50" t="s">
        <v>115</v>
      </c>
      <c r="J50" t="s">
        <v>163</v>
      </c>
      <c r="K50" t="s">
        <v>199</v>
      </c>
      <c r="L50" t="s">
        <v>204</v>
      </c>
    </row>
    <row r="51" spans="1:12" x14ac:dyDescent="0.3">
      <c r="A51" t="s">
        <v>110</v>
      </c>
      <c r="B51" s="10" t="s">
        <v>119</v>
      </c>
      <c r="C51" t="s">
        <v>120</v>
      </c>
      <c r="D51" t="str">
        <f t="shared" si="4"/>
        <v xml:space="preserve"> BSS-9  HomeLet referencing error showing in this opportunity</v>
      </c>
      <c r="E51" s="10" t="s">
        <v>169</v>
      </c>
      <c r="F51" t="s">
        <v>204</v>
      </c>
      <c r="G51" t="s">
        <v>115</v>
      </c>
      <c r="H51" t="s">
        <v>116</v>
      </c>
      <c r="I51" t="s">
        <v>115</v>
      </c>
      <c r="J51" t="s">
        <v>122</v>
      </c>
      <c r="K51" t="s">
        <v>199</v>
      </c>
      <c r="L51" t="s">
        <v>204</v>
      </c>
    </row>
    <row r="52" spans="1:12" x14ac:dyDescent="0.3">
      <c r="A52" t="s">
        <v>110</v>
      </c>
      <c r="B52" s="10" t="s">
        <v>127</v>
      </c>
      <c r="C52" t="s">
        <v>128</v>
      </c>
      <c r="D52" t="str">
        <f t="shared" si="4"/>
        <v xml:space="preserve"> BSS-4  Agreement not pulling the template with 1 tenant and 2 guarantors </v>
      </c>
      <c r="E52" s="10" t="s">
        <v>169</v>
      </c>
      <c r="F52" t="s">
        <v>227</v>
      </c>
      <c r="G52" t="s">
        <v>115</v>
      </c>
      <c r="H52" t="s">
        <v>116</v>
      </c>
      <c r="I52" t="s">
        <v>125</v>
      </c>
      <c r="J52" t="s">
        <v>129</v>
      </c>
      <c r="K52" t="s">
        <v>199</v>
      </c>
      <c r="L52" t="s">
        <v>227</v>
      </c>
    </row>
    <row r="53" spans="1:12" x14ac:dyDescent="0.3">
      <c r="A53" t="s">
        <v>110</v>
      </c>
      <c r="B53" s="11" t="s">
        <v>214</v>
      </c>
      <c r="C53" t="s">
        <v>215</v>
      </c>
      <c r="D53" t="str">
        <f>CONCATENATE(B53," ",C53)</f>
        <v xml:space="preserve"> BSS-20  Lead Tenant being sent twice to HomeLet</v>
      </c>
      <c r="E53" s="11" t="s">
        <v>203</v>
      </c>
      <c r="F53" t="s">
        <v>204</v>
      </c>
      <c r="G53" t="s">
        <v>115</v>
      </c>
      <c r="H53" t="s">
        <v>116</v>
      </c>
      <c r="I53" t="s">
        <v>115</v>
      </c>
      <c r="J53" t="s">
        <v>199</v>
      </c>
      <c r="K53" t="s">
        <v>216</v>
      </c>
      <c r="L53" t="s">
        <v>138</v>
      </c>
    </row>
    <row r="54" spans="1:12" x14ac:dyDescent="0.3">
      <c r="A54" t="s">
        <v>110</v>
      </c>
      <c r="B54" s="11" t="s">
        <v>194</v>
      </c>
      <c r="C54" t="s">
        <v>195</v>
      </c>
      <c r="D54" t="str">
        <f t="shared" si="4"/>
        <v xml:space="preserve"> BSS-19  The Units  with status “On the market – no access” are not able to be posted onto Rightmove</v>
      </c>
      <c r="E54" s="11" t="s">
        <v>203</v>
      </c>
      <c r="F54" t="s">
        <v>222</v>
      </c>
      <c r="G54" t="s">
        <v>115</v>
      </c>
      <c r="H54" t="s">
        <v>116</v>
      </c>
      <c r="I54" t="s">
        <v>115</v>
      </c>
      <c r="J54" t="s">
        <v>193</v>
      </c>
      <c r="K54" t="s">
        <v>216</v>
      </c>
      <c r="L54" t="s">
        <v>204</v>
      </c>
    </row>
    <row r="55" spans="1:12" x14ac:dyDescent="0.3">
      <c r="A55" t="s">
        <v>110</v>
      </c>
      <c r="B55" s="11" t="s">
        <v>111</v>
      </c>
      <c r="C55" t="s">
        <v>112</v>
      </c>
      <c r="D55" t="str">
        <f t="shared" si="4"/>
        <v xml:space="preserve"> BSS-8  Unable to complete task on EOT</v>
      </c>
      <c r="E55" s="11" t="s">
        <v>203</v>
      </c>
      <c r="F55" t="s">
        <v>227</v>
      </c>
      <c r="G55" t="s">
        <v>115</v>
      </c>
      <c r="H55" t="s">
        <v>116</v>
      </c>
      <c r="I55" t="s">
        <v>115</v>
      </c>
      <c r="J55" t="s">
        <v>117</v>
      </c>
      <c r="K55" t="s">
        <v>216</v>
      </c>
      <c r="L55" t="s">
        <v>227</v>
      </c>
    </row>
    <row r="56" spans="1:12" x14ac:dyDescent="0.3">
      <c r="A56" t="s">
        <v>110</v>
      </c>
      <c r="B56" s="11" t="s">
        <v>164</v>
      </c>
      <c r="C56" t="s">
        <v>165</v>
      </c>
      <c r="D56" t="str">
        <f t="shared" si="4"/>
        <v xml:space="preserve"> BSS-14  An unhandled fault occurred in this flow</v>
      </c>
      <c r="E56" s="11" t="s">
        <v>203</v>
      </c>
      <c r="F56" t="s">
        <v>227</v>
      </c>
      <c r="G56" t="s">
        <v>115</v>
      </c>
      <c r="H56" t="s">
        <v>116</v>
      </c>
      <c r="I56" t="s">
        <v>115</v>
      </c>
      <c r="J56" t="s">
        <v>166</v>
      </c>
      <c r="K56" t="s">
        <v>199</v>
      </c>
      <c r="L56" t="s">
        <v>227</v>
      </c>
    </row>
    <row r="57" spans="1:12" x14ac:dyDescent="0.3">
      <c r="A57" t="s">
        <v>110</v>
      </c>
      <c r="B57" s="11" t="s">
        <v>167</v>
      </c>
      <c r="C57" t="s">
        <v>168</v>
      </c>
      <c r="D57" t="str">
        <f t="shared" si="4"/>
        <v xml:space="preserve"> BSS-16  Unable to send to Homelet</v>
      </c>
      <c r="E57" s="11" t="s">
        <v>203</v>
      </c>
      <c r="F57" t="s">
        <v>204</v>
      </c>
      <c r="G57" t="s">
        <v>115</v>
      </c>
      <c r="H57" t="s">
        <v>116</v>
      </c>
      <c r="I57" t="s">
        <v>115</v>
      </c>
      <c r="J57" t="s">
        <v>163</v>
      </c>
      <c r="K57" t="s">
        <v>216</v>
      </c>
      <c r="L57" t="s">
        <v>204</v>
      </c>
    </row>
    <row r="58" spans="1:12" x14ac:dyDescent="0.3">
      <c r="A58" t="s">
        <v>110</v>
      </c>
      <c r="B58" s="11" t="s">
        <v>201</v>
      </c>
      <c r="C58" t="s">
        <v>202</v>
      </c>
      <c r="D58" t="str">
        <f t="shared" si="4"/>
        <v xml:space="preserve"> BSS-17  Guarantor not being sent for referencing</v>
      </c>
      <c r="E58" s="11" t="s">
        <v>132</v>
      </c>
      <c r="F58" t="s">
        <v>138</v>
      </c>
      <c r="G58" t="s">
        <v>115</v>
      </c>
      <c r="H58" t="s">
        <v>116</v>
      </c>
      <c r="I58" t="s">
        <v>115</v>
      </c>
      <c r="J58" t="s">
        <v>200</v>
      </c>
      <c r="K58" t="s">
        <v>223</v>
      </c>
      <c r="L58" t="s">
        <v>138</v>
      </c>
    </row>
    <row r="59" spans="1:12" x14ac:dyDescent="0.3">
      <c r="A59" t="s">
        <v>110</v>
      </c>
      <c r="B59" s="11" t="s">
        <v>224</v>
      </c>
      <c r="C59" t="s">
        <v>225</v>
      </c>
      <c r="D59" t="str">
        <f t="shared" si="4"/>
        <v xml:space="preserve"> BSS-21  Re-send guarantor to HomeLet</v>
      </c>
      <c r="E59" s="11" t="s">
        <v>132</v>
      </c>
      <c r="F59" t="s">
        <v>204</v>
      </c>
      <c r="G59" t="s">
        <v>115</v>
      </c>
      <c r="H59" t="s">
        <v>116</v>
      </c>
      <c r="I59" t="s">
        <v>115</v>
      </c>
      <c r="J59" t="s">
        <v>226</v>
      </c>
      <c r="K59" t="s">
        <v>216</v>
      </c>
      <c r="L59" t="s">
        <v>138</v>
      </c>
    </row>
    <row r="60" spans="1:12" s="12" customFormat="1" x14ac:dyDescent="0.3">
      <c r="A60" s="12" t="s">
        <v>110</v>
      </c>
      <c r="B60" s="12" t="s">
        <v>130</v>
      </c>
      <c r="C60" s="12" t="s">
        <v>131</v>
      </c>
      <c r="D60" s="12" t="str">
        <f t="shared" ref="D60:D65" si="5">CONCATENATE(B60," ",C60)</f>
        <v xml:space="preserve"> BSS-2   Receiving an error on every task I try and complete </v>
      </c>
      <c r="E60" s="12" t="s">
        <v>132</v>
      </c>
      <c r="F60" s="12" t="s">
        <v>227</v>
      </c>
      <c r="G60" s="12" t="s">
        <v>115</v>
      </c>
      <c r="H60" s="12" t="s">
        <v>116</v>
      </c>
      <c r="I60" s="12" t="s">
        <v>125</v>
      </c>
      <c r="J60" s="12" t="s">
        <v>133</v>
      </c>
      <c r="K60" s="12" t="s">
        <v>134</v>
      </c>
      <c r="L60" s="12" t="s">
        <v>227</v>
      </c>
    </row>
    <row r="61" spans="1:12" s="12" customFormat="1" x14ac:dyDescent="0.3">
      <c r="A61" s="12" t="s">
        <v>110</v>
      </c>
      <c r="B61" s="12" t="s">
        <v>135</v>
      </c>
      <c r="C61" s="12" t="s">
        <v>136</v>
      </c>
      <c r="D61" s="12" t="str">
        <f t="shared" si="5"/>
        <v xml:space="preserve"> BSS-5  Security deposit not populated for renewals</v>
      </c>
      <c r="E61" s="12" t="s">
        <v>132</v>
      </c>
      <c r="F61" s="12" t="s">
        <v>114</v>
      </c>
      <c r="G61" s="12" t="s">
        <v>115</v>
      </c>
      <c r="H61" s="12" t="s">
        <v>116</v>
      </c>
      <c r="I61" s="12" t="s">
        <v>125</v>
      </c>
      <c r="J61" s="12" t="s">
        <v>137</v>
      </c>
      <c r="K61" s="12" t="s">
        <v>134</v>
      </c>
      <c r="L61" s="12" t="s">
        <v>138</v>
      </c>
    </row>
    <row r="62" spans="1:12" s="12" customFormat="1" x14ac:dyDescent="0.3">
      <c r="A62" s="12" t="s">
        <v>139</v>
      </c>
      <c r="B62" s="12" t="s">
        <v>144</v>
      </c>
      <c r="C62" s="12" t="s">
        <v>145</v>
      </c>
      <c r="D62" s="12" t="str">
        <f t="shared" si="5"/>
        <v xml:space="preserve"> BSS-7  Update the referencing Provider to HomeLet</v>
      </c>
      <c r="E62" s="12" t="s">
        <v>132</v>
      </c>
      <c r="F62" s="12" t="s">
        <v>138</v>
      </c>
      <c r="G62" s="12" t="s">
        <v>115</v>
      </c>
      <c r="H62" s="12" t="s">
        <v>116</v>
      </c>
      <c r="I62" s="12" t="s">
        <v>125</v>
      </c>
      <c r="J62" s="12" t="s">
        <v>117</v>
      </c>
      <c r="K62" s="12" t="s">
        <v>143</v>
      </c>
      <c r="L62" s="12" t="s">
        <v>204</v>
      </c>
    </row>
    <row r="63" spans="1:12" s="12" customFormat="1" x14ac:dyDescent="0.3">
      <c r="A63" s="12" t="s">
        <v>139</v>
      </c>
      <c r="B63" s="12" t="s">
        <v>140</v>
      </c>
      <c r="C63" s="12" t="s">
        <v>141</v>
      </c>
      <c r="D63" s="12" t="str">
        <f t="shared" si="5"/>
        <v xml:space="preserve"> BSS-6  Update the noOfAdultOccupants calculation</v>
      </c>
      <c r="E63" s="12" t="s">
        <v>132</v>
      </c>
      <c r="F63" s="12" t="s">
        <v>138</v>
      </c>
      <c r="G63" s="12" t="s">
        <v>115</v>
      </c>
      <c r="H63" s="12" t="s">
        <v>116</v>
      </c>
      <c r="I63" s="12" t="s">
        <v>125</v>
      </c>
      <c r="J63" s="12" t="s">
        <v>142</v>
      </c>
      <c r="K63" s="12" t="s">
        <v>200</v>
      </c>
      <c r="L63" s="12" t="s">
        <v>204</v>
      </c>
    </row>
    <row r="64" spans="1:12" s="12" customFormat="1" x14ac:dyDescent="0.3">
      <c r="A64" s="12" t="s">
        <v>110</v>
      </c>
      <c r="B64" s="12" t="s">
        <v>123</v>
      </c>
      <c r="C64" s="12" t="s">
        <v>124</v>
      </c>
      <c r="D64" s="12" t="str">
        <f t="shared" si="5"/>
        <v xml:space="preserve"> BSS-3  EOT task- Couldn't  be cancelled through approver ( record owner)</v>
      </c>
      <c r="E64" s="12" t="s">
        <v>132</v>
      </c>
      <c r="F64" s="12" t="s">
        <v>227</v>
      </c>
      <c r="G64" s="12" t="s">
        <v>115</v>
      </c>
      <c r="H64" s="12" t="s">
        <v>116</v>
      </c>
      <c r="I64" s="12" t="s">
        <v>125</v>
      </c>
      <c r="J64" s="12" t="s">
        <v>126</v>
      </c>
      <c r="K64" s="12" t="s">
        <v>170</v>
      </c>
      <c r="L64" s="12" t="s">
        <v>227</v>
      </c>
    </row>
    <row r="65" spans="1:12" s="12" customFormat="1" x14ac:dyDescent="0.3">
      <c r="A65" s="12" t="s">
        <v>110</v>
      </c>
      <c r="B65" s="12" t="s">
        <v>196</v>
      </c>
      <c r="C65" s="12" t="s">
        <v>197</v>
      </c>
      <c r="D65" s="12" t="str">
        <f t="shared" si="5"/>
        <v xml:space="preserve"> BSS-18  Limit Exceeded Error while trying to update a Unit via Salesforce connector</v>
      </c>
      <c r="E65" s="12" t="s">
        <v>132</v>
      </c>
      <c r="F65" s="12" t="s">
        <v>204</v>
      </c>
      <c r="G65" s="12" t="s">
        <v>115</v>
      </c>
      <c r="H65" s="12" t="s">
        <v>116</v>
      </c>
      <c r="I65" s="12" t="s">
        <v>115</v>
      </c>
      <c r="J65" s="12" t="s">
        <v>198</v>
      </c>
      <c r="K65" s="12" t="s">
        <v>199</v>
      </c>
      <c r="L65" s="12" t="s">
        <v>204</v>
      </c>
    </row>
    <row r="67" spans="1:12" x14ac:dyDescent="0.3">
      <c r="A67" t="s">
        <v>244</v>
      </c>
    </row>
    <row r="68" spans="1:12" x14ac:dyDescent="0.3">
      <c r="A68" t="s">
        <v>99</v>
      </c>
      <c r="B68" t="s">
        <v>100</v>
      </c>
      <c r="C68" t="s">
        <v>101</v>
      </c>
      <c r="E68" t="s">
        <v>102</v>
      </c>
      <c r="F68" t="s">
        <v>103</v>
      </c>
      <c r="G68" t="s">
        <v>104</v>
      </c>
      <c r="H68" t="s">
        <v>105</v>
      </c>
      <c r="I68" t="s">
        <v>106</v>
      </c>
      <c r="J68" t="s">
        <v>107</v>
      </c>
      <c r="K68" t="s">
        <v>108</v>
      </c>
      <c r="L68" t="s">
        <v>109</v>
      </c>
    </row>
    <row r="69" spans="1:12" x14ac:dyDescent="0.3">
      <c r="A69" t="s">
        <v>174</v>
      </c>
      <c r="B69" s="10" t="s">
        <v>175</v>
      </c>
      <c r="C69" t="s">
        <v>176</v>
      </c>
      <c r="D69" t="str">
        <f t="shared" ref="D69:D85" si="6">CONCATENATE(B69," ",C69)</f>
        <v xml:space="preserve"> BSS-13  Flow error message improvement</v>
      </c>
      <c r="E69" s="10" t="s">
        <v>177</v>
      </c>
      <c r="F69" t="s">
        <v>204</v>
      </c>
      <c r="G69" t="s">
        <v>115</v>
      </c>
      <c r="H69" t="s">
        <v>116</v>
      </c>
      <c r="I69" t="s">
        <v>178</v>
      </c>
      <c r="J69" t="s">
        <v>118</v>
      </c>
      <c r="K69" t="s">
        <v>246</v>
      </c>
      <c r="L69" t="s">
        <v>114</v>
      </c>
    </row>
    <row r="70" spans="1:12" x14ac:dyDescent="0.3">
      <c r="A70" t="s">
        <v>110</v>
      </c>
      <c r="B70" s="11" t="s">
        <v>251</v>
      </c>
      <c r="C70" t="s">
        <v>252</v>
      </c>
      <c r="D70" t="str">
        <f t="shared" si="6"/>
        <v xml:space="preserve"> BSS-27  Lead tenant validation preventing creation of renewal opps</v>
      </c>
      <c r="E70" s="11" t="s">
        <v>177</v>
      </c>
      <c r="F70" t="s">
        <v>204</v>
      </c>
      <c r="G70" t="s">
        <v>115</v>
      </c>
      <c r="H70" t="s">
        <v>248</v>
      </c>
      <c r="I70" t="s">
        <v>115</v>
      </c>
      <c r="J70" t="s">
        <v>253</v>
      </c>
      <c r="K70" t="s">
        <v>249</v>
      </c>
      <c r="L70" t="s">
        <v>138</v>
      </c>
    </row>
    <row r="71" spans="1:12" x14ac:dyDescent="0.3">
      <c r="A71" t="s">
        <v>110</v>
      </c>
      <c r="B71" s="11" t="s">
        <v>171</v>
      </c>
      <c r="C71" t="s">
        <v>172</v>
      </c>
      <c r="D71" t="str">
        <f t="shared" si="6"/>
        <v xml:space="preserve"> BSS-15  Trim the spaces before sending to HomeLet</v>
      </c>
      <c r="E71" s="11" t="s">
        <v>177</v>
      </c>
      <c r="F71" t="s">
        <v>204</v>
      </c>
      <c r="G71" t="s">
        <v>115</v>
      </c>
      <c r="H71" t="s">
        <v>116</v>
      </c>
      <c r="I71" t="s">
        <v>115</v>
      </c>
      <c r="J71" t="s">
        <v>163</v>
      </c>
      <c r="K71" t="s">
        <v>246</v>
      </c>
      <c r="L71" t="s">
        <v>245</v>
      </c>
    </row>
    <row r="72" spans="1:12" x14ac:dyDescent="0.3">
      <c r="A72" t="s">
        <v>174</v>
      </c>
      <c r="B72" s="11" t="s">
        <v>254</v>
      </c>
      <c r="C72" t="s">
        <v>255</v>
      </c>
      <c r="D72" t="str">
        <f t="shared" si="6"/>
        <v xml:space="preserve"> BSS-24  Update recipients for Process Automation Settings</v>
      </c>
      <c r="E72" s="11" t="s">
        <v>177</v>
      </c>
      <c r="F72" t="s">
        <v>204</v>
      </c>
      <c r="G72" t="s">
        <v>115</v>
      </c>
      <c r="H72" t="s">
        <v>116</v>
      </c>
      <c r="I72" t="s">
        <v>115</v>
      </c>
      <c r="J72" t="s">
        <v>216</v>
      </c>
      <c r="K72" t="s">
        <v>246</v>
      </c>
      <c r="L72" t="s">
        <v>114</v>
      </c>
    </row>
    <row r="73" spans="1:12" x14ac:dyDescent="0.3">
      <c r="A73" t="s">
        <v>110</v>
      </c>
      <c r="B73" s="10" t="s">
        <v>220</v>
      </c>
      <c r="C73" t="s">
        <v>221</v>
      </c>
      <c r="D73" t="str">
        <f t="shared" si="6"/>
        <v xml:space="preserve"> BSS-23  An Error Occurred with Your "Renewals - Send email to OCRs" Flow</v>
      </c>
      <c r="E73" s="10" t="s">
        <v>177</v>
      </c>
      <c r="F73" t="s">
        <v>204</v>
      </c>
      <c r="G73" t="s">
        <v>115</v>
      </c>
      <c r="H73" t="s">
        <v>256</v>
      </c>
      <c r="I73" t="s">
        <v>219</v>
      </c>
      <c r="J73" t="s">
        <v>216</v>
      </c>
      <c r="K73" t="s">
        <v>246</v>
      </c>
      <c r="L73" t="s">
        <v>114</v>
      </c>
    </row>
    <row r="74" spans="1:12" x14ac:dyDescent="0.3">
      <c r="A74" t="s">
        <v>110</v>
      </c>
      <c r="B74" s="11" t="s">
        <v>217</v>
      </c>
      <c r="C74" t="s">
        <v>247</v>
      </c>
      <c r="D74" t="str">
        <f t="shared" si="6"/>
        <v xml:space="preserve"> BSS-22  Welsh Occupation Contract validation blocking opportunities for Parking Garages in Cardiff</v>
      </c>
      <c r="E74" s="11" t="s">
        <v>113</v>
      </c>
      <c r="F74" t="s">
        <v>114</v>
      </c>
      <c r="G74" t="s">
        <v>115</v>
      </c>
      <c r="H74" t="s">
        <v>248</v>
      </c>
      <c r="I74" t="s">
        <v>219</v>
      </c>
      <c r="J74" t="s">
        <v>216</v>
      </c>
      <c r="K74" t="s">
        <v>249</v>
      </c>
      <c r="L74" t="s">
        <v>114</v>
      </c>
    </row>
    <row r="75" spans="1:12" x14ac:dyDescent="0.3">
      <c r="A75" t="s">
        <v>110</v>
      </c>
      <c r="B75" s="11" t="s">
        <v>127</v>
      </c>
      <c r="C75" t="s">
        <v>128</v>
      </c>
      <c r="D75" t="str">
        <f t="shared" si="6"/>
        <v xml:space="preserve"> BSS-4  Agreement not pulling the template with 1 tenant and 2 guarantors </v>
      </c>
      <c r="E75" s="11" t="s">
        <v>113</v>
      </c>
      <c r="F75" t="s">
        <v>114</v>
      </c>
      <c r="G75" t="s">
        <v>115</v>
      </c>
      <c r="H75" t="s">
        <v>116</v>
      </c>
      <c r="I75" t="s">
        <v>125</v>
      </c>
      <c r="J75" t="s">
        <v>129</v>
      </c>
      <c r="K75" t="s">
        <v>246</v>
      </c>
      <c r="L75" t="s">
        <v>250</v>
      </c>
    </row>
    <row r="76" spans="1:12" x14ac:dyDescent="0.3">
      <c r="A76" t="s">
        <v>110</v>
      </c>
      <c r="B76" s="10" t="s">
        <v>214</v>
      </c>
      <c r="C76" t="s">
        <v>215</v>
      </c>
      <c r="D76" t="str">
        <f t="shared" si="6"/>
        <v xml:space="preserve"> BSS-20  Lead Tenant being sent twice to HomeLet</v>
      </c>
      <c r="E76" s="10" t="s">
        <v>203</v>
      </c>
      <c r="F76" t="s">
        <v>204</v>
      </c>
      <c r="G76" t="s">
        <v>115</v>
      </c>
      <c r="H76" t="s">
        <v>116</v>
      </c>
      <c r="I76" t="s">
        <v>115</v>
      </c>
      <c r="J76" t="s">
        <v>199</v>
      </c>
      <c r="K76" t="s">
        <v>246</v>
      </c>
      <c r="L76" t="s">
        <v>138</v>
      </c>
    </row>
    <row r="77" spans="1:12" x14ac:dyDescent="0.3">
      <c r="A77" t="s">
        <v>110</v>
      </c>
      <c r="B77" s="10" t="s">
        <v>164</v>
      </c>
      <c r="C77" t="s">
        <v>165</v>
      </c>
      <c r="D77" t="str">
        <f t="shared" si="6"/>
        <v xml:space="preserve"> BSS-14  An unhandled fault occurred in this flow</v>
      </c>
      <c r="E77" s="10" t="s">
        <v>203</v>
      </c>
      <c r="F77" t="s">
        <v>227</v>
      </c>
      <c r="G77" t="s">
        <v>115</v>
      </c>
      <c r="H77" t="s">
        <v>116</v>
      </c>
      <c r="I77" t="s">
        <v>115</v>
      </c>
      <c r="J77" t="s">
        <v>166</v>
      </c>
      <c r="K77" t="s">
        <v>199</v>
      </c>
      <c r="L77" t="s">
        <v>250</v>
      </c>
    </row>
    <row r="78" spans="1:12" x14ac:dyDescent="0.3">
      <c r="A78" t="s">
        <v>110</v>
      </c>
      <c r="B78" s="10" t="s">
        <v>167</v>
      </c>
      <c r="C78" t="s">
        <v>168</v>
      </c>
      <c r="D78" t="str">
        <f t="shared" si="6"/>
        <v xml:space="preserve"> BSS-16  Unable to send to Homelet</v>
      </c>
      <c r="E78" s="10" t="s">
        <v>203</v>
      </c>
      <c r="F78" t="s">
        <v>204</v>
      </c>
      <c r="G78" t="s">
        <v>115</v>
      </c>
      <c r="H78" t="s">
        <v>116</v>
      </c>
      <c r="I78" t="s">
        <v>115</v>
      </c>
      <c r="J78" t="s">
        <v>163</v>
      </c>
      <c r="K78" t="s">
        <v>216</v>
      </c>
      <c r="L78" t="s">
        <v>245</v>
      </c>
    </row>
    <row r="79" spans="1:12" x14ac:dyDescent="0.3">
      <c r="A79" t="s">
        <v>110</v>
      </c>
      <c r="B79" s="11" t="s">
        <v>257</v>
      </c>
      <c r="C79" t="s">
        <v>258</v>
      </c>
      <c r="D79" t="str">
        <f t="shared" si="6"/>
        <v xml:space="preserve"> BSS-28  Contract Sign Date not displaying</v>
      </c>
      <c r="E79" s="11" t="s">
        <v>203</v>
      </c>
      <c r="F79" t="s">
        <v>204</v>
      </c>
      <c r="G79" t="s">
        <v>115</v>
      </c>
      <c r="H79" t="s">
        <v>248</v>
      </c>
      <c r="I79" t="s">
        <v>115</v>
      </c>
      <c r="J79" t="s">
        <v>253</v>
      </c>
      <c r="K79" t="s">
        <v>246</v>
      </c>
      <c r="L79" t="s">
        <v>245</v>
      </c>
    </row>
    <row r="80" spans="1:12" x14ac:dyDescent="0.3">
      <c r="A80" t="s">
        <v>110</v>
      </c>
      <c r="B80" s="11" t="s">
        <v>119</v>
      </c>
      <c r="C80" t="s">
        <v>120</v>
      </c>
      <c r="D80" t="str">
        <f t="shared" si="6"/>
        <v xml:space="preserve"> BSS-9  HomeLet referencing error showing in this opportunity</v>
      </c>
      <c r="E80" s="11" t="s">
        <v>203</v>
      </c>
      <c r="F80" t="s">
        <v>204</v>
      </c>
      <c r="G80" t="s">
        <v>115</v>
      </c>
      <c r="H80" t="s">
        <v>116</v>
      </c>
      <c r="I80" t="s">
        <v>115</v>
      </c>
      <c r="J80" t="s">
        <v>122</v>
      </c>
      <c r="K80" t="s">
        <v>246</v>
      </c>
      <c r="L80" t="s">
        <v>245</v>
      </c>
    </row>
    <row r="81" spans="1:12" x14ac:dyDescent="0.3">
      <c r="A81" t="s">
        <v>110</v>
      </c>
      <c r="B81" s="10" t="s">
        <v>201</v>
      </c>
      <c r="C81" t="s">
        <v>202</v>
      </c>
      <c r="D81" t="str">
        <f t="shared" si="6"/>
        <v xml:space="preserve"> BSS-17  Guarantor not being sent for referencing</v>
      </c>
      <c r="E81" s="10" t="s">
        <v>132</v>
      </c>
      <c r="F81" t="s">
        <v>138</v>
      </c>
      <c r="G81" t="s">
        <v>115</v>
      </c>
      <c r="H81" t="s">
        <v>116</v>
      </c>
      <c r="I81" t="s">
        <v>115</v>
      </c>
      <c r="J81" t="s">
        <v>200</v>
      </c>
      <c r="K81" t="s">
        <v>223</v>
      </c>
      <c r="L81" t="s">
        <v>138</v>
      </c>
    </row>
    <row r="82" spans="1:12" x14ac:dyDescent="0.3">
      <c r="A82" t="s">
        <v>110</v>
      </c>
      <c r="B82" s="11" t="s">
        <v>111</v>
      </c>
      <c r="C82" t="s">
        <v>112</v>
      </c>
      <c r="D82" t="str">
        <f t="shared" si="6"/>
        <v xml:space="preserve"> BSS-8  Unable to complete task on EOT</v>
      </c>
      <c r="E82" s="11" t="s">
        <v>132</v>
      </c>
      <c r="F82" t="s">
        <v>227</v>
      </c>
      <c r="G82" t="s">
        <v>115</v>
      </c>
      <c r="H82" t="s">
        <v>116</v>
      </c>
      <c r="I82" t="s">
        <v>115</v>
      </c>
      <c r="J82" t="s">
        <v>117</v>
      </c>
      <c r="K82" t="s">
        <v>246</v>
      </c>
      <c r="L82" t="s">
        <v>250</v>
      </c>
    </row>
    <row r="83" spans="1:12" x14ac:dyDescent="0.3">
      <c r="A83" t="s">
        <v>110</v>
      </c>
      <c r="B83" s="10" t="s">
        <v>224</v>
      </c>
      <c r="C83" t="s">
        <v>225</v>
      </c>
      <c r="D83" t="str">
        <f t="shared" si="6"/>
        <v xml:space="preserve"> BSS-21  Re-send guarantor to HomeLet</v>
      </c>
      <c r="E83" s="10" t="s">
        <v>132</v>
      </c>
      <c r="F83" t="s">
        <v>204</v>
      </c>
      <c r="G83" t="s">
        <v>115</v>
      </c>
      <c r="H83" t="s">
        <v>116</v>
      </c>
      <c r="I83" t="s">
        <v>115</v>
      </c>
      <c r="J83" t="s">
        <v>226</v>
      </c>
      <c r="K83" t="s">
        <v>216</v>
      </c>
      <c r="L83" t="s">
        <v>138</v>
      </c>
    </row>
    <row r="84" spans="1:12" x14ac:dyDescent="0.3">
      <c r="A84" t="s">
        <v>110</v>
      </c>
      <c r="B84" s="11" t="s">
        <v>194</v>
      </c>
      <c r="C84" t="s">
        <v>195</v>
      </c>
      <c r="D84" t="str">
        <f t="shared" si="6"/>
        <v xml:space="preserve"> BSS-19  The Units  with status “On the market – no access” are not able to be posted onto Rightmove</v>
      </c>
      <c r="E84" s="11" t="s">
        <v>132</v>
      </c>
      <c r="F84" t="s">
        <v>114</v>
      </c>
      <c r="G84" t="s">
        <v>115</v>
      </c>
      <c r="H84" t="s">
        <v>116</v>
      </c>
      <c r="I84" t="s">
        <v>115</v>
      </c>
      <c r="J84" t="s">
        <v>193</v>
      </c>
      <c r="K84" t="s">
        <v>259</v>
      </c>
      <c r="L84" t="s">
        <v>245</v>
      </c>
    </row>
    <row r="85" spans="1:12" x14ac:dyDescent="0.3">
      <c r="A85" t="s">
        <v>174</v>
      </c>
      <c r="B85" s="11" t="s">
        <v>260</v>
      </c>
      <c r="C85" t="s">
        <v>261</v>
      </c>
      <c r="D85" t="str">
        <f t="shared" si="6"/>
        <v xml:space="preserve"> BSS-25  Update UAT Organization-Wide Addresses</v>
      </c>
      <c r="E85" s="11" t="s">
        <v>132</v>
      </c>
      <c r="F85" t="s">
        <v>114</v>
      </c>
      <c r="G85" t="s">
        <v>115</v>
      </c>
      <c r="H85" t="s">
        <v>116</v>
      </c>
      <c r="I85" t="s">
        <v>115</v>
      </c>
      <c r="J85" t="s">
        <v>216</v>
      </c>
      <c r="K85" t="s">
        <v>259</v>
      </c>
      <c r="L85" t="s">
        <v>114</v>
      </c>
    </row>
    <row r="87" spans="1:12" x14ac:dyDescent="0.3">
      <c r="A87" t="s">
        <v>275</v>
      </c>
    </row>
    <row r="88" spans="1:12" x14ac:dyDescent="0.3">
      <c r="A88" t="s">
        <v>99</v>
      </c>
      <c r="B88" t="s">
        <v>100</v>
      </c>
      <c r="C88" t="s">
        <v>101</v>
      </c>
      <c r="E88" t="s">
        <v>102</v>
      </c>
      <c r="F88" t="s">
        <v>103</v>
      </c>
      <c r="G88" t="s">
        <v>104</v>
      </c>
      <c r="H88" t="s">
        <v>105</v>
      </c>
      <c r="I88" t="s">
        <v>106</v>
      </c>
      <c r="J88" t="s">
        <v>107</v>
      </c>
      <c r="K88" t="s">
        <v>108</v>
      </c>
      <c r="L88" t="s">
        <v>109</v>
      </c>
    </row>
    <row r="89" spans="1:12" x14ac:dyDescent="0.3">
      <c r="A89" t="s">
        <v>110</v>
      </c>
      <c r="B89" t="s">
        <v>217</v>
      </c>
      <c r="C89" t="s">
        <v>247</v>
      </c>
      <c r="D89" t="str">
        <f t="shared" ref="D89:D107" si="7">CONCATENATE(B89," ",C89)</f>
        <v xml:space="preserve"> BSS-22  Welsh Occupation Contract validation blocking opportunities for Parking Garages in Cardiff</v>
      </c>
      <c r="E89" t="s">
        <v>276</v>
      </c>
      <c r="F89" t="s">
        <v>114</v>
      </c>
      <c r="G89" t="s">
        <v>115</v>
      </c>
      <c r="H89" t="s">
        <v>248</v>
      </c>
      <c r="I89" t="s">
        <v>219</v>
      </c>
      <c r="J89" t="s">
        <v>216</v>
      </c>
      <c r="K89" t="s">
        <v>277</v>
      </c>
      <c r="L89" t="s">
        <v>89</v>
      </c>
    </row>
    <row r="90" spans="1:12" x14ac:dyDescent="0.3">
      <c r="A90" t="s">
        <v>110</v>
      </c>
      <c r="B90" t="s">
        <v>127</v>
      </c>
      <c r="C90" t="s">
        <v>128</v>
      </c>
      <c r="D90" t="str">
        <f t="shared" si="7"/>
        <v xml:space="preserve"> BSS-4  Agreement not pulling the template with 1 tenant and 2 guarantors </v>
      </c>
      <c r="E90" t="s">
        <v>113</v>
      </c>
      <c r="F90" t="s">
        <v>114</v>
      </c>
      <c r="G90" t="s">
        <v>115</v>
      </c>
      <c r="H90" t="s">
        <v>116</v>
      </c>
      <c r="I90" t="s">
        <v>283</v>
      </c>
      <c r="J90" t="s">
        <v>129</v>
      </c>
      <c r="K90" t="s">
        <v>278</v>
      </c>
      <c r="L90" t="s">
        <v>227</v>
      </c>
    </row>
    <row r="91" spans="1:12" x14ac:dyDescent="0.3">
      <c r="A91" t="s">
        <v>174</v>
      </c>
      <c r="B91" t="s">
        <v>175</v>
      </c>
      <c r="C91" t="s">
        <v>176</v>
      </c>
      <c r="D91" t="str">
        <f t="shared" si="7"/>
        <v xml:space="preserve"> BSS-13  Flow error message improvement</v>
      </c>
      <c r="E91" t="s">
        <v>177</v>
      </c>
      <c r="F91" t="s">
        <v>245</v>
      </c>
      <c r="G91" t="s">
        <v>115</v>
      </c>
      <c r="H91" t="s">
        <v>116</v>
      </c>
      <c r="I91" t="s">
        <v>178</v>
      </c>
      <c r="J91" t="s">
        <v>118</v>
      </c>
      <c r="K91" t="s">
        <v>246</v>
      </c>
      <c r="L91" t="s">
        <v>89</v>
      </c>
    </row>
    <row r="92" spans="1:12" x14ac:dyDescent="0.3">
      <c r="A92" t="s">
        <v>110</v>
      </c>
      <c r="B92" t="s">
        <v>251</v>
      </c>
      <c r="C92" t="s">
        <v>252</v>
      </c>
      <c r="D92" t="str">
        <f t="shared" si="7"/>
        <v xml:space="preserve"> BSS-27  Lead tenant validation preventing creation of renewal opps</v>
      </c>
      <c r="E92" t="s">
        <v>177</v>
      </c>
      <c r="F92" t="s">
        <v>245</v>
      </c>
      <c r="G92" t="s">
        <v>115</v>
      </c>
      <c r="H92" t="s">
        <v>248</v>
      </c>
      <c r="I92" t="s">
        <v>115</v>
      </c>
      <c r="J92" t="s">
        <v>253</v>
      </c>
      <c r="K92" t="s">
        <v>249</v>
      </c>
      <c r="L92" t="s">
        <v>42</v>
      </c>
    </row>
    <row r="93" spans="1:12" x14ac:dyDescent="0.3">
      <c r="A93" t="s">
        <v>110</v>
      </c>
      <c r="B93" t="s">
        <v>171</v>
      </c>
      <c r="C93" t="s">
        <v>172</v>
      </c>
      <c r="D93" t="str">
        <f t="shared" si="7"/>
        <v xml:space="preserve"> BSS-15  Trim the spaces before sending to HomeLet</v>
      </c>
      <c r="E93" t="s">
        <v>177</v>
      </c>
      <c r="F93" t="s">
        <v>245</v>
      </c>
      <c r="G93" t="s">
        <v>115</v>
      </c>
      <c r="H93" t="s">
        <v>116</v>
      </c>
      <c r="I93" t="s">
        <v>115</v>
      </c>
      <c r="J93" t="s">
        <v>163</v>
      </c>
      <c r="K93" t="s">
        <v>246</v>
      </c>
      <c r="L93" t="s">
        <v>284</v>
      </c>
    </row>
    <row r="94" spans="1:12" x14ac:dyDescent="0.3">
      <c r="A94" t="s">
        <v>174</v>
      </c>
      <c r="B94" t="s">
        <v>254</v>
      </c>
      <c r="C94" t="s">
        <v>255</v>
      </c>
      <c r="D94" t="str">
        <f t="shared" si="7"/>
        <v xml:space="preserve"> BSS-24  Update recipients for Process Automation Settings</v>
      </c>
      <c r="E94" t="s">
        <v>177</v>
      </c>
      <c r="F94" t="s">
        <v>245</v>
      </c>
      <c r="G94" t="s">
        <v>115</v>
      </c>
      <c r="H94" t="s">
        <v>116</v>
      </c>
      <c r="I94" t="s">
        <v>115</v>
      </c>
      <c r="J94" t="s">
        <v>216</v>
      </c>
      <c r="K94" t="s">
        <v>278</v>
      </c>
      <c r="L94" t="s">
        <v>89</v>
      </c>
    </row>
    <row r="95" spans="1:12" x14ac:dyDescent="0.3">
      <c r="A95" t="s">
        <v>110</v>
      </c>
      <c r="B95" t="s">
        <v>220</v>
      </c>
      <c r="C95" t="s">
        <v>221</v>
      </c>
      <c r="D95" t="str">
        <f t="shared" si="7"/>
        <v xml:space="preserve"> BSS-23  An Error Occurred with Your "Renewals - Send email to OCRs" Flow</v>
      </c>
      <c r="E95" t="s">
        <v>177</v>
      </c>
      <c r="F95" t="s">
        <v>245</v>
      </c>
      <c r="G95" t="s">
        <v>115</v>
      </c>
      <c r="H95" t="s">
        <v>256</v>
      </c>
      <c r="I95" t="s">
        <v>219</v>
      </c>
      <c r="J95" t="s">
        <v>216</v>
      </c>
      <c r="K95" t="s">
        <v>246</v>
      </c>
      <c r="L95" t="s">
        <v>89</v>
      </c>
    </row>
    <row r="96" spans="1:12" x14ac:dyDescent="0.3">
      <c r="A96" t="s">
        <v>110</v>
      </c>
      <c r="B96" t="s">
        <v>164</v>
      </c>
      <c r="C96" t="s">
        <v>165</v>
      </c>
      <c r="D96" t="str">
        <f t="shared" si="7"/>
        <v xml:space="preserve"> BSS-14  An unhandled fault occurred in this flow</v>
      </c>
      <c r="E96" t="s">
        <v>203</v>
      </c>
      <c r="F96" t="s">
        <v>250</v>
      </c>
      <c r="G96" t="s">
        <v>115</v>
      </c>
      <c r="H96" t="s">
        <v>116</v>
      </c>
      <c r="I96" t="s">
        <v>115</v>
      </c>
      <c r="J96" t="s">
        <v>166</v>
      </c>
      <c r="K96" t="s">
        <v>278</v>
      </c>
      <c r="L96" t="s">
        <v>227</v>
      </c>
    </row>
    <row r="97" spans="1:12" x14ac:dyDescent="0.3">
      <c r="A97" t="s">
        <v>110</v>
      </c>
      <c r="B97" t="s">
        <v>279</v>
      </c>
      <c r="C97" t="s">
        <v>280</v>
      </c>
      <c r="D97" t="str">
        <f t="shared" si="7"/>
        <v xml:space="preserve"> BSS-29  Event PB Handler Error: Missing required: whoId </v>
      </c>
      <c r="E97" t="s">
        <v>177</v>
      </c>
      <c r="F97" t="s">
        <v>245</v>
      </c>
      <c r="G97" t="s">
        <v>115</v>
      </c>
      <c r="H97" t="s">
        <v>116</v>
      </c>
      <c r="I97" t="s">
        <v>219</v>
      </c>
      <c r="J97" t="s">
        <v>246</v>
      </c>
      <c r="K97" t="s">
        <v>278</v>
      </c>
      <c r="L97" t="s">
        <v>89</v>
      </c>
    </row>
    <row r="98" spans="1:12" x14ac:dyDescent="0.3">
      <c r="A98" t="s">
        <v>110</v>
      </c>
      <c r="B98" t="s">
        <v>281</v>
      </c>
      <c r="C98" t="s">
        <v>282</v>
      </c>
      <c r="D98" t="str">
        <f t="shared" si="7"/>
        <v xml:space="preserve"> BSS-31  Apex error during CancelOrder callout to HomeLet API</v>
      </c>
      <c r="E98" t="s">
        <v>177</v>
      </c>
      <c r="F98" t="s">
        <v>245</v>
      </c>
      <c r="G98" t="s">
        <v>115</v>
      </c>
      <c r="H98" t="s">
        <v>116</v>
      </c>
      <c r="I98" t="s">
        <v>115</v>
      </c>
      <c r="J98" t="s">
        <v>278</v>
      </c>
      <c r="K98" t="s">
        <v>278</v>
      </c>
      <c r="L98" t="s">
        <v>42</v>
      </c>
    </row>
    <row r="99" spans="1:12" x14ac:dyDescent="0.3">
      <c r="A99" t="s">
        <v>110</v>
      </c>
      <c r="B99" t="s">
        <v>214</v>
      </c>
      <c r="C99" t="s">
        <v>215</v>
      </c>
      <c r="D99" t="str">
        <f t="shared" si="7"/>
        <v xml:space="preserve"> BSS-20  Lead Tenant being sent twice to HomeLet</v>
      </c>
      <c r="E99" t="s">
        <v>132</v>
      </c>
      <c r="F99" t="s">
        <v>192</v>
      </c>
      <c r="G99" t="s">
        <v>115</v>
      </c>
      <c r="H99" t="s">
        <v>116</v>
      </c>
      <c r="I99" t="s">
        <v>115</v>
      </c>
      <c r="J99" t="s">
        <v>199</v>
      </c>
      <c r="K99" t="s">
        <v>278</v>
      </c>
      <c r="L99" t="s">
        <v>42</v>
      </c>
    </row>
    <row r="100" spans="1:12" x14ac:dyDescent="0.3">
      <c r="A100" t="s">
        <v>110</v>
      </c>
      <c r="B100" t="s">
        <v>257</v>
      </c>
      <c r="C100" t="s">
        <v>258</v>
      </c>
      <c r="D100" t="str">
        <f t="shared" si="7"/>
        <v xml:space="preserve"> BSS-28  Contract Sign Date not displaying</v>
      </c>
      <c r="E100" t="s">
        <v>132</v>
      </c>
      <c r="F100" t="s">
        <v>245</v>
      </c>
      <c r="G100" t="s">
        <v>115</v>
      </c>
      <c r="H100" t="s">
        <v>248</v>
      </c>
      <c r="I100" t="s">
        <v>115</v>
      </c>
      <c r="J100" t="s">
        <v>253</v>
      </c>
      <c r="K100" t="s">
        <v>278</v>
      </c>
      <c r="L100" t="s">
        <v>284</v>
      </c>
    </row>
    <row r="101" spans="1:12" x14ac:dyDescent="0.3">
      <c r="A101" t="s">
        <v>110</v>
      </c>
      <c r="B101" t="s">
        <v>201</v>
      </c>
      <c r="C101" t="s">
        <v>202</v>
      </c>
      <c r="D101" t="str">
        <f t="shared" si="7"/>
        <v xml:space="preserve"> BSS-17  Guarantor not being sent for referencing</v>
      </c>
      <c r="E101" t="s">
        <v>132</v>
      </c>
      <c r="F101" t="s">
        <v>138</v>
      </c>
      <c r="G101" t="s">
        <v>115</v>
      </c>
      <c r="H101" t="s">
        <v>116</v>
      </c>
      <c r="I101" t="s">
        <v>115</v>
      </c>
      <c r="J101" t="s">
        <v>200</v>
      </c>
      <c r="K101" t="s">
        <v>223</v>
      </c>
      <c r="L101" t="s">
        <v>42</v>
      </c>
    </row>
    <row r="102" spans="1:12" x14ac:dyDescent="0.3">
      <c r="A102" t="s">
        <v>110</v>
      </c>
      <c r="B102" t="s">
        <v>119</v>
      </c>
      <c r="C102" t="s">
        <v>120</v>
      </c>
      <c r="D102" t="str">
        <f t="shared" si="7"/>
        <v xml:space="preserve"> BSS-9  HomeLet referencing error showing in this opportunity</v>
      </c>
      <c r="E102" t="s">
        <v>132</v>
      </c>
      <c r="F102" t="s">
        <v>245</v>
      </c>
      <c r="G102" t="s">
        <v>115</v>
      </c>
      <c r="H102" t="s">
        <v>116</v>
      </c>
      <c r="I102" t="s">
        <v>115</v>
      </c>
      <c r="J102" t="s">
        <v>122</v>
      </c>
      <c r="K102" t="s">
        <v>246</v>
      </c>
      <c r="L102" t="s">
        <v>284</v>
      </c>
    </row>
    <row r="103" spans="1:12" x14ac:dyDescent="0.3">
      <c r="A103" t="s">
        <v>110</v>
      </c>
      <c r="B103" t="s">
        <v>111</v>
      </c>
      <c r="C103" t="s">
        <v>112</v>
      </c>
      <c r="D103" t="str">
        <f t="shared" si="7"/>
        <v xml:space="preserve"> BSS-8  Unable to complete task on EOT</v>
      </c>
      <c r="E103" t="s">
        <v>132</v>
      </c>
      <c r="F103" t="s">
        <v>250</v>
      </c>
      <c r="G103" t="s">
        <v>115</v>
      </c>
      <c r="H103" t="s">
        <v>116</v>
      </c>
      <c r="I103" t="s">
        <v>115</v>
      </c>
      <c r="J103" t="s">
        <v>117</v>
      </c>
      <c r="K103" t="s">
        <v>246</v>
      </c>
      <c r="L103" t="s">
        <v>227</v>
      </c>
    </row>
    <row r="104" spans="1:12" x14ac:dyDescent="0.3">
      <c r="A104" t="s">
        <v>110</v>
      </c>
      <c r="B104" t="s">
        <v>167</v>
      </c>
      <c r="C104" t="s">
        <v>168</v>
      </c>
      <c r="D104" t="str">
        <f t="shared" si="7"/>
        <v xml:space="preserve"> BSS-16  Unable to send to Homelet</v>
      </c>
      <c r="E104" t="s">
        <v>132</v>
      </c>
      <c r="F104" t="s">
        <v>138</v>
      </c>
      <c r="G104" t="s">
        <v>115</v>
      </c>
      <c r="H104" t="s">
        <v>116</v>
      </c>
      <c r="I104" t="s">
        <v>115</v>
      </c>
      <c r="J104" t="s">
        <v>163</v>
      </c>
      <c r="K104" t="s">
        <v>278</v>
      </c>
      <c r="L104" t="s">
        <v>284</v>
      </c>
    </row>
    <row r="105" spans="1:12" x14ac:dyDescent="0.3">
      <c r="A105" t="s">
        <v>110</v>
      </c>
      <c r="B105" t="s">
        <v>224</v>
      </c>
      <c r="C105" t="s">
        <v>225</v>
      </c>
      <c r="D105" t="str">
        <f t="shared" si="7"/>
        <v xml:space="preserve"> BSS-21  Re-send guarantor to HomeLet</v>
      </c>
      <c r="E105" t="s">
        <v>132</v>
      </c>
      <c r="F105" t="s">
        <v>245</v>
      </c>
      <c r="G105" t="s">
        <v>115</v>
      </c>
      <c r="H105" t="s">
        <v>116</v>
      </c>
      <c r="I105" t="s">
        <v>115</v>
      </c>
      <c r="J105" t="s">
        <v>226</v>
      </c>
      <c r="K105" t="s">
        <v>216</v>
      </c>
      <c r="L105" t="s">
        <v>42</v>
      </c>
    </row>
    <row r="106" spans="1:12" x14ac:dyDescent="0.3">
      <c r="A106" t="s">
        <v>110</v>
      </c>
      <c r="B106" t="s">
        <v>194</v>
      </c>
      <c r="C106" t="s">
        <v>195</v>
      </c>
      <c r="D106" t="str">
        <f t="shared" si="7"/>
        <v xml:space="preserve"> BSS-19  The Units  with status “On the market – no access” are not able to be posted onto Rightmove</v>
      </c>
      <c r="E106" t="s">
        <v>132</v>
      </c>
      <c r="F106" t="s">
        <v>114</v>
      </c>
      <c r="G106" t="s">
        <v>115</v>
      </c>
      <c r="H106" t="s">
        <v>116</v>
      </c>
      <c r="I106" t="s">
        <v>115</v>
      </c>
      <c r="J106" t="s">
        <v>193</v>
      </c>
      <c r="K106" t="s">
        <v>259</v>
      </c>
      <c r="L106" t="s">
        <v>284</v>
      </c>
    </row>
    <row r="107" spans="1:12" x14ac:dyDescent="0.3">
      <c r="A107" t="s">
        <v>174</v>
      </c>
      <c r="B107" t="s">
        <v>260</v>
      </c>
      <c r="C107" t="s">
        <v>261</v>
      </c>
      <c r="D107" t="str">
        <f t="shared" si="7"/>
        <v xml:space="preserve"> BSS-25  Update UAT Organization-Wide Addresses</v>
      </c>
      <c r="E107" t="s">
        <v>132</v>
      </c>
      <c r="F107" t="s">
        <v>114</v>
      </c>
      <c r="G107" t="s">
        <v>115</v>
      </c>
      <c r="H107" t="s">
        <v>116</v>
      </c>
      <c r="I107" t="s">
        <v>115</v>
      </c>
      <c r="J107" t="s">
        <v>216</v>
      </c>
      <c r="K107" t="s">
        <v>259</v>
      </c>
      <c r="L107" t="s">
        <v>89</v>
      </c>
    </row>
    <row r="109" spans="1:12" x14ac:dyDescent="0.3">
      <c r="A109" t="s">
        <v>294</v>
      </c>
    </row>
    <row r="110" spans="1:12" x14ac:dyDescent="0.3">
      <c r="A110" t="s">
        <v>99</v>
      </c>
      <c r="B110" t="s">
        <v>100</v>
      </c>
      <c r="C110" t="s">
        <v>101</v>
      </c>
      <c r="E110" t="s">
        <v>102</v>
      </c>
      <c r="F110" t="s">
        <v>103</v>
      </c>
      <c r="G110" t="s">
        <v>104</v>
      </c>
      <c r="H110" t="s">
        <v>105</v>
      </c>
      <c r="I110" t="s">
        <v>106</v>
      </c>
      <c r="J110" t="s">
        <v>107</v>
      </c>
      <c r="K110" t="s">
        <v>108</v>
      </c>
      <c r="L110" t="s">
        <v>109</v>
      </c>
    </row>
    <row r="111" spans="1:12" x14ac:dyDescent="0.3">
      <c r="A111" t="s">
        <v>110</v>
      </c>
      <c r="B111" t="s">
        <v>127</v>
      </c>
      <c r="C111" t="s">
        <v>128</v>
      </c>
      <c r="D111" t="str">
        <f t="shared" ref="D111:D129" si="8">CONCATENATE(B111," ",C111)</f>
        <v xml:space="preserve"> BSS-4  Agreement not pulling the template with 1 tenant and 2 guarantors </v>
      </c>
      <c r="E111" t="s">
        <v>177</v>
      </c>
      <c r="F111" t="s">
        <v>114</v>
      </c>
      <c r="G111" t="s">
        <v>115</v>
      </c>
      <c r="H111" t="s">
        <v>116</v>
      </c>
      <c r="I111" t="s">
        <v>283</v>
      </c>
      <c r="J111" t="s">
        <v>129</v>
      </c>
      <c r="K111" t="s">
        <v>277</v>
      </c>
      <c r="L111" t="s">
        <v>227</v>
      </c>
    </row>
    <row r="112" spans="1:12" x14ac:dyDescent="0.3">
      <c r="A112" t="s">
        <v>174</v>
      </c>
      <c r="B112" t="s">
        <v>175</v>
      </c>
      <c r="C112" t="s">
        <v>176</v>
      </c>
      <c r="D112" t="str">
        <f t="shared" si="8"/>
        <v xml:space="preserve"> BSS-13  Flow error message improvement</v>
      </c>
      <c r="E112" t="s">
        <v>177</v>
      </c>
      <c r="F112" t="s">
        <v>245</v>
      </c>
      <c r="G112" t="s">
        <v>115</v>
      </c>
      <c r="H112" t="s">
        <v>116</v>
      </c>
      <c r="I112" t="s">
        <v>178</v>
      </c>
      <c r="J112" t="s">
        <v>118</v>
      </c>
      <c r="K112" t="s">
        <v>246</v>
      </c>
      <c r="L112" t="s">
        <v>89</v>
      </c>
    </row>
    <row r="113" spans="1:12" x14ac:dyDescent="0.3">
      <c r="A113" t="s">
        <v>110</v>
      </c>
      <c r="B113" t="s">
        <v>251</v>
      </c>
      <c r="C113" t="s">
        <v>252</v>
      </c>
      <c r="D113" t="str">
        <f t="shared" si="8"/>
        <v xml:space="preserve"> BSS-27  Lead tenant validation preventing creation of renewal opps</v>
      </c>
      <c r="E113" t="s">
        <v>177</v>
      </c>
      <c r="F113" t="s">
        <v>245</v>
      </c>
      <c r="G113" t="s">
        <v>115</v>
      </c>
      <c r="H113" t="s">
        <v>248</v>
      </c>
      <c r="I113" t="s">
        <v>115</v>
      </c>
      <c r="J113" t="s">
        <v>253</v>
      </c>
      <c r="K113" t="s">
        <v>249</v>
      </c>
      <c r="L113" t="s">
        <v>42</v>
      </c>
    </row>
    <row r="114" spans="1:12" x14ac:dyDescent="0.3">
      <c r="A114" t="s">
        <v>110</v>
      </c>
      <c r="B114" t="s">
        <v>171</v>
      </c>
      <c r="C114" t="s">
        <v>172</v>
      </c>
      <c r="D114" t="str">
        <f t="shared" si="8"/>
        <v xml:space="preserve"> BSS-15  Trim the spaces before sending to HomeLet</v>
      </c>
      <c r="E114" t="s">
        <v>177</v>
      </c>
      <c r="F114" t="s">
        <v>245</v>
      </c>
      <c r="G114" t="s">
        <v>115</v>
      </c>
      <c r="H114" t="s">
        <v>116</v>
      </c>
      <c r="I114" t="s">
        <v>115</v>
      </c>
      <c r="J114" t="s">
        <v>163</v>
      </c>
      <c r="K114" t="s">
        <v>246</v>
      </c>
      <c r="L114" t="s">
        <v>284</v>
      </c>
    </row>
    <row r="115" spans="1:12" x14ac:dyDescent="0.3">
      <c r="A115" t="s">
        <v>174</v>
      </c>
      <c r="B115" t="s">
        <v>254</v>
      </c>
      <c r="C115" t="s">
        <v>255</v>
      </c>
      <c r="D115" t="str">
        <f t="shared" si="8"/>
        <v xml:space="preserve"> BSS-24  Update recipients for Process Automation Settings</v>
      </c>
      <c r="E115" t="s">
        <v>177</v>
      </c>
      <c r="F115" t="s">
        <v>245</v>
      </c>
      <c r="G115" t="s">
        <v>115</v>
      </c>
      <c r="H115" t="s">
        <v>116</v>
      </c>
      <c r="I115" t="s">
        <v>115</v>
      </c>
      <c r="J115" t="s">
        <v>216</v>
      </c>
      <c r="K115" t="s">
        <v>278</v>
      </c>
      <c r="L115" t="s">
        <v>89</v>
      </c>
    </row>
    <row r="116" spans="1:12" x14ac:dyDescent="0.3">
      <c r="A116" t="s">
        <v>110</v>
      </c>
      <c r="B116" t="s">
        <v>220</v>
      </c>
      <c r="C116" t="s">
        <v>221</v>
      </c>
      <c r="D116" t="str">
        <f t="shared" si="8"/>
        <v xml:space="preserve"> BSS-23  An Error Occurred with Your "Renewals - Send email to OCRs" Flow</v>
      </c>
      <c r="E116" t="s">
        <v>177</v>
      </c>
      <c r="F116" t="s">
        <v>245</v>
      </c>
      <c r="G116" t="s">
        <v>115</v>
      </c>
      <c r="H116" t="s">
        <v>256</v>
      </c>
      <c r="I116" t="s">
        <v>219</v>
      </c>
      <c r="J116" t="s">
        <v>216</v>
      </c>
      <c r="K116" t="s">
        <v>246</v>
      </c>
      <c r="L116" t="s">
        <v>89</v>
      </c>
    </row>
    <row r="117" spans="1:12" x14ac:dyDescent="0.3">
      <c r="A117" t="s">
        <v>110</v>
      </c>
      <c r="B117" t="s">
        <v>217</v>
      </c>
      <c r="C117" t="s">
        <v>247</v>
      </c>
      <c r="D117" t="str">
        <f t="shared" si="8"/>
        <v xml:space="preserve"> BSS-22  Welsh Occupation Contract validation blocking opportunities for Parking Garages in Cardiff</v>
      </c>
      <c r="E117" t="s">
        <v>203</v>
      </c>
      <c r="F117" t="s">
        <v>222</v>
      </c>
      <c r="G117" t="s">
        <v>115</v>
      </c>
      <c r="H117" t="s">
        <v>248</v>
      </c>
      <c r="I117" t="s">
        <v>219</v>
      </c>
      <c r="J117" t="s">
        <v>216</v>
      </c>
      <c r="K117" t="s">
        <v>295</v>
      </c>
      <c r="L117" t="s">
        <v>89</v>
      </c>
    </row>
    <row r="118" spans="1:12" x14ac:dyDescent="0.3">
      <c r="A118" t="s">
        <v>110</v>
      </c>
      <c r="B118" t="s">
        <v>279</v>
      </c>
      <c r="C118" t="s">
        <v>280</v>
      </c>
      <c r="D118" t="str">
        <f t="shared" si="8"/>
        <v xml:space="preserve"> BSS-29  Event PB Handler Error: Missing required: whoId </v>
      </c>
      <c r="E118" t="s">
        <v>177</v>
      </c>
      <c r="F118" t="s">
        <v>245</v>
      </c>
      <c r="G118" t="s">
        <v>115</v>
      </c>
      <c r="H118" t="s">
        <v>116</v>
      </c>
      <c r="I118" t="s">
        <v>219</v>
      </c>
      <c r="J118" t="s">
        <v>246</v>
      </c>
      <c r="K118" t="s">
        <v>278</v>
      </c>
      <c r="L118" t="s">
        <v>89</v>
      </c>
    </row>
    <row r="119" spans="1:12" x14ac:dyDescent="0.3">
      <c r="A119" t="s">
        <v>110</v>
      </c>
      <c r="B119" t="s">
        <v>281</v>
      </c>
      <c r="C119" t="s">
        <v>282</v>
      </c>
      <c r="D119" t="str">
        <f t="shared" si="8"/>
        <v xml:space="preserve"> BSS-31  Apex error during CancelOrder callout to HomeLet API</v>
      </c>
      <c r="E119" t="s">
        <v>177</v>
      </c>
      <c r="F119" t="s">
        <v>245</v>
      </c>
      <c r="G119" t="s">
        <v>115</v>
      </c>
      <c r="H119" t="s">
        <v>116</v>
      </c>
      <c r="I119" t="s">
        <v>115</v>
      </c>
      <c r="J119" t="s">
        <v>278</v>
      </c>
      <c r="K119" t="s">
        <v>278</v>
      </c>
      <c r="L119" t="s">
        <v>138</v>
      </c>
    </row>
    <row r="120" spans="1:12" x14ac:dyDescent="0.3">
      <c r="A120" t="s">
        <v>110</v>
      </c>
      <c r="B120" t="s">
        <v>296</v>
      </c>
      <c r="C120" t="s">
        <v>297</v>
      </c>
      <c r="D120" t="str">
        <f t="shared" si="8"/>
        <v xml:space="preserve"> BSS-35  The occupational date and signature box are not populated as expected </v>
      </c>
      <c r="E120" t="s">
        <v>177</v>
      </c>
      <c r="F120" t="s">
        <v>245</v>
      </c>
      <c r="G120" t="s">
        <v>115</v>
      </c>
      <c r="H120" t="s">
        <v>116</v>
      </c>
      <c r="I120" t="s">
        <v>115</v>
      </c>
      <c r="J120" t="s">
        <v>298</v>
      </c>
      <c r="K120" t="s">
        <v>298</v>
      </c>
      <c r="L120" t="s">
        <v>227</v>
      </c>
    </row>
    <row r="121" spans="1:12" x14ac:dyDescent="0.3">
      <c r="A121" t="s">
        <v>110</v>
      </c>
      <c r="B121" t="s">
        <v>299</v>
      </c>
      <c r="C121" t="s">
        <v>300</v>
      </c>
      <c r="D121" t="str">
        <f t="shared" si="8"/>
        <v xml:space="preserve"> BSS-36  Payment Periodicity not applicable for the selected Primary Offer</v>
      </c>
      <c r="E121" t="s">
        <v>177</v>
      </c>
      <c r="F121" t="s">
        <v>245</v>
      </c>
      <c r="G121" t="s">
        <v>115</v>
      </c>
      <c r="H121" t="s">
        <v>116</v>
      </c>
      <c r="I121" t="s">
        <v>219</v>
      </c>
      <c r="J121" t="s">
        <v>298</v>
      </c>
      <c r="K121" t="s">
        <v>298</v>
      </c>
      <c r="L121" t="s">
        <v>89</v>
      </c>
    </row>
    <row r="122" spans="1:12" x14ac:dyDescent="0.3">
      <c r="A122" t="s">
        <v>110</v>
      </c>
      <c r="B122" t="s">
        <v>301</v>
      </c>
      <c r="C122" t="s">
        <v>302</v>
      </c>
      <c r="D122" t="str">
        <f t="shared" si="8"/>
        <v xml:space="preserve"> BSS-37  Read/write access for 'Key Location Check in'</v>
      </c>
      <c r="E122" t="s">
        <v>177</v>
      </c>
      <c r="F122" t="s">
        <v>245</v>
      </c>
      <c r="G122" t="s">
        <v>115</v>
      </c>
      <c r="H122" t="s">
        <v>116</v>
      </c>
      <c r="I122" t="s">
        <v>219</v>
      </c>
      <c r="J122" t="s">
        <v>295</v>
      </c>
      <c r="K122" t="s">
        <v>295</v>
      </c>
      <c r="L122" t="s">
        <v>89</v>
      </c>
    </row>
    <row r="123" spans="1:12" x14ac:dyDescent="0.3">
      <c r="A123" t="s">
        <v>110</v>
      </c>
      <c r="B123" t="s">
        <v>214</v>
      </c>
      <c r="C123" t="s">
        <v>215</v>
      </c>
      <c r="D123" t="str">
        <f t="shared" si="8"/>
        <v xml:space="preserve"> BSS-20  Lead Tenant being sent twice to HomeLet</v>
      </c>
      <c r="E123" t="s">
        <v>132</v>
      </c>
      <c r="F123" t="s">
        <v>192</v>
      </c>
      <c r="G123" t="s">
        <v>115</v>
      </c>
      <c r="H123" t="s">
        <v>116</v>
      </c>
      <c r="I123" t="s">
        <v>115</v>
      </c>
      <c r="J123" t="s">
        <v>199</v>
      </c>
      <c r="K123" t="s">
        <v>278</v>
      </c>
      <c r="L123" t="s">
        <v>42</v>
      </c>
    </row>
    <row r="124" spans="1:12" x14ac:dyDescent="0.3">
      <c r="A124" t="s">
        <v>110</v>
      </c>
      <c r="B124" t="s">
        <v>257</v>
      </c>
      <c r="C124" t="s">
        <v>258</v>
      </c>
      <c r="D124" t="str">
        <f t="shared" si="8"/>
        <v xml:space="preserve"> BSS-28  Contract Sign Date not displaying</v>
      </c>
      <c r="E124" t="s">
        <v>132</v>
      </c>
      <c r="F124" t="s">
        <v>245</v>
      </c>
      <c r="G124" t="s">
        <v>115</v>
      </c>
      <c r="H124" t="s">
        <v>248</v>
      </c>
      <c r="I124" t="s">
        <v>115</v>
      </c>
      <c r="J124" t="s">
        <v>253</v>
      </c>
      <c r="K124" t="s">
        <v>278</v>
      </c>
      <c r="L124" t="s">
        <v>284</v>
      </c>
    </row>
    <row r="125" spans="1:12" x14ac:dyDescent="0.3">
      <c r="A125" t="s">
        <v>110</v>
      </c>
      <c r="B125" t="s">
        <v>201</v>
      </c>
      <c r="C125" t="s">
        <v>202</v>
      </c>
      <c r="D125" t="str">
        <f t="shared" si="8"/>
        <v xml:space="preserve"> BSS-17  Guarantor not being sent for referencing</v>
      </c>
      <c r="E125" t="s">
        <v>132</v>
      </c>
      <c r="F125" t="s">
        <v>138</v>
      </c>
      <c r="G125" t="s">
        <v>115</v>
      </c>
      <c r="H125" t="s">
        <v>116</v>
      </c>
      <c r="I125" t="s">
        <v>115</v>
      </c>
      <c r="J125" t="s">
        <v>200</v>
      </c>
      <c r="K125" t="s">
        <v>223</v>
      </c>
      <c r="L125" t="s">
        <v>138</v>
      </c>
    </row>
    <row r="126" spans="1:12" x14ac:dyDescent="0.3">
      <c r="A126" t="s">
        <v>110</v>
      </c>
      <c r="B126" t="s">
        <v>119</v>
      </c>
      <c r="C126" t="s">
        <v>120</v>
      </c>
      <c r="D126" t="str">
        <f t="shared" si="8"/>
        <v xml:space="preserve"> BSS-9  HomeLet referencing error showing in this opportunity</v>
      </c>
      <c r="E126" t="s">
        <v>132</v>
      </c>
      <c r="F126" t="s">
        <v>245</v>
      </c>
      <c r="G126" t="s">
        <v>115</v>
      </c>
      <c r="H126" t="s">
        <v>116</v>
      </c>
      <c r="I126" t="s">
        <v>115</v>
      </c>
      <c r="J126" t="s">
        <v>122</v>
      </c>
      <c r="K126" t="s">
        <v>246</v>
      </c>
      <c r="L126" t="s">
        <v>284</v>
      </c>
    </row>
    <row r="127" spans="1:12" x14ac:dyDescent="0.3">
      <c r="A127" t="s">
        <v>110</v>
      </c>
      <c r="B127" t="s">
        <v>111</v>
      </c>
      <c r="C127" t="s">
        <v>112</v>
      </c>
      <c r="D127" t="str">
        <f t="shared" si="8"/>
        <v xml:space="preserve"> BSS-8  Unable to complete task on EOT</v>
      </c>
      <c r="E127" t="s">
        <v>132</v>
      </c>
      <c r="F127" t="s">
        <v>250</v>
      </c>
      <c r="G127" t="s">
        <v>115</v>
      </c>
      <c r="H127" t="s">
        <v>116</v>
      </c>
      <c r="I127" t="s">
        <v>115</v>
      </c>
      <c r="J127" t="s">
        <v>117</v>
      </c>
      <c r="K127" t="s">
        <v>246</v>
      </c>
      <c r="L127" t="s">
        <v>227</v>
      </c>
    </row>
    <row r="128" spans="1:12" x14ac:dyDescent="0.3">
      <c r="A128" t="s">
        <v>110</v>
      </c>
      <c r="B128" t="s">
        <v>164</v>
      </c>
      <c r="C128" t="s">
        <v>165</v>
      </c>
      <c r="D128" t="str">
        <f t="shared" si="8"/>
        <v xml:space="preserve"> BSS-14  An unhandled fault occurred in this flow</v>
      </c>
      <c r="E128" t="s">
        <v>132</v>
      </c>
      <c r="F128" t="s">
        <v>250</v>
      </c>
      <c r="G128" t="s">
        <v>115</v>
      </c>
      <c r="H128" t="s">
        <v>116</v>
      </c>
      <c r="I128" t="s">
        <v>115</v>
      </c>
      <c r="J128" t="s">
        <v>166</v>
      </c>
      <c r="K128" t="s">
        <v>298</v>
      </c>
      <c r="L128" t="s">
        <v>227</v>
      </c>
    </row>
    <row r="129" spans="1:12" x14ac:dyDescent="0.3">
      <c r="A129" t="s">
        <v>110</v>
      </c>
      <c r="B129" t="s">
        <v>167</v>
      </c>
      <c r="C129" t="s">
        <v>168</v>
      </c>
      <c r="D129" t="str">
        <f t="shared" si="8"/>
        <v xml:space="preserve"> BSS-16  Unable to send to Homelet</v>
      </c>
      <c r="E129" t="s">
        <v>132</v>
      </c>
      <c r="F129" t="s">
        <v>138</v>
      </c>
      <c r="G129" t="s">
        <v>115</v>
      </c>
      <c r="H129" t="s">
        <v>116</v>
      </c>
      <c r="I129" t="s">
        <v>115</v>
      </c>
      <c r="J129" t="s">
        <v>163</v>
      </c>
      <c r="K129" t="s">
        <v>278</v>
      </c>
      <c r="L129" t="s">
        <v>284</v>
      </c>
    </row>
  </sheetData>
  <sortState xmlns:xlrd2="http://schemas.microsoft.com/office/spreadsheetml/2017/richdata2" ref="A69:L85">
    <sortCondition ref="E76:E8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B34BAB0D-2FF4-4E6A-85B6-C9275B0A18A4}"/>
</file>

<file path=customXml/itemProps2.xml><?xml version="1.0" encoding="utf-8"?>
<ds:datastoreItem xmlns:ds="http://schemas.openxmlformats.org/officeDocument/2006/customXml" ds:itemID="{B1453F8D-B660-43CE-98F3-84BF84A194FC}"/>
</file>

<file path=customXml/itemProps3.xml><?xml version="1.0" encoding="utf-8"?>
<ds:datastoreItem xmlns:ds="http://schemas.openxmlformats.org/officeDocument/2006/customXml" ds:itemID="{88F7766D-F46F-428A-AC2B-4DCE637159B7}"/>
</file>

<file path=customXml/itemProps4.xml><?xml version="1.0" encoding="utf-8"?>
<ds:datastoreItem xmlns:ds="http://schemas.openxmlformats.org/officeDocument/2006/customXml" ds:itemID="{75EA7BD7-61A3-4D3D-AE97-14882C4C95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Project Timesheets</vt:lpstr>
      <vt:lpstr>Jira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Carami Le Grange</dc:creator>
  <cp:lastModifiedBy>Carami Le Grange</cp:lastModifiedBy>
  <dcterms:created xsi:type="dcterms:W3CDTF">2024-04-02T08:03:36Z</dcterms:created>
  <dcterms:modified xsi:type="dcterms:W3CDTF">2024-05-27T14:09:07Z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20;#PM Report|9d58a819-7b07-406f-ac0f-0f196f5e097b</vt:lpwstr>
  </property>
</Properties>
</file>