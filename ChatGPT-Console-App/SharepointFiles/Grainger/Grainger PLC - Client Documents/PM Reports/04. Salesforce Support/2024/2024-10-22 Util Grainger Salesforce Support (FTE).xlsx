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342" documentId="8_{907A65C0-8665-4C64-8956-4C088BDBDF21}" xr6:coauthVersionLast="47" xr6:coauthVersionMax="47" xr10:uidLastSave="{B6B68422-45AD-48A0-B437-6D9C78DB0ECD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Timesheets'!$A$1:$AD$655</definedName>
    <definedName name="_xlnm._FilterDatabase" localSheetId="1" hidden="1">Current!$A$1:$AE$62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53" i="1" l="1"/>
  <c r="AC251" i="1"/>
  <c r="AC246" i="1"/>
  <c r="AC231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<sst xmlns="http://schemas.openxmlformats.org/spreadsheetml/2006/main" count="16483" uniqueCount="456">
  <si>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</si>
  <si>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</si>
  <si>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</si>
  <si>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</si>
  <si>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</si>
  <si>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</si>
  <si>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</si>
  <si>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</si>
  <si>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</si>
  <si>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</si>
  <si>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</si>
  <si>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</si>
  <si>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</si>
  <si>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</si>
  <si>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</si>
  <si>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</si>
  <si>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</si>
  <si>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</si>
  <si>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</si>
  <si>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</si>
  <si>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</si>
  <si>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</si>
  <si>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</si>
  <si>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</si>
  <si>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</si>
  <si>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</si>
  <si>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</si>
  <si>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</si>
  <si>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</si>
  <si>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</si>
  <si>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</si>
  <si>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</si>
  <si>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</si>
  <si>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</si>
  <si>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</si>
  <si>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</si>
  <si>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</si>
  <si>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</si>
  <si>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</si>
  <si>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</si>
  <si>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</si>
  <si>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</si>
  <si>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</si>
  <si>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</si>
  <si>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</si>
  <si>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</si>
  <si>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</si>
  <si>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</si>
  <si>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</si>
  <si>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</si>
  <si>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</si>
  <si>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</si>
  <si>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</si>
  <si>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</si>
  <si>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</si>
  <si>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</si>
  <si>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</si>
  <si>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</si>
  <si>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</si>
  <si>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</si>
  <si>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</si>
  <si>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</si>
  <si>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</si>
  <si>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</si>
  <si>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</si>
  <si>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</si>
  <si>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</si>
  <si>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</si>
  <si>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</si>
  <si>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</si>
  <si>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</si>
  <si>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</si>
  <si>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</si>
  <si>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</si>
  <si>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</si>
  <si>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</si>
  <si>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</si>
  <si>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</si>
  <si>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</si>
  <si>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</si>
  <si>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</si>
  <si>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</si>
  <si>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</si>
  <si>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</si>
  <si>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</si>
  <si>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</si>
  <si>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</si>
  <si>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</si>
  <si>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</si>
  <si>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</si>
  <si>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</si>
  <si>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</si>
  <si>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</si>
  <si>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</si>
  <si>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</si>
  <si>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</si>
  <si>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</si>
  <si>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</si>
  <si>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</si>
  <si>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</si>
  <si>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</si>
  <si>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</si>
  <si>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</si>
  <si>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</si>
  <si>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</si>
  <si>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</si>
  <si>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</si>
  <si>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</si>
  <si>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</si>
  <si>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</si>
  <si>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</si>
  <si>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</si>
  <si>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</si>
  <si>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</si>
  <si>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</si>
  <si>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</si>
  <si>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</si>
  <si>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</si>
  <si>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</si>
  <si>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</si>
  <si>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</si>
  <si>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</si>
  <si>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</si>
  <si>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</si>
  <si>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</si>
  <si>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</si>
  <si>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</si>
  <si>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</si>
  <si>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</si>
  <si>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</si>
  <si>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</si>
  <si>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</si>
  <si>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</si>
  <si>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</si>
  <si>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</si>
  <si>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</si>
  <si>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</si>
  <si>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</si>
  <si>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</si>
  <si>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</si>
  <si>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</si>
  <si>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</si>
  <si>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</si>
  <si>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</si>
  <si>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</si>
  <si>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</si>
  <si>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</si>
  <si>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</si>
  <si>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</si>
  <si>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</si>
  <si>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</si>
  <si>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</si>
  <si>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</si>
  <si>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</si>
  <si>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</si>
  <si>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</si>
  <si>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</si>
  <si>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</si>
  <si>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</si>
  <si>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</si>
  <si>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</si>
  <si>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</si>
  <si>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</si>
  <si>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</si>
  <si>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</si>
  <si>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</si>
  <si>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</si>
  <si>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</si>
  <si>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</si>
  <si>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</si>
  <si>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</si>
  <si>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</si>
  <si>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</si>
  <si>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</si>
  <si>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</si>
  <si>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</si>
  <si>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</si>
  <si>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</si>
  <si>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</si>
  <si>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</si>
  <si>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</si>
  <si>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</si>
  <si>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</si>
  <si>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</si>
  <si>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</si>
  <si>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</si>
  <si>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</si>
  <si>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</si>
  <si>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</si>
  <si>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</si>
  <si>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</si>
  <si>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</si>
  <si>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</si>
  <si>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</si>
  <si>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</si>
  <si>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</si>
  <si>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</si>
  <si>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</si>
  <si>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</si>
  <si>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</si>
  <si>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</si>
  <si>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</si>
  <si>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</si>
  <si>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</si>
  <si>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</si>
  <si>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</si>
  <si>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</si>
  <si>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</si>
  <si>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</si>
  <si>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</si>
  <si>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</si>
  <si>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</si>
  <si>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</si>
  <si>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</si>
  <si>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</si>
  <si>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</si>
  <si>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</si>
  <si>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</si>
  <si>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</si>
  <si>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</si>
  <si>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</si>
  <si>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</si>
  <si>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</si>
  <si>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</si>
  <si>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</si>
  <si>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</si>
  <si>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</si>
  <si>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</si>
  <si>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</si>
  <si>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</si>
  <si>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</si>
  <si>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</si>
  <si>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</si>
  <si>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</si>
  <si>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</si>
  <si>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</si>
  <si>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</si>
  <si>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</si>
  <si>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</si>
  <si>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</si>
  <si>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</si>
  <si>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</si>
  <si>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</si>
  <si>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</si>
  <si>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</si>
  <si>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</si>
  <si>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</si>
  <si>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</si>
  <si>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</si>
  <si>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</si>
  <si>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</si>
  <si>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</si>
  <si>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</si>
  <si>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</si>
  <si>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</si>
  <si>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</si>
  <si>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</si>
  <si>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</si>
  <si>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</si>
  <si>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</si>
  <si>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</si>
  <si>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</si>
  <si>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</si>
  <si>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</si>
  <si>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</si>
  <si>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</si>
  <si>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</si>
  <si>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</si>
  <si>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</si>
  <si>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</si>
  <si>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</si>
  <si>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</si>
  <si>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</si>
  <si>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</si>
  <si>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</si>
  <si>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</si>
  <si>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</si>
  <si>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</si>
  <si>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</si>
  <si>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</si>
  <si>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</si>
  <si>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</si>
  <si>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</si>
  <si>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</si>
  <si>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</si>
  <si>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</si>
  <si>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</si>
  <si>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</si>
  <si>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</si>
  <si>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</si>
  <si>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</si>
  <si>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</si>
  <si>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</si>
  <si>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</si>
  <si>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</si>
  <si>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ongoing work and feedback to Jaic</t>
  </si>
  <si>
    <t>Investigation around the Grainger org Stand Up</t>
  </si>
  <si>
    <t>Review With Sam Document completion</t>
  </si>
  <si>
    <t>Daily standup. Worked on BSS-45 and  BSS-15. Testing of BSS-31 in UAT environment.</t>
  </si>
  <si>
    <t>standup &amp; support ticket confirmations</t>
  </si>
  <si>
    <t>standup</t>
  </si>
  <si>
    <t>QA BSS-44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</si>
  <si>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</si>
  <si>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</si>
  <si>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</si>
  <si>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</si>
  <si>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</si>
  <si>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</si>
  <si>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</si>
  <si>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</si>
  <si>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</si>
  <si>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</si>
  <si>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</si>
  <si>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</si>
  <si>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</si>
  <si>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</si>
  <si>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</si>
  <si>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</si>
  <si>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</si>
  <si>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</si>
  <si>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</si>
  <si>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</si>
  <si>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</si>
  <si>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</si>
  <si>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</si>
  <si>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</si>
  <si>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</si>
  <si>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</si>
  <si>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</si>
  <si>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</si>
  <si>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</si>
  <si>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Time report</t>
  </si>
  <si>
    <t>Part of planning session  Stand up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</si>
  <si>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</si>
  <si>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</si>
  <si>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</si>
  <si>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</si>
  <si>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</si>
  <si>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Call with Jaic on BSS-27</t>
  </si>
  <si>
    <t>Done</t>
  </si>
  <si>
    <t>time report &amp; standup</t>
  </si>
  <si>
    <t>IN08380</t>
  </si>
  <si>
    <t>Daily standup. Worked on Org Review. Documentation of all tools used.</t>
  </si>
  <si>
    <t>Discussion with Toro about installing Org Check. Daily stanup. BSS-35</t>
  </si>
  <si>
    <t>Time report &amp; standup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</si>
  <si>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</si>
  <si>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</si>
  <si>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</si>
  <si>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</si>
  <si>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</si>
  <si>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</si>
  <si>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</si>
  <si>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</si>
  <si>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</si>
  <si>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</si>
  <si>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</si>
  <si>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</si>
  <si>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</si>
  <si>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>Jira Epic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</si>
  <si>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</si>
  <si>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</si>
  <si>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</si>
  <si>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</si>
  <si>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</si>
  <si>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</si>
  <si>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</si>
  <si>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</si>
  <si>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</si>
  <si>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</si>
  <si>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</si>
  <si>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</si>
  <si>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</si>
  <si>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GDPR Time report</t>
  </si>
  <si>
    <t>BSS-54 Investigation</t>
  </si>
  <si>
    <t>BSS-35 &amp; BSS-44</t>
  </si>
  <si>
    <t>In Progress</t>
  </si>
  <si>
    <t>In Review (Open Box)</t>
  </si>
  <si>
    <t>time report</t>
  </si>
  <si>
    <t>Daily standup and discussions.</t>
  </si>
  <si>
    <t>Daily standup. Checking Assigned issues on support baord.</t>
  </si>
  <si>
    <t>UAT Approved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</si>
  <si>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</si>
  <si>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</si>
  <si>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</si>
  <si>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</si>
  <si>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</si>
  <si>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IN08609</t>
  </si>
  <si>
    <t>Daily standup. BSS-59 discussion with Khonani - Grainger Support Bug.</t>
  </si>
  <si>
    <t>Created ticket BSS-61. Analysed the existing code and setup. One pending questions about how asperato payment schedule records are created.</t>
  </si>
  <si>
    <t>Daily standup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</si>
  <si>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</si>
  <si>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</si>
  <si>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</si>
  <si>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</si>
  <si>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</si>
  <si>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2.0333333333333333333</t>
  </si>
  <si>
    <t>Worked on BSS-61 and BSS-29</t>
  </si>
  <si>
    <t>0.4166666666666666667</t>
  </si>
  <si>
    <t>BSS-42 Review</t>
  </si>
  <si>
    <t>BSS 44</t>
  </si>
  <si>
    <t>Welsh Contract Chat</t>
  </si>
  <si>
    <t>BSS-62 Add fault path to "EoT- Validate Notice (Task Subflow)" Flow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</si>
  <si>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</si>
  <si>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</si>
  <si>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</si>
  <si>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</si>
  <si>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</si>
  <si>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</si>
  <si>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</si>
  <si>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</si>
  <si>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</si>
  <si>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Unassigned</t>
  </si>
  <si>
    <t>'Worked on BSS-15 and BSS27. Daily standup. Fix, deploymnent and testing in UAT.'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</si>
  <si>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</si>
  <si>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</si>
  <si>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'Production deployment of BSS-27. Preparation, review and testing of fix.'</t>
  </si>
  <si>
    <t>'Org review. Installed, configured and ran PMD analyser.'</t>
  </si>
  <si>
    <t>'Daily standup. Worked on Org review - Optimize run, profiles, permission sets, workflow rules, process builder etc.'</t>
  </si>
  <si>
    <t>'Wroked on BSS-46, BSS-47, BSS-39. Deployment from Dev to QA'</t>
  </si>
  <si>
    <t>'Discussion with Avi. Worked on finding possible ways to show user friendly error message using $Flow,faultMessage.'</t>
  </si>
  <si>
    <t>'Worked on BSS-60. Discussion with Khonani, Jacob. Checked sandbox for implementation. Bug fix in sit and deployment to uat.'</t>
  </si>
  <si>
    <t>'Worked on BSS-52, BSS-53, BSS-59. Deployment to qa. Reverse deployment.'</t>
  </si>
  <si>
    <t>'Deployment package preparation for BSS-46 and BSS-50. Worked on moving BSS-52, 53, 58 and 59 to uat. Finding root cause for BSS-23. Worked on BSS-51 and BSS-23.'</t>
  </si>
  <si>
    <t>'Worked on BSS-38, deployment to qa.'</t>
  </si>
  <si>
    <t>'Deployment prep of BSS-51,52,53 &amp; 58. Deployment review and deployment. Checked BSS-38 for error publishing unit. Discussion with Jaic about BSS-61'</t>
  </si>
  <si>
    <t>'Prep for logging BSS-62,63,64,65,66,67,68. Checked error emails.'</t>
  </si>
  <si>
    <t>'Worked on adding details to BSS-62,63,64,65,66,67,68,69,70,71. Discussion with Khonani about BSS-61 and 29. Production deployment package prep for Hotfix deployment. Package review with Jacob.'</t>
  </si>
  <si>
    <t>Deployment of BSS-29 and BSS-61 to uat</t>
  </si>
  <si>
    <t>Daily standup. Discussion with Jacob - Org-Wide emails in Flows.</t>
  </si>
  <si>
    <t>'Standup, Time Report &amp; Support comms to confirm June POA'</t>
  </si>
  <si>
    <t>'Standup, Template chat with Jacob, Template refinement'</t>
  </si>
  <si>
    <t>'Standup, deployment template refinement'</t>
  </si>
  <si>
    <t>'Standup, Changes checks'</t>
  </si>
  <si>
    <t>'Mailbox change, Jira change, Signl4 change'</t>
  </si>
  <si>
    <t>'Standup, support process comms to Jaic'</t>
  </si>
  <si>
    <t>'Backlog prioritization, Standup'</t>
  </si>
  <si>
    <t>'BSS-15 Call with Anjali, Investigation   &amp; feedback'</t>
  </si>
  <si>
    <t>'BSS-22, BSS-23, BSS-25'</t>
  </si>
  <si>
    <t>'- BSS-22 updated validation rules, deploy and smoke testing - Stand up'</t>
  </si>
  <si>
    <t>'BSS-27 working on analysis, pulling duplicate OCR's'</t>
  </si>
  <si>
    <t>'BSS-27 deleting dupes in UAT and PROD, liaising with Jaic'</t>
  </si>
  <si>
    <t>Adobe templates and where they are used. Document selection Stamped investigation Stand Up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</si>
  <si>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</si>
  <si>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</si>
  <si>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</si>
  <si>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</si>
  <si>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</si>
  <si>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BSS- 54 Duplicate OCR's being created by GREP</t>
  </si>
  <si>
    <t>BSS-42 Adobe not pulling recipients to the agreement automatically</t>
  </si>
  <si>
    <t xml:space="preserve">BSS- 29 Event PB Handler Error: Missing required: whoId </t>
  </si>
  <si>
    <t xml:space="preserve">BSS-61 An Error Occurred with Your "Payment PB Handler" Flow - Missing required input parameter: whoId </t>
  </si>
  <si>
    <t>BSS- 38 Profile permissions preventing user from listing/removing units on RightMove/Grainger</t>
  </si>
  <si>
    <t>BSS-44  Document not automatically adding signature fields for Adobe</t>
  </si>
  <si>
    <t xml:space="preserve">BSS-35 The occupational date and signature box are not populated as expected </t>
  </si>
  <si>
    <t>BSS-72 Post Deployment Steps BSS-35, BSS-42 and BSS-44</t>
  </si>
  <si>
    <t>BSS-73 User cannot proceed with the opportunity - An Error Occurred with Your "Opps PB Handler (Renewals)"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</si>
</sst>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62984259262" createdVersion="8" refreshedVersion="8" minRefreshableVersion="3" recordCount="56" xr:uid="{7F8D74AD-96AA-49DD-AA5A-CE6B8F2ADD3E}">
  <cacheSource type="worksheet">
    <worksheetSource ref="A1:AD57" sheet="Current"/>
  </cacheSource>
  <cacheFields count="30">
    <cacheField name="Date" numFmtId="15">
      <sharedItems containsSemiMixedTypes="0" containsNonDate="0" containsDate="1" containsString="0" minDate="2024-10-01T00:00:00" maxDate="2024-10-22T00:00:00"/>
    </cacheField>
    <cacheField name="Person" numFmtId="0">
      <sharedItems count="7">
        <s v="Anjali Salecha"/>
        <s v="Carami Viljoen"/>
        <s v="Daniel Edwards"/>
        <s v="Jacob Smycz"/>
        <s v="Khonani Davhana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266" maxValue="31254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5.75"/>
    </cacheField>
    <cacheField name="Time" numFmtId="20">
      <sharedItems containsSemiMixedTypes="0" containsNonDate="0" containsDate="1" containsString="0" minDate="1899-12-30T00:15:00" maxDate="1899-12-30T05:45:00"/>
    </cacheField>
    <cacheField name="Worked Amount" numFmtId="0">
      <sharedItems containsSemiMixedTypes="0" containsString="0" containsNumber="1" minValue="0" maxValue="51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2"/>
    <x v="0"/>
    <s v="Billable timecode"/>
    <s v="Standard Timecode"/>
    <n v="90"/>
    <n v="5.75"/>
    <d v="1899-12-30T05:45:00"/>
    <n v="517.5"/>
    <m/>
    <m/>
    <m/>
    <s v="GBP"/>
    <s v="Reviewed"/>
    <s v="Created ticket BSS-61. Analysed the existing code and setup. One pending questions about how asperato payment schedule records are created."/>
    <s v="Not submitted"/>
  </r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3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83"/>
    <x v="0"/>
    <s v="Billable timecode"/>
    <s v="Standard Timecode"/>
    <n v="90"/>
    <n v="1.5"/>
    <d v="1899-12-30T01:30:00"/>
    <n v="135"/>
    <m/>
    <m/>
    <m/>
    <s v="GBP"/>
    <s v="Reviewed"/>
    <s v="'Worked on BSS-38, deployment to qa.'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66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4"/>
    <x v="0"/>
    <s v="Billable timecode"/>
    <s v="Standard Timecode"/>
    <n v="90"/>
    <n v="4"/>
    <d v="1899-12-30T04:00:00"/>
    <n v="360"/>
    <m/>
    <m/>
    <m/>
    <s v="GBP"/>
    <s v="Reviewed"/>
    <s v="Worked on reproducing BSS-61. As suggested by Jaic and Jacob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151"/>
    <x v="1"/>
    <s v="Non-billable timecode"/>
    <s v="Standard Timecode"/>
    <n v="0"/>
    <n v="1"/>
    <d v="1899-12-30T01:00:00"/>
    <n v="0"/>
    <m/>
    <m/>
    <m/>
    <s v="GBP"/>
    <s v="Reviewed"/>
    <s v="Grainger org review permission set list for Dan. Daily standup. Discussion with Sam about BSS-61 and 29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0"/>
    <x v="0"/>
    <s v="Billable timecode"/>
    <s v="Standard Timecode"/>
    <n v="90"/>
    <n v="0.5"/>
    <d v="1899-12-30T00:30:00"/>
    <n v="45"/>
    <m/>
    <m/>
    <m/>
    <s v="GBP"/>
    <s v="Reviewed"/>
    <s v="Meeting with Jaic - Disccuss - BSS-61. Deployment of BSS-38 to UAT. Closing BSS-36. Tried reproducing BSS-61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1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80"/>
    <x v="0"/>
    <s v="Billable timecode"/>
    <s v="Standard Timecode"/>
    <n v="90"/>
    <n v="2.5"/>
    <d v="1899-12-30T02:30:00"/>
    <n v="225"/>
    <m/>
    <m/>
    <m/>
    <s v="GBP"/>
    <s v="Reviewed"/>
    <s v="'Deployment prep of BSS-51,52,53 &amp; 58. Deployment review and deployment. Checked BSS-38 for error publishing unit. Discussion with Jaic about BSS-61'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79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8"/>
    <x v="0"/>
    <s v="Billable timecode"/>
    <s v="Standard Timecode"/>
    <n v="90"/>
    <n v="2.75"/>
    <d v="1899-12-30T02:45:00"/>
    <n v="247.5"/>
    <m/>
    <m/>
    <m/>
    <s v="GBP"/>
    <s v="Reviewed"/>
    <s v="Worked on BSS-61 and BSS-29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9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337"/>
    <x v="0"/>
    <s v="Billable timecode"/>
    <s v="Standard Timecode"/>
    <n v="90"/>
    <n v="1.5"/>
    <d v="1899-12-30T01:30:00"/>
    <n v="135"/>
    <m/>
    <m/>
    <m/>
    <s v="GBP"/>
    <s v="Reviewed"/>
    <s v="'Prep for logging BSS-62,63,64,65,66,67,68. Checked error emails.'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325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499"/>
    <x v="0"/>
    <s v="Billable timecode"/>
    <s v="Standard Timecode"/>
    <n v="90"/>
    <n v="4"/>
    <d v="1899-12-30T04:00:00"/>
    <n v="360"/>
    <m/>
    <m/>
    <m/>
    <s v="GBP"/>
    <s v="Reviewed"/>
    <s v="'Worked on adding details to BSS-62,63,64,65,66,67,68,69,70,71. Discussion with Khonani about BSS-61 and 29. Production deployment package prep for Hotfix deployment. Package review with Jacob.'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500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8"/>
    <x v="0"/>
    <s v="Billable timecode"/>
    <s v="Standard Timecode"/>
    <n v="90"/>
    <n v="0.25"/>
    <d v="1899-12-30T00:15:00"/>
    <n v="22.5"/>
    <m/>
    <m/>
    <m/>
    <s v="GBP"/>
    <s v="Reviewed"/>
    <s v="Deployment of BSS-29 and BSS-61 to uat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7"/>
    <x v="1"/>
    <s v="Non-billable timecode"/>
    <s v="Standard Timecode"/>
    <n v="0"/>
    <n v="0.75"/>
    <d v="1899-12-30T00:45:00"/>
    <n v="0"/>
    <m/>
    <m/>
    <m/>
    <s v="GBP"/>
    <s v="Reviewed"/>
    <s v="Daily standup. Discussion with Jacob - Org-Wide emails in Flows."/>
    <s v="Not submitted"/>
  </r>
  <r>
    <d v="2024-10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90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0-2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442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0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187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57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58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0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02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4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77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0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0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047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0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948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869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41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10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61"/>
    <x v="0"/>
    <s v="Billable timecode"/>
    <s v="Standard Timecode"/>
    <n v="90"/>
    <n v="0.5"/>
    <d v="1899-12-30T00:30:00"/>
    <n v="45"/>
    <m/>
    <m/>
    <m/>
    <s v="GBP"/>
    <m/>
    <s v=" "/>
    <s v="Not submitted"/>
  </r>
  <r>
    <d v="2024-10-2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090"/>
    <x v="0"/>
    <s v="Billable timecode"/>
    <s v="Standard Timecode"/>
    <n v="90"/>
    <n v="0.5"/>
    <d v="1899-12-30T00:30:00"/>
    <n v="45"/>
    <m/>
    <m/>
    <m/>
    <s v="GBP"/>
    <m/>
    <s v=" "/>
    <s v="Not submitted"/>
  </r>
  <r>
    <d v="2024-10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5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40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31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58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0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67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18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85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173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10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547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971"/>
    <x v="1"/>
    <s v="Non-billable timecode"/>
    <s v="Standard Timecode"/>
    <n v="0"/>
    <n v="0.5"/>
    <d v="1899-12-30T00:30:00"/>
    <n v="0"/>
    <m/>
    <m/>
    <m/>
    <s v="GBP"/>
    <s v="Reviewed"/>
    <s v="BSS-42 Review"/>
    <s v="Not submitted"/>
  </r>
  <r>
    <d v="2024-10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06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20"/>
    <x v="0"/>
    <s v="Billable timecode"/>
    <s v="Standard Timecode"/>
    <n v="90"/>
    <n v="2"/>
    <d v="1899-12-30T02:00:00"/>
    <n v="180"/>
    <m/>
    <m/>
    <m/>
    <s v="GBP"/>
    <s v="Reviewed"/>
    <s v="BSS 44"/>
    <s v="Not submitted"/>
  </r>
  <r>
    <d v="2024-10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14"/>
    <x v="1"/>
    <s v="Non-billable timecode"/>
    <s v="Standard Timecode"/>
    <n v="0"/>
    <n v="0.25"/>
    <d v="1899-12-30T00:15:00"/>
    <n v="0"/>
    <m/>
    <m/>
    <m/>
    <s v="GBP"/>
    <s v="Reviewed"/>
    <s v="Welsh Contract Chat"/>
    <s v="Not submitted"/>
  </r>
  <r>
    <d v="2024-10-1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4"/>
    <x v="0"/>
    <s v="Billable timecode"/>
    <s v="Standard Timecode"/>
    <n v="90"/>
    <n v="2"/>
    <d v="1899-12-30T02:00:00"/>
    <n v="180"/>
    <m/>
    <m/>
    <m/>
    <s v="GBP"/>
    <m/>
    <s v=" "/>
    <s v="Not submitted"/>
  </r>
  <r>
    <d v="2024-10-1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6"/>
    <x v="1"/>
    <s v="Non-billable timecode"/>
    <s v="Standard Timecode"/>
    <n v="0"/>
    <n v="4"/>
    <d v="1899-12-30T04:00:00"/>
    <n v="0"/>
    <m/>
    <m/>
    <m/>
    <s v="GBP"/>
    <m/>
    <s v="Adobe templates and where they are used. Document selection Stamped investigation Stand Up"/>
    <s v="Not submitted"/>
  </r>
  <r>
    <d v="2024-10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5"/>
    <x v="0"/>
    <s v="Billable timecode"/>
    <s v="Standard Timecode"/>
    <n v="90"/>
    <n v="1"/>
    <d v="1899-12-30T01:00:00"/>
    <n v="90"/>
    <m/>
    <m/>
    <m/>
    <s v="GBP"/>
    <m/>
    <s v=" "/>
    <s v="Not submitted"/>
  </r>
  <r>
    <d v="2024-10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7"/>
    <x v="1"/>
    <s v="Non-billable timecode"/>
    <s v="Standard Timecode"/>
    <n v="0"/>
    <n v="3.25"/>
    <d v="1899-12-30T03:15:00"/>
    <n v="0"/>
    <m/>
    <m/>
    <m/>
    <s v="GBP"/>
    <m/>
    <s v="Dev Testing and edge cases. Stand Up"/>
    <s v="Not submitted"/>
  </r>
  <r>
    <d v="2024-10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5"/>
    <x v="0"/>
    <s v="Billable timecode"/>
    <s v="Standard Timecode"/>
    <n v="90"/>
    <n v="2.5"/>
    <d v="1899-12-30T02:30:00"/>
    <n v="225"/>
    <m/>
    <m/>
    <m/>
    <s v="GBP"/>
    <m/>
    <s v="'UAT Deployment BSS-35, BSS-42 and BSS-44 Post Deployment Steps'"/>
    <s v="Not submitted"/>
  </r>
  <r>
    <d v="2024-10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6"/>
    <x v="1"/>
    <s v="Non-billable timecode"/>
    <s v="Standard Timecode"/>
    <n v="0"/>
    <n v="1.25"/>
    <d v="1899-12-30T01:15:00"/>
    <n v="0"/>
    <m/>
    <m/>
    <m/>
    <s v="GBP"/>
    <m/>
    <s v="Show Me with Jacob  and Dev Review Adobe ID investigation"/>
    <s v="Not submitted"/>
  </r>
  <r>
    <d v="2024-10-2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144"/>
    <x v="1"/>
    <s v="Non-billable timecode"/>
    <s v="Standard Timecode"/>
    <n v="0"/>
    <s v="1.3333333333333333333"/>
    <d v="1899-12-30T01:20:00"/>
    <n v="0"/>
    <m/>
    <m/>
    <m/>
    <s v="GBP"/>
    <m/>
    <s v="QA Deployement of BSS-42 Update of BSS-44 in QA environment. Show-Me with Khonani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E14AA-4F77-4FC9-9183-D2A699541F0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1" firstHeaderRow="1" firstDataRow="2" firstDataCol="1"/>
  <pivotFields count="30">
    <pivotField numFmtId="15" showAll="0"/>
    <pivotField axis="axisRow" showAll="0" defaultSubtotal="0">
      <items count="7">
        <item x="5"/>
        <item x="0"/>
        <item x="4"/>
        <item x="3"/>
        <item x="1"/>
        <item x="6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5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1" TargetMode="External"/><Relationship Id="rId13" Type="http://schemas.openxmlformats.org/officeDocument/2006/relationships/hyperlink" Target="https://graingerplc.atlassian.net/browse/BSS-66" TargetMode="External"/><Relationship Id="rId18" Type="http://schemas.openxmlformats.org/officeDocument/2006/relationships/hyperlink" Target="https://graingerplc.atlassian.net/browse/BSS-71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73" TargetMode="External"/><Relationship Id="rId7" Type="http://schemas.openxmlformats.org/officeDocument/2006/relationships/hyperlink" Target="https://graingerplc.atlassian.net/browse/BSS-54" TargetMode="External"/><Relationship Id="rId12" Type="http://schemas.openxmlformats.org/officeDocument/2006/relationships/hyperlink" Target="https://graingerplc.atlassian.net/browse/BSS-65" TargetMode="External"/><Relationship Id="rId17" Type="http://schemas.openxmlformats.org/officeDocument/2006/relationships/hyperlink" Target="https://graingerplc.atlassian.net/browse/BSS-70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69" TargetMode="External"/><Relationship Id="rId20" Type="http://schemas.openxmlformats.org/officeDocument/2006/relationships/hyperlink" Target="https://graingerplc.atlassian.net/browse/BSS-72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8" TargetMode="External"/><Relationship Id="rId11" Type="http://schemas.openxmlformats.org/officeDocument/2006/relationships/hyperlink" Target="https://graingerplc.atlassian.net/browse/BSS-64" TargetMode="External"/><Relationship Id="rId5" Type="http://schemas.openxmlformats.org/officeDocument/2006/relationships/hyperlink" Target="https://graingerplc.atlassian.net/browse/BSS-29" TargetMode="External"/><Relationship Id="rId15" Type="http://schemas.openxmlformats.org/officeDocument/2006/relationships/hyperlink" Target="https://graingerplc.atlassian.net/browse/BSS-68" TargetMode="External"/><Relationship Id="rId10" Type="http://schemas.openxmlformats.org/officeDocument/2006/relationships/hyperlink" Target="https://graingerplc.atlassian.net/browse/BSS-63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62" TargetMode="External"/><Relationship Id="rId14" Type="http://schemas.openxmlformats.org/officeDocument/2006/relationships/hyperlink" Target="https://graingerplc.atlassian.net/browse/BSS-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C30" sqref="C30"/>
    </sheetView>
  </sheetViews>
  <sheetFormatPr defaultRowHeight="14.4" x14ac:dyDescent="0.3"/>
  <cols>
    <col min="1" max="1" width="94" bestFit="1" customWidth="1"/>
    <col min="2" max="2" width="27.6640625" bestFit="1" customWidth="1"/>
    <col min="3" max="3" width="28.44140625" bestFit="1" customWidth="1"/>
    <col min="4" max="4" width="36.6640625" bestFit="1" customWidth="1"/>
    <col min="7" max="7" width="40.109375" customWidth="1"/>
  </cols>
  <sheetData>
    <row r="1" spans="1:6" x14ac:dyDescent="0.3">
      <c r="A1" s="14">
        <v>45566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6" x14ac:dyDescent="0.3">
      <c r="A4" s="4" t="s">
        <v>35</v>
      </c>
      <c r="B4" s="23"/>
      <c r="C4" s="24">
        <v>3</v>
      </c>
      <c r="D4" s="23">
        <v>3</v>
      </c>
      <c r="F4" t="s">
        <v>50</v>
      </c>
    </row>
    <row r="5" spans="1:6" x14ac:dyDescent="0.3">
      <c r="A5" s="4" t="s">
        <v>55</v>
      </c>
      <c r="B5" s="23">
        <v>22.75</v>
      </c>
      <c r="C5" s="24">
        <v>4</v>
      </c>
      <c r="D5" s="23">
        <v>26.75</v>
      </c>
      <c r="F5" t="s">
        <v>51</v>
      </c>
    </row>
    <row r="6" spans="1:6" x14ac:dyDescent="0.3">
      <c r="A6" s="4" t="s">
        <v>246</v>
      </c>
      <c r="B6" s="23">
        <v>2.5</v>
      </c>
      <c r="C6" s="24">
        <v>0.75</v>
      </c>
      <c r="D6" s="23">
        <v>3.25</v>
      </c>
      <c r="F6" t="s">
        <v>52</v>
      </c>
    </row>
    <row r="7" spans="1:6" x14ac:dyDescent="0.3">
      <c r="A7" s="4" t="s">
        <v>322</v>
      </c>
      <c r="B7" s="23"/>
      <c r="C7" s="24">
        <v>1.25</v>
      </c>
      <c r="D7" s="23">
        <v>1.25</v>
      </c>
      <c r="F7" t="s">
        <v>53</v>
      </c>
    </row>
    <row r="8" spans="1:6" x14ac:dyDescent="0.3">
      <c r="A8" s="4" t="s">
        <v>370</v>
      </c>
      <c r="B8" s="23"/>
      <c r="C8" s="24">
        <v>0.5</v>
      </c>
      <c r="D8" s="23">
        <v>0.5</v>
      </c>
    </row>
    <row r="9" spans="1:6" x14ac:dyDescent="0.3">
      <c r="A9" s="4" t="s">
        <v>66</v>
      </c>
      <c r="B9" s="23">
        <v>7.5</v>
      </c>
      <c r="C9" s="24">
        <v>9.5</v>
      </c>
      <c r="D9" s="23">
        <v>17</v>
      </c>
      <c r="F9" t="s">
        <v>54</v>
      </c>
    </row>
    <row r="10" spans="1:6" x14ac:dyDescent="0.3">
      <c r="A10" s="4" t="s">
        <v>311</v>
      </c>
      <c r="B10" s="23"/>
      <c r="C10" s="24">
        <v>0.5</v>
      </c>
      <c r="D10" s="23">
        <v>0.5</v>
      </c>
    </row>
    <row r="11" spans="1:6" x14ac:dyDescent="0.3">
      <c r="A11" s="4" t="s">
        <v>45</v>
      </c>
      <c r="B11" s="23">
        <v>32.75</v>
      </c>
      <c r="C11" s="24">
        <v>19.5</v>
      </c>
      <c r="D11" s="23">
        <v>52.25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141</v>
      </c>
      <c r="D17" s="11" t="s">
        <v>358</v>
      </c>
    </row>
    <row r="18" spans="1:4" x14ac:dyDescent="0.3">
      <c r="A18" s="12" t="s">
        <v>447</v>
      </c>
      <c r="B18" s="15" t="s">
        <v>323</v>
      </c>
      <c r="C18" s="21" t="s">
        <v>257</v>
      </c>
      <c r="D18" s="17"/>
    </row>
    <row r="19" spans="1:4" x14ac:dyDescent="0.3">
      <c r="A19" s="22" t="s">
        <v>401</v>
      </c>
      <c r="B19" s="15" t="s">
        <v>323</v>
      </c>
      <c r="C19" s="21" t="s">
        <v>55</v>
      </c>
      <c r="D19" s="12" t="s">
        <v>324</v>
      </c>
    </row>
    <row r="20" spans="1:4" x14ac:dyDescent="0.3">
      <c r="A20" s="12" t="s">
        <v>402</v>
      </c>
      <c r="B20" s="15" t="s">
        <v>323</v>
      </c>
      <c r="C20" s="21" t="s">
        <v>55</v>
      </c>
      <c r="D20" s="12" t="s">
        <v>324</v>
      </c>
    </row>
    <row r="21" spans="1:4" x14ac:dyDescent="0.3">
      <c r="A21" s="12" t="s">
        <v>403</v>
      </c>
      <c r="B21" s="15" t="s">
        <v>323</v>
      </c>
      <c r="C21" s="21" t="s">
        <v>55</v>
      </c>
      <c r="D21" s="12" t="s">
        <v>324</v>
      </c>
    </row>
    <row r="22" spans="1:4" x14ac:dyDescent="0.3">
      <c r="A22" s="12" t="s">
        <v>404</v>
      </c>
      <c r="B22" s="15" t="s">
        <v>323</v>
      </c>
      <c r="C22" s="21" t="s">
        <v>55</v>
      </c>
      <c r="D22" s="12" t="s">
        <v>324</v>
      </c>
    </row>
    <row r="23" spans="1:4" x14ac:dyDescent="0.3">
      <c r="A23" s="12" t="s">
        <v>405</v>
      </c>
      <c r="B23" s="15" t="s">
        <v>323</v>
      </c>
      <c r="C23" s="21" t="s">
        <v>411</v>
      </c>
      <c r="D23" s="12" t="s">
        <v>324</v>
      </c>
    </row>
    <row r="24" spans="1:4" x14ac:dyDescent="0.3">
      <c r="A24" s="12" t="s">
        <v>406</v>
      </c>
      <c r="B24" s="15" t="s">
        <v>323</v>
      </c>
      <c r="C24" s="21" t="s">
        <v>411</v>
      </c>
      <c r="D24" s="12" t="s">
        <v>324</v>
      </c>
    </row>
    <row r="25" spans="1:4" x14ac:dyDescent="0.3">
      <c r="A25" s="12" t="s">
        <v>407</v>
      </c>
      <c r="B25" s="15" t="s">
        <v>323</v>
      </c>
      <c r="C25" s="21" t="s">
        <v>411</v>
      </c>
      <c r="D25" s="12" t="s">
        <v>324</v>
      </c>
    </row>
    <row r="26" spans="1:4" x14ac:dyDescent="0.3">
      <c r="A26" s="12" t="s">
        <v>408</v>
      </c>
      <c r="B26" s="15" t="s">
        <v>323</v>
      </c>
      <c r="C26" s="21" t="s">
        <v>411</v>
      </c>
      <c r="D26" s="12" t="s">
        <v>324</v>
      </c>
    </row>
    <row r="27" spans="1:4" x14ac:dyDescent="0.3">
      <c r="A27" s="12" t="s">
        <v>409</v>
      </c>
      <c r="B27" s="15" t="s">
        <v>323</v>
      </c>
      <c r="C27" s="21" t="s">
        <v>411</v>
      </c>
      <c r="D27" s="12" t="s">
        <v>324</v>
      </c>
    </row>
    <row r="28" spans="1:4" x14ac:dyDescent="0.3">
      <c r="A28" s="12" t="s">
        <v>410</v>
      </c>
      <c r="B28" s="15" t="s">
        <v>323</v>
      </c>
      <c r="C28" s="21" t="s">
        <v>411</v>
      </c>
      <c r="D28" s="12" t="s">
        <v>324</v>
      </c>
    </row>
    <row r="29" spans="1:4" x14ac:dyDescent="0.3">
      <c r="A29" s="12" t="s">
        <v>454</v>
      </c>
      <c r="B29" s="15" t="s">
        <v>323</v>
      </c>
      <c r="C29" s="21" t="s">
        <v>411</v>
      </c>
      <c r="D29" s="12"/>
    </row>
    <row r="30" spans="1:4" x14ac:dyDescent="0.3">
      <c r="A30" s="12" t="s">
        <v>455</v>
      </c>
      <c r="B30" s="15" t="s">
        <v>323</v>
      </c>
      <c r="C30" s="21" t="s">
        <v>55</v>
      </c>
      <c r="D30" s="12"/>
    </row>
    <row r="31" spans="1:4" x14ac:dyDescent="0.3">
      <c r="A31" s="12" t="s">
        <v>448</v>
      </c>
      <c r="B31" s="19" t="s">
        <v>376</v>
      </c>
      <c r="C31" s="21" t="s">
        <v>246</v>
      </c>
      <c r="D31" s="17"/>
    </row>
    <row r="32" spans="1:4" x14ac:dyDescent="0.3">
      <c r="A32" s="12" t="s">
        <v>451</v>
      </c>
      <c r="B32" s="18" t="s">
        <v>357</v>
      </c>
      <c r="C32" s="21" t="s">
        <v>212</v>
      </c>
      <c r="D32" s="17"/>
    </row>
    <row r="33" spans="1:7" x14ac:dyDescent="0.3">
      <c r="A33" s="12" t="s">
        <v>450</v>
      </c>
      <c r="B33" s="18" t="s">
        <v>357</v>
      </c>
      <c r="C33" s="21" t="s">
        <v>212</v>
      </c>
      <c r="D33" s="17"/>
    </row>
    <row r="34" spans="1:7" x14ac:dyDescent="0.3">
      <c r="A34" s="12" t="s">
        <v>449</v>
      </c>
      <c r="B34" s="18" t="s">
        <v>357</v>
      </c>
      <c r="C34" s="21" t="s">
        <v>212</v>
      </c>
      <c r="D34" s="17"/>
    </row>
    <row r="35" spans="1:7" x14ac:dyDescent="0.3">
      <c r="A35" s="12" t="s">
        <v>453</v>
      </c>
      <c r="B35" s="15" t="s">
        <v>380</v>
      </c>
      <c r="C35" s="21" t="s">
        <v>246</v>
      </c>
      <c r="D35" s="17"/>
    </row>
    <row r="36" spans="1:7" x14ac:dyDescent="0.3">
      <c r="A36" s="12" t="s">
        <v>452</v>
      </c>
      <c r="B36" s="15" t="s">
        <v>380</v>
      </c>
      <c r="C36" s="21" t="s">
        <v>246</v>
      </c>
      <c r="D36" s="17"/>
    </row>
    <row r="37" spans="1:7" x14ac:dyDescent="0.3">
      <c r="G37" s="15" t="s">
        <v>323</v>
      </c>
    </row>
    <row r="38" spans="1:7" x14ac:dyDescent="0.3">
      <c r="G38" s="19" t="s">
        <v>375</v>
      </c>
    </row>
    <row r="39" spans="1:7" x14ac:dyDescent="0.3">
      <c r="G39" s="18" t="s">
        <v>321</v>
      </c>
    </row>
    <row r="40" spans="1:7" x14ac:dyDescent="0.3">
      <c r="G40" s="19" t="s">
        <v>376</v>
      </c>
    </row>
    <row r="41" spans="1:7" x14ac:dyDescent="0.3">
      <c r="G41" s="18" t="s">
        <v>357</v>
      </c>
    </row>
    <row r="42" spans="1:7" x14ac:dyDescent="0.3">
      <c r="G42" s="15" t="s">
        <v>380</v>
      </c>
    </row>
    <row r="43" spans="1:7" x14ac:dyDescent="0.3">
      <c r="G43" s="16" t="s">
        <v>339</v>
      </c>
    </row>
  </sheetData>
  <hyperlinks>
    <hyperlink ref="A36" r:id="rId2" display=" BSS-44  Document not automatically adding signature fields for Adobe" xr:uid="{C2703C8C-AEC0-4E76-BD8E-D60BB42ABAD7}"/>
    <hyperlink ref="A31" r:id="rId3" display=" BSS-42 Adobe not pulling recipients to the agreement automatically" xr:uid="{3210EE80-399D-491C-BBF1-F26A23D6D38F}"/>
    <hyperlink ref="A35" r:id="rId4" display=" BSS-35 The occupational date and signature box are not populated as expected " xr:uid="{D1C5755A-3A8E-4BCA-8864-AF6C08B66BD4}"/>
    <hyperlink ref="A34" r:id="rId5" display=" BSS- 29 Event PB Handler Error: Missing required: whoId " xr:uid="{12A36F78-7B77-45E0-9F77-D10817E5479C}"/>
    <hyperlink ref="A32" r:id="rId6" display=" BSS- 38 Profile permissions preventing user from listing/removing units on RightMove/Grainger" xr:uid="{50744AEC-DB70-4949-9ECA-2CF5F1974A77}"/>
    <hyperlink ref="A18" r:id="rId7" display=" BSS- 54 Duplicate OCR's being created by GREP" xr:uid="{EC7F5807-7071-4DC9-A04D-105B7A781A6C}"/>
    <hyperlink ref="A33" r:id="rId8" display=" BSS-61 An Error Occurred with Your &quot;Payment PB Handler&quot; Flow - Missing required input parameter: whoId " xr:uid="{8B4E2E55-8A33-4374-B62D-8C0A0DEC7B22}"/>
    <hyperlink ref="A19" r:id="rId9" xr:uid="{69D9FDFD-901A-4065-828E-569E42517EA3}"/>
    <hyperlink ref="A20" r:id="rId10" xr:uid="{A990AA71-CD52-438E-9A26-6CB54A65CB10}"/>
    <hyperlink ref="A21" r:id="rId11" xr:uid="{72C28FDE-BE07-4EA8-94C1-1FA3C6661543}"/>
    <hyperlink ref="A22" r:id="rId12" xr:uid="{F502BDAB-A65E-4F83-923C-E0931B12CCBA}"/>
    <hyperlink ref="A23" r:id="rId13" xr:uid="{C16B6299-6173-4B9F-955A-DA286E577130}"/>
    <hyperlink ref="A24" r:id="rId14" xr:uid="{1229B77A-4446-4615-9779-A43A3611CED8}"/>
    <hyperlink ref="A25" r:id="rId15" xr:uid="{9DAE631B-9F8C-46A1-B53A-49A8826996F4}"/>
    <hyperlink ref="A26" r:id="rId16" xr:uid="{ABB29952-7E8C-43E0-9C52-F3E4BCF881A0}"/>
    <hyperlink ref="A27" r:id="rId17" xr:uid="{9919B6E2-64A4-4539-9C46-D06A4B474C23}"/>
    <hyperlink ref="A28" r:id="rId18" xr:uid="{D27200DB-6C13-4B4B-9FEE-15EC4D4224CF}"/>
    <hyperlink ref="D19:D28" r:id="rId19" display=" BSS-13 Flow error message improvement" xr:uid="{55CDC89D-5BA7-4DDA-9599-9BBDADDB27B4}"/>
    <hyperlink ref="A29" r:id="rId20" xr:uid="{435E1E8F-2298-4089-AC82-143B8AA88F31}"/>
    <hyperlink ref="A30" r:id="rId21" xr:uid="{551CC67E-C2B1-4B5D-A20F-A16CA72A53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20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45566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213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305272</v>
      </c>
      <c r="Q2" t="s">
        <v>59</v>
      </c>
      <c r="R2" t="s">
        <v>37</v>
      </c>
      <c r="S2" t="s">
        <v>38</v>
      </c>
      <c r="T2">
        <v>90</v>
      </c>
      <c r="U2">
        <v>5.75</v>
      </c>
      <c r="V2" s="2">
        <v>0.23958333333333334</v>
      </c>
      <c r="W2">
        <v>517.5</v>
      </c>
      <c r="AA2" t="s">
        <v>39</v>
      </c>
      <c r="AB2" t="s">
        <v>40</v>
      </c>
      <c r="AC2" t="s">
        <v>388</v>
      </c>
      <c r="AD2" t="s">
        <v>41</v>
      </c>
    </row>
    <row r="3" spans="1:31" x14ac:dyDescent="0.3">
      <c r="A3" s="1">
        <v>45566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213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305273</v>
      </c>
      <c r="Q3" t="s">
        <v>75</v>
      </c>
      <c r="R3" t="s">
        <v>76</v>
      </c>
      <c r="S3" t="s">
        <v>38</v>
      </c>
      <c r="T3">
        <v>0</v>
      </c>
      <c r="U3">
        <v>0.25</v>
      </c>
      <c r="V3" s="2">
        <v>1.0416666666666666E-2</v>
      </c>
      <c r="W3">
        <v>0</v>
      </c>
      <c r="AA3" t="s">
        <v>39</v>
      </c>
      <c r="AB3" t="s">
        <v>40</v>
      </c>
      <c r="AC3" t="s">
        <v>389</v>
      </c>
      <c r="AD3" t="s">
        <v>41</v>
      </c>
    </row>
    <row r="4" spans="1:31" x14ac:dyDescent="0.3">
      <c r="A4" s="1">
        <v>45567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213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305383</v>
      </c>
      <c r="Q4" t="s">
        <v>59</v>
      </c>
      <c r="R4" t="s">
        <v>37</v>
      </c>
      <c r="S4" t="s">
        <v>38</v>
      </c>
      <c r="T4">
        <v>90</v>
      </c>
      <c r="U4">
        <v>1.5</v>
      </c>
      <c r="V4" s="2">
        <v>6.25E-2</v>
      </c>
      <c r="W4">
        <v>135</v>
      </c>
      <c r="AA4" t="s">
        <v>39</v>
      </c>
      <c r="AB4" t="s">
        <v>40</v>
      </c>
      <c r="AC4" t="s">
        <v>423</v>
      </c>
      <c r="AD4" t="s">
        <v>41</v>
      </c>
    </row>
    <row r="5" spans="1:31" x14ac:dyDescent="0.3">
      <c r="A5" s="1">
        <v>45567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213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305266</v>
      </c>
      <c r="Q5" t="s">
        <v>75</v>
      </c>
      <c r="R5" t="s">
        <v>76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B5" t="s">
        <v>40</v>
      </c>
      <c r="AC5" t="s">
        <v>390</v>
      </c>
      <c r="AD5" t="s">
        <v>41</v>
      </c>
    </row>
    <row r="6" spans="1:31" x14ac:dyDescent="0.3">
      <c r="A6" s="1">
        <v>45568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213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306254</v>
      </c>
      <c r="Q6" t="s">
        <v>59</v>
      </c>
      <c r="R6" t="s">
        <v>37</v>
      </c>
      <c r="S6" t="s">
        <v>38</v>
      </c>
      <c r="T6">
        <v>90</v>
      </c>
      <c r="U6">
        <v>4</v>
      </c>
      <c r="V6" s="2">
        <v>0.16666666666666666</v>
      </c>
      <c r="W6">
        <v>360</v>
      </c>
      <c r="AA6" t="s">
        <v>39</v>
      </c>
      <c r="AB6" t="s">
        <v>40</v>
      </c>
      <c r="AC6" t="s">
        <v>391</v>
      </c>
      <c r="AD6" t="s">
        <v>41</v>
      </c>
    </row>
    <row r="7" spans="1:31" x14ac:dyDescent="0.3">
      <c r="A7" s="1">
        <v>45568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213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306151</v>
      </c>
      <c r="Q7" t="s">
        <v>75</v>
      </c>
      <c r="R7" t="s">
        <v>76</v>
      </c>
      <c r="S7" t="s">
        <v>38</v>
      </c>
      <c r="T7">
        <v>0</v>
      </c>
      <c r="U7">
        <v>1</v>
      </c>
      <c r="V7" s="2">
        <v>4.1666666666666664E-2</v>
      </c>
      <c r="W7">
        <v>0</v>
      </c>
      <c r="AA7" t="s">
        <v>39</v>
      </c>
      <c r="AB7" t="s">
        <v>40</v>
      </c>
      <c r="AC7" t="s">
        <v>392</v>
      </c>
      <c r="AD7" t="s">
        <v>41</v>
      </c>
    </row>
    <row r="8" spans="1:31" x14ac:dyDescent="0.3">
      <c r="A8" s="1">
        <v>45569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213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306250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AA8" t="s">
        <v>39</v>
      </c>
      <c r="AB8" t="s">
        <v>40</v>
      </c>
      <c r="AC8" t="s">
        <v>393</v>
      </c>
      <c r="AD8" t="s">
        <v>41</v>
      </c>
    </row>
    <row r="9" spans="1:31" x14ac:dyDescent="0.3">
      <c r="A9" s="1">
        <v>45569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213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306251</v>
      </c>
      <c r="Q9" t="s">
        <v>75</v>
      </c>
      <c r="R9" t="s">
        <v>76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B9" t="s">
        <v>40</v>
      </c>
      <c r="AC9" t="s">
        <v>394</v>
      </c>
      <c r="AD9" t="s">
        <v>41</v>
      </c>
    </row>
    <row r="10" spans="1:31" x14ac:dyDescent="0.3">
      <c r="A10" s="1">
        <v>45572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213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306880</v>
      </c>
      <c r="Q10" t="s">
        <v>59</v>
      </c>
      <c r="R10" t="s">
        <v>37</v>
      </c>
      <c r="S10" t="s">
        <v>38</v>
      </c>
      <c r="T10">
        <v>90</v>
      </c>
      <c r="U10">
        <v>2.5</v>
      </c>
      <c r="V10" s="2">
        <v>0.10416666666666667</v>
      </c>
      <c r="W10">
        <v>225</v>
      </c>
      <c r="AA10" t="s">
        <v>39</v>
      </c>
      <c r="AB10" t="s">
        <v>40</v>
      </c>
      <c r="AC10" t="s">
        <v>424</v>
      </c>
      <c r="AD10" t="s">
        <v>41</v>
      </c>
    </row>
    <row r="11" spans="1:31" x14ac:dyDescent="0.3">
      <c r="A11" s="1">
        <v>45572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213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306879</v>
      </c>
      <c r="Q11" t="s">
        <v>75</v>
      </c>
      <c r="R11" t="s">
        <v>76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B11" t="s">
        <v>40</v>
      </c>
      <c r="AC11" t="s">
        <v>389</v>
      </c>
      <c r="AD11" t="s">
        <v>41</v>
      </c>
    </row>
    <row r="12" spans="1:31" x14ac:dyDescent="0.3">
      <c r="A12" s="1">
        <v>45573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213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307378</v>
      </c>
      <c r="Q12" t="s">
        <v>59</v>
      </c>
      <c r="R12" t="s">
        <v>37</v>
      </c>
      <c r="S12" t="s">
        <v>38</v>
      </c>
      <c r="T12">
        <v>90</v>
      </c>
      <c r="U12">
        <v>2.75</v>
      </c>
      <c r="V12" s="2">
        <v>0.11458333333333333</v>
      </c>
      <c r="W12">
        <v>247.5</v>
      </c>
      <c r="AA12" t="s">
        <v>39</v>
      </c>
      <c r="AB12" t="s">
        <v>40</v>
      </c>
      <c r="AC12" t="s">
        <v>396</v>
      </c>
      <c r="AD12" t="s">
        <v>41</v>
      </c>
    </row>
    <row r="13" spans="1:31" x14ac:dyDescent="0.3">
      <c r="A13" s="1">
        <v>45573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213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307379</v>
      </c>
      <c r="Q13" t="s">
        <v>75</v>
      </c>
      <c r="R13" t="s">
        <v>76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B13" t="s">
        <v>40</v>
      </c>
      <c r="AC13" t="s">
        <v>394</v>
      </c>
      <c r="AD13" t="s">
        <v>41</v>
      </c>
    </row>
    <row r="14" spans="1:31" x14ac:dyDescent="0.3">
      <c r="A14" s="1">
        <v>45575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213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309337</v>
      </c>
      <c r="Q14" t="s">
        <v>59</v>
      </c>
      <c r="R14" t="s">
        <v>37</v>
      </c>
      <c r="S14" t="s">
        <v>38</v>
      </c>
      <c r="T14">
        <v>90</v>
      </c>
      <c r="U14">
        <v>1.5</v>
      </c>
      <c r="V14" s="2">
        <v>6.25E-2</v>
      </c>
      <c r="W14">
        <v>135</v>
      </c>
      <c r="AA14" t="s">
        <v>39</v>
      </c>
      <c r="AB14" t="s">
        <v>40</v>
      </c>
      <c r="AC14" t="s">
        <v>425</v>
      </c>
      <c r="AD14" t="s">
        <v>41</v>
      </c>
    </row>
    <row r="15" spans="1:31" x14ac:dyDescent="0.3">
      <c r="A15" s="1">
        <v>45575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213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308325</v>
      </c>
      <c r="Q15" t="s">
        <v>75</v>
      </c>
      <c r="R15" t="s">
        <v>76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394</v>
      </c>
      <c r="AD15" t="s">
        <v>41</v>
      </c>
    </row>
    <row r="16" spans="1:31" x14ac:dyDescent="0.3">
      <c r="A16" s="1">
        <v>45579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213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309499</v>
      </c>
      <c r="Q16" t="s">
        <v>59</v>
      </c>
      <c r="R16" t="s">
        <v>37</v>
      </c>
      <c r="S16" t="s">
        <v>38</v>
      </c>
      <c r="T16">
        <v>90</v>
      </c>
      <c r="U16">
        <v>4</v>
      </c>
      <c r="V16" s="2">
        <v>0.16666666666666666</v>
      </c>
      <c r="W16">
        <v>360</v>
      </c>
      <c r="AA16" t="s">
        <v>39</v>
      </c>
      <c r="AB16" t="s">
        <v>40</v>
      </c>
      <c r="AC16" t="s">
        <v>426</v>
      </c>
      <c r="AD16" t="s">
        <v>41</v>
      </c>
    </row>
    <row r="17" spans="1:30" x14ac:dyDescent="0.3">
      <c r="A17" s="1">
        <v>45579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213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309500</v>
      </c>
      <c r="Q17" t="s">
        <v>75</v>
      </c>
      <c r="R17" t="s">
        <v>76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B17" t="s">
        <v>40</v>
      </c>
      <c r="AC17" t="s">
        <v>394</v>
      </c>
      <c r="AD17" t="s">
        <v>41</v>
      </c>
    </row>
    <row r="18" spans="1:30" x14ac:dyDescent="0.3">
      <c r="A18" s="1">
        <v>45580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213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309958</v>
      </c>
      <c r="Q18" t="s">
        <v>59</v>
      </c>
      <c r="R18" t="s">
        <v>37</v>
      </c>
      <c r="S18" t="s">
        <v>38</v>
      </c>
      <c r="T18">
        <v>90</v>
      </c>
      <c r="U18">
        <v>0.25</v>
      </c>
      <c r="V18" s="2">
        <v>1.0416666666666666E-2</v>
      </c>
      <c r="W18">
        <v>22.5</v>
      </c>
      <c r="AA18" t="s">
        <v>39</v>
      </c>
      <c r="AB18" t="s">
        <v>40</v>
      </c>
      <c r="AC18" t="s">
        <v>427</v>
      </c>
      <c r="AD18" t="s">
        <v>41</v>
      </c>
    </row>
    <row r="19" spans="1:30" x14ac:dyDescent="0.3">
      <c r="A19" s="1">
        <v>45580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213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309957</v>
      </c>
      <c r="Q19" t="s">
        <v>75</v>
      </c>
      <c r="R19" t="s">
        <v>76</v>
      </c>
      <c r="S19" t="s">
        <v>38</v>
      </c>
      <c r="T19">
        <v>0</v>
      </c>
      <c r="U19">
        <v>0.75</v>
      </c>
      <c r="V19" s="2">
        <v>3.125E-2</v>
      </c>
      <c r="W19">
        <v>0</v>
      </c>
      <c r="AA19" t="s">
        <v>39</v>
      </c>
      <c r="AB19" t="s">
        <v>40</v>
      </c>
      <c r="AC19" t="s">
        <v>428</v>
      </c>
      <c r="AD19" t="s">
        <v>41</v>
      </c>
    </row>
    <row r="20" spans="1:30" x14ac:dyDescent="0.3">
      <c r="A20" s="1">
        <v>45581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213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310990</v>
      </c>
      <c r="Q20" t="s">
        <v>75</v>
      </c>
      <c r="R20" t="s">
        <v>76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C20" t="s">
        <v>394</v>
      </c>
      <c r="AD20" t="s">
        <v>41</v>
      </c>
    </row>
    <row r="21" spans="1:30" x14ac:dyDescent="0.3">
      <c r="A21" s="1">
        <v>45586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213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312442</v>
      </c>
      <c r="Q21" t="s">
        <v>75</v>
      </c>
      <c r="R21" t="s">
        <v>76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C21" t="s">
        <v>394</v>
      </c>
      <c r="AD21" t="s">
        <v>41</v>
      </c>
    </row>
    <row r="22" spans="1:30" x14ac:dyDescent="0.3">
      <c r="A22" s="1">
        <v>45572</v>
      </c>
      <c r="B22" t="s">
        <v>370</v>
      </c>
      <c r="C22" t="s">
        <v>30</v>
      </c>
      <c r="D22" t="s">
        <v>31</v>
      </c>
      <c r="E22" t="s">
        <v>74</v>
      </c>
      <c r="F22" t="s">
        <v>32</v>
      </c>
      <c r="G22" t="s">
        <v>33</v>
      </c>
      <c r="H22" t="s">
        <v>57</v>
      </c>
      <c r="I22" t="s">
        <v>213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307187</v>
      </c>
      <c r="Q22" t="s">
        <v>75</v>
      </c>
      <c r="R22" t="s">
        <v>76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B22" t="s">
        <v>40</v>
      </c>
      <c r="AC22" t="s">
        <v>145</v>
      </c>
      <c r="AD22" t="s">
        <v>41</v>
      </c>
    </row>
    <row r="23" spans="1:30" x14ac:dyDescent="0.3">
      <c r="A23" s="1">
        <v>45579</v>
      </c>
      <c r="B23" t="s">
        <v>370</v>
      </c>
      <c r="C23" t="s">
        <v>30</v>
      </c>
      <c r="D23" t="s">
        <v>31</v>
      </c>
      <c r="E23" t="s">
        <v>74</v>
      </c>
      <c r="F23" t="s">
        <v>32</v>
      </c>
      <c r="G23" t="s">
        <v>33</v>
      </c>
      <c r="H23" t="s">
        <v>57</v>
      </c>
      <c r="I23" t="s">
        <v>213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309574</v>
      </c>
      <c r="Q23" t="s">
        <v>75</v>
      </c>
      <c r="R23" t="s">
        <v>76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B23" t="s">
        <v>40</v>
      </c>
      <c r="AC23" t="s">
        <v>145</v>
      </c>
      <c r="AD23" t="s">
        <v>41</v>
      </c>
    </row>
    <row r="24" spans="1:30" x14ac:dyDescent="0.3">
      <c r="A24" s="1">
        <v>45581</v>
      </c>
      <c r="B24" t="s">
        <v>311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213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310958</v>
      </c>
      <c r="Q24" t="s">
        <v>75</v>
      </c>
      <c r="R24" t="s">
        <v>76</v>
      </c>
      <c r="S24" t="s">
        <v>38</v>
      </c>
      <c r="T24">
        <v>0</v>
      </c>
      <c r="U24">
        <v>0.5</v>
      </c>
      <c r="V24" s="2">
        <v>2.0833333333333332E-2</v>
      </c>
      <c r="W24">
        <v>0</v>
      </c>
      <c r="AA24" t="s">
        <v>39</v>
      </c>
      <c r="AC24" t="s">
        <v>68</v>
      </c>
      <c r="AD24" t="s">
        <v>41</v>
      </c>
    </row>
    <row r="25" spans="1:30" x14ac:dyDescent="0.3">
      <c r="A25" s="1">
        <v>45566</v>
      </c>
      <c r="B25" t="s">
        <v>322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213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305368</v>
      </c>
      <c r="Q25" t="s">
        <v>75</v>
      </c>
      <c r="R25" t="s">
        <v>76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68</v>
      </c>
      <c r="AD25" t="s">
        <v>41</v>
      </c>
    </row>
    <row r="26" spans="1:30" x14ac:dyDescent="0.3">
      <c r="A26" s="1">
        <v>45572</v>
      </c>
      <c r="B26" t="s">
        <v>322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213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307021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68</v>
      </c>
      <c r="AD26" t="s">
        <v>41</v>
      </c>
    </row>
    <row r="27" spans="1:30" x14ac:dyDescent="0.3">
      <c r="A27" s="1">
        <v>45575</v>
      </c>
      <c r="B27" t="s">
        <v>322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213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308435</v>
      </c>
      <c r="Q27" t="s">
        <v>75</v>
      </c>
      <c r="R27" t="s">
        <v>76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B27" t="s">
        <v>40</v>
      </c>
      <c r="AC27" t="s">
        <v>68</v>
      </c>
      <c r="AD27" t="s">
        <v>41</v>
      </c>
    </row>
    <row r="28" spans="1:30" x14ac:dyDescent="0.3">
      <c r="A28" s="1">
        <v>45581</v>
      </c>
      <c r="B28" t="s">
        <v>322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213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310977</v>
      </c>
      <c r="Q28" t="s">
        <v>75</v>
      </c>
      <c r="R28" t="s">
        <v>76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C28" t="s">
        <v>68</v>
      </c>
      <c r="AD28" t="s">
        <v>41</v>
      </c>
    </row>
    <row r="29" spans="1:30" x14ac:dyDescent="0.3">
      <c r="A29" s="1">
        <v>45566</v>
      </c>
      <c r="B29" t="s">
        <v>246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213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306205</v>
      </c>
      <c r="Q29" t="s">
        <v>75</v>
      </c>
      <c r="R29" t="s">
        <v>76</v>
      </c>
      <c r="S29" t="s">
        <v>38</v>
      </c>
      <c r="T29">
        <v>0</v>
      </c>
      <c r="U29">
        <v>0.25</v>
      </c>
      <c r="V29" s="2">
        <v>1.0416666666666666E-2</v>
      </c>
      <c r="W29">
        <v>0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45567</v>
      </c>
      <c r="B30" t="s">
        <v>246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213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306214</v>
      </c>
      <c r="Q30" t="s">
        <v>75</v>
      </c>
      <c r="R30" t="s">
        <v>76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45572</v>
      </c>
      <c r="B31" t="s">
        <v>246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213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307047</v>
      </c>
      <c r="Q31" t="s">
        <v>59</v>
      </c>
      <c r="R31" t="s">
        <v>37</v>
      </c>
      <c r="S31" t="s">
        <v>38</v>
      </c>
      <c r="T31">
        <v>90</v>
      </c>
      <c r="U31">
        <v>0.25</v>
      </c>
      <c r="V31" s="2">
        <v>1.0416666666666666E-2</v>
      </c>
      <c r="W31">
        <v>22.5</v>
      </c>
      <c r="AA31" t="s">
        <v>39</v>
      </c>
      <c r="AB31" t="s">
        <v>40</v>
      </c>
      <c r="AC31" t="s">
        <v>68</v>
      </c>
      <c r="AD31" t="s">
        <v>41</v>
      </c>
    </row>
    <row r="32" spans="1:30" x14ac:dyDescent="0.3">
      <c r="A32" s="1">
        <v>45573</v>
      </c>
      <c r="B32" t="s">
        <v>246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213</v>
      </c>
      <c r="J32" t="s">
        <v>34</v>
      </c>
      <c r="K32" t="s">
        <v>31</v>
      </c>
      <c r="L32" t="s">
        <v>35</v>
      </c>
      <c r="M32" t="s">
        <v>36</v>
      </c>
      <c r="N32" t="s">
        <v>68</v>
      </c>
      <c r="O32" t="s">
        <v>58</v>
      </c>
      <c r="P32">
        <v>307948</v>
      </c>
      <c r="Q32" t="s">
        <v>59</v>
      </c>
      <c r="R32" t="s">
        <v>37</v>
      </c>
      <c r="S32" t="s">
        <v>38</v>
      </c>
      <c r="T32">
        <v>90</v>
      </c>
      <c r="U32">
        <v>0.5</v>
      </c>
      <c r="V32" s="2">
        <v>2.0833333333333332E-2</v>
      </c>
      <c r="W32">
        <v>45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45575</v>
      </c>
      <c r="B33" t="s">
        <v>246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213</v>
      </c>
      <c r="J33" t="s">
        <v>34</v>
      </c>
      <c r="K33" t="s">
        <v>31</v>
      </c>
      <c r="L33" t="s">
        <v>35</v>
      </c>
      <c r="M33" t="s">
        <v>36</v>
      </c>
      <c r="N33" t="s">
        <v>68</v>
      </c>
      <c r="O33" t="s">
        <v>58</v>
      </c>
      <c r="P33">
        <v>308691</v>
      </c>
      <c r="Q33" t="s">
        <v>75</v>
      </c>
      <c r="R33" t="s">
        <v>76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45579</v>
      </c>
      <c r="B34" t="s">
        <v>246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213</v>
      </c>
      <c r="J34" t="s">
        <v>34</v>
      </c>
      <c r="K34" t="s">
        <v>31</v>
      </c>
      <c r="L34" t="s">
        <v>35</v>
      </c>
      <c r="M34" t="s">
        <v>36</v>
      </c>
      <c r="N34" t="s">
        <v>68</v>
      </c>
      <c r="O34" t="s">
        <v>58</v>
      </c>
      <c r="P34">
        <v>311241</v>
      </c>
      <c r="Q34" t="s">
        <v>59</v>
      </c>
      <c r="R34" t="s">
        <v>37</v>
      </c>
      <c r="S34" t="s">
        <v>38</v>
      </c>
      <c r="T34">
        <v>90</v>
      </c>
      <c r="U34">
        <v>0.75</v>
      </c>
      <c r="V34" s="2">
        <v>3.125E-2</v>
      </c>
      <c r="W34">
        <v>67.5</v>
      </c>
      <c r="AA34" t="s">
        <v>39</v>
      </c>
      <c r="AC34" t="s">
        <v>68</v>
      </c>
      <c r="AD34" t="s">
        <v>41</v>
      </c>
    </row>
    <row r="35" spans="1:30" x14ac:dyDescent="0.3">
      <c r="A35" s="1">
        <v>45580</v>
      </c>
      <c r="B35" t="s">
        <v>246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213</v>
      </c>
      <c r="J35" t="s">
        <v>34</v>
      </c>
      <c r="K35" t="s">
        <v>31</v>
      </c>
      <c r="L35" t="s">
        <v>35</v>
      </c>
      <c r="M35" t="s">
        <v>36</v>
      </c>
      <c r="N35" t="s">
        <v>68</v>
      </c>
      <c r="O35" t="s">
        <v>58</v>
      </c>
      <c r="P35">
        <v>311261</v>
      </c>
      <c r="Q35" t="s">
        <v>59</v>
      </c>
      <c r="R35" t="s">
        <v>37</v>
      </c>
      <c r="S35" t="s">
        <v>38</v>
      </c>
      <c r="T35">
        <v>90</v>
      </c>
      <c r="U35">
        <v>0.5</v>
      </c>
      <c r="V35" s="2">
        <v>2.0833333333333332E-2</v>
      </c>
      <c r="W35">
        <v>45</v>
      </c>
      <c r="AA35" t="s">
        <v>39</v>
      </c>
      <c r="AC35" t="s">
        <v>68</v>
      </c>
      <c r="AD35" t="s">
        <v>41</v>
      </c>
    </row>
    <row r="36" spans="1:30" x14ac:dyDescent="0.3">
      <c r="A36" s="1">
        <v>45586</v>
      </c>
      <c r="B36" t="s">
        <v>246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213</v>
      </c>
      <c r="J36" t="s">
        <v>34</v>
      </c>
      <c r="K36" t="s">
        <v>31</v>
      </c>
      <c r="L36" t="s">
        <v>35</v>
      </c>
      <c r="M36" t="s">
        <v>36</v>
      </c>
      <c r="N36" t="s">
        <v>68</v>
      </c>
      <c r="O36" t="s">
        <v>58</v>
      </c>
      <c r="P36">
        <v>312090</v>
      </c>
      <c r="Q36" t="s">
        <v>59</v>
      </c>
      <c r="R36" t="s">
        <v>37</v>
      </c>
      <c r="S36" t="s">
        <v>38</v>
      </c>
      <c r="T36">
        <v>90</v>
      </c>
      <c r="U36">
        <v>0.5</v>
      </c>
      <c r="V36" s="2">
        <v>2.0833333333333332E-2</v>
      </c>
      <c r="W36">
        <v>45</v>
      </c>
      <c r="AA36" t="s">
        <v>39</v>
      </c>
      <c r="AC36" t="s">
        <v>68</v>
      </c>
      <c r="AD36" t="s">
        <v>41</v>
      </c>
    </row>
    <row r="37" spans="1:30" x14ac:dyDescent="0.3">
      <c r="A37" s="1">
        <v>45567</v>
      </c>
      <c r="B37" t="s">
        <v>35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213</v>
      </c>
      <c r="J37" t="s">
        <v>34</v>
      </c>
      <c r="K37" t="s">
        <v>31</v>
      </c>
      <c r="L37" t="s">
        <v>35</v>
      </c>
      <c r="M37" t="s">
        <v>36</v>
      </c>
      <c r="N37" t="s">
        <v>68</v>
      </c>
      <c r="O37" t="s">
        <v>58</v>
      </c>
      <c r="P37">
        <v>305635</v>
      </c>
      <c r="Q37" t="s">
        <v>75</v>
      </c>
      <c r="R37" t="s">
        <v>76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B37" t="s">
        <v>40</v>
      </c>
      <c r="AC37" t="s">
        <v>68</v>
      </c>
      <c r="AD37" t="s">
        <v>41</v>
      </c>
    </row>
    <row r="38" spans="1:30" x14ac:dyDescent="0.3">
      <c r="A38" s="1">
        <v>45569</v>
      </c>
      <c r="B38" t="s">
        <v>35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213</v>
      </c>
      <c r="J38" t="s">
        <v>34</v>
      </c>
      <c r="K38" t="s">
        <v>31</v>
      </c>
      <c r="L38" t="s">
        <v>35</v>
      </c>
      <c r="M38" t="s">
        <v>36</v>
      </c>
      <c r="N38" t="s">
        <v>68</v>
      </c>
      <c r="O38" t="s">
        <v>58</v>
      </c>
      <c r="P38">
        <v>306400</v>
      </c>
      <c r="Q38" t="s">
        <v>75</v>
      </c>
      <c r="R38" t="s">
        <v>76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68</v>
      </c>
      <c r="AD38" t="s">
        <v>41</v>
      </c>
    </row>
    <row r="39" spans="1:30" x14ac:dyDescent="0.3">
      <c r="A39" s="1">
        <v>45572</v>
      </c>
      <c r="B39" t="s">
        <v>35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213</v>
      </c>
      <c r="J39" t="s">
        <v>34</v>
      </c>
      <c r="K39" t="s">
        <v>31</v>
      </c>
      <c r="L39" t="s">
        <v>35</v>
      </c>
      <c r="M39" t="s">
        <v>36</v>
      </c>
      <c r="N39" t="s">
        <v>68</v>
      </c>
      <c r="O39" t="s">
        <v>58</v>
      </c>
      <c r="P39">
        <v>307313</v>
      </c>
      <c r="Q39" t="s">
        <v>75</v>
      </c>
      <c r="R39" t="s">
        <v>76</v>
      </c>
      <c r="S39" t="s">
        <v>38</v>
      </c>
      <c r="T39">
        <v>0</v>
      </c>
      <c r="U39">
        <v>0.5</v>
      </c>
      <c r="V39" s="2">
        <v>2.0833333333333332E-2</v>
      </c>
      <c r="W39">
        <v>0</v>
      </c>
      <c r="AA39" t="s">
        <v>39</v>
      </c>
      <c r="AB39" t="s">
        <v>40</v>
      </c>
      <c r="AC39" t="s">
        <v>68</v>
      </c>
      <c r="AD39" t="s">
        <v>41</v>
      </c>
    </row>
    <row r="40" spans="1:30" x14ac:dyDescent="0.3">
      <c r="A40" s="1">
        <v>45573</v>
      </c>
      <c r="B40" t="s">
        <v>35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213</v>
      </c>
      <c r="J40" t="s">
        <v>34</v>
      </c>
      <c r="K40" t="s">
        <v>31</v>
      </c>
      <c r="L40" t="s">
        <v>35</v>
      </c>
      <c r="M40" t="s">
        <v>36</v>
      </c>
      <c r="N40" t="s">
        <v>68</v>
      </c>
      <c r="O40" t="s">
        <v>58</v>
      </c>
      <c r="P40">
        <v>307581</v>
      </c>
      <c r="Q40" t="s">
        <v>75</v>
      </c>
      <c r="R40" t="s">
        <v>76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68</v>
      </c>
      <c r="AD40" t="s">
        <v>41</v>
      </c>
    </row>
    <row r="41" spans="1:30" x14ac:dyDescent="0.3">
      <c r="A41" s="1">
        <v>45576</v>
      </c>
      <c r="B41" t="s">
        <v>35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213</v>
      </c>
      <c r="J41" t="s">
        <v>34</v>
      </c>
      <c r="K41" t="s">
        <v>31</v>
      </c>
      <c r="L41" t="s">
        <v>35</v>
      </c>
      <c r="M41" t="s">
        <v>36</v>
      </c>
      <c r="N41" t="s">
        <v>68</v>
      </c>
      <c r="O41" t="s">
        <v>58</v>
      </c>
      <c r="P41">
        <v>309017</v>
      </c>
      <c r="Q41" t="s">
        <v>75</v>
      </c>
      <c r="R41" t="s">
        <v>76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68</v>
      </c>
      <c r="AD41" t="s">
        <v>41</v>
      </c>
    </row>
    <row r="42" spans="1:30" x14ac:dyDescent="0.3">
      <c r="A42" s="1">
        <v>45579</v>
      </c>
      <c r="B42" t="s">
        <v>35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213</v>
      </c>
      <c r="J42" t="s">
        <v>34</v>
      </c>
      <c r="K42" t="s">
        <v>31</v>
      </c>
      <c r="L42" t="s">
        <v>35</v>
      </c>
      <c r="M42" t="s">
        <v>36</v>
      </c>
      <c r="N42" t="s">
        <v>68</v>
      </c>
      <c r="O42" t="s">
        <v>58</v>
      </c>
      <c r="P42">
        <v>309677</v>
      </c>
      <c r="Q42" t="s">
        <v>75</v>
      </c>
      <c r="R42" t="s">
        <v>76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68</v>
      </c>
      <c r="AD42" t="s">
        <v>41</v>
      </c>
    </row>
    <row r="43" spans="1:30" x14ac:dyDescent="0.3">
      <c r="A43" s="1">
        <v>45580</v>
      </c>
      <c r="B43" t="s">
        <v>35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213</v>
      </c>
      <c r="J43" t="s">
        <v>34</v>
      </c>
      <c r="K43" t="s">
        <v>31</v>
      </c>
      <c r="L43" t="s">
        <v>35</v>
      </c>
      <c r="M43" t="s">
        <v>36</v>
      </c>
      <c r="N43" t="s">
        <v>68</v>
      </c>
      <c r="O43" t="s">
        <v>58</v>
      </c>
      <c r="P43">
        <v>310187</v>
      </c>
      <c r="Q43" t="s">
        <v>75</v>
      </c>
      <c r="R43" t="s">
        <v>76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45581</v>
      </c>
      <c r="B44" t="s">
        <v>35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213</v>
      </c>
      <c r="J44" t="s">
        <v>34</v>
      </c>
      <c r="K44" t="s">
        <v>31</v>
      </c>
      <c r="L44" t="s">
        <v>35</v>
      </c>
      <c r="M44" t="s">
        <v>36</v>
      </c>
      <c r="N44" t="s">
        <v>68</v>
      </c>
      <c r="O44" t="s">
        <v>58</v>
      </c>
      <c r="P44">
        <v>310852</v>
      </c>
      <c r="Q44" t="s">
        <v>75</v>
      </c>
      <c r="R44" t="s">
        <v>76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C44" t="s">
        <v>68</v>
      </c>
      <c r="AD44" t="s">
        <v>41</v>
      </c>
    </row>
    <row r="45" spans="1:30" x14ac:dyDescent="0.3">
      <c r="A45" s="1">
        <v>45582</v>
      </c>
      <c r="B45" t="s">
        <v>35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213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311173</v>
      </c>
      <c r="Q45" t="s">
        <v>75</v>
      </c>
      <c r="R45" t="s">
        <v>76</v>
      </c>
      <c r="S45" t="s">
        <v>38</v>
      </c>
      <c r="T45">
        <v>0</v>
      </c>
      <c r="U45">
        <v>0.5</v>
      </c>
      <c r="V45" s="2">
        <v>2.0833333333333332E-2</v>
      </c>
      <c r="W45">
        <v>0</v>
      </c>
      <c r="AA45" t="s">
        <v>39</v>
      </c>
      <c r="AC45" t="s">
        <v>68</v>
      </c>
      <c r="AD45" t="s">
        <v>41</v>
      </c>
    </row>
    <row r="46" spans="1:30" x14ac:dyDescent="0.3">
      <c r="A46" s="1">
        <v>45583</v>
      </c>
      <c r="B46" t="s">
        <v>35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213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312547</v>
      </c>
      <c r="Q46" t="s">
        <v>75</v>
      </c>
      <c r="R46" t="s">
        <v>76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C46" t="s">
        <v>68</v>
      </c>
      <c r="AD46" t="s">
        <v>41</v>
      </c>
    </row>
    <row r="47" spans="1:30" x14ac:dyDescent="0.3">
      <c r="A47" s="1">
        <v>45569</v>
      </c>
      <c r="B47" t="s">
        <v>66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213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308971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398</v>
      </c>
      <c r="AD47" t="s">
        <v>41</v>
      </c>
    </row>
    <row r="48" spans="1:30" x14ac:dyDescent="0.3">
      <c r="A48" s="1">
        <v>45574</v>
      </c>
      <c r="B48" t="s">
        <v>66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213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309061</v>
      </c>
      <c r="Q48" t="s">
        <v>75</v>
      </c>
      <c r="R48" t="s">
        <v>76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45575</v>
      </c>
      <c r="B49" t="s">
        <v>66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213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309120</v>
      </c>
      <c r="Q49" t="s">
        <v>59</v>
      </c>
      <c r="R49" t="s">
        <v>37</v>
      </c>
      <c r="S49" t="s">
        <v>38</v>
      </c>
      <c r="T49">
        <v>90</v>
      </c>
      <c r="U49">
        <v>2</v>
      </c>
      <c r="V49" s="2">
        <v>8.3333333333333329E-2</v>
      </c>
      <c r="W49">
        <v>180</v>
      </c>
      <c r="AA49" t="s">
        <v>39</v>
      </c>
      <c r="AB49" t="s">
        <v>40</v>
      </c>
      <c r="AC49" t="s">
        <v>399</v>
      </c>
      <c r="AD49" t="s">
        <v>41</v>
      </c>
    </row>
    <row r="50" spans="1:30" x14ac:dyDescent="0.3">
      <c r="A50" s="1">
        <v>45575</v>
      </c>
      <c r="B50" t="s">
        <v>66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213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309114</v>
      </c>
      <c r="Q50" t="s">
        <v>75</v>
      </c>
      <c r="R50" t="s">
        <v>76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400</v>
      </c>
      <c r="AD50" t="s">
        <v>41</v>
      </c>
    </row>
    <row r="51" spans="1:30" x14ac:dyDescent="0.3">
      <c r="A51" s="1">
        <v>45579</v>
      </c>
      <c r="B51" t="s">
        <v>66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213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310444</v>
      </c>
      <c r="Q51" t="s">
        <v>59</v>
      </c>
      <c r="R51" t="s">
        <v>37</v>
      </c>
      <c r="S51" t="s">
        <v>38</v>
      </c>
      <c r="T51">
        <v>90</v>
      </c>
      <c r="U51">
        <v>2</v>
      </c>
      <c r="V51" s="2">
        <v>8.3333333333333329E-2</v>
      </c>
      <c r="W51">
        <v>180</v>
      </c>
      <c r="AA51" t="s">
        <v>39</v>
      </c>
      <c r="AC51" t="s">
        <v>68</v>
      </c>
      <c r="AD51" t="s">
        <v>41</v>
      </c>
    </row>
    <row r="52" spans="1:30" x14ac:dyDescent="0.3">
      <c r="A52" s="1">
        <v>45579</v>
      </c>
      <c r="B52" t="s">
        <v>66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213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310446</v>
      </c>
      <c r="Q52" t="s">
        <v>75</v>
      </c>
      <c r="R52" t="s">
        <v>76</v>
      </c>
      <c r="S52" t="s">
        <v>38</v>
      </c>
      <c r="T52">
        <v>0</v>
      </c>
      <c r="U52">
        <v>4</v>
      </c>
      <c r="V52" s="2">
        <v>0.16666666666666666</v>
      </c>
      <c r="W52">
        <v>0</v>
      </c>
      <c r="AA52" t="s">
        <v>39</v>
      </c>
      <c r="AC52" t="s">
        <v>441</v>
      </c>
      <c r="AD52" t="s">
        <v>41</v>
      </c>
    </row>
    <row r="53" spans="1:30" x14ac:dyDescent="0.3">
      <c r="A53" s="1">
        <v>45580</v>
      </c>
      <c r="B53" t="s">
        <v>66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213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310445</v>
      </c>
      <c r="Q53" t="s">
        <v>59</v>
      </c>
      <c r="R53" t="s">
        <v>37</v>
      </c>
      <c r="S53" t="s">
        <v>38</v>
      </c>
      <c r="T53">
        <v>90</v>
      </c>
      <c r="U53">
        <v>1</v>
      </c>
      <c r="V53" s="2">
        <v>4.1666666666666664E-2</v>
      </c>
      <c r="W53">
        <v>90</v>
      </c>
      <c r="AA53" t="s">
        <v>39</v>
      </c>
      <c r="AC53" t="s">
        <v>68</v>
      </c>
      <c r="AD53" t="s">
        <v>41</v>
      </c>
    </row>
    <row r="54" spans="1:30" x14ac:dyDescent="0.3">
      <c r="A54" s="1">
        <v>45580</v>
      </c>
      <c r="B54" t="s">
        <v>66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213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310447</v>
      </c>
      <c r="Q54" t="s">
        <v>75</v>
      </c>
      <c r="R54" t="s">
        <v>76</v>
      </c>
      <c r="S54" t="s">
        <v>38</v>
      </c>
      <c r="T54">
        <v>0</v>
      </c>
      <c r="U54">
        <v>3.25</v>
      </c>
      <c r="V54" s="2">
        <v>0.13541666666666666</v>
      </c>
      <c r="W54">
        <v>0</v>
      </c>
      <c r="AA54" t="s">
        <v>39</v>
      </c>
      <c r="AC54" t="s">
        <v>442</v>
      </c>
      <c r="AD54" t="s">
        <v>41</v>
      </c>
    </row>
    <row r="55" spans="1:30" x14ac:dyDescent="0.3">
      <c r="A55" s="1">
        <v>45581</v>
      </c>
      <c r="B55" t="s">
        <v>66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213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310655</v>
      </c>
      <c r="Q55" t="s">
        <v>59</v>
      </c>
      <c r="R55" t="s">
        <v>37</v>
      </c>
      <c r="S55" t="s">
        <v>38</v>
      </c>
      <c r="T55">
        <v>90</v>
      </c>
      <c r="U55">
        <v>2.5</v>
      </c>
      <c r="V55" s="2">
        <v>0.10416666666666667</v>
      </c>
      <c r="W55">
        <v>225</v>
      </c>
      <c r="AA55" t="s">
        <v>39</v>
      </c>
      <c r="AC55" t="s">
        <v>443</v>
      </c>
      <c r="AD55" t="s">
        <v>41</v>
      </c>
    </row>
    <row r="56" spans="1:30" x14ac:dyDescent="0.3">
      <c r="A56" s="1">
        <v>45581</v>
      </c>
      <c r="B56" t="s">
        <v>66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213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310656</v>
      </c>
      <c r="Q56" t="s">
        <v>75</v>
      </c>
      <c r="R56" t="s">
        <v>76</v>
      </c>
      <c r="S56" t="s">
        <v>38</v>
      </c>
      <c r="T56">
        <v>0</v>
      </c>
      <c r="U56">
        <v>1.25</v>
      </c>
      <c r="V56" s="2">
        <v>5.2083333333333336E-2</v>
      </c>
      <c r="W56">
        <v>0</v>
      </c>
      <c r="AA56" t="s">
        <v>39</v>
      </c>
      <c r="AC56" t="s">
        <v>444</v>
      </c>
      <c r="AD56" t="s">
        <v>41</v>
      </c>
    </row>
    <row r="57" spans="1:30" x14ac:dyDescent="0.3">
      <c r="A57" s="1">
        <v>45586</v>
      </c>
      <c r="B57" t="s">
        <v>66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213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312144</v>
      </c>
      <c r="Q57" t="s">
        <v>75</v>
      </c>
      <c r="R57" t="s">
        <v>76</v>
      </c>
      <c r="S57" t="s">
        <v>38</v>
      </c>
      <c r="T57">
        <v>0</v>
      </c>
      <c r="U57" s="20" t="s">
        <v>445</v>
      </c>
      <c r="V57" s="2">
        <v>5.5555555555555552E-2</v>
      </c>
      <c r="W57">
        <v>0</v>
      </c>
      <c r="AA57" t="s">
        <v>39</v>
      </c>
      <c r="AC57" t="s">
        <v>446</v>
      </c>
      <c r="AD57" t="s">
        <v>41</v>
      </c>
    </row>
    <row r="58" spans="1:30" x14ac:dyDescent="0.3">
      <c r="A58" s="1"/>
      <c r="V58" s="2"/>
    </row>
    <row r="59" spans="1:30" x14ac:dyDescent="0.3">
      <c r="A59" s="1"/>
      <c r="V59" s="2"/>
    </row>
    <row r="60" spans="1:30" x14ac:dyDescent="0.3">
      <c r="A60" s="1"/>
      <c r="V60" s="2"/>
    </row>
    <row r="61" spans="1:30" x14ac:dyDescent="0.3">
      <c r="A61" s="1"/>
      <c r="V61" s="2"/>
    </row>
    <row r="62" spans="1:30" x14ac:dyDescent="0.3">
      <c r="A62" s="1"/>
      <c r="V62" s="2"/>
    </row>
    <row r="63" spans="1:30" x14ac:dyDescent="0.3">
      <c r="A63" s="1"/>
      <c r="V63" s="2"/>
    </row>
    <row r="64" spans="1:30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55"/>
  <sheetViews>
    <sheetView topLeftCell="O91" workbookViewId="0">
      <selection sqref="A1:AD655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213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192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213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192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213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192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213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192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213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192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213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192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213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192</v>
      </c>
      <c r="AA8" t="s">
        <v>39</v>
      </c>
      <c r="AB8" t="s">
        <v>40</v>
      </c>
      <c r="AC8" t="s">
        <v>172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213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192</v>
      </c>
      <c r="AA9" t="s">
        <v>39</v>
      </c>
      <c r="AB9" t="s">
        <v>40</v>
      </c>
      <c r="AC9" t="s">
        <v>193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213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282</v>
      </c>
      <c r="AA10" t="s">
        <v>39</v>
      </c>
      <c r="AB10" t="s">
        <v>40</v>
      </c>
      <c r="AC10" t="s">
        <v>194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213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282</v>
      </c>
      <c r="AA11" t="s">
        <v>39</v>
      </c>
      <c r="AB11" t="s">
        <v>40</v>
      </c>
      <c r="AC11" t="s">
        <v>195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213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282</v>
      </c>
      <c r="AA12" t="s">
        <v>39</v>
      </c>
      <c r="AB12" t="s">
        <v>40</v>
      </c>
      <c r="AC12" t="s">
        <v>214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213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282</v>
      </c>
      <c r="AA13" t="s">
        <v>39</v>
      </c>
      <c r="AB13" t="s">
        <v>40</v>
      </c>
      <c r="AC13" t="s">
        <v>215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213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216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213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282</v>
      </c>
      <c r="AA15" t="s">
        <v>39</v>
      </c>
      <c r="AB15" t="s">
        <v>40</v>
      </c>
      <c r="AC15" t="s">
        <v>242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213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260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213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261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213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262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213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274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213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303</v>
      </c>
      <c r="AA20" t="s">
        <v>39</v>
      </c>
      <c r="AB20" t="s">
        <v>40</v>
      </c>
      <c r="AC20" t="s">
        <v>291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213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303</v>
      </c>
      <c r="AA21" t="s">
        <v>39</v>
      </c>
      <c r="AB21" t="s">
        <v>40</v>
      </c>
      <c r="AC21" t="s">
        <v>292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213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303</v>
      </c>
      <c r="AA22" t="s">
        <v>39</v>
      </c>
      <c r="AB22" t="s">
        <v>40</v>
      </c>
      <c r="AC22" t="s">
        <v>298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213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303</v>
      </c>
      <c r="AA23" t="s">
        <v>39</v>
      </c>
      <c r="AB23" t="s">
        <v>40</v>
      </c>
      <c r="AC23" t="s">
        <v>412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213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304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213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305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213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306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213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341</v>
      </c>
      <c r="AA27" t="s">
        <v>39</v>
      </c>
      <c r="AB27" t="s">
        <v>40</v>
      </c>
      <c r="AC27" t="s">
        <v>307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213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341</v>
      </c>
      <c r="AA28" t="s">
        <v>39</v>
      </c>
      <c r="AB28" t="s">
        <v>40</v>
      </c>
      <c r="AC28" t="s">
        <v>325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213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341</v>
      </c>
      <c r="AA29" t="s">
        <v>39</v>
      </c>
      <c r="AB29" t="s">
        <v>40</v>
      </c>
      <c r="AC29" t="s">
        <v>326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213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341</v>
      </c>
      <c r="AA30" t="s">
        <v>39</v>
      </c>
      <c r="AB30" t="s">
        <v>40</v>
      </c>
      <c r="AC30" t="s">
        <v>330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213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341</v>
      </c>
      <c r="AA31" t="s">
        <v>39</v>
      </c>
      <c r="AB31" t="s">
        <v>40</v>
      </c>
      <c r="AC31" t="s">
        <v>413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213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414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213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341</v>
      </c>
      <c r="AA33" t="s">
        <v>39</v>
      </c>
      <c r="AB33" t="s">
        <v>40</v>
      </c>
      <c r="AC33" t="s">
        <v>333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213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334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213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335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213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336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213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337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213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341</v>
      </c>
      <c r="AA38" t="s">
        <v>39</v>
      </c>
      <c r="AB38" t="s">
        <v>40</v>
      </c>
      <c r="AC38" t="s">
        <v>415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213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416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213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417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213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342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213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342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213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343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213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363</v>
      </c>
      <c r="AA44" t="s">
        <v>39</v>
      </c>
      <c r="AB44" t="s">
        <v>40</v>
      </c>
      <c r="AC44" t="s">
        <v>418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213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345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213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363</v>
      </c>
      <c r="AA46" t="s">
        <v>39</v>
      </c>
      <c r="AB46" t="s">
        <v>40</v>
      </c>
      <c r="AC46" t="s">
        <v>346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213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347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213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363</v>
      </c>
      <c r="AA48" t="s">
        <v>39</v>
      </c>
      <c r="AB48" t="s">
        <v>40</v>
      </c>
      <c r="AC48" t="s">
        <v>348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213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419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213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363</v>
      </c>
      <c r="AA50" t="s">
        <v>39</v>
      </c>
      <c r="AB50" t="s">
        <v>40</v>
      </c>
      <c r="AC50" t="s">
        <v>349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213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350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213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363</v>
      </c>
      <c r="AA52" t="s">
        <v>39</v>
      </c>
      <c r="AB52" t="s">
        <v>40</v>
      </c>
      <c r="AC52" t="s">
        <v>351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213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 s="20" t="s">
        <v>395</v>
      </c>
      <c r="V53" s="2">
        <v>8.4722222222222227E-2</v>
      </c>
      <c r="W53">
        <v>0</v>
      </c>
      <c r="AA53" t="s">
        <v>39</v>
      </c>
      <c r="AB53" t="s">
        <v>40</v>
      </c>
      <c r="AC53" t="s">
        <v>352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213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359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213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360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213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363</v>
      </c>
      <c r="AA56" t="s">
        <v>39</v>
      </c>
      <c r="AB56" t="s">
        <v>40</v>
      </c>
      <c r="AC56" t="s">
        <v>420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213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364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213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365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213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366</v>
      </c>
      <c r="AD59" t="s">
        <v>41</v>
      </c>
    </row>
    <row r="60" spans="1:30" hidden="1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213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386</v>
      </c>
      <c r="AA60" t="s">
        <v>39</v>
      </c>
      <c r="AB60" t="s">
        <v>40</v>
      </c>
      <c r="AC60" t="s">
        <v>367</v>
      </c>
      <c r="AD60" t="s">
        <v>41</v>
      </c>
    </row>
    <row r="61" spans="1:30" hidden="1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213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368</v>
      </c>
      <c r="AD61" t="s">
        <v>41</v>
      </c>
    </row>
    <row r="62" spans="1:30" hidden="1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213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B62" t="s">
        <v>40</v>
      </c>
      <c r="AC62" t="s">
        <v>369</v>
      </c>
      <c r="AD62" t="s">
        <v>41</v>
      </c>
    </row>
    <row r="63" spans="1:30" hidden="1" x14ac:dyDescent="0.3">
      <c r="A63" s="1">
        <v>45540</v>
      </c>
      <c r="B63" t="s">
        <v>55</v>
      </c>
      <c r="C63" t="s">
        <v>56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213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298425</v>
      </c>
      <c r="Q63" t="s">
        <v>59</v>
      </c>
      <c r="R63" t="s">
        <v>37</v>
      </c>
      <c r="S63" t="s">
        <v>38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386</v>
      </c>
      <c r="AA63" t="s">
        <v>39</v>
      </c>
      <c r="AB63" t="s">
        <v>40</v>
      </c>
      <c r="AC63" t="s">
        <v>421</v>
      </c>
      <c r="AD63" t="s">
        <v>41</v>
      </c>
    </row>
    <row r="64" spans="1:30" hidden="1" x14ac:dyDescent="0.3">
      <c r="A64" s="1">
        <v>45540</v>
      </c>
      <c r="B64" t="s">
        <v>55</v>
      </c>
      <c r="C64" t="s">
        <v>56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213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298426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378</v>
      </c>
      <c r="AD64" t="s">
        <v>41</v>
      </c>
    </row>
    <row r="65" spans="1:30" hidden="1" x14ac:dyDescent="0.3">
      <c r="A65" s="1">
        <v>45555</v>
      </c>
      <c r="B65" t="s">
        <v>55</v>
      </c>
      <c r="C65" t="s">
        <v>56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213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300068</v>
      </c>
      <c r="Q65" t="s">
        <v>59</v>
      </c>
      <c r="R65" t="s">
        <v>37</v>
      </c>
      <c r="S65" t="s">
        <v>38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386</v>
      </c>
      <c r="AA65" t="s">
        <v>39</v>
      </c>
      <c r="AB65" t="s">
        <v>40</v>
      </c>
      <c r="AC65" t="s">
        <v>422</v>
      </c>
      <c r="AD65" t="s">
        <v>41</v>
      </c>
    </row>
    <row r="66" spans="1:30" hidden="1" x14ac:dyDescent="0.3">
      <c r="A66" s="1">
        <v>45555</v>
      </c>
      <c r="B66" t="s">
        <v>55</v>
      </c>
      <c r="C66" t="s">
        <v>56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213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58</v>
      </c>
      <c r="P66">
        <v>300023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379</v>
      </c>
      <c r="AD66" t="s">
        <v>41</v>
      </c>
    </row>
    <row r="67" spans="1:30" hidden="1" x14ac:dyDescent="0.3">
      <c r="A67" s="1">
        <v>45558</v>
      </c>
      <c r="B67" t="s">
        <v>55</v>
      </c>
      <c r="C67" t="s">
        <v>56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213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58</v>
      </c>
      <c r="P67">
        <v>300970</v>
      </c>
      <c r="Q67" t="s">
        <v>59</v>
      </c>
      <c r="R67" t="s">
        <v>37</v>
      </c>
      <c r="S67" t="s">
        <v>38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386</v>
      </c>
      <c r="AA67" t="s">
        <v>39</v>
      </c>
      <c r="AB67" t="s">
        <v>40</v>
      </c>
      <c r="AC67" t="s">
        <v>381</v>
      </c>
      <c r="AD67" t="s">
        <v>41</v>
      </c>
    </row>
    <row r="68" spans="1:30" hidden="1" x14ac:dyDescent="0.3">
      <c r="A68" s="1">
        <v>45558</v>
      </c>
      <c r="B68" t="s">
        <v>55</v>
      </c>
      <c r="C68" t="s">
        <v>56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213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58</v>
      </c>
      <c r="P68">
        <v>300969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382</v>
      </c>
      <c r="AD68" t="s">
        <v>41</v>
      </c>
    </row>
    <row r="69" spans="1:30" hidden="1" x14ac:dyDescent="0.3">
      <c r="A69" s="1">
        <v>45559</v>
      </c>
      <c r="B69" t="s">
        <v>55</v>
      </c>
      <c r="C69" t="s">
        <v>56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213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58</v>
      </c>
      <c r="P69">
        <v>300967</v>
      </c>
      <c r="Q69" t="s">
        <v>59</v>
      </c>
      <c r="R69" t="s">
        <v>37</v>
      </c>
      <c r="S69" t="s">
        <v>38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386</v>
      </c>
      <c r="AA69" t="s">
        <v>39</v>
      </c>
      <c r="AB69" t="s">
        <v>40</v>
      </c>
      <c r="AC69" t="s">
        <v>383</v>
      </c>
      <c r="AD69" t="s">
        <v>41</v>
      </c>
    </row>
    <row r="70" spans="1:30" hidden="1" x14ac:dyDescent="0.3">
      <c r="A70" s="1">
        <v>45560</v>
      </c>
      <c r="B70" t="s">
        <v>55</v>
      </c>
      <c r="C70" t="s">
        <v>56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213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58</v>
      </c>
      <c r="P70">
        <v>301199</v>
      </c>
      <c r="Q70" t="s">
        <v>59</v>
      </c>
      <c r="R70" t="s">
        <v>37</v>
      </c>
      <c r="S70" t="s">
        <v>38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386</v>
      </c>
      <c r="AA70" t="s">
        <v>39</v>
      </c>
      <c r="AB70" t="s">
        <v>40</v>
      </c>
      <c r="AC70" t="s">
        <v>384</v>
      </c>
      <c r="AD70" t="s">
        <v>41</v>
      </c>
    </row>
    <row r="71" spans="1:30" hidden="1" x14ac:dyDescent="0.3">
      <c r="A71" s="1">
        <v>45561</v>
      </c>
      <c r="B71" t="s">
        <v>55</v>
      </c>
      <c r="C71" t="s">
        <v>56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213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58</v>
      </c>
      <c r="P71">
        <v>301846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385</v>
      </c>
      <c r="AD71" t="s">
        <v>41</v>
      </c>
    </row>
    <row r="72" spans="1:30" hidden="1" x14ac:dyDescent="0.3">
      <c r="A72" s="1">
        <v>45565</v>
      </c>
      <c r="B72" t="s">
        <v>55</v>
      </c>
      <c r="C72" t="s">
        <v>56</v>
      </c>
      <c r="D72" t="s">
        <v>31</v>
      </c>
      <c r="E72" t="s">
        <v>43</v>
      </c>
      <c r="F72" t="s">
        <v>32</v>
      </c>
      <c r="G72" t="s">
        <v>33</v>
      </c>
      <c r="H72" t="s">
        <v>57</v>
      </c>
      <c r="I72" t="s">
        <v>213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58</v>
      </c>
      <c r="P72">
        <v>304152</v>
      </c>
      <c r="Q72" t="s">
        <v>75</v>
      </c>
      <c r="R72" t="s">
        <v>76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387</v>
      </c>
      <c r="AD72" t="s">
        <v>41</v>
      </c>
    </row>
    <row r="73" spans="1:30" x14ac:dyDescent="0.3">
      <c r="A73" s="1">
        <v>45566</v>
      </c>
      <c r="B73" t="s">
        <v>55</v>
      </c>
      <c r="C73" t="s">
        <v>56</v>
      </c>
      <c r="D73" t="s">
        <v>31</v>
      </c>
      <c r="E73" t="s">
        <v>43</v>
      </c>
      <c r="F73" t="s">
        <v>32</v>
      </c>
      <c r="G73" t="s">
        <v>33</v>
      </c>
      <c r="H73" t="s">
        <v>57</v>
      </c>
      <c r="I73" t="s">
        <v>213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58</v>
      </c>
      <c r="P73">
        <v>305272</v>
      </c>
      <c r="Q73" t="s">
        <v>59</v>
      </c>
      <c r="R73" t="s">
        <v>37</v>
      </c>
      <c r="S73" t="s">
        <v>38</v>
      </c>
      <c r="T73">
        <v>90</v>
      </c>
      <c r="U73">
        <v>5.75</v>
      </c>
      <c r="V73" s="2">
        <v>0.23958333333333334</v>
      </c>
      <c r="W73">
        <v>517.5</v>
      </c>
      <c r="AA73" t="s">
        <v>39</v>
      </c>
      <c r="AB73" t="s">
        <v>40</v>
      </c>
      <c r="AC73" t="s">
        <v>388</v>
      </c>
      <c r="AD73" t="s">
        <v>41</v>
      </c>
    </row>
    <row r="74" spans="1:30" x14ac:dyDescent="0.3">
      <c r="A74" s="1">
        <v>45566</v>
      </c>
      <c r="B74" t="s">
        <v>55</v>
      </c>
      <c r="C74" t="s">
        <v>56</v>
      </c>
      <c r="D74" t="s">
        <v>31</v>
      </c>
      <c r="E74" t="s">
        <v>43</v>
      </c>
      <c r="F74" t="s">
        <v>32</v>
      </c>
      <c r="G74" t="s">
        <v>33</v>
      </c>
      <c r="H74" t="s">
        <v>57</v>
      </c>
      <c r="I74" t="s">
        <v>213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58</v>
      </c>
      <c r="P74">
        <v>305273</v>
      </c>
      <c r="Q74" t="s">
        <v>75</v>
      </c>
      <c r="R74" t="s">
        <v>76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389</v>
      </c>
      <c r="AD74" t="s">
        <v>41</v>
      </c>
    </row>
    <row r="75" spans="1:30" x14ac:dyDescent="0.3">
      <c r="A75" s="1">
        <v>45567</v>
      </c>
      <c r="B75" t="s">
        <v>55</v>
      </c>
      <c r="C75" t="s">
        <v>56</v>
      </c>
      <c r="D75" t="s">
        <v>31</v>
      </c>
      <c r="E75" t="s">
        <v>43</v>
      </c>
      <c r="F75" t="s">
        <v>32</v>
      </c>
      <c r="G75" t="s">
        <v>33</v>
      </c>
      <c r="H75" t="s">
        <v>57</v>
      </c>
      <c r="I75" t="s">
        <v>213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58</v>
      </c>
      <c r="P75">
        <v>305383</v>
      </c>
      <c r="Q75" t="s">
        <v>59</v>
      </c>
      <c r="R75" t="s">
        <v>37</v>
      </c>
      <c r="S75" t="s">
        <v>38</v>
      </c>
      <c r="T75">
        <v>90</v>
      </c>
      <c r="U75">
        <v>1.5</v>
      </c>
      <c r="V75" s="2">
        <v>6.25E-2</v>
      </c>
      <c r="W75">
        <v>135</v>
      </c>
      <c r="AA75" t="s">
        <v>39</v>
      </c>
      <c r="AB75" t="s">
        <v>40</v>
      </c>
      <c r="AC75" t="s">
        <v>423</v>
      </c>
      <c r="AD75" t="s">
        <v>41</v>
      </c>
    </row>
    <row r="76" spans="1:30" x14ac:dyDescent="0.3">
      <c r="A76" s="1">
        <v>45567</v>
      </c>
      <c r="B76" t="s">
        <v>55</v>
      </c>
      <c r="C76" t="s">
        <v>56</v>
      </c>
      <c r="D76" t="s">
        <v>31</v>
      </c>
      <c r="E76" t="s">
        <v>43</v>
      </c>
      <c r="F76" t="s">
        <v>32</v>
      </c>
      <c r="G76" t="s">
        <v>33</v>
      </c>
      <c r="H76" t="s">
        <v>57</v>
      </c>
      <c r="I76" t="s">
        <v>213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58</v>
      </c>
      <c r="P76">
        <v>305266</v>
      </c>
      <c r="Q76" t="s">
        <v>75</v>
      </c>
      <c r="R76" t="s">
        <v>76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390</v>
      </c>
      <c r="AD76" t="s">
        <v>41</v>
      </c>
    </row>
    <row r="77" spans="1:30" x14ac:dyDescent="0.3">
      <c r="A77" s="1">
        <v>45568</v>
      </c>
      <c r="B77" t="s">
        <v>55</v>
      </c>
      <c r="C77" t="s">
        <v>56</v>
      </c>
      <c r="D77" t="s">
        <v>31</v>
      </c>
      <c r="E77" t="s">
        <v>43</v>
      </c>
      <c r="F77" t="s">
        <v>32</v>
      </c>
      <c r="G77" t="s">
        <v>33</v>
      </c>
      <c r="H77" t="s">
        <v>57</v>
      </c>
      <c r="I77" t="s">
        <v>213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58</v>
      </c>
      <c r="P77">
        <v>306254</v>
      </c>
      <c r="Q77" t="s">
        <v>59</v>
      </c>
      <c r="R77" t="s">
        <v>37</v>
      </c>
      <c r="S77" t="s">
        <v>38</v>
      </c>
      <c r="T77">
        <v>90</v>
      </c>
      <c r="U77">
        <v>4</v>
      </c>
      <c r="V77" s="2">
        <v>0.16666666666666666</v>
      </c>
      <c r="W77">
        <v>360</v>
      </c>
      <c r="AA77" t="s">
        <v>39</v>
      </c>
      <c r="AB77" t="s">
        <v>40</v>
      </c>
      <c r="AC77" t="s">
        <v>391</v>
      </c>
      <c r="AD77" t="s">
        <v>41</v>
      </c>
    </row>
    <row r="78" spans="1:30" x14ac:dyDescent="0.3">
      <c r="A78" s="1">
        <v>45568</v>
      </c>
      <c r="B78" t="s">
        <v>55</v>
      </c>
      <c r="C78" t="s">
        <v>56</v>
      </c>
      <c r="D78" t="s">
        <v>31</v>
      </c>
      <c r="E78" t="s">
        <v>43</v>
      </c>
      <c r="F78" t="s">
        <v>32</v>
      </c>
      <c r="G78" t="s">
        <v>33</v>
      </c>
      <c r="H78" t="s">
        <v>57</v>
      </c>
      <c r="I78" t="s">
        <v>213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58</v>
      </c>
      <c r="P78">
        <v>306151</v>
      </c>
      <c r="Q78" t="s">
        <v>75</v>
      </c>
      <c r="R78" t="s">
        <v>76</v>
      </c>
      <c r="S78" t="s">
        <v>38</v>
      </c>
      <c r="T78">
        <v>0</v>
      </c>
      <c r="U78">
        <v>1</v>
      </c>
      <c r="V78" s="2">
        <v>4.1666666666666664E-2</v>
      </c>
      <c r="W78">
        <v>0</v>
      </c>
      <c r="AA78" t="s">
        <v>39</v>
      </c>
      <c r="AB78" t="s">
        <v>40</v>
      </c>
      <c r="AC78" t="s">
        <v>392</v>
      </c>
      <c r="AD78" t="s">
        <v>41</v>
      </c>
    </row>
    <row r="79" spans="1:30" x14ac:dyDescent="0.3">
      <c r="A79" s="1">
        <v>45569</v>
      </c>
      <c r="B79" t="s">
        <v>55</v>
      </c>
      <c r="C79" t="s">
        <v>56</v>
      </c>
      <c r="D79" t="s">
        <v>31</v>
      </c>
      <c r="E79" t="s">
        <v>43</v>
      </c>
      <c r="F79" t="s">
        <v>32</v>
      </c>
      <c r="G79" t="s">
        <v>33</v>
      </c>
      <c r="H79" t="s">
        <v>57</v>
      </c>
      <c r="I79" t="s">
        <v>213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58</v>
      </c>
      <c r="P79">
        <v>306250</v>
      </c>
      <c r="Q79" t="s">
        <v>59</v>
      </c>
      <c r="R79" t="s">
        <v>37</v>
      </c>
      <c r="S79" t="s">
        <v>38</v>
      </c>
      <c r="T79">
        <v>90</v>
      </c>
      <c r="U79">
        <v>0.5</v>
      </c>
      <c r="V79" s="2">
        <v>2.0833333333333332E-2</v>
      </c>
      <c r="W79">
        <v>45</v>
      </c>
      <c r="AA79" t="s">
        <v>39</v>
      </c>
      <c r="AB79" t="s">
        <v>40</v>
      </c>
      <c r="AC79" t="s">
        <v>393</v>
      </c>
      <c r="AD79" t="s">
        <v>41</v>
      </c>
    </row>
    <row r="80" spans="1:30" x14ac:dyDescent="0.3">
      <c r="A80" s="1">
        <v>45569</v>
      </c>
      <c r="B80" t="s">
        <v>55</v>
      </c>
      <c r="C80" t="s">
        <v>56</v>
      </c>
      <c r="D80" t="s">
        <v>31</v>
      </c>
      <c r="E80" t="s">
        <v>43</v>
      </c>
      <c r="F80" t="s">
        <v>32</v>
      </c>
      <c r="G80" t="s">
        <v>33</v>
      </c>
      <c r="H80" t="s">
        <v>57</v>
      </c>
      <c r="I80" t="s">
        <v>213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58</v>
      </c>
      <c r="P80">
        <v>306251</v>
      </c>
      <c r="Q80" t="s">
        <v>75</v>
      </c>
      <c r="R80" t="s">
        <v>76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394</v>
      </c>
      <c r="AD80" t="s">
        <v>41</v>
      </c>
    </row>
    <row r="81" spans="1:30" x14ac:dyDescent="0.3">
      <c r="A81" s="1">
        <v>45572</v>
      </c>
      <c r="B81" t="s">
        <v>55</v>
      </c>
      <c r="C81" t="s">
        <v>56</v>
      </c>
      <c r="D81" t="s">
        <v>31</v>
      </c>
      <c r="E81" t="s">
        <v>43</v>
      </c>
      <c r="F81" t="s">
        <v>32</v>
      </c>
      <c r="G81" t="s">
        <v>33</v>
      </c>
      <c r="H81" t="s">
        <v>57</v>
      </c>
      <c r="I81" t="s">
        <v>213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58</v>
      </c>
      <c r="P81">
        <v>306880</v>
      </c>
      <c r="Q81" t="s">
        <v>59</v>
      </c>
      <c r="R81" t="s">
        <v>37</v>
      </c>
      <c r="S81" t="s">
        <v>38</v>
      </c>
      <c r="T81">
        <v>90</v>
      </c>
      <c r="U81">
        <v>2.5</v>
      </c>
      <c r="V81" s="2">
        <v>0.10416666666666667</v>
      </c>
      <c r="W81">
        <v>225</v>
      </c>
      <c r="AA81" t="s">
        <v>39</v>
      </c>
      <c r="AB81" t="s">
        <v>40</v>
      </c>
      <c r="AC81" t="s">
        <v>424</v>
      </c>
      <c r="AD81" t="s">
        <v>41</v>
      </c>
    </row>
    <row r="82" spans="1:30" x14ac:dyDescent="0.3">
      <c r="A82" s="1">
        <v>45572</v>
      </c>
      <c r="B82" t="s">
        <v>55</v>
      </c>
      <c r="C82" t="s">
        <v>56</v>
      </c>
      <c r="D82" t="s">
        <v>31</v>
      </c>
      <c r="E82" t="s">
        <v>43</v>
      </c>
      <c r="F82" t="s">
        <v>32</v>
      </c>
      <c r="G82" t="s">
        <v>33</v>
      </c>
      <c r="H82" t="s">
        <v>57</v>
      </c>
      <c r="I82" t="s">
        <v>213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58</v>
      </c>
      <c r="P82">
        <v>306879</v>
      </c>
      <c r="Q82" t="s">
        <v>75</v>
      </c>
      <c r="R82" t="s">
        <v>76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389</v>
      </c>
      <c r="AD82" t="s">
        <v>41</v>
      </c>
    </row>
    <row r="83" spans="1:30" x14ac:dyDescent="0.3">
      <c r="A83" s="1">
        <v>45573</v>
      </c>
      <c r="B83" t="s">
        <v>55</v>
      </c>
      <c r="C83" t="s">
        <v>56</v>
      </c>
      <c r="D83" t="s">
        <v>31</v>
      </c>
      <c r="E83" t="s">
        <v>43</v>
      </c>
      <c r="F83" t="s">
        <v>32</v>
      </c>
      <c r="G83" t="s">
        <v>33</v>
      </c>
      <c r="H83" t="s">
        <v>57</v>
      </c>
      <c r="I83" t="s">
        <v>213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58</v>
      </c>
      <c r="P83">
        <v>307378</v>
      </c>
      <c r="Q83" t="s">
        <v>59</v>
      </c>
      <c r="R83" t="s">
        <v>37</v>
      </c>
      <c r="S83" t="s">
        <v>38</v>
      </c>
      <c r="T83">
        <v>90</v>
      </c>
      <c r="U83">
        <v>2.75</v>
      </c>
      <c r="V83" s="2">
        <v>0.11458333333333333</v>
      </c>
      <c r="W83">
        <v>247.5</v>
      </c>
      <c r="AA83" t="s">
        <v>39</v>
      </c>
      <c r="AB83" t="s">
        <v>40</v>
      </c>
      <c r="AC83" t="s">
        <v>396</v>
      </c>
      <c r="AD83" t="s">
        <v>41</v>
      </c>
    </row>
    <row r="84" spans="1:30" x14ac:dyDescent="0.3">
      <c r="A84" s="1">
        <v>45573</v>
      </c>
      <c r="B84" t="s">
        <v>55</v>
      </c>
      <c r="C84" t="s">
        <v>56</v>
      </c>
      <c r="D84" t="s">
        <v>31</v>
      </c>
      <c r="E84" t="s">
        <v>43</v>
      </c>
      <c r="F84" t="s">
        <v>32</v>
      </c>
      <c r="G84" t="s">
        <v>33</v>
      </c>
      <c r="H84" t="s">
        <v>57</v>
      </c>
      <c r="I84" t="s">
        <v>213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58</v>
      </c>
      <c r="P84">
        <v>307379</v>
      </c>
      <c r="Q84" t="s">
        <v>75</v>
      </c>
      <c r="R84" t="s">
        <v>76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394</v>
      </c>
      <c r="AD84" t="s">
        <v>41</v>
      </c>
    </row>
    <row r="85" spans="1:30" x14ac:dyDescent="0.3">
      <c r="A85" s="1">
        <v>45575</v>
      </c>
      <c r="B85" t="s">
        <v>55</v>
      </c>
      <c r="C85" t="s">
        <v>56</v>
      </c>
      <c r="D85" t="s">
        <v>31</v>
      </c>
      <c r="E85" t="s">
        <v>43</v>
      </c>
      <c r="F85" t="s">
        <v>32</v>
      </c>
      <c r="G85" t="s">
        <v>33</v>
      </c>
      <c r="H85" t="s">
        <v>57</v>
      </c>
      <c r="I85" t="s">
        <v>213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58</v>
      </c>
      <c r="P85">
        <v>309337</v>
      </c>
      <c r="Q85" t="s">
        <v>59</v>
      </c>
      <c r="R85" t="s">
        <v>37</v>
      </c>
      <c r="S85" t="s">
        <v>38</v>
      </c>
      <c r="T85">
        <v>90</v>
      </c>
      <c r="U85">
        <v>1.5</v>
      </c>
      <c r="V85" s="2">
        <v>6.25E-2</v>
      </c>
      <c r="W85">
        <v>135</v>
      </c>
      <c r="AA85" t="s">
        <v>39</v>
      </c>
      <c r="AB85" t="s">
        <v>40</v>
      </c>
      <c r="AC85" t="s">
        <v>425</v>
      </c>
      <c r="AD85" t="s">
        <v>41</v>
      </c>
    </row>
    <row r="86" spans="1:30" x14ac:dyDescent="0.3">
      <c r="A86" s="1">
        <v>45575</v>
      </c>
      <c r="B86" t="s">
        <v>55</v>
      </c>
      <c r="C86" t="s">
        <v>56</v>
      </c>
      <c r="D86" t="s">
        <v>31</v>
      </c>
      <c r="E86" t="s">
        <v>43</v>
      </c>
      <c r="F86" t="s">
        <v>32</v>
      </c>
      <c r="G86" t="s">
        <v>33</v>
      </c>
      <c r="H86" t="s">
        <v>57</v>
      </c>
      <c r="I86" t="s">
        <v>213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58</v>
      </c>
      <c r="P86">
        <v>308325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394</v>
      </c>
      <c r="AD86" t="s">
        <v>41</v>
      </c>
    </row>
    <row r="87" spans="1:30" x14ac:dyDescent="0.3">
      <c r="A87" s="1">
        <v>45579</v>
      </c>
      <c r="B87" t="s">
        <v>55</v>
      </c>
      <c r="C87" t="s">
        <v>56</v>
      </c>
      <c r="D87" t="s">
        <v>31</v>
      </c>
      <c r="E87" t="s">
        <v>43</v>
      </c>
      <c r="F87" t="s">
        <v>32</v>
      </c>
      <c r="G87" t="s">
        <v>33</v>
      </c>
      <c r="H87" t="s">
        <v>57</v>
      </c>
      <c r="I87" t="s">
        <v>213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58</v>
      </c>
      <c r="P87">
        <v>309499</v>
      </c>
      <c r="Q87" t="s">
        <v>59</v>
      </c>
      <c r="R87" t="s">
        <v>37</v>
      </c>
      <c r="S87" t="s">
        <v>38</v>
      </c>
      <c r="T87">
        <v>90</v>
      </c>
      <c r="U87">
        <v>4</v>
      </c>
      <c r="V87" s="2">
        <v>0.16666666666666666</v>
      </c>
      <c r="W87">
        <v>360</v>
      </c>
      <c r="AA87" t="s">
        <v>39</v>
      </c>
      <c r="AB87" t="s">
        <v>40</v>
      </c>
      <c r="AC87" t="s">
        <v>426</v>
      </c>
      <c r="AD87" t="s">
        <v>41</v>
      </c>
    </row>
    <row r="88" spans="1:30" x14ac:dyDescent="0.3">
      <c r="A88" s="1">
        <v>45579</v>
      </c>
      <c r="B88" t="s">
        <v>55</v>
      </c>
      <c r="C88" t="s">
        <v>56</v>
      </c>
      <c r="D88" t="s">
        <v>31</v>
      </c>
      <c r="E88" t="s">
        <v>43</v>
      </c>
      <c r="F88" t="s">
        <v>32</v>
      </c>
      <c r="G88" t="s">
        <v>33</v>
      </c>
      <c r="H88" t="s">
        <v>57</v>
      </c>
      <c r="I88" t="s">
        <v>213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58</v>
      </c>
      <c r="P88">
        <v>309500</v>
      </c>
      <c r="Q88" t="s">
        <v>75</v>
      </c>
      <c r="R88" t="s">
        <v>76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394</v>
      </c>
      <c r="AD88" t="s">
        <v>41</v>
      </c>
    </row>
    <row r="89" spans="1:30" x14ac:dyDescent="0.3">
      <c r="A89" s="1">
        <v>45580</v>
      </c>
      <c r="B89" t="s">
        <v>55</v>
      </c>
      <c r="C89" t="s">
        <v>56</v>
      </c>
      <c r="D89" t="s">
        <v>31</v>
      </c>
      <c r="E89" t="s">
        <v>43</v>
      </c>
      <c r="F89" t="s">
        <v>32</v>
      </c>
      <c r="G89" t="s">
        <v>33</v>
      </c>
      <c r="H89" t="s">
        <v>57</v>
      </c>
      <c r="I89" t="s">
        <v>213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58</v>
      </c>
      <c r="P89">
        <v>309958</v>
      </c>
      <c r="Q89" t="s">
        <v>59</v>
      </c>
      <c r="R89" t="s">
        <v>37</v>
      </c>
      <c r="S89" t="s">
        <v>38</v>
      </c>
      <c r="T89">
        <v>90</v>
      </c>
      <c r="U89">
        <v>0.25</v>
      </c>
      <c r="V89" s="2">
        <v>1.0416666666666666E-2</v>
      </c>
      <c r="W89">
        <v>22.5</v>
      </c>
      <c r="AA89" t="s">
        <v>39</v>
      </c>
      <c r="AB89" t="s">
        <v>40</v>
      </c>
      <c r="AC89" t="s">
        <v>427</v>
      </c>
      <c r="AD89" t="s">
        <v>41</v>
      </c>
    </row>
    <row r="90" spans="1:30" x14ac:dyDescent="0.3">
      <c r="A90" s="1">
        <v>45580</v>
      </c>
      <c r="B90" t="s">
        <v>55</v>
      </c>
      <c r="C90" t="s">
        <v>56</v>
      </c>
      <c r="D90" t="s">
        <v>31</v>
      </c>
      <c r="E90" t="s">
        <v>43</v>
      </c>
      <c r="F90" t="s">
        <v>32</v>
      </c>
      <c r="G90" t="s">
        <v>33</v>
      </c>
      <c r="H90" t="s">
        <v>57</v>
      </c>
      <c r="I90" t="s">
        <v>213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58</v>
      </c>
      <c r="P90">
        <v>309957</v>
      </c>
      <c r="Q90" t="s">
        <v>75</v>
      </c>
      <c r="R90" t="s">
        <v>76</v>
      </c>
      <c r="S90" t="s">
        <v>38</v>
      </c>
      <c r="T90">
        <v>0</v>
      </c>
      <c r="U90">
        <v>0.75</v>
      </c>
      <c r="V90" s="2">
        <v>3.125E-2</v>
      </c>
      <c r="W90">
        <v>0</v>
      </c>
      <c r="AA90" t="s">
        <v>39</v>
      </c>
      <c r="AB90" t="s">
        <v>40</v>
      </c>
      <c r="AC90" t="s">
        <v>428</v>
      </c>
      <c r="AD90" t="s">
        <v>41</v>
      </c>
    </row>
    <row r="91" spans="1:30" x14ac:dyDescent="0.3">
      <c r="A91" s="1">
        <v>45581</v>
      </c>
      <c r="B91" t="s">
        <v>55</v>
      </c>
      <c r="C91" t="s">
        <v>56</v>
      </c>
      <c r="D91" t="s">
        <v>31</v>
      </c>
      <c r="E91" t="s">
        <v>43</v>
      </c>
      <c r="F91" t="s">
        <v>32</v>
      </c>
      <c r="G91" t="s">
        <v>33</v>
      </c>
      <c r="H91" t="s">
        <v>57</v>
      </c>
      <c r="I91" t="s">
        <v>213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58</v>
      </c>
      <c r="P91">
        <v>310990</v>
      </c>
      <c r="Q91" t="s">
        <v>75</v>
      </c>
      <c r="R91" t="s">
        <v>76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C91" t="s">
        <v>394</v>
      </c>
      <c r="AD91" t="s">
        <v>41</v>
      </c>
    </row>
    <row r="92" spans="1:30" x14ac:dyDescent="0.3">
      <c r="A92" s="1">
        <v>45586</v>
      </c>
      <c r="B92" t="s">
        <v>55</v>
      </c>
      <c r="C92" t="s">
        <v>56</v>
      </c>
      <c r="D92" t="s">
        <v>31</v>
      </c>
      <c r="E92" t="s">
        <v>43</v>
      </c>
      <c r="F92" t="s">
        <v>32</v>
      </c>
      <c r="G92" t="s">
        <v>33</v>
      </c>
      <c r="H92" t="s">
        <v>57</v>
      </c>
      <c r="I92" t="s">
        <v>213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58</v>
      </c>
      <c r="P92">
        <v>312442</v>
      </c>
      <c r="Q92" t="s">
        <v>75</v>
      </c>
      <c r="R92" t="s">
        <v>76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C92" t="s">
        <v>394</v>
      </c>
      <c r="AD92" t="s">
        <v>41</v>
      </c>
    </row>
    <row r="93" spans="1:30" hidden="1" x14ac:dyDescent="0.3">
      <c r="A93" s="1">
        <v>45378</v>
      </c>
      <c r="B93" t="s">
        <v>370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213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228528</v>
      </c>
      <c r="Q93" t="s">
        <v>75</v>
      </c>
      <c r="R93" t="s">
        <v>76</v>
      </c>
      <c r="S93" t="s">
        <v>38</v>
      </c>
      <c r="T93">
        <v>0</v>
      </c>
      <c r="U93">
        <v>0.5</v>
      </c>
      <c r="V93" s="2">
        <v>2.0833333333333332E-2</v>
      </c>
      <c r="W93">
        <v>0</v>
      </c>
      <c r="AA93" t="s">
        <v>39</v>
      </c>
      <c r="AB93" t="s">
        <v>40</v>
      </c>
      <c r="AC93" t="s">
        <v>77</v>
      </c>
      <c r="AD93" t="s">
        <v>41</v>
      </c>
    </row>
    <row r="94" spans="1:30" hidden="1" x14ac:dyDescent="0.3">
      <c r="A94" s="1">
        <v>45384</v>
      </c>
      <c r="B94" t="s">
        <v>370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213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230412</v>
      </c>
      <c r="Q94" t="s">
        <v>75</v>
      </c>
      <c r="R94" t="s">
        <v>76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78</v>
      </c>
      <c r="AD94" t="s">
        <v>41</v>
      </c>
    </row>
    <row r="95" spans="1:30" hidden="1" x14ac:dyDescent="0.3">
      <c r="A95" s="1">
        <v>45386</v>
      </c>
      <c r="B95" t="s">
        <v>370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213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231490</v>
      </c>
      <c r="Q95" t="s">
        <v>75</v>
      </c>
      <c r="R95" t="s">
        <v>76</v>
      </c>
      <c r="S95" t="s">
        <v>38</v>
      </c>
      <c r="T95">
        <v>0</v>
      </c>
      <c r="U95">
        <v>0.5</v>
      </c>
      <c r="V95" s="2">
        <v>2.0833333333333332E-2</v>
      </c>
      <c r="W95">
        <v>0</v>
      </c>
      <c r="AA95" t="s">
        <v>39</v>
      </c>
      <c r="AB95" t="s">
        <v>40</v>
      </c>
      <c r="AC95" t="s">
        <v>79</v>
      </c>
      <c r="AD95" t="s">
        <v>41</v>
      </c>
    </row>
    <row r="96" spans="1:30" hidden="1" x14ac:dyDescent="0.3">
      <c r="A96" s="1">
        <v>45387</v>
      </c>
      <c r="B96" t="s">
        <v>370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213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231672</v>
      </c>
      <c r="Q96" t="s">
        <v>75</v>
      </c>
      <c r="R96" t="s">
        <v>76</v>
      </c>
      <c r="S96" t="s">
        <v>38</v>
      </c>
      <c r="T96">
        <v>0</v>
      </c>
      <c r="U96">
        <v>0.5</v>
      </c>
      <c r="V96" s="2">
        <v>2.0833333333333332E-2</v>
      </c>
      <c r="W96">
        <v>0</v>
      </c>
      <c r="AA96" t="s">
        <v>39</v>
      </c>
      <c r="AB96" t="s">
        <v>40</v>
      </c>
      <c r="AC96" t="s">
        <v>80</v>
      </c>
      <c r="AD96" t="s">
        <v>41</v>
      </c>
    </row>
    <row r="97" spans="1:30" hidden="1" x14ac:dyDescent="0.3">
      <c r="A97" s="1">
        <v>45390</v>
      </c>
      <c r="B97" t="s">
        <v>370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213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232453</v>
      </c>
      <c r="Q97" t="s">
        <v>75</v>
      </c>
      <c r="R97" t="s">
        <v>76</v>
      </c>
      <c r="S97" t="s">
        <v>38</v>
      </c>
      <c r="T97">
        <v>0</v>
      </c>
      <c r="U97">
        <v>1</v>
      </c>
      <c r="V97" s="2">
        <v>4.1666666666666664E-2</v>
      </c>
      <c r="W97">
        <v>0</v>
      </c>
      <c r="AA97" t="s">
        <v>39</v>
      </c>
      <c r="AB97" t="s">
        <v>40</v>
      </c>
      <c r="AC97" t="s">
        <v>81</v>
      </c>
      <c r="AD97" t="s">
        <v>41</v>
      </c>
    </row>
    <row r="98" spans="1:30" hidden="1" x14ac:dyDescent="0.3">
      <c r="A98" s="1">
        <v>45391</v>
      </c>
      <c r="B98" t="s">
        <v>370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213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233077</v>
      </c>
      <c r="Q98" t="s">
        <v>75</v>
      </c>
      <c r="R98" t="s">
        <v>76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82</v>
      </c>
      <c r="AD98" t="s">
        <v>41</v>
      </c>
    </row>
    <row r="99" spans="1:30" hidden="1" x14ac:dyDescent="0.3">
      <c r="A99" s="1">
        <v>45393</v>
      </c>
      <c r="B99" t="s">
        <v>370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213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234192</v>
      </c>
      <c r="Q99" t="s">
        <v>75</v>
      </c>
      <c r="R99" t="s">
        <v>76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83</v>
      </c>
      <c r="AD99" t="s">
        <v>41</v>
      </c>
    </row>
    <row r="100" spans="1:30" hidden="1" x14ac:dyDescent="0.3">
      <c r="A100" s="1">
        <v>45394</v>
      </c>
      <c r="B100" t="s">
        <v>370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213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234548</v>
      </c>
      <c r="Q100" t="s">
        <v>75</v>
      </c>
      <c r="R100" t="s">
        <v>76</v>
      </c>
      <c r="S100" t="s">
        <v>38</v>
      </c>
      <c r="T100">
        <v>0</v>
      </c>
      <c r="U100">
        <v>1</v>
      </c>
      <c r="V100" s="2">
        <v>4.1666666666666664E-2</v>
      </c>
      <c r="W100">
        <v>0</v>
      </c>
      <c r="AA100" t="s">
        <v>39</v>
      </c>
      <c r="AB100" t="s">
        <v>40</v>
      </c>
      <c r="AC100" t="s">
        <v>84</v>
      </c>
      <c r="AD100" t="s">
        <v>41</v>
      </c>
    </row>
    <row r="101" spans="1:30" hidden="1" x14ac:dyDescent="0.3">
      <c r="A101" s="1">
        <v>45397</v>
      </c>
      <c r="B101" t="s">
        <v>370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213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235384</v>
      </c>
      <c r="Q101" t="s">
        <v>75</v>
      </c>
      <c r="R101" t="s">
        <v>76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145</v>
      </c>
      <c r="AD101" t="s">
        <v>41</v>
      </c>
    </row>
    <row r="102" spans="1:30" hidden="1" x14ac:dyDescent="0.3">
      <c r="A102" s="1">
        <v>45398</v>
      </c>
      <c r="B102" t="s">
        <v>370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213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235864</v>
      </c>
      <c r="Q102" t="s">
        <v>75</v>
      </c>
      <c r="R102" t="s">
        <v>76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146</v>
      </c>
      <c r="AD102" t="s">
        <v>41</v>
      </c>
    </row>
    <row r="103" spans="1:30" hidden="1" x14ac:dyDescent="0.3">
      <c r="A103" s="1">
        <v>45399</v>
      </c>
      <c r="B103" t="s">
        <v>370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213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236594</v>
      </c>
      <c r="Q103" t="s">
        <v>75</v>
      </c>
      <c r="R103" t="s">
        <v>76</v>
      </c>
      <c r="S103" t="s">
        <v>38</v>
      </c>
      <c r="T103">
        <v>0</v>
      </c>
      <c r="U103">
        <v>2</v>
      </c>
      <c r="V103" s="2">
        <v>8.3333333333333329E-2</v>
      </c>
      <c r="W103">
        <v>0</v>
      </c>
      <c r="AA103" t="s">
        <v>39</v>
      </c>
      <c r="AB103" t="s">
        <v>40</v>
      </c>
      <c r="AC103" t="s">
        <v>147</v>
      </c>
      <c r="AD103" t="s">
        <v>41</v>
      </c>
    </row>
    <row r="104" spans="1:30" hidden="1" x14ac:dyDescent="0.3">
      <c r="A104" s="1">
        <v>45401</v>
      </c>
      <c r="B104" t="s">
        <v>370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213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237570</v>
      </c>
      <c r="Q104" t="s">
        <v>75</v>
      </c>
      <c r="R104" t="s">
        <v>76</v>
      </c>
      <c r="S104" t="s">
        <v>38</v>
      </c>
      <c r="T104">
        <v>0</v>
      </c>
      <c r="U104">
        <v>0.5</v>
      </c>
      <c r="V104" s="2">
        <v>2.0833333333333332E-2</v>
      </c>
      <c r="W104">
        <v>0</v>
      </c>
      <c r="AA104" t="s">
        <v>39</v>
      </c>
      <c r="AB104" t="s">
        <v>40</v>
      </c>
      <c r="AC104" t="s">
        <v>148</v>
      </c>
      <c r="AD104" t="s">
        <v>41</v>
      </c>
    </row>
    <row r="105" spans="1:30" hidden="1" x14ac:dyDescent="0.3">
      <c r="A105" s="1">
        <v>45411</v>
      </c>
      <c r="B105" t="s">
        <v>370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213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241549</v>
      </c>
      <c r="Q105" t="s">
        <v>75</v>
      </c>
      <c r="R105" t="s">
        <v>76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145</v>
      </c>
      <c r="AD105" t="s">
        <v>41</v>
      </c>
    </row>
    <row r="106" spans="1:30" hidden="1" x14ac:dyDescent="0.3">
      <c r="A106" s="1">
        <v>45418</v>
      </c>
      <c r="B106" t="s">
        <v>370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213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243733</v>
      </c>
      <c r="Q106" t="s">
        <v>75</v>
      </c>
      <c r="R106" t="s">
        <v>76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145</v>
      </c>
      <c r="AD106" t="s">
        <v>41</v>
      </c>
    </row>
    <row r="107" spans="1:30" hidden="1" x14ac:dyDescent="0.3">
      <c r="A107" s="1">
        <v>45420</v>
      </c>
      <c r="B107" t="s">
        <v>370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213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244453</v>
      </c>
      <c r="Q107" t="s">
        <v>75</v>
      </c>
      <c r="R107" t="s">
        <v>76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217</v>
      </c>
      <c r="AD107" t="s">
        <v>41</v>
      </c>
    </row>
    <row r="108" spans="1:30" hidden="1" x14ac:dyDescent="0.3">
      <c r="A108" s="1">
        <v>45421</v>
      </c>
      <c r="B108" t="s">
        <v>370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213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245372</v>
      </c>
      <c r="Q108" t="s">
        <v>75</v>
      </c>
      <c r="R108" t="s">
        <v>76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218</v>
      </c>
      <c r="AD108" t="s">
        <v>41</v>
      </c>
    </row>
    <row r="109" spans="1:30" hidden="1" x14ac:dyDescent="0.3">
      <c r="A109" s="1">
        <v>45425</v>
      </c>
      <c r="B109" t="s">
        <v>370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213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246667</v>
      </c>
      <c r="Q109" t="s">
        <v>75</v>
      </c>
      <c r="R109" t="s">
        <v>76</v>
      </c>
      <c r="S109" t="s">
        <v>38</v>
      </c>
      <c r="T109">
        <v>0</v>
      </c>
      <c r="U109">
        <v>0.5</v>
      </c>
      <c r="V109" s="2">
        <v>2.0833333333333332E-2</v>
      </c>
      <c r="W109">
        <v>0</v>
      </c>
      <c r="AA109" t="s">
        <v>39</v>
      </c>
      <c r="AB109" t="s">
        <v>40</v>
      </c>
      <c r="AC109" t="s">
        <v>243</v>
      </c>
      <c r="AD109" t="s">
        <v>41</v>
      </c>
    </row>
    <row r="110" spans="1:30" hidden="1" x14ac:dyDescent="0.3">
      <c r="A110" s="1">
        <v>45426</v>
      </c>
      <c r="B110" t="s">
        <v>370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213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246843</v>
      </c>
      <c r="Q110" t="s">
        <v>75</v>
      </c>
      <c r="R110" t="s">
        <v>76</v>
      </c>
      <c r="S110" t="s">
        <v>38</v>
      </c>
      <c r="T110">
        <v>0</v>
      </c>
      <c r="U110">
        <v>0.5</v>
      </c>
      <c r="V110" s="2">
        <v>2.0833333333333332E-2</v>
      </c>
      <c r="W110">
        <v>0</v>
      </c>
      <c r="AA110" t="s">
        <v>39</v>
      </c>
      <c r="AB110" t="s">
        <v>40</v>
      </c>
      <c r="AC110" t="s">
        <v>244</v>
      </c>
      <c r="AD110" t="s">
        <v>41</v>
      </c>
    </row>
    <row r="111" spans="1:30" hidden="1" x14ac:dyDescent="0.3">
      <c r="A111" s="1">
        <v>45427</v>
      </c>
      <c r="B111" t="s">
        <v>370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213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247740</v>
      </c>
      <c r="Q111" t="s">
        <v>75</v>
      </c>
      <c r="R111" t="s">
        <v>76</v>
      </c>
      <c r="S111" t="s">
        <v>38</v>
      </c>
      <c r="T111">
        <v>0</v>
      </c>
      <c r="U111">
        <v>1.25</v>
      </c>
      <c r="V111" s="2">
        <v>5.2083333333333336E-2</v>
      </c>
      <c r="W111">
        <v>0</v>
      </c>
      <c r="AA111" t="s">
        <v>39</v>
      </c>
      <c r="AB111" t="s">
        <v>40</v>
      </c>
      <c r="AC111" t="s">
        <v>263</v>
      </c>
      <c r="AD111" t="s">
        <v>41</v>
      </c>
    </row>
    <row r="112" spans="1:30" hidden="1" x14ac:dyDescent="0.3">
      <c r="A112" s="1">
        <v>45428</v>
      </c>
      <c r="B112" t="s">
        <v>370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213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248362</v>
      </c>
      <c r="Q112" t="s">
        <v>75</v>
      </c>
      <c r="R112" t="s">
        <v>76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244</v>
      </c>
      <c r="AD112" t="s">
        <v>41</v>
      </c>
    </row>
    <row r="113" spans="1:30" hidden="1" x14ac:dyDescent="0.3">
      <c r="A113" s="1">
        <v>45429</v>
      </c>
      <c r="B113" t="s">
        <v>370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213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248511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244</v>
      </c>
      <c r="AD113" t="s">
        <v>41</v>
      </c>
    </row>
    <row r="114" spans="1:30" hidden="1" x14ac:dyDescent="0.3">
      <c r="A114" s="1">
        <v>45432</v>
      </c>
      <c r="B114" t="s">
        <v>370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213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249395</v>
      </c>
      <c r="Q114" t="s">
        <v>75</v>
      </c>
      <c r="R114" t="s">
        <v>76</v>
      </c>
      <c r="S114" t="s">
        <v>38</v>
      </c>
      <c r="T114">
        <v>0</v>
      </c>
      <c r="U114">
        <v>0.5</v>
      </c>
      <c r="V114" s="2">
        <v>2.0833333333333332E-2</v>
      </c>
      <c r="W114">
        <v>0</v>
      </c>
      <c r="AA114" t="s">
        <v>39</v>
      </c>
      <c r="AB114" t="s">
        <v>40</v>
      </c>
      <c r="AC114" t="s">
        <v>275</v>
      </c>
      <c r="AD114" t="s">
        <v>41</v>
      </c>
    </row>
    <row r="115" spans="1:30" hidden="1" x14ac:dyDescent="0.3">
      <c r="A115" s="1">
        <v>45433</v>
      </c>
      <c r="B115" t="s">
        <v>370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213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249820</v>
      </c>
      <c r="Q115" t="s">
        <v>75</v>
      </c>
      <c r="R115" t="s">
        <v>76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244</v>
      </c>
      <c r="AD115" t="s">
        <v>41</v>
      </c>
    </row>
    <row r="116" spans="1:30" hidden="1" x14ac:dyDescent="0.3">
      <c r="A116" s="1">
        <v>45434</v>
      </c>
      <c r="B116" t="s">
        <v>370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213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250320</v>
      </c>
      <c r="Q116" t="s">
        <v>75</v>
      </c>
      <c r="R116" t="s">
        <v>76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244</v>
      </c>
      <c r="AD116" t="s">
        <v>41</v>
      </c>
    </row>
    <row r="117" spans="1:30" hidden="1" x14ac:dyDescent="0.3">
      <c r="A117" s="1">
        <v>45435</v>
      </c>
      <c r="B117" t="s">
        <v>370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213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250867</v>
      </c>
      <c r="Q117" t="s">
        <v>75</v>
      </c>
      <c r="R117" t="s">
        <v>76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244</v>
      </c>
      <c r="AD117" t="s">
        <v>41</v>
      </c>
    </row>
    <row r="118" spans="1:30" hidden="1" x14ac:dyDescent="0.3">
      <c r="A118" s="1">
        <v>45439</v>
      </c>
      <c r="B118" t="s">
        <v>370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213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251812</v>
      </c>
      <c r="Q118" t="s">
        <v>75</v>
      </c>
      <c r="R118" t="s">
        <v>76</v>
      </c>
      <c r="S118" t="s">
        <v>38</v>
      </c>
      <c r="T118">
        <v>0</v>
      </c>
      <c r="U118">
        <v>0.75</v>
      </c>
      <c r="V118" s="2">
        <v>3.125E-2</v>
      </c>
      <c r="W118">
        <v>0</v>
      </c>
      <c r="AA118" t="s">
        <v>39</v>
      </c>
      <c r="AB118" t="s">
        <v>40</v>
      </c>
      <c r="AC118" t="s">
        <v>429</v>
      </c>
      <c r="AD118" t="s">
        <v>41</v>
      </c>
    </row>
    <row r="119" spans="1:30" hidden="1" x14ac:dyDescent="0.3">
      <c r="A119" s="1">
        <v>45440</v>
      </c>
      <c r="B119" t="s">
        <v>370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213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252338</v>
      </c>
      <c r="Q119" t="s">
        <v>75</v>
      </c>
      <c r="R119" t="s">
        <v>76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244</v>
      </c>
      <c r="AD119" t="s">
        <v>41</v>
      </c>
    </row>
    <row r="120" spans="1:30" hidden="1" x14ac:dyDescent="0.3">
      <c r="A120" s="1">
        <v>45442</v>
      </c>
      <c r="B120" t="s">
        <v>370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213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253211</v>
      </c>
      <c r="Q120" t="s">
        <v>75</v>
      </c>
      <c r="R120" t="s">
        <v>76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244</v>
      </c>
      <c r="AD120" t="s">
        <v>41</v>
      </c>
    </row>
    <row r="121" spans="1:30" hidden="1" x14ac:dyDescent="0.3">
      <c r="A121" s="1">
        <v>45443</v>
      </c>
      <c r="B121" t="s">
        <v>370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213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253618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244</v>
      </c>
      <c r="AD121" t="s">
        <v>41</v>
      </c>
    </row>
    <row r="122" spans="1:30" hidden="1" x14ac:dyDescent="0.3">
      <c r="A122" s="1">
        <v>45447</v>
      </c>
      <c r="B122" t="s">
        <v>370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213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255151</v>
      </c>
      <c r="Q122" t="s">
        <v>75</v>
      </c>
      <c r="R122" t="s">
        <v>76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283</v>
      </c>
      <c r="AD122" t="s">
        <v>41</v>
      </c>
    </row>
    <row r="123" spans="1:30" hidden="1" x14ac:dyDescent="0.3">
      <c r="A123" s="1">
        <v>45450</v>
      </c>
      <c r="B123" t="s">
        <v>370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213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256433</v>
      </c>
      <c r="Q123" t="s">
        <v>75</v>
      </c>
      <c r="R123" t="s">
        <v>76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244</v>
      </c>
      <c r="AD123" t="s">
        <v>41</v>
      </c>
    </row>
    <row r="124" spans="1:30" hidden="1" x14ac:dyDescent="0.3">
      <c r="A124" s="1">
        <v>45453</v>
      </c>
      <c r="B124" t="s">
        <v>370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213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257332</v>
      </c>
      <c r="Q124" t="s">
        <v>75</v>
      </c>
      <c r="R124" t="s">
        <v>76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145</v>
      </c>
      <c r="AD124" t="s">
        <v>41</v>
      </c>
    </row>
    <row r="125" spans="1:30" hidden="1" x14ac:dyDescent="0.3">
      <c r="A125" s="1">
        <v>45454</v>
      </c>
      <c r="B125" t="s">
        <v>370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213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258074</v>
      </c>
      <c r="Q125" t="s">
        <v>75</v>
      </c>
      <c r="R125" t="s">
        <v>76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244</v>
      </c>
      <c r="AD125" t="s">
        <v>41</v>
      </c>
    </row>
    <row r="126" spans="1:30" hidden="1" x14ac:dyDescent="0.3">
      <c r="A126" s="1">
        <v>45455</v>
      </c>
      <c r="B126" t="s">
        <v>370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213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258104</v>
      </c>
      <c r="Q126" t="s">
        <v>75</v>
      </c>
      <c r="R126" t="s">
        <v>76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244</v>
      </c>
      <c r="AD126" t="s">
        <v>41</v>
      </c>
    </row>
    <row r="127" spans="1:30" hidden="1" x14ac:dyDescent="0.3">
      <c r="A127" s="1">
        <v>45456</v>
      </c>
      <c r="B127" t="s">
        <v>370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213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258639</v>
      </c>
      <c r="Q127" t="s">
        <v>75</v>
      </c>
      <c r="R127" t="s">
        <v>76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244</v>
      </c>
      <c r="AD127" t="s">
        <v>41</v>
      </c>
    </row>
    <row r="128" spans="1:30" hidden="1" x14ac:dyDescent="0.3">
      <c r="A128" s="1">
        <v>45461</v>
      </c>
      <c r="B128" t="s">
        <v>370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213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260422</v>
      </c>
      <c r="Q128" t="s">
        <v>75</v>
      </c>
      <c r="R128" t="s">
        <v>76</v>
      </c>
      <c r="S128" t="s">
        <v>38</v>
      </c>
      <c r="T128">
        <v>0</v>
      </c>
      <c r="U128">
        <v>0.5</v>
      </c>
      <c r="V128" s="2">
        <v>2.0833333333333332E-2</v>
      </c>
      <c r="W128">
        <v>0</v>
      </c>
      <c r="AA128" t="s">
        <v>39</v>
      </c>
      <c r="AB128" t="s">
        <v>40</v>
      </c>
      <c r="AC128" t="s">
        <v>263</v>
      </c>
      <c r="AD128" t="s">
        <v>41</v>
      </c>
    </row>
    <row r="129" spans="1:30" hidden="1" x14ac:dyDescent="0.3">
      <c r="A129" s="1">
        <v>45462</v>
      </c>
      <c r="B129" t="s">
        <v>370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213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260557</v>
      </c>
      <c r="Q129" t="s">
        <v>75</v>
      </c>
      <c r="R129" t="s">
        <v>76</v>
      </c>
      <c r="S129" t="s">
        <v>38</v>
      </c>
      <c r="T129">
        <v>0</v>
      </c>
      <c r="U129">
        <v>0.5</v>
      </c>
      <c r="V129" s="2">
        <v>2.0833333333333332E-2</v>
      </c>
      <c r="W129">
        <v>0</v>
      </c>
      <c r="AA129" t="s">
        <v>39</v>
      </c>
      <c r="AB129" t="s">
        <v>40</v>
      </c>
      <c r="AC129" t="s">
        <v>299</v>
      </c>
      <c r="AD129" t="s">
        <v>41</v>
      </c>
    </row>
    <row r="130" spans="1:30" hidden="1" x14ac:dyDescent="0.3">
      <c r="A130" s="1">
        <v>45463</v>
      </c>
      <c r="B130" t="s">
        <v>370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213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261278</v>
      </c>
      <c r="Q130" t="s">
        <v>75</v>
      </c>
      <c r="R130" t="s">
        <v>76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300</v>
      </c>
      <c r="AD130" t="s">
        <v>41</v>
      </c>
    </row>
    <row r="131" spans="1:30" hidden="1" x14ac:dyDescent="0.3">
      <c r="A131" s="1">
        <v>45467</v>
      </c>
      <c r="B131" t="s">
        <v>370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213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262521</v>
      </c>
      <c r="Q131" t="s">
        <v>75</v>
      </c>
      <c r="R131" t="s">
        <v>76</v>
      </c>
      <c r="S131" t="s">
        <v>38</v>
      </c>
      <c r="T131">
        <v>0</v>
      </c>
      <c r="U131">
        <v>0.25</v>
      </c>
      <c r="V131" s="2">
        <v>1.0416666666666666E-2</v>
      </c>
      <c r="W131">
        <v>0</v>
      </c>
      <c r="AA131" t="s">
        <v>39</v>
      </c>
      <c r="AB131" t="s">
        <v>40</v>
      </c>
      <c r="AC131" t="s">
        <v>300</v>
      </c>
      <c r="AD131" t="s">
        <v>41</v>
      </c>
    </row>
    <row r="132" spans="1:30" hidden="1" x14ac:dyDescent="0.3">
      <c r="A132" s="1">
        <v>45468</v>
      </c>
      <c r="B132" t="s">
        <v>370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213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262927</v>
      </c>
      <c r="Q132" t="s">
        <v>75</v>
      </c>
      <c r="R132" t="s">
        <v>76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B132" t="s">
        <v>40</v>
      </c>
      <c r="AC132" t="s">
        <v>308</v>
      </c>
      <c r="AD132" t="s">
        <v>41</v>
      </c>
    </row>
    <row r="133" spans="1:30" hidden="1" x14ac:dyDescent="0.3">
      <c r="A133" s="1">
        <v>45469</v>
      </c>
      <c r="B133" t="s">
        <v>370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213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263378</v>
      </c>
      <c r="Q133" t="s">
        <v>75</v>
      </c>
      <c r="R133" t="s">
        <v>76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300</v>
      </c>
      <c r="AD133" t="s">
        <v>41</v>
      </c>
    </row>
    <row r="134" spans="1:30" hidden="1" x14ac:dyDescent="0.3">
      <c r="A134" s="1">
        <v>45470</v>
      </c>
      <c r="B134" t="s">
        <v>370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213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263933</v>
      </c>
      <c r="Q134" t="s">
        <v>75</v>
      </c>
      <c r="R134" t="s">
        <v>76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244</v>
      </c>
      <c r="AD134" t="s">
        <v>41</v>
      </c>
    </row>
    <row r="135" spans="1:30" hidden="1" x14ac:dyDescent="0.3">
      <c r="A135" s="1">
        <v>45471</v>
      </c>
      <c r="B135" t="s">
        <v>370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213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264673</v>
      </c>
      <c r="Q135" t="s">
        <v>75</v>
      </c>
      <c r="R135" t="s">
        <v>76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B135" t="s">
        <v>40</v>
      </c>
      <c r="AC135" t="s">
        <v>309</v>
      </c>
      <c r="AD135" t="s">
        <v>41</v>
      </c>
    </row>
    <row r="136" spans="1:30" hidden="1" x14ac:dyDescent="0.3">
      <c r="A136" s="1">
        <v>45474</v>
      </c>
      <c r="B136" t="s">
        <v>370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213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266043</v>
      </c>
      <c r="Q136" t="s">
        <v>75</v>
      </c>
      <c r="R136" t="s">
        <v>76</v>
      </c>
      <c r="S136" t="s">
        <v>38</v>
      </c>
      <c r="T136">
        <v>0</v>
      </c>
      <c r="U136">
        <v>0.5</v>
      </c>
      <c r="V136" s="2">
        <v>2.0833333333333332E-2</v>
      </c>
      <c r="W136">
        <v>0</v>
      </c>
      <c r="AA136" t="s">
        <v>39</v>
      </c>
      <c r="AB136" t="s">
        <v>40</v>
      </c>
      <c r="AC136" t="s">
        <v>310</v>
      </c>
      <c r="AD136" t="s">
        <v>41</v>
      </c>
    </row>
    <row r="137" spans="1:30" hidden="1" x14ac:dyDescent="0.3">
      <c r="A137" s="1">
        <v>45475</v>
      </c>
      <c r="B137" t="s">
        <v>370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213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266440</v>
      </c>
      <c r="Q137" t="s">
        <v>75</v>
      </c>
      <c r="R137" t="s">
        <v>76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244</v>
      </c>
      <c r="AD137" t="s">
        <v>41</v>
      </c>
    </row>
    <row r="138" spans="1:30" hidden="1" x14ac:dyDescent="0.3">
      <c r="A138" s="1">
        <v>45476</v>
      </c>
      <c r="B138" t="s">
        <v>370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213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266586</v>
      </c>
      <c r="Q138" t="s">
        <v>75</v>
      </c>
      <c r="R138" t="s">
        <v>76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300</v>
      </c>
      <c r="AD138" t="s">
        <v>41</v>
      </c>
    </row>
    <row r="139" spans="1:30" hidden="1" x14ac:dyDescent="0.3">
      <c r="A139" s="1">
        <v>45477</v>
      </c>
      <c r="B139" t="s">
        <v>370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213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267061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244</v>
      </c>
      <c r="AD139" t="s">
        <v>41</v>
      </c>
    </row>
    <row r="140" spans="1:30" hidden="1" x14ac:dyDescent="0.3">
      <c r="A140" s="1">
        <v>45478</v>
      </c>
      <c r="B140" t="s">
        <v>370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213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267549</v>
      </c>
      <c r="Q140" t="s">
        <v>75</v>
      </c>
      <c r="R140" t="s">
        <v>76</v>
      </c>
      <c r="S140" t="s">
        <v>38</v>
      </c>
      <c r="T140">
        <v>0</v>
      </c>
      <c r="U140">
        <v>0.25</v>
      </c>
      <c r="V140" s="2">
        <v>1.0416666666666666E-2</v>
      </c>
      <c r="W140">
        <v>0</v>
      </c>
      <c r="AA140" t="s">
        <v>39</v>
      </c>
      <c r="AB140" t="s">
        <v>40</v>
      </c>
      <c r="AC140" t="s">
        <v>300</v>
      </c>
      <c r="AD140" t="s">
        <v>41</v>
      </c>
    </row>
    <row r="141" spans="1:30" hidden="1" x14ac:dyDescent="0.3">
      <c r="A141" s="1">
        <v>45481</v>
      </c>
      <c r="B141" t="s">
        <v>370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213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268400</v>
      </c>
      <c r="Q141" t="s">
        <v>75</v>
      </c>
      <c r="R141" t="s">
        <v>76</v>
      </c>
      <c r="S141" t="s">
        <v>38</v>
      </c>
      <c r="T141">
        <v>0</v>
      </c>
      <c r="U141">
        <v>0.5</v>
      </c>
      <c r="V141" s="2">
        <v>2.0833333333333332E-2</v>
      </c>
      <c r="W141">
        <v>0</v>
      </c>
      <c r="AA141" t="s">
        <v>39</v>
      </c>
      <c r="AB141" t="s">
        <v>40</v>
      </c>
      <c r="AC141" t="s">
        <v>327</v>
      </c>
      <c r="AD141" t="s">
        <v>41</v>
      </c>
    </row>
    <row r="142" spans="1:30" hidden="1" x14ac:dyDescent="0.3">
      <c r="A142" s="1">
        <v>45482</v>
      </c>
      <c r="B142" t="s">
        <v>370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213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268959</v>
      </c>
      <c r="Q142" t="s">
        <v>75</v>
      </c>
      <c r="R142" t="s">
        <v>76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300</v>
      </c>
      <c r="AD142" t="s">
        <v>41</v>
      </c>
    </row>
    <row r="143" spans="1:30" hidden="1" x14ac:dyDescent="0.3">
      <c r="A143" s="1">
        <v>45484</v>
      </c>
      <c r="B143" t="s">
        <v>370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213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269953</v>
      </c>
      <c r="Q143" t="s">
        <v>75</v>
      </c>
      <c r="R143" t="s">
        <v>76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68</v>
      </c>
      <c r="AD143" t="s">
        <v>41</v>
      </c>
    </row>
    <row r="144" spans="1:30" hidden="1" x14ac:dyDescent="0.3">
      <c r="A144" s="1">
        <v>45488</v>
      </c>
      <c r="B144" t="s">
        <v>370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213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271335</v>
      </c>
      <c r="Q144" t="s">
        <v>75</v>
      </c>
      <c r="R144" t="s">
        <v>76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331</v>
      </c>
      <c r="AD144" t="s">
        <v>41</v>
      </c>
    </row>
    <row r="145" spans="1:30" hidden="1" x14ac:dyDescent="0.3">
      <c r="A145" s="1">
        <v>45489</v>
      </c>
      <c r="B145" t="s">
        <v>370</v>
      </c>
      <c r="C145" t="s">
        <v>30</v>
      </c>
      <c r="D145" t="s">
        <v>31</v>
      </c>
      <c r="E145" t="s">
        <v>74</v>
      </c>
      <c r="F145" t="s">
        <v>32</v>
      </c>
      <c r="G145" t="s">
        <v>33</v>
      </c>
      <c r="H145" t="s">
        <v>57</v>
      </c>
      <c r="I145" t="s">
        <v>213</v>
      </c>
      <c r="J145" t="s">
        <v>34</v>
      </c>
      <c r="K145" t="s">
        <v>31</v>
      </c>
      <c r="L145" t="s">
        <v>35</v>
      </c>
      <c r="M145" t="s">
        <v>36</v>
      </c>
      <c r="N145" t="s">
        <v>68</v>
      </c>
      <c r="O145" t="s">
        <v>58</v>
      </c>
      <c r="P145">
        <v>272037</v>
      </c>
      <c r="Q145" t="s">
        <v>75</v>
      </c>
      <c r="R145" t="s">
        <v>76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B145" t="s">
        <v>40</v>
      </c>
      <c r="AC145" t="s">
        <v>300</v>
      </c>
      <c r="AD145" t="s">
        <v>41</v>
      </c>
    </row>
    <row r="146" spans="1:30" hidden="1" x14ac:dyDescent="0.3">
      <c r="A146" s="1">
        <v>45490</v>
      </c>
      <c r="B146" t="s">
        <v>370</v>
      </c>
      <c r="C146" t="s">
        <v>30</v>
      </c>
      <c r="D146" t="s">
        <v>31</v>
      </c>
      <c r="E146" t="s">
        <v>74</v>
      </c>
      <c r="F146" t="s">
        <v>32</v>
      </c>
      <c r="G146" t="s">
        <v>33</v>
      </c>
      <c r="H146" t="s">
        <v>57</v>
      </c>
      <c r="I146" t="s">
        <v>213</v>
      </c>
      <c r="J146" t="s">
        <v>34</v>
      </c>
      <c r="K146" t="s">
        <v>31</v>
      </c>
      <c r="L146" t="s">
        <v>35</v>
      </c>
      <c r="M146" t="s">
        <v>36</v>
      </c>
      <c r="N146" t="s">
        <v>68</v>
      </c>
      <c r="O146" t="s">
        <v>58</v>
      </c>
      <c r="P146">
        <v>272342</v>
      </c>
      <c r="Q146" t="s">
        <v>75</v>
      </c>
      <c r="R146" t="s">
        <v>76</v>
      </c>
      <c r="S146" t="s">
        <v>38</v>
      </c>
      <c r="T146">
        <v>0</v>
      </c>
      <c r="U146">
        <v>0.25</v>
      </c>
      <c r="V146" s="2">
        <v>1.0416666666666666E-2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45491</v>
      </c>
      <c r="B147" t="s">
        <v>370</v>
      </c>
      <c r="C147" t="s">
        <v>30</v>
      </c>
      <c r="D147" t="s">
        <v>31</v>
      </c>
      <c r="E147" t="s">
        <v>74</v>
      </c>
      <c r="F147" t="s">
        <v>32</v>
      </c>
      <c r="G147" t="s">
        <v>33</v>
      </c>
      <c r="H147" t="s">
        <v>57</v>
      </c>
      <c r="I147" t="s">
        <v>213</v>
      </c>
      <c r="J147" t="s">
        <v>34</v>
      </c>
      <c r="K147" t="s">
        <v>31</v>
      </c>
      <c r="L147" t="s">
        <v>35</v>
      </c>
      <c r="M147" t="s">
        <v>36</v>
      </c>
      <c r="N147" t="s">
        <v>68</v>
      </c>
      <c r="O147" t="s">
        <v>58</v>
      </c>
      <c r="P147">
        <v>272908</v>
      </c>
      <c r="Q147" t="s">
        <v>75</v>
      </c>
      <c r="R147" t="s">
        <v>76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68</v>
      </c>
      <c r="AD147" t="s">
        <v>41</v>
      </c>
    </row>
    <row r="148" spans="1:30" hidden="1" x14ac:dyDescent="0.3">
      <c r="A148" s="1">
        <v>45495</v>
      </c>
      <c r="B148" t="s">
        <v>370</v>
      </c>
      <c r="C148" t="s">
        <v>30</v>
      </c>
      <c r="D148" t="s">
        <v>31</v>
      </c>
      <c r="E148" t="s">
        <v>74</v>
      </c>
      <c r="F148" t="s">
        <v>32</v>
      </c>
      <c r="G148" t="s">
        <v>33</v>
      </c>
      <c r="H148" t="s">
        <v>57</v>
      </c>
      <c r="I148" t="s">
        <v>213</v>
      </c>
      <c r="J148" t="s">
        <v>34</v>
      </c>
      <c r="K148" t="s">
        <v>31</v>
      </c>
      <c r="L148" t="s">
        <v>35</v>
      </c>
      <c r="M148" t="s">
        <v>36</v>
      </c>
      <c r="N148" t="s">
        <v>68</v>
      </c>
      <c r="O148" t="s">
        <v>58</v>
      </c>
      <c r="P148">
        <v>274558</v>
      </c>
      <c r="Q148" t="s">
        <v>75</v>
      </c>
      <c r="R148" t="s">
        <v>76</v>
      </c>
      <c r="S148" t="s">
        <v>38</v>
      </c>
      <c r="T148">
        <v>0</v>
      </c>
      <c r="U148">
        <v>0.5</v>
      </c>
      <c r="V148" s="2">
        <v>2.0833333333333332E-2</v>
      </c>
      <c r="W148">
        <v>0</v>
      </c>
      <c r="AA148" t="s">
        <v>39</v>
      </c>
      <c r="AB148" t="s">
        <v>40</v>
      </c>
      <c r="AC148" t="s">
        <v>263</v>
      </c>
      <c r="AD148" t="s">
        <v>41</v>
      </c>
    </row>
    <row r="149" spans="1:30" hidden="1" x14ac:dyDescent="0.3">
      <c r="A149" s="1">
        <v>45496</v>
      </c>
      <c r="B149" t="s">
        <v>370</v>
      </c>
      <c r="C149" t="s">
        <v>30</v>
      </c>
      <c r="D149" t="s">
        <v>31</v>
      </c>
      <c r="E149" t="s">
        <v>74</v>
      </c>
      <c r="F149" t="s">
        <v>32</v>
      </c>
      <c r="G149" t="s">
        <v>33</v>
      </c>
      <c r="H149" t="s">
        <v>57</v>
      </c>
      <c r="I149" t="s">
        <v>213</v>
      </c>
      <c r="J149" t="s">
        <v>34</v>
      </c>
      <c r="K149" t="s">
        <v>31</v>
      </c>
      <c r="L149" t="s">
        <v>35</v>
      </c>
      <c r="M149" t="s">
        <v>36</v>
      </c>
      <c r="N149" t="s">
        <v>68</v>
      </c>
      <c r="O149" t="s">
        <v>58</v>
      </c>
      <c r="P149">
        <v>275230</v>
      </c>
      <c r="Q149" t="s">
        <v>75</v>
      </c>
      <c r="R149" t="s">
        <v>76</v>
      </c>
      <c r="S149" t="s">
        <v>38</v>
      </c>
      <c r="T149">
        <v>0</v>
      </c>
      <c r="U149">
        <v>1</v>
      </c>
      <c r="V149" s="2">
        <v>4.1666666666666664E-2</v>
      </c>
      <c r="W149">
        <v>0</v>
      </c>
      <c r="AA149" t="s">
        <v>39</v>
      </c>
      <c r="AB149" t="s">
        <v>40</v>
      </c>
      <c r="AC149" t="s">
        <v>430</v>
      </c>
      <c r="AD149" t="s">
        <v>41</v>
      </c>
    </row>
    <row r="150" spans="1:30" hidden="1" x14ac:dyDescent="0.3">
      <c r="A150" s="1">
        <v>45497</v>
      </c>
      <c r="B150" t="s">
        <v>370</v>
      </c>
      <c r="C150" t="s">
        <v>30</v>
      </c>
      <c r="D150" t="s">
        <v>31</v>
      </c>
      <c r="E150" t="s">
        <v>74</v>
      </c>
      <c r="F150" t="s">
        <v>32</v>
      </c>
      <c r="G150" t="s">
        <v>33</v>
      </c>
      <c r="H150" t="s">
        <v>57</v>
      </c>
      <c r="I150" t="s">
        <v>213</v>
      </c>
      <c r="J150" t="s">
        <v>34</v>
      </c>
      <c r="K150" t="s">
        <v>31</v>
      </c>
      <c r="L150" t="s">
        <v>35</v>
      </c>
      <c r="M150" t="s">
        <v>36</v>
      </c>
      <c r="N150" t="s">
        <v>68</v>
      </c>
      <c r="O150" t="s">
        <v>58</v>
      </c>
      <c r="P150">
        <v>275581</v>
      </c>
      <c r="Q150" t="s">
        <v>75</v>
      </c>
      <c r="R150" t="s">
        <v>76</v>
      </c>
      <c r="S150" t="s">
        <v>38</v>
      </c>
      <c r="T150">
        <v>0</v>
      </c>
      <c r="U150">
        <v>0.75</v>
      </c>
      <c r="V150" s="2">
        <v>3.125E-2</v>
      </c>
      <c r="W150">
        <v>0</v>
      </c>
      <c r="AA150" t="s">
        <v>39</v>
      </c>
      <c r="AB150" t="s">
        <v>40</v>
      </c>
      <c r="AC150" t="s">
        <v>431</v>
      </c>
      <c r="AD150" t="s">
        <v>41</v>
      </c>
    </row>
    <row r="151" spans="1:30" hidden="1" x14ac:dyDescent="0.3">
      <c r="A151" s="1">
        <v>45498</v>
      </c>
      <c r="B151" t="s">
        <v>370</v>
      </c>
      <c r="C151" t="s">
        <v>30</v>
      </c>
      <c r="D151" t="s">
        <v>31</v>
      </c>
      <c r="E151" t="s">
        <v>74</v>
      </c>
      <c r="F151" t="s">
        <v>32</v>
      </c>
      <c r="G151" t="s">
        <v>33</v>
      </c>
      <c r="H151" t="s">
        <v>57</v>
      </c>
      <c r="I151" t="s">
        <v>213</v>
      </c>
      <c r="J151" t="s">
        <v>34</v>
      </c>
      <c r="K151" t="s">
        <v>31</v>
      </c>
      <c r="L151" t="s">
        <v>35</v>
      </c>
      <c r="M151" t="s">
        <v>36</v>
      </c>
      <c r="N151" t="s">
        <v>68</v>
      </c>
      <c r="O151" t="s">
        <v>58</v>
      </c>
      <c r="P151">
        <v>276415</v>
      </c>
      <c r="Q151" t="s">
        <v>75</v>
      </c>
      <c r="R151" t="s">
        <v>76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68</v>
      </c>
      <c r="AD151" t="s">
        <v>41</v>
      </c>
    </row>
    <row r="152" spans="1:30" hidden="1" x14ac:dyDescent="0.3">
      <c r="A152" s="1">
        <v>45502</v>
      </c>
      <c r="B152" t="s">
        <v>370</v>
      </c>
      <c r="C152" t="s">
        <v>30</v>
      </c>
      <c r="D152" t="s">
        <v>31</v>
      </c>
      <c r="E152" t="s">
        <v>74</v>
      </c>
      <c r="F152" t="s">
        <v>32</v>
      </c>
      <c r="G152" t="s">
        <v>33</v>
      </c>
      <c r="H152" t="s">
        <v>57</v>
      </c>
      <c r="I152" t="s">
        <v>213</v>
      </c>
      <c r="J152" t="s">
        <v>34</v>
      </c>
      <c r="K152" t="s">
        <v>31</v>
      </c>
      <c r="L152" t="s">
        <v>35</v>
      </c>
      <c r="M152" t="s">
        <v>36</v>
      </c>
      <c r="N152" t="s">
        <v>68</v>
      </c>
      <c r="O152" t="s">
        <v>58</v>
      </c>
      <c r="P152">
        <v>277809</v>
      </c>
      <c r="Q152" t="s">
        <v>75</v>
      </c>
      <c r="R152" t="s">
        <v>76</v>
      </c>
      <c r="S152" t="s">
        <v>38</v>
      </c>
      <c r="T152">
        <v>0</v>
      </c>
      <c r="U152">
        <v>0.5</v>
      </c>
      <c r="V152" s="2">
        <v>2.0833333333333332E-2</v>
      </c>
      <c r="W152">
        <v>0</v>
      </c>
      <c r="AA152" t="s">
        <v>39</v>
      </c>
      <c r="AB152" t="s">
        <v>40</v>
      </c>
      <c r="AC152" t="s">
        <v>340</v>
      </c>
      <c r="AD152" t="s">
        <v>41</v>
      </c>
    </row>
    <row r="153" spans="1:30" hidden="1" x14ac:dyDescent="0.3">
      <c r="A153" s="1">
        <v>45503</v>
      </c>
      <c r="B153" t="s">
        <v>370</v>
      </c>
      <c r="C153" t="s">
        <v>30</v>
      </c>
      <c r="D153" t="s">
        <v>31</v>
      </c>
      <c r="E153" t="s">
        <v>74</v>
      </c>
      <c r="F153" t="s">
        <v>32</v>
      </c>
      <c r="G153" t="s">
        <v>33</v>
      </c>
      <c r="H153" t="s">
        <v>57</v>
      </c>
      <c r="I153" t="s">
        <v>213</v>
      </c>
      <c r="J153" t="s">
        <v>34</v>
      </c>
      <c r="K153" t="s">
        <v>31</v>
      </c>
      <c r="L153" t="s">
        <v>35</v>
      </c>
      <c r="M153" t="s">
        <v>36</v>
      </c>
      <c r="N153" t="s">
        <v>68</v>
      </c>
      <c r="O153" t="s">
        <v>58</v>
      </c>
      <c r="P153">
        <v>278261</v>
      </c>
      <c r="Q153" t="s">
        <v>75</v>
      </c>
      <c r="R153" t="s">
        <v>76</v>
      </c>
      <c r="S153" t="s">
        <v>38</v>
      </c>
      <c r="T153">
        <v>0</v>
      </c>
      <c r="U153">
        <v>0.5</v>
      </c>
      <c r="V153" s="2">
        <v>2.0833333333333332E-2</v>
      </c>
      <c r="W153">
        <v>0</v>
      </c>
      <c r="AA153" t="s">
        <v>39</v>
      </c>
      <c r="AB153" t="s">
        <v>40</v>
      </c>
      <c r="AC153" t="s">
        <v>344</v>
      </c>
      <c r="AD153" t="s">
        <v>41</v>
      </c>
    </row>
    <row r="154" spans="1:30" hidden="1" x14ac:dyDescent="0.3">
      <c r="A154" s="1">
        <v>45504</v>
      </c>
      <c r="B154" t="s">
        <v>370</v>
      </c>
      <c r="C154" t="s">
        <v>30</v>
      </c>
      <c r="D154" t="s">
        <v>31</v>
      </c>
      <c r="E154" t="s">
        <v>74</v>
      </c>
      <c r="F154" t="s">
        <v>32</v>
      </c>
      <c r="G154" t="s">
        <v>33</v>
      </c>
      <c r="H154" t="s">
        <v>57</v>
      </c>
      <c r="I154" t="s">
        <v>213</v>
      </c>
      <c r="J154" t="s">
        <v>34</v>
      </c>
      <c r="K154" t="s">
        <v>31</v>
      </c>
      <c r="L154" t="s">
        <v>35</v>
      </c>
      <c r="M154" t="s">
        <v>36</v>
      </c>
      <c r="N154" t="s">
        <v>68</v>
      </c>
      <c r="O154" t="s">
        <v>58</v>
      </c>
      <c r="P154">
        <v>279286</v>
      </c>
      <c r="Q154" t="s">
        <v>75</v>
      </c>
      <c r="R154" t="s">
        <v>76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300</v>
      </c>
      <c r="AD154" t="s">
        <v>41</v>
      </c>
    </row>
    <row r="155" spans="1:30" hidden="1" x14ac:dyDescent="0.3">
      <c r="A155" s="1">
        <v>45506</v>
      </c>
      <c r="B155" t="s">
        <v>370</v>
      </c>
      <c r="C155" t="s">
        <v>30</v>
      </c>
      <c r="D155" t="s">
        <v>31</v>
      </c>
      <c r="E155" t="s">
        <v>74</v>
      </c>
      <c r="F155" t="s">
        <v>32</v>
      </c>
      <c r="G155" t="s">
        <v>33</v>
      </c>
      <c r="H155" t="s">
        <v>57</v>
      </c>
      <c r="I155" t="s">
        <v>213</v>
      </c>
      <c r="J155" t="s">
        <v>34</v>
      </c>
      <c r="K155" t="s">
        <v>31</v>
      </c>
      <c r="L155" t="s">
        <v>35</v>
      </c>
      <c r="M155" t="s">
        <v>36</v>
      </c>
      <c r="N155" t="s">
        <v>68</v>
      </c>
      <c r="O155" t="s">
        <v>58</v>
      </c>
      <c r="P155">
        <v>280536</v>
      </c>
      <c r="Q155" t="s">
        <v>75</v>
      </c>
      <c r="R155" t="s">
        <v>76</v>
      </c>
      <c r="S155" t="s">
        <v>38</v>
      </c>
      <c r="T155">
        <v>0</v>
      </c>
      <c r="U155">
        <v>0.5</v>
      </c>
      <c r="V155" s="2">
        <v>2.0833333333333332E-2</v>
      </c>
      <c r="W155">
        <v>0</v>
      </c>
      <c r="AA155" t="s">
        <v>39</v>
      </c>
      <c r="AB155" t="s">
        <v>40</v>
      </c>
      <c r="AC155" t="s">
        <v>432</v>
      </c>
      <c r="AD155" t="s">
        <v>41</v>
      </c>
    </row>
    <row r="156" spans="1:30" hidden="1" x14ac:dyDescent="0.3">
      <c r="A156" s="1">
        <v>45507</v>
      </c>
      <c r="B156" t="s">
        <v>370</v>
      </c>
      <c r="C156" t="s">
        <v>30</v>
      </c>
      <c r="D156" t="s">
        <v>31</v>
      </c>
      <c r="E156" t="s">
        <v>74</v>
      </c>
      <c r="F156" t="s">
        <v>32</v>
      </c>
      <c r="G156" t="s">
        <v>33</v>
      </c>
      <c r="H156" t="s">
        <v>57</v>
      </c>
      <c r="I156" t="s">
        <v>213</v>
      </c>
      <c r="J156" t="s">
        <v>34</v>
      </c>
      <c r="K156" t="s">
        <v>31</v>
      </c>
      <c r="L156" t="s">
        <v>35</v>
      </c>
      <c r="M156" t="s">
        <v>36</v>
      </c>
      <c r="N156" t="s">
        <v>68</v>
      </c>
      <c r="O156" t="s">
        <v>58</v>
      </c>
      <c r="P156">
        <v>280537</v>
      </c>
      <c r="Q156" t="s">
        <v>75</v>
      </c>
      <c r="R156" t="s">
        <v>76</v>
      </c>
      <c r="S156" t="s">
        <v>38</v>
      </c>
      <c r="T156">
        <v>0</v>
      </c>
      <c r="U156">
        <v>0.5</v>
      </c>
      <c r="V156" s="2">
        <v>2.0833333333333332E-2</v>
      </c>
      <c r="W156">
        <v>0</v>
      </c>
      <c r="AA156" t="s">
        <v>39</v>
      </c>
      <c r="AB156" t="s">
        <v>40</v>
      </c>
      <c r="AC156" t="s">
        <v>433</v>
      </c>
      <c r="AD156" t="s">
        <v>41</v>
      </c>
    </row>
    <row r="157" spans="1:30" hidden="1" x14ac:dyDescent="0.3">
      <c r="A157" s="1">
        <v>45509</v>
      </c>
      <c r="B157" t="s">
        <v>370</v>
      </c>
      <c r="C157" t="s">
        <v>30</v>
      </c>
      <c r="D157" t="s">
        <v>31</v>
      </c>
      <c r="E157" t="s">
        <v>74</v>
      </c>
      <c r="F157" t="s">
        <v>32</v>
      </c>
      <c r="G157" t="s">
        <v>33</v>
      </c>
      <c r="H157" t="s">
        <v>57</v>
      </c>
      <c r="I157" t="s">
        <v>213</v>
      </c>
      <c r="J157" t="s">
        <v>34</v>
      </c>
      <c r="K157" t="s">
        <v>31</v>
      </c>
      <c r="L157" t="s">
        <v>35</v>
      </c>
      <c r="M157" t="s">
        <v>36</v>
      </c>
      <c r="N157" t="s">
        <v>68</v>
      </c>
      <c r="O157" t="s">
        <v>58</v>
      </c>
      <c r="P157">
        <v>281111</v>
      </c>
      <c r="Q157" t="s">
        <v>75</v>
      </c>
      <c r="R157" t="s">
        <v>76</v>
      </c>
      <c r="S157" t="s">
        <v>38</v>
      </c>
      <c r="T157">
        <v>0</v>
      </c>
      <c r="U157">
        <v>0.5</v>
      </c>
      <c r="V157" s="2">
        <v>2.0833333333333332E-2</v>
      </c>
      <c r="W157">
        <v>0</v>
      </c>
      <c r="AA157" t="s">
        <v>39</v>
      </c>
      <c r="AB157" t="s">
        <v>40</v>
      </c>
      <c r="AC157" t="s">
        <v>327</v>
      </c>
      <c r="AD157" t="s">
        <v>41</v>
      </c>
    </row>
    <row r="158" spans="1:30" hidden="1" x14ac:dyDescent="0.3">
      <c r="A158" s="1">
        <v>45510</v>
      </c>
      <c r="B158" t="s">
        <v>370</v>
      </c>
      <c r="C158" t="s">
        <v>30</v>
      </c>
      <c r="D158" t="s">
        <v>31</v>
      </c>
      <c r="E158" t="s">
        <v>74</v>
      </c>
      <c r="F158" t="s">
        <v>32</v>
      </c>
      <c r="G158" t="s">
        <v>33</v>
      </c>
      <c r="H158" t="s">
        <v>57</v>
      </c>
      <c r="I158" t="s">
        <v>213</v>
      </c>
      <c r="J158" t="s">
        <v>34</v>
      </c>
      <c r="K158" t="s">
        <v>31</v>
      </c>
      <c r="L158" t="s">
        <v>35</v>
      </c>
      <c r="M158" t="s">
        <v>36</v>
      </c>
      <c r="N158" t="s">
        <v>68</v>
      </c>
      <c r="O158" t="s">
        <v>58</v>
      </c>
      <c r="P158">
        <v>281654</v>
      </c>
      <c r="Q158" t="s">
        <v>75</v>
      </c>
      <c r="R158" t="s">
        <v>76</v>
      </c>
      <c r="S158" t="s">
        <v>38</v>
      </c>
      <c r="T158">
        <v>0</v>
      </c>
      <c r="U158">
        <v>0.5</v>
      </c>
      <c r="V158" s="2">
        <v>2.0833333333333332E-2</v>
      </c>
      <c r="W158">
        <v>0</v>
      </c>
      <c r="AA158" t="s">
        <v>39</v>
      </c>
      <c r="AB158" t="s">
        <v>40</v>
      </c>
      <c r="AC158" t="s">
        <v>68</v>
      </c>
      <c r="AD158" t="s">
        <v>41</v>
      </c>
    </row>
    <row r="159" spans="1:30" hidden="1" x14ac:dyDescent="0.3">
      <c r="A159" s="1">
        <v>45511</v>
      </c>
      <c r="B159" t="s">
        <v>370</v>
      </c>
      <c r="C159" t="s">
        <v>30</v>
      </c>
      <c r="D159" t="s">
        <v>31</v>
      </c>
      <c r="E159" t="s">
        <v>74</v>
      </c>
      <c r="F159" t="s">
        <v>32</v>
      </c>
      <c r="G159" t="s">
        <v>33</v>
      </c>
      <c r="H159" t="s">
        <v>57</v>
      </c>
      <c r="I159" t="s">
        <v>213</v>
      </c>
      <c r="J159" t="s">
        <v>34</v>
      </c>
      <c r="K159" t="s">
        <v>31</v>
      </c>
      <c r="L159" t="s">
        <v>35</v>
      </c>
      <c r="M159" t="s">
        <v>36</v>
      </c>
      <c r="N159" t="s">
        <v>68</v>
      </c>
      <c r="O159" t="s">
        <v>58</v>
      </c>
      <c r="P159">
        <v>282073</v>
      </c>
      <c r="Q159" t="s">
        <v>75</v>
      </c>
      <c r="R159" t="s">
        <v>76</v>
      </c>
      <c r="S159" t="s">
        <v>38</v>
      </c>
      <c r="T159">
        <v>0</v>
      </c>
      <c r="U159">
        <v>0.75</v>
      </c>
      <c r="V159" s="2">
        <v>3.125E-2</v>
      </c>
      <c r="W159">
        <v>0</v>
      </c>
      <c r="AA159" t="s">
        <v>39</v>
      </c>
      <c r="AB159" t="s">
        <v>40</v>
      </c>
      <c r="AC159" t="s">
        <v>353</v>
      </c>
      <c r="AD159" t="s">
        <v>41</v>
      </c>
    </row>
    <row r="160" spans="1:30" hidden="1" x14ac:dyDescent="0.3">
      <c r="A160" s="1">
        <v>45512</v>
      </c>
      <c r="B160" t="s">
        <v>370</v>
      </c>
      <c r="C160" t="s">
        <v>30</v>
      </c>
      <c r="D160" t="s">
        <v>31</v>
      </c>
      <c r="E160" t="s">
        <v>74</v>
      </c>
      <c r="F160" t="s">
        <v>32</v>
      </c>
      <c r="G160" t="s">
        <v>33</v>
      </c>
      <c r="H160" t="s">
        <v>57</v>
      </c>
      <c r="I160" t="s">
        <v>213</v>
      </c>
      <c r="J160" t="s">
        <v>34</v>
      </c>
      <c r="K160" t="s">
        <v>31</v>
      </c>
      <c r="L160" t="s">
        <v>35</v>
      </c>
      <c r="M160" t="s">
        <v>36</v>
      </c>
      <c r="N160" t="s">
        <v>68</v>
      </c>
      <c r="O160" t="s">
        <v>58</v>
      </c>
      <c r="P160">
        <v>282678</v>
      </c>
      <c r="Q160" t="s">
        <v>75</v>
      </c>
      <c r="R160" t="s">
        <v>76</v>
      </c>
      <c r="S160" t="s">
        <v>38</v>
      </c>
      <c r="T160">
        <v>0</v>
      </c>
      <c r="U160">
        <v>0.25</v>
      </c>
      <c r="V160" s="2">
        <v>1.0416666666666666E-2</v>
      </c>
      <c r="W160">
        <v>0</v>
      </c>
      <c r="AA160" t="s">
        <v>39</v>
      </c>
      <c r="AB160" t="s">
        <v>40</v>
      </c>
      <c r="AC160" t="s">
        <v>300</v>
      </c>
      <c r="AD160" t="s">
        <v>41</v>
      </c>
    </row>
    <row r="161" spans="1:30" hidden="1" x14ac:dyDescent="0.3">
      <c r="A161" s="1">
        <v>45516</v>
      </c>
      <c r="B161" t="s">
        <v>370</v>
      </c>
      <c r="C161" t="s">
        <v>30</v>
      </c>
      <c r="D161" t="s">
        <v>31</v>
      </c>
      <c r="E161" t="s">
        <v>74</v>
      </c>
      <c r="F161" t="s">
        <v>32</v>
      </c>
      <c r="G161" t="s">
        <v>33</v>
      </c>
      <c r="H161" t="s">
        <v>57</v>
      </c>
      <c r="I161" t="s">
        <v>213</v>
      </c>
      <c r="J161" t="s">
        <v>34</v>
      </c>
      <c r="K161" t="s">
        <v>31</v>
      </c>
      <c r="L161" t="s">
        <v>35</v>
      </c>
      <c r="M161" t="s">
        <v>36</v>
      </c>
      <c r="N161" t="s">
        <v>68</v>
      </c>
      <c r="O161" t="s">
        <v>58</v>
      </c>
      <c r="P161">
        <v>283489</v>
      </c>
      <c r="Q161" t="s">
        <v>75</v>
      </c>
      <c r="R161" t="s">
        <v>76</v>
      </c>
      <c r="S161" t="s">
        <v>38</v>
      </c>
      <c r="T161">
        <v>0</v>
      </c>
      <c r="U161">
        <v>0.5</v>
      </c>
      <c r="V161" s="2">
        <v>2.0833333333333332E-2</v>
      </c>
      <c r="W161">
        <v>0</v>
      </c>
      <c r="AA161" t="s">
        <v>39</v>
      </c>
      <c r="AB161" t="s">
        <v>40</v>
      </c>
      <c r="AC161" t="s">
        <v>275</v>
      </c>
      <c r="AD161" t="s">
        <v>41</v>
      </c>
    </row>
    <row r="162" spans="1:30" hidden="1" x14ac:dyDescent="0.3">
      <c r="A162" s="1">
        <v>45517</v>
      </c>
      <c r="B162" t="s">
        <v>370</v>
      </c>
      <c r="C162" t="s">
        <v>30</v>
      </c>
      <c r="D162" t="s">
        <v>31</v>
      </c>
      <c r="E162" t="s">
        <v>74</v>
      </c>
      <c r="F162" t="s">
        <v>32</v>
      </c>
      <c r="G162" t="s">
        <v>33</v>
      </c>
      <c r="H162" t="s">
        <v>57</v>
      </c>
      <c r="I162" t="s">
        <v>213</v>
      </c>
      <c r="J162" t="s">
        <v>34</v>
      </c>
      <c r="K162" t="s">
        <v>31</v>
      </c>
      <c r="L162" t="s">
        <v>35</v>
      </c>
      <c r="M162" t="s">
        <v>36</v>
      </c>
      <c r="N162" t="s">
        <v>68</v>
      </c>
      <c r="O162" t="s">
        <v>58</v>
      </c>
      <c r="P162">
        <v>284089</v>
      </c>
      <c r="Q162" t="s">
        <v>75</v>
      </c>
      <c r="R162" t="s">
        <v>76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244</v>
      </c>
      <c r="AD162" t="s">
        <v>41</v>
      </c>
    </row>
    <row r="163" spans="1:30" hidden="1" x14ac:dyDescent="0.3">
      <c r="A163" s="1">
        <v>45518</v>
      </c>
      <c r="B163" t="s">
        <v>370</v>
      </c>
      <c r="C163" t="s">
        <v>30</v>
      </c>
      <c r="D163" t="s">
        <v>31</v>
      </c>
      <c r="E163" t="s">
        <v>74</v>
      </c>
      <c r="F163" t="s">
        <v>32</v>
      </c>
      <c r="G163" t="s">
        <v>33</v>
      </c>
      <c r="H163" t="s">
        <v>57</v>
      </c>
      <c r="I163" t="s">
        <v>213</v>
      </c>
      <c r="J163" t="s">
        <v>34</v>
      </c>
      <c r="K163" t="s">
        <v>31</v>
      </c>
      <c r="L163" t="s">
        <v>35</v>
      </c>
      <c r="M163" t="s">
        <v>36</v>
      </c>
      <c r="N163" t="s">
        <v>68</v>
      </c>
      <c r="O163" t="s">
        <v>58</v>
      </c>
      <c r="P163">
        <v>284469</v>
      </c>
      <c r="Q163" t="s">
        <v>75</v>
      </c>
      <c r="R163" t="s">
        <v>76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B163" t="s">
        <v>40</v>
      </c>
      <c r="AC163" t="s">
        <v>244</v>
      </c>
      <c r="AD163" t="s">
        <v>41</v>
      </c>
    </row>
    <row r="164" spans="1:30" hidden="1" x14ac:dyDescent="0.3">
      <c r="A164" s="1">
        <v>45519</v>
      </c>
      <c r="B164" t="s">
        <v>370</v>
      </c>
      <c r="C164" t="s">
        <v>30</v>
      </c>
      <c r="D164" t="s">
        <v>31</v>
      </c>
      <c r="E164" t="s">
        <v>74</v>
      </c>
      <c r="F164" t="s">
        <v>32</v>
      </c>
      <c r="G164" t="s">
        <v>33</v>
      </c>
      <c r="H164" t="s">
        <v>57</v>
      </c>
      <c r="I164" t="s">
        <v>213</v>
      </c>
      <c r="J164" t="s">
        <v>34</v>
      </c>
      <c r="K164" t="s">
        <v>31</v>
      </c>
      <c r="L164" t="s">
        <v>35</v>
      </c>
      <c r="M164" t="s">
        <v>36</v>
      </c>
      <c r="N164" t="s">
        <v>68</v>
      </c>
      <c r="O164" t="s">
        <v>58</v>
      </c>
      <c r="P164">
        <v>285023</v>
      </c>
      <c r="Q164" t="s">
        <v>75</v>
      </c>
      <c r="R164" t="s">
        <v>76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244</v>
      </c>
      <c r="AD164" t="s">
        <v>41</v>
      </c>
    </row>
    <row r="165" spans="1:30" hidden="1" x14ac:dyDescent="0.3">
      <c r="A165" s="1">
        <v>45520</v>
      </c>
      <c r="B165" t="s">
        <v>370</v>
      </c>
      <c r="C165" t="s">
        <v>30</v>
      </c>
      <c r="D165" t="s">
        <v>31</v>
      </c>
      <c r="E165" t="s">
        <v>74</v>
      </c>
      <c r="F165" t="s">
        <v>32</v>
      </c>
      <c r="G165" t="s">
        <v>33</v>
      </c>
      <c r="H165" t="s">
        <v>57</v>
      </c>
      <c r="I165" t="s">
        <v>213</v>
      </c>
      <c r="J165" t="s">
        <v>34</v>
      </c>
      <c r="K165" t="s">
        <v>31</v>
      </c>
      <c r="L165" t="s">
        <v>35</v>
      </c>
      <c r="M165" t="s">
        <v>36</v>
      </c>
      <c r="N165" t="s">
        <v>68</v>
      </c>
      <c r="O165" t="s">
        <v>58</v>
      </c>
      <c r="P165">
        <v>285874</v>
      </c>
      <c r="Q165" t="s">
        <v>75</v>
      </c>
      <c r="R165" t="s">
        <v>76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244</v>
      </c>
      <c r="AD165" t="s">
        <v>41</v>
      </c>
    </row>
    <row r="166" spans="1:30" hidden="1" x14ac:dyDescent="0.3">
      <c r="A166" s="1">
        <v>45523</v>
      </c>
      <c r="B166" t="s">
        <v>370</v>
      </c>
      <c r="C166" t="s">
        <v>30</v>
      </c>
      <c r="D166" t="s">
        <v>31</v>
      </c>
      <c r="E166" t="s">
        <v>74</v>
      </c>
      <c r="F166" t="s">
        <v>32</v>
      </c>
      <c r="G166" t="s">
        <v>33</v>
      </c>
      <c r="H166" t="s">
        <v>57</v>
      </c>
      <c r="I166" t="s">
        <v>213</v>
      </c>
      <c r="J166" t="s">
        <v>34</v>
      </c>
      <c r="K166" t="s">
        <v>31</v>
      </c>
      <c r="L166" t="s">
        <v>35</v>
      </c>
      <c r="M166" t="s">
        <v>36</v>
      </c>
      <c r="N166" t="s">
        <v>68</v>
      </c>
      <c r="O166" t="s">
        <v>58</v>
      </c>
      <c r="P166">
        <v>286590</v>
      </c>
      <c r="Q166" t="s">
        <v>75</v>
      </c>
      <c r="R166" t="s">
        <v>76</v>
      </c>
      <c r="S166" t="s">
        <v>38</v>
      </c>
      <c r="T166">
        <v>0</v>
      </c>
      <c r="U166">
        <v>0.5</v>
      </c>
      <c r="V166" s="2">
        <v>2.0833333333333332E-2</v>
      </c>
      <c r="W166">
        <v>0</v>
      </c>
      <c r="AA166" t="s">
        <v>39</v>
      </c>
      <c r="AB166" t="s">
        <v>40</v>
      </c>
      <c r="AC166" t="s">
        <v>434</v>
      </c>
      <c r="AD166" t="s">
        <v>41</v>
      </c>
    </row>
    <row r="167" spans="1:30" hidden="1" x14ac:dyDescent="0.3">
      <c r="A167" s="1">
        <v>45524</v>
      </c>
      <c r="B167" t="s">
        <v>370</v>
      </c>
      <c r="C167" t="s">
        <v>30</v>
      </c>
      <c r="D167" t="s">
        <v>31</v>
      </c>
      <c r="E167" t="s">
        <v>74</v>
      </c>
      <c r="F167" t="s">
        <v>32</v>
      </c>
      <c r="G167" t="s">
        <v>33</v>
      </c>
      <c r="H167" t="s">
        <v>57</v>
      </c>
      <c r="I167" t="s">
        <v>213</v>
      </c>
      <c r="J167" t="s">
        <v>34</v>
      </c>
      <c r="K167" t="s">
        <v>31</v>
      </c>
      <c r="L167" t="s">
        <v>35</v>
      </c>
      <c r="M167" t="s">
        <v>36</v>
      </c>
      <c r="N167" t="s">
        <v>68</v>
      </c>
      <c r="O167" t="s">
        <v>58</v>
      </c>
      <c r="P167">
        <v>287182</v>
      </c>
      <c r="Q167" t="s">
        <v>75</v>
      </c>
      <c r="R167" t="s">
        <v>76</v>
      </c>
      <c r="S167" t="s">
        <v>38</v>
      </c>
      <c r="T167">
        <v>0</v>
      </c>
      <c r="U167">
        <v>0.75</v>
      </c>
      <c r="V167" s="2">
        <v>3.125E-2</v>
      </c>
      <c r="W167">
        <v>0</v>
      </c>
      <c r="AA167" t="s">
        <v>39</v>
      </c>
      <c r="AB167" t="s">
        <v>40</v>
      </c>
      <c r="AC167" t="s">
        <v>371</v>
      </c>
      <c r="AD167" t="s">
        <v>41</v>
      </c>
    </row>
    <row r="168" spans="1:30" hidden="1" x14ac:dyDescent="0.3">
      <c r="A168" s="1">
        <v>45526</v>
      </c>
      <c r="B168" t="s">
        <v>370</v>
      </c>
      <c r="C168" t="s">
        <v>30</v>
      </c>
      <c r="D168" t="s">
        <v>31</v>
      </c>
      <c r="E168" t="s">
        <v>74</v>
      </c>
      <c r="F168" t="s">
        <v>32</v>
      </c>
      <c r="G168" t="s">
        <v>33</v>
      </c>
      <c r="H168" t="s">
        <v>57</v>
      </c>
      <c r="I168" t="s">
        <v>213</v>
      </c>
      <c r="J168" t="s">
        <v>34</v>
      </c>
      <c r="K168" t="s">
        <v>31</v>
      </c>
      <c r="L168" t="s">
        <v>35</v>
      </c>
      <c r="M168" t="s">
        <v>36</v>
      </c>
      <c r="N168" t="s">
        <v>68</v>
      </c>
      <c r="O168" t="s">
        <v>58</v>
      </c>
      <c r="P168">
        <v>288887</v>
      </c>
      <c r="Q168" t="s">
        <v>75</v>
      </c>
      <c r="R168" t="s">
        <v>76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244</v>
      </c>
      <c r="AD168" t="s">
        <v>41</v>
      </c>
    </row>
    <row r="169" spans="1:30" hidden="1" x14ac:dyDescent="0.3">
      <c r="A169" s="1">
        <v>45530</v>
      </c>
      <c r="B169" t="s">
        <v>370</v>
      </c>
      <c r="C169" t="s">
        <v>30</v>
      </c>
      <c r="D169" t="s">
        <v>31</v>
      </c>
      <c r="E169" t="s">
        <v>74</v>
      </c>
      <c r="F169" t="s">
        <v>32</v>
      </c>
      <c r="G169" t="s">
        <v>33</v>
      </c>
      <c r="H169" t="s">
        <v>57</v>
      </c>
      <c r="I169" t="s">
        <v>213</v>
      </c>
      <c r="J169" t="s">
        <v>34</v>
      </c>
      <c r="K169" t="s">
        <v>31</v>
      </c>
      <c r="L169" t="s">
        <v>35</v>
      </c>
      <c r="M169" t="s">
        <v>36</v>
      </c>
      <c r="N169" t="s">
        <v>68</v>
      </c>
      <c r="O169" t="s">
        <v>58</v>
      </c>
      <c r="P169">
        <v>289001</v>
      </c>
      <c r="Q169" t="s">
        <v>75</v>
      </c>
      <c r="R169" t="s">
        <v>76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244</v>
      </c>
      <c r="AD169" t="s">
        <v>41</v>
      </c>
    </row>
    <row r="170" spans="1:30" hidden="1" x14ac:dyDescent="0.3">
      <c r="A170" s="1">
        <v>45531</v>
      </c>
      <c r="B170" t="s">
        <v>370</v>
      </c>
      <c r="C170" t="s">
        <v>30</v>
      </c>
      <c r="D170" t="s">
        <v>31</v>
      </c>
      <c r="E170" t="s">
        <v>74</v>
      </c>
      <c r="F170" t="s">
        <v>32</v>
      </c>
      <c r="G170" t="s">
        <v>33</v>
      </c>
      <c r="H170" t="s">
        <v>57</v>
      </c>
      <c r="I170" t="s">
        <v>213</v>
      </c>
      <c r="J170" t="s">
        <v>34</v>
      </c>
      <c r="K170" t="s">
        <v>31</v>
      </c>
      <c r="L170" t="s">
        <v>35</v>
      </c>
      <c r="M170" t="s">
        <v>36</v>
      </c>
      <c r="N170" t="s">
        <v>68</v>
      </c>
      <c r="O170" t="s">
        <v>58</v>
      </c>
      <c r="P170">
        <v>289622</v>
      </c>
      <c r="Q170" t="s">
        <v>75</v>
      </c>
      <c r="R170" t="s">
        <v>76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244</v>
      </c>
      <c r="AD170" t="s">
        <v>41</v>
      </c>
    </row>
    <row r="171" spans="1:30" hidden="1" x14ac:dyDescent="0.3">
      <c r="A171" s="1">
        <v>45532</v>
      </c>
      <c r="B171" t="s">
        <v>370</v>
      </c>
      <c r="C171" t="s">
        <v>30</v>
      </c>
      <c r="D171" t="s">
        <v>31</v>
      </c>
      <c r="E171" t="s">
        <v>74</v>
      </c>
      <c r="F171" t="s">
        <v>32</v>
      </c>
      <c r="G171" t="s">
        <v>33</v>
      </c>
      <c r="H171" t="s">
        <v>57</v>
      </c>
      <c r="I171" t="s">
        <v>213</v>
      </c>
      <c r="J171" t="s">
        <v>34</v>
      </c>
      <c r="K171" t="s">
        <v>31</v>
      </c>
      <c r="L171" t="s">
        <v>35</v>
      </c>
      <c r="M171" t="s">
        <v>36</v>
      </c>
      <c r="N171" t="s">
        <v>68</v>
      </c>
      <c r="O171" t="s">
        <v>58</v>
      </c>
      <c r="P171">
        <v>290165</v>
      </c>
      <c r="Q171" t="s">
        <v>75</v>
      </c>
      <c r="R171" t="s">
        <v>76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244</v>
      </c>
      <c r="AD171" t="s">
        <v>41</v>
      </c>
    </row>
    <row r="172" spans="1:30" hidden="1" x14ac:dyDescent="0.3">
      <c r="A172" s="1">
        <v>45533</v>
      </c>
      <c r="B172" t="s">
        <v>370</v>
      </c>
      <c r="C172" t="s">
        <v>30</v>
      </c>
      <c r="D172" t="s">
        <v>31</v>
      </c>
      <c r="E172" t="s">
        <v>74</v>
      </c>
      <c r="F172" t="s">
        <v>32</v>
      </c>
      <c r="G172" t="s">
        <v>33</v>
      </c>
      <c r="H172" t="s">
        <v>57</v>
      </c>
      <c r="I172" t="s">
        <v>213</v>
      </c>
      <c r="J172" t="s">
        <v>34</v>
      </c>
      <c r="K172" t="s">
        <v>31</v>
      </c>
      <c r="L172" t="s">
        <v>35</v>
      </c>
      <c r="M172" t="s">
        <v>36</v>
      </c>
      <c r="N172" t="s">
        <v>68</v>
      </c>
      <c r="O172" t="s">
        <v>58</v>
      </c>
      <c r="P172">
        <v>291229</v>
      </c>
      <c r="Q172" t="s">
        <v>75</v>
      </c>
      <c r="R172" t="s">
        <v>76</v>
      </c>
      <c r="S172" t="s">
        <v>38</v>
      </c>
      <c r="T172">
        <v>0</v>
      </c>
      <c r="U172">
        <v>0.5</v>
      </c>
      <c r="V172" s="2">
        <v>2.0833333333333332E-2</v>
      </c>
      <c r="W172">
        <v>0</v>
      </c>
      <c r="AA172" t="s">
        <v>39</v>
      </c>
      <c r="AB172" t="s">
        <v>40</v>
      </c>
      <c r="AC172" t="s">
        <v>435</v>
      </c>
      <c r="AD172" t="s">
        <v>41</v>
      </c>
    </row>
    <row r="173" spans="1:30" hidden="1" x14ac:dyDescent="0.3">
      <c r="A173" s="1">
        <v>45537</v>
      </c>
      <c r="B173" t="s">
        <v>370</v>
      </c>
      <c r="C173" t="s">
        <v>30</v>
      </c>
      <c r="D173" t="s">
        <v>31</v>
      </c>
      <c r="E173" t="s">
        <v>74</v>
      </c>
      <c r="F173" t="s">
        <v>32</v>
      </c>
      <c r="G173" t="s">
        <v>33</v>
      </c>
      <c r="H173" t="s">
        <v>57</v>
      </c>
      <c r="I173" t="s">
        <v>213</v>
      </c>
      <c r="J173" t="s">
        <v>34</v>
      </c>
      <c r="K173" t="s">
        <v>31</v>
      </c>
      <c r="L173" t="s">
        <v>35</v>
      </c>
      <c r="M173" t="s">
        <v>36</v>
      </c>
      <c r="N173" t="s">
        <v>68</v>
      </c>
      <c r="O173" t="s">
        <v>58</v>
      </c>
      <c r="P173">
        <v>293672</v>
      </c>
      <c r="Q173" t="s">
        <v>75</v>
      </c>
      <c r="R173" t="s">
        <v>76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372</v>
      </c>
      <c r="AD173" t="s">
        <v>41</v>
      </c>
    </row>
    <row r="174" spans="1:30" hidden="1" x14ac:dyDescent="0.3">
      <c r="A174" s="1">
        <v>45544</v>
      </c>
      <c r="B174" t="s">
        <v>370</v>
      </c>
      <c r="C174" t="s">
        <v>30</v>
      </c>
      <c r="D174" t="s">
        <v>31</v>
      </c>
      <c r="E174" t="s">
        <v>74</v>
      </c>
      <c r="F174" t="s">
        <v>32</v>
      </c>
      <c r="G174" t="s">
        <v>33</v>
      </c>
      <c r="H174" t="s">
        <v>57</v>
      </c>
      <c r="I174" t="s">
        <v>213</v>
      </c>
      <c r="J174" t="s">
        <v>34</v>
      </c>
      <c r="K174" t="s">
        <v>31</v>
      </c>
      <c r="L174" t="s">
        <v>35</v>
      </c>
      <c r="M174" t="s">
        <v>36</v>
      </c>
      <c r="N174" t="s">
        <v>68</v>
      </c>
      <c r="O174" t="s">
        <v>58</v>
      </c>
      <c r="P174">
        <v>295375</v>
      </c>
      <c r="Q174" t="s">
        <v>75</v>
      </c>
      <c r="R174" t="s">
        <v>76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B174" t="s">
        <v>40</v>
      </c>
      <c r="AC174" t="s">
        <v>377</v>
      </c>
      <c r="AD174" t="s">
        <v>41</v>
      </c>
    </row>
    <row r="175" spans="1:30" hidden="1" x14ac:dyDescent="0.3">
      <c r="A175" s="1">
        <v>45551</v>
      </c>
      <c r="B175" t="s">
        <v>370</v>
      </c>
      <c r="C175" t="s">
        <v>30</v>
      </c>
      <c r="D175" t="s">
        <v>31</v>
      </c>
      <c r="E175" t="s">
        <v>74</v>
      </c>
      <c r="F175" t="s">
        <v>32</v>
      </c>
      <c r="G175" t="s">
        <v>33</v>
      </c>
      <c r="H175" t="s">
        <v>57</v>
      </c>
      <c r="I175" t="s">
        <v>213</v>
      </c>
      <c r="J175" t="s">
        <v>34</v>
      </c>
      <c r="K175" t="s">
        <v>31</v>
      </c>
      <c r="L175" t="s">
        <v>35</v>
      </c>
      <c r="M175" t="s">
        <v>36</v>
      </c>
      <c r="N175" t="s">
        <v>68</v>
      </c>
      <c r="O175" t="s">
        <v>58</v>
      </c>
      <c r="P175">
        <v>298153</v>
      </c>
      <c r="Q175" t="s">
        <v>75</v>
      </c>
      <c r="R175" t="s">
        <v>76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145</v>
      </c>
      <c r="AD175" t="s">
        <v>41</v>
      </c>
    </row>
    <row r="176" spans="1:30" hidden="1" x14ac:dyDescent="0.3">
      <c r="A176" s="1">
        <v>45558</v>
      </c>
      <c r="B176" t="s">
        <v>370</v>
      </c>
      <c r="C176" t="s">
        <v>30</v>
      </c>
      <c r="D176" t="s">
        <v>31</v>
      </c>
      <c r="E176" t="s">
        <v>74</v>
      </c>
      <c r="F176" t="s">
        <v>32</v>
      </c>
      <c r="G176" t="s">
        <v>33</v>
      </c>
      <c r="H176" t="s">
        <v>57</v>
      </c>
      <c r="I176" t="s">
        <v>213</v>
      </c>
      <c r="J176" t="s">
        <v>34</v>
      </c>
      <c r="K176" t="s">
        <v>31</v>
      </c>
      <c r="L176" t="s">
        <v>35</v>
      </c>
      <c r="M176" t="s">
        <v>36</v>
      </c>
      <c r="N176" t="s">
        <v>68</v>
      </c>
      <c r="O176" t="s">
        <v>58</v>
      </c>
      <c r="P176">
        <v>300852</v>
      </c>
      <c r="Q176" t="s">
        <v>75</v>
      </c>
      <c r="R176" t="s">
        <v>76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145</v>
      </c>
      <c r="AD176" t="s">
        <v>41</v>
      </c>
    </row>
    <row r="177" spans="1:30" hidden="1" x14ac:dyDescent="0.3">
      <c r="A177" s="1">
        <v>45565</v>
      </c>
      <c r="B177" t="s">
        <v>370</v>
      </c>
      <c r="C177" t="s">
        <v>30</v>
      </c>
      <c r="D177" t="s">
        <v>31</v>
      </c>
      <c r="E177" t="s">
        <v>74</v>
      </c>
      <c r="F177" t="s">
        <v>32</v>
      </c>
      <c r="G177" t="s">
        <v>33</v>
      </c>
      <c r="H177" t="s">
        <v>57</v>
      </c>
      <c r="I177" t="s">
        <v>213</v>
      </c>
      <c r="J177" t="s">
        <v>34</v>
      </c>
      <c r="K177" t="s">
        <v>31</v>
      </c>
      <c r="L177" t="s">
        <v>35</v>
      </c>
      <c r="M177" t="s">
        <v>36</v>
      </c>
      <c r="N177" t="s">
        <v>68</v>
      </c>
      <c r="O177" t="s">
        <v>58</v>
      </c>
      <c r="P177">
        <v>304592</v>
      </c>
      <c r="Q177" t="s">
        <v>75</v>
      </c>
      <c r="R177" t="s">
        <v>76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377</v>
      </c>
      <c r="AD177" t="s">
        <v>41</v>
      </c>
    </row>
    <row r="178" spans="1:30" x14ac:dyDescent="0.3">
      <c r="A178" s="1">
        <v>45572</v>
      </c>
      <c r="B178" t="s">
        <v>370</v>
      </c>
      <c r="C178" t="s">
        <v>30</v>
      </c>
      <c r="D178" t="s">
        <v>31</v>
      </c>
      <c r="E178" t="s">
        <v>74</v>
      </c>
      <c r="F178" t="s">
        <v>32</v>
      </c>
      <c r="G178" t="s">
        <v>33</v>
      </c>
      <c r="H178" t="s">
        <v>57</v>
      </c>
      <c r="I178" t="s">
        <v>213</v>
      </c>
      <c r="J178" t="s">
        <v>34</v>
      </c>
      <c r="K178" t="s">
        <v>31</v>
      </c>
      <c r="L178" t="s">
        <v>35</v>
      </c>
      <c r="M178" t="s">
        <v>36</v>
      </c>
      <c r="N178" t="s">
        <v>68</v>
      </c>
      <c r="O178" t="s">
        <v>58</v>
      </c>
      <c r="P178">
        <v>307187</v>
      </c>
      <c r="Q178" t="s">
        <v>75</v>
      </c>
      <c r="R178" t="s">
        <v>76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145</v>
      </c>
      <c r="AD178" t="s">
        <v>41</v>
      </c>
    </row>
    <row r="179" spans="1:30" x14ac:dyDescent="0.3">
      <c r="A179" s="1">
        <v>45579</v>
      </c>
      <c r="B179" t="s">
        <v>370</v>
      </c>
      <c r="C179" t="s">
        <v>30</v>
      </c>
      <c r="D179" t="s">
        <v>31</v>
      </c>
      <c r="E179" t="s">
        <v>74</v>
      </c>
      <c r="F179" t="s">
        <v>32</v>
      </c>
      <c r="G179" t="s">
        <v>33</v>
      </c>
      <c r="H179" t="s">
        <v>57</v>
      </c>
      <c r="I179" t="s">
        <v>213</v>
      </c>
      <c r="J179" t="s">
        <v>34</v>
      </c>
      <c r="K179" t="s">
        <v>31</v>
      </c>
      <c r="L179" t="s">
        <v>35</v>
      </c>
      <c r="M179" t="s">
        <v>36</v>
      </c>
      <c r="N179" t="s">
        <v>68</v>
      </c>
      <c r="O179" t="s">
        <v>58</v>
      </c>
      <c r="P179">
        <v>309574</v>
      </c>
      <c r="Q179" t="s">
        <v>75</v>
      </c>
      <c r="R179" t="s">
        <v>76</v>
      </c>
      <c r="S179" t="s">
        <v>38</v>
      </c>
      <c r="T179">
        <v>0</v>
      </c>
      <c r="U179">
        <v>0.25</v>
      </c>
      <c r="V179" s="2">
        <v>1.0416666666666666E-2</v>
      </c>
      <c r="W179">
        <v>0</v>
      </c>
      <c r="AA179" t="s">
        <v>39</v>
      </c>
      <c r="AB179" t="s">
        <v>40</v>
      </c>
      <c r="AC179" t="s">
        <v>145</v>
      </c>
      <c r="AD179" t="s">
        <v>41</v>
      </c>
    </row>
    <row r="180" spans="1:30" hidden="1" x14ac:dyDescent="0.3">
      <c r="A180" s="1">
        <v>45470</v>
      </c>
      <c r="B180" t="s">
        <v>311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213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264888</v>
      </c>
      <c r="Q180" t="s">
        <v>75</v>
      </c>
      <c r="R180" t="s">
        <v>76</v>
      </c>
      <c r="S180" t="s">
        <v>38</v>
      </c>
      <c r="T180">
        <v>0</v>
      </c>
      <c r="U180">
        <v>0.5</v>
      </c>
      <c r="V180" s="2">
        <v>2.0833333333333332E-2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45471</v>
      </c>
      <c r="B181" t="s">
        <v>311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213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264887</v>
      </c>
      <c r="Q181" t="s">
        <v>75</v>
      </c>
      <c r="R181" t="s">
        <v>76</v>
      </c>
      <c r="S181" t="s">
        <v>38</v>
      </c>
      <c r="T181">
        <v>0</v>
      </c>
      <c r="U181">
        <v>0.5</v>
      </c>
      <c r="V181" s="2">
        <v>2.0833333333333332E-2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45474</v>
      </c>
      <c r="B182" t="s">
        <v>311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213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265807</v>
      </c>
      <c r="Q182" t="s">
        <v>75</v>
      </c>
      <c r="R182" t="s">
        <v>76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45475</v>
      </c>
      <c r="B183" t="s">
        <v>311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213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266728</v>
      </c>
      <c r="Q183" t="s">
        <v>75</v>
      </c>
      <c r="R183" t="s">
        <v>76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45477</v>
      </c>
      <c r="B184" t="s">
        <v>311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213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267609</v>
      </c>
      <c r="Q184" t="s">
        <v>75</v>
      </c>
      <c r="R184" t="s">
        <v>76</v>
      </c>
      <c r="S184" t="s">
        <v>38</v>
      </c>
      <c r="T184">
        <v>0</v>
      </c>
      <c r="U184">
        <v>3.5</v>
      </c>
      <c r="V184" s="2">
        <v>0.14583333333333334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45478</v>
      </c>
      <c r="B185" t="s">
        <v>311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213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267604</v>
      </c>
      <c r="Q185" t="s">
        <v>75</v>
      </c>
      <c r="R185" t="s">
        <v>76</v>
      </c>
      <c r="S185" t="s">
        <v>38</v>
      </c>
      <c r="T185">
        <v>0</v>
      </c>
      <c r="U185">
        <v>1</v>
      </c>
      <c r="V185" s="2">
        <v>4.1666666666666664E-2</v>
      </c>
      <c r="W185">
        <v>0</v>
      </c>
      <c r="AA185" t="s">
        <v>39</v>
      </c>
      <c r="AB185" t="s">
        <v>40</v>
      </c>
      <c r="AC185" t="s">
        <v>68</v>
      </c>
      <c r="AD185" t="s">
        <v>41</v>
      </c>
    </row>
    <row r="186" spans="1:30" hidden="1" x14ac:dyDescent="0.3">
      <c r="A186" s="1">
        <v>45481</v>
      </c>
      <c r="B186" t="s">
        <v>311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213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268404</v>
      </c>
      <c r="Q186" t="s">
        <v>75</v>
      </c>
      <c r="R186" t="s">
        <v>76</v>
      </c>
      <c r="S186" t="s">
        <v>38</v>
      </c>
      <c r="T186">
        <v>0</v>
      </c>
      <c r="U186">
        <v>2.5</v>
      </c>
      <c r="V186" s="2">
        <v>0.10416666666666667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hidden="1" x14ac:dyDescent="0.3">
      <c r="A187" s="1">
        <v>45482</v>
      </c>
      <c r="B187" t="s">
        <v>311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213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268843</v>
      </c>
      <c r="Q187" t="s">
        <v>75</v>
      </c>
      <c r="R187" t="s">
        <v>76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hidden="1" x14ac:dyDescent="0.3">
      <c r="A188" s="1">
        <v>45483</v>
      </c>
      <c r="B188" t="s">
        <v>311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213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269267</v>
      </c>
      <c r="Q188" t="s">
        <v>75</v>
      </c>
      <c r="R188" t="s">
        <v>76</v>
      </c>
      <c r="S188" t="s">
        <v>38</v>
      </c>
      <c r="T188">
        <v>0</v>
      </c>
      <c r="U188">
        <v>3.25</v>
      </c>
      <c r="V188" s="2">
        <v>0.13541666666666666</v>
      </c>
      <c r="W188">
        <v>0</v>
      </c>
      <c r="AA188" t="s">
        <v>39</v>
      </c>
      <c r="AB188" t="s">
        <v>40</v>
      </c>
      <c r="AC188" t="s">
        <v>68</v>
      </c>
      <c r="AD188" t="s">
        <v>41</v>
      </c>
    </row>
    <row r="189" spans="1:30" hidden="1" x14ac:dyDescent="0.3">
      <c r="A189" s="1">
        <v>45484</v>
      </c>
      <c r="B189" t="s">
        <v>311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213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270762</v>
      </c>
      <c r="Q189" t="s">
        <v>75</v>
      </c>
      <c r="R189" t="s">
        <v>76</v>
      </c>
      <c r="S189" t="s">
        <v>38</v>
      </c>
      <c r="T189">
        <v>0</v>
      </c>
      <c r="U189">
        <v>0.5</v>
      </c>
      <c r="V189" s="2">
        <v>2.0833333333333332E-2</v>
      </c>
      <c r="W189">
        <v>0</v>
      </c>
      <c r="AA189" t="s">
        <v>39</v>
      </c>
      <c r="AB189" t="s">
        <v>40</v>
      </c>
      <c r="AC189" t="s">
        <v>68</v>
      </c>
      <c r="AD189" t="s">
        <v>41</v>
      </c>
    </row>
    <row r="190" spans="1:30" hidden="1" x14ac:dyDescent="0.3">
      <c r="A190" s="1">
        <v>45485</v>
      </c>
      <c r="B190" t="s">
        <v>311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213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270473</v>
      </c>
      <c r="Q190" t="s">
        <v>75</v>
      </c>
      <c r="R190" t="s">
        <v>76</v>
      </c>
      <c r="S190" t="s">
        <v>38</v>
      </c>
      <c r="T190">
        <v>0</v>
      </c>
      <c r="U190">
        <v>1.5</v>
      </c>
      <c r="V190" s="2">
        <v>6.25E-2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45488</v>
      </c>
      <c r="B191" t="s">
        <v>311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213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271376</v>
      </c>
      <c r="Q191" t="s">
        <v>75</v>
      </c>
      <c r="R191" t="s">
        <v>76</v>
      </c>
      <c r="S191" t="s">
        <v>38</v>
      </c>
      <c r="T191">
        <v>0</v>
      </c>
      <c r="U191">
        <v>0.75</v>
      </c>
      <c r="V191" s="2">
        <v>3.125E-2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45489</v>
      </c>
      <c r="B192" t="s">
        <v>311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213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271834</v>
      </c>
      <c r="Q192" t="s">
        <v>75</v>
      </c>
      <c r="R192" t="s">
        <v>76</v>
      </c>
      <c r="S192" t="s">
        <v>38</v>
      </c>
      <c r="T192">
        <v>0</v>
      </c>
      <c r="U192">
        <v>0.75</v>
      </c>
      <c r="V192" s="2">
        <v>3.125E-2</v>
      </c>
      <c r="W192">
        <v>0</v>
      </c>
      <c r="AA192" t="s">
        <v>39</v>
      </c>
      <c r="AB192" t="s">
        <v>40</v>
      </c>
      <c r="AC192" t="s">
        <v>68</v>
      </c>
      <c r="AD192" t="s">
        <v>41</v>
      </c>
    </row>
    <row r="193" spans="1:30" hidden="1" x14ac:dyDescent="0.3">
      <c r="A193" s="1">
        <v>45490</v>
      </c>
      <c r="B193" t="s">
        <v>311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213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272296</v>
      </c>
      <c r="Q193" t="s">
        <v>75</v>
      </c>
      <c r="R193" t="s">
        <v>76</v>
      </c>
      <c r="S193" t="s">
        <v>38</v>
      </c>
      <c r="T193">
        <v>0</v>
      </c>
      <c r="U193">
        <v>0.5</v>
      </c>
      <c r="V193" s="2">
        <v>2.0833333333333332E-2</v>
      </c>
      <c r="W193">
        <v>0</v>
      </c>
      <c r="AA193" t="s">
        <v>39</v>
      </c>
      <c r="AB193" t="s">
        <v>40</v>
      </c>
      <c r="AC193" t="s">
        <v>68</v>
      </c>
      <c r="AD193" t="s">
        <v>41</v>
      </c>
    </row>
    <row r="194" spans="1:30" hidden="1" x14ac:dyDescent="0.3">
      <c r="A194" s="1">
        <v>45491</v>
      </c>
      <c r="B194" t="s">
        <v>311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213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273362</v>
      </c>
      <c r="Q194" t="s">
        <v>75</v>
      </c>
      <c r="R194" t="s">
        <v>76</v>
      </c>
      <c r="S194" t="s">
        <v>38</v>
      </c>
      <c r="T194">
        <v>0</v>
      </c>
      <c r="U194">
        <v>1</v>
      </c>
      <c r="V194" s="2">
        <v>4.1666666666666664E-2</v>
      </c>
      <c r="W194">
        <v>0</v>
      </c>
      <c r="AA194" t="s">
        <v>39</v>
      </c>
      <c r="AB194" t="s">
        <v>40</v>
      </c>
      <c r="AC194" t="s">
        <v>68</v>
      </c>
      <c r="AD194" t="s">
        <v>41</v>
      </c>
    </row>
    <row r="195" spans="1:30" hidden="1" x14ac:dyDescent="0.3">
      <c r="A195" s="1">
        <v>45492</v>
      </c>
      <c r="B195" t="s">
        <v>311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213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273368</v>
      </c>
      <c r="Q195" t="s">
        <v>75</v>
      </c>
      <c r="R195" t="s">
        <v>76</v>
      </c>
      <c r="S195" t="s">
        <v>38</v>
      </c>
      <c r="T195">
        <v>0</v>
      </c>
      <c r="U195">
        <v>0.25</v>
      </c>
      <c r="V195" s="2">
        <v>1.0416666666666666E-2</v>
      </c>
      <c r="W195">
        <v>0</v>
      </c>
      <c r="AA195" t="s">
        <v>39</v>
      </c>
      <c r="AB195" t="s">
        <v>40</v>
      </c>
      <c r="AC195" t="s">
        <v>68</v>
      </c>
      <c r="AD195" t="s">
        <v>41</v>
      </c>
    </row>
    <row r="196" spans="1:30" hidden="1" x14ac:dyDescent="0.3">
      <c r="A196" s="1">
        <v>45495</v>
      </c>
      <c r="B196" t="s">
        <v>311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213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274322</v>
      </c>
      <c r="Q196" t="s">
        <v>75</v>
      </c>
      <c r="R196" t="s">
        <v>76</v>
      </c>
      <c r="S196" t="s">
        <v>38</v>
      </c>
      <c r="T196">
        <v>0</v>
      </c>
      <c r="U196">
        <v>3.5</v>
      </c>
      <c r="V196" s="2">
        <v>0.14583333333333334</v>
      </c>
      <c r="W196">
        <v>0</v>
      </c>
      <c r="AA196" t="s">
        <v>39</v>
      </c>
      <c r="AB196" t="s">
        <v>40</v>
      </c>
      <c r="AC196" t="s">
        <v>68</v>
      </c>
      <c r="AD196" t="s">
        <v>41</v>
      </c>
    </row>
    <row r="197" spans="1:30" hidden="1" x14ac:dyDescent="0.3">
      <c r="A197" s="1">
        <v>45497</v>
      </c>
      <c r="B197" t="s">
        <v>311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213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275506</v>
      </c>
      <c r="Q197" t="s">
        <v>75</v>
      </c>
      <c r="R197" t="s">
        <v>76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68</v>
      </c>
      <c r="AD197" t="s">
        <v>41</v>
      </c>
    </row>
    <row r="198" spans="1:30" hidden="1" x14ac:dyDescent="0.3">
      <c r="A198" s="1">
        <v>45499</v>
      </c>
      <c r="B198" t="s">
        <v>311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213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276768</v>
      </c>
      <c r="Q198" t="s">
        <v>75</v>
      </c>
      <c r="R198" t="s">
        <v>76</v>
      </c>
      <c r="S198" t="s">
        <v>38</v>
      </c>
      <c r="T198">
        <v>0</v>
      </c>
      <c r="U198">
        <v>0.5</v>
      </c>
      <c r="V198" s="2">
        <v>2.0833333333333332E-2</v>
      </c>
      <c r="W198">
        <v>0</v>
      </c>
      <c r="AA198" t="s">
        <v>39</v>
      </c>
      <c r="AB198" t="s">
        <v>40</v>
      </c>
      <c r="AC198" t="s">
        <v>68</v>
      </c>
      <c r="AD198" t="s">
        <v>41</v>
      </c>
    </row>
    <row r="199" spans="1:30" hidden="1" x14ac:dyDescent="0.3">
      <c r="A199" s="1">
        <v>45502</v>
      </c>
      <c r="B199" t="s">
        <v>311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213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277493</v>
      </c>
      <c r="Q199" t="s">
        <v>75</v>
      </c>
      <c r="R199" t="s">
        <v>76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68</v>
      </c>
      <c r="AD199" t="s">
        <v>41</v>
      </c>
    </row>
    <row r="200" spans="1:30" hidden="1" x14ac:dyDescent="0.3">
      <c r="A200" s="1">
        <v>45503</v>
      </c>
      <c r="B200" t="s">
        <v>311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213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278083</v>
      </c>
      <c r="Q200" t="s">
        <v>75</v>
      </c>
      <c r="R200" t="s">
        <v>76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45504</v>
      </c>
      <c r="B201" t="s">
        <v>311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213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278827</v>
      </c>
      <c r="Q201" t="s">
        <v>75</v>
      </c>
      <c r="R201" t="s">
        <v>76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B201" t="s">
        <v>40</v>
      </c>
      <c r="AC201" t="s">
        <v>68</v>
      </c>
      <c r="AD201" t="s">
        <v>41</v>
      </c>
    </row>
    <row r="202" spans="1:30" hidden="1" x14ac:dyDescent="0.3">
      <c r="A202" s="1">
        <v>45505</v>
      </c>
      <c r="B202" t="s">
        <v>311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213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280349</v>
      </c>
      <c r="Q202" t="s">
        <v>75</v>
      </c>
      <c r="R202" t="s">
        <v>76</v>
      </c>
      <c r="S202" t="s">
        <v>38</v>
      </c>
      <c r="T202">
        <v>0</v>
      </c>
      <c r="U202">
        <v>0.75</v>
      </c>
      <c r="V202" s="2">
        <v>3.125E-2</v>
      </c>
      <c r="W202">
        <v>0</v>
      </c>
      <c r="AA202" t="s">
        <v>39</v>
      </c>
      <c r="AB202" t="s">
        <v>40</v>
      </c>
      <c r="AC202" t="s">
        <v>68</v>
      </c>
      <c r="AD202" t="s">
        <v>41</v>
      </c>
    </row>
    <row r="203" spans="1:30" hidden="1" x14ac:dyDescent="0.3">
      <c r="A203" s="1">
        <v>45506</v>
      </c>
      <c r="B203" t="s">
        <v>311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213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280340</v>
      </c>
      <c r="Q203" t="s">
        <v>75</v>
      </c>
      <c r="R203" t="s">
        <v>76</v>
      </c>
      <c r="S203" t="s">
        <v>38</v>
      </c>
      <c r="T203">
        <v>0</v>
      </c>
      <c r="U203">
        <v>1</v>
      </c>
      <c r="V203" s="2">
        <v>4.1666666666666664E-2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45509</v>
      </c>
      <c r="B204" t="s">
        <v>311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213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280887</v>
      </c>
      <c r="Q204" t="s">
        <v>75</v>
      </c>
      <c r="R204" t="s">
        <v>76</v>
      </c>
      <c r="S204" t="s">
        <v>38</v>
      </c>
      <c r="T204">
        <v>0</v>
      </c>
      <c r="U204">
        <v>1</v>
      </c>
      <c r="V204" s="2">
        <v>4.1666666666666664E-2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45510</v>
      </c>
      <c r="B205" t="s">
        <v>311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213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281269</v>
      </c>
      <c r="Q205" t="s">
        <v>75</v>
      </c>
      <c r="R205" t="s">
        <v>76</v>
      </c>
      <c r="S205" t="s">
        <v>38</v>
      </c>
      <c r="T205">
        <v>0</v>
      </c>
      <c r="U205">
        <v>1.25</v>
      </c>
      <c r="V205" s="2">
        <v>5.2083333333333336E-2</v>
      </c>
      <c r="W205">
        <v>0</v>
      </c>
      <c r="AA205" t="s">
        <v>39</v>
      </c>
      <c r="AB205" t="s">
        <v>40</v>
      </c>
      <c r="AC205" t="s">
        <v>68</v>
      </c>
      <c r="AD205" t="s">
        <v>41</v>
      </c>
    </row>
    <row r="206" spans="1:30" hidden="1" x14ac:dyDescent="0.3">
      <c r="A206" s="1">
        <v>45511</v>
      </c>
      <c r="B206" t="s">
        <v>311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213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282221</v>
      </c>
      <c r="Q206" t="s">
        <v>75</v>
      </c>
      <c r="R206" t="s">
        <v>76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68</v>
      </c>
      <c r="AD206" t="s">
        <v>41</v>
      </c>
    </row>
    <row r="207" spans="1:30" hidden="1" x14ac:dyDescent="0.3">
      <c r="A207" s="1">
        <v>45512</v>
      </c>
      <c r="B207" t="s">
        <v>311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213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282233</v>
      </c>
      <c r="Q207" t="s">
        <v>75</v>
      </c>
      <c r="R207" t="s">
        <v>76</v>
      </c>
      <c r="S207" t="s">
        <v>38</v>
      </c>
      <c r="T207">
        <v>0</v>
      </c>
      <c r="U207">
        <v>0.25</v>
      </c>
      <c r="V207" s="2">
        <v>1.0416666666666666E-2</v>
      </c>
      <c r="W207">
        <v>0</v>
      </c>
      <c r="AA207" t="s">
        <v>39</v>
      </c>
      <c r="AB207" t="s">
        <v>40</v>
      </c>
      <c r="AC207" t="s">
        <v>68</v>
      </c>
      <c r="AD207" t="s">
        <v>41</v>
      </c>
    </row>
    <row r="208" spans="1:30" hidden="1" x14ac:dyDescent="0.3">
      <c r="A208" s="1">
        <v>45516</v>
      </c>
      <c r="B208" t="s">
        <v>311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213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283198</v>
      </c>
      <c r="Q208" t="s">
        <v>75</v>
      </c>
      <c r="R208" t="s">
        <v>76</v>
      </c>
      <c r="S208" t="s">
        <v>38</v>
      </c>
      <c r="T208">
        <v>0</v>
      </c>
      <c r="U208">
        <v>0.25</v>
      </c>
      <c r="V208" s="2">
        <v>1.0416666666666666E-2</v>
      </c>
      <c r="W208">
        <v>0</v>
      </c>
      <c r="AA208" t="s">
        <v>39</v>
      </c>
      <c r="AB208" t="s">
        <v>40</v>
      </c>
      <c r="AC208" t="s">
        <v>68</v>
      </c>
      <c r="AD208" t="s">
        <v>41</v>
      </c>
    </row>
    <row r="209" spans="1:30" hidden="1" x14ac:dyDescent="0.3">
      <c r="A209" s="1">
        <v>45518</v>
      </c>
      <c r="B209" t="s">
        <v>311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213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284346</v>
      </c>
      <c r="Q209" t="s">
        <v>75</v>
      </c>
      <c r="R209" t="s">
        <v>76</v>
      </c>
      <c r="S209" t="s">
        <v>38</v>
      </c>
      <c r="T209">
        <v>0</v>
      </c>
      <c r="U209">
        <v>1.5</v>
      </c>
      <c r="V209" s="2">
        <v>6.25E-2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hidden="1" x14ac:dyDescent="0.3">
      <c r="A210" s="1">
        <v>45519</v>
      </c>
      <c r="B210" t="s">
        <v>311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213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285547</v>
      </c>
      <c r="Q210" t="s">
        <v>75</v>
      </c>
      <c r="R210" t="s">
        <v>76</v>
      </c>
      <c r="S210" t="s">
        <v>38</v>
      </c>
      <c r="T210">
        <v>0</v>
      </c>
      <c r="U210">
        <v>0.25</v>
      </c>
      <c r="V210" s="2">
        <v>1.0416666666666666E-2</v>
      </c>
      <c r="W210">
        <v>0</v>
      </c>
      <c r="AA210" t="s">
        <v>39</v>
      </c>
      <c r="AB210" t="s">
        <v>40</v>
      </c>
      <c r="AC210" t="s">
        <v>68</v>
      </c>
      <c r="AD210" t="s">
        <v>41</v>
      </c>
    </row>
    <row r="211" spans="1:30" hidden="1" x14ac:dyDescent="0.3">
      <c r="A211" s="1">
        <v>45520</v>
      </c>
      <c r="B211" t="s">
        <v>311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213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285551</v>
      </c>
      <c r="Q211" t="s">
        <v>75</v>
      </c>
      <c r="R211" t="s">
        <v>76</v>
      </c>
      <c r="S211" t="s">
        <v>38</v>
      </c>
      <c r="T211">
        <v>0</v>
      </c>
      <c r="U211">
        <v>0.25</v>
      </c>
      <c r="V211" s="2">
        <v>1.0416666666666666E-2</v>
      </c>
      <c r="W211">
        <v>0</v>
      </c>
      <c r="AA211" t="s">
        <v>39</v>
      </c>
      <c r="AB211" t="s">
        <v>40</v>
      </c>
      <c r="AC211" t="s">
        <v>68</v>
      </c>
      <c r="AD211" t="s">
        <v>41</v>
      </c>
    </row>
    <row r="212" spans="1:30" hidden="1" x14ac:dyDescent="0.3">
      <c r="A212" s="1">
        <v>45523</v>
      </c>
      <c r="B212" t="s">
        <v>311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213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286301</v>
      </c>
      <c r="Q212" t="s">
        <v>75</v>
      </c>
      <c r="R212" t="s">
        <v>76</v>
      </c>
      <c r="S212" t="s">
        <v>38</v>
      </c>
      <c r="T212">
        <v>0</v>
      </c>
      <c r="U212">
        <v>0.25</v>
      </c>
      <c r="V212" s="2">
        <v>1.0416666666666666E-2</v>
      </c>
      <c r="W212">
        <v>0</v>
      </c>
      <c r="AA212" t="s">
        <v>39</v>
      </c>
      <c r="AB212" t="s">
        <v>40</v>
      </c>
      <c r="AC212" t="s">
        <v>68</v>
      </c>
      <c r="AD212" t="s">
        <v>41</v>
      </c>
    </row>
    <row r="213" spans="1:30" hidden="1" x14ac:dyDescent="0.3">
      <c r="A213" s="1">
        <v>45525</v>
      </c>
      <c r="B213" t="s">
        <v>311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213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287682</v>
      </c>
      <c r="Q213" t="s">
        <v>75</v>
      </c>
      <c r="R213" t="s">
        <v>76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B213" t="s">
        <v>40</v>
      </c>
      <c r="AC213" t="s">
        <v>68</v>
      </c>
      <c r="AD213" t="s">
        <v>41</v>
      </c>
    </row>
    <row r="214" spans="1:30" hidden="1" x14ac:dyDescent="0.3">
      <c r="A214" s="1">
        <v>45526</v>
      </c>
      <c r="B214" t="s">
        <v>311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213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287820</v>
      </c>
      <c r="Q214" t="s">
        <v>75</v>
      </c>
      <c r="R214" t="s">
        <v>76</v>
      </c>
      <c r="S214" t="s">
        <v>38</v>
      </c>
      <c r="T214">
        <v>0</v>
      </c>
      <c r="U214">
        <v>1</v>
      </c>
      <c r="V214" s="2">
        <v>4.1666666666666664E-2</v>
      </c>
      <c r="W214">
        <v>0</v>
      </c>
      <c r="AA214" t="s">
        <v>39</v>
      </c>
      <c r="AB214" t="s">
        <v>40</v>
      </c>
      <c r="AC214" t="s">
        <v>68</v>
      </c>
      <c r="AD214" t="s">
        <v>41</v>
      </c>
    </row>
    <row r="215" spans="1:30" hidden="1" x14ac:dyDescent="0.3">
      <c r="A215" s="1">
        <v>45527</v>
      </c>
      <c r="B215" t="s">
        <v>311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213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288208</v>
      </c>
      <c r="Q215" t="s">
        <v>75</v>
      </c>
      <c r="R215" t="s">
        <v>76</v>
      </c>
      <c r="S215" t="s">
        <v>38</v>
      </c>
      <c r="T215">
        <v>0</v>
      </c>
      <c r="U215">
        <v>1</v>
      </c>
      <c r="V215" s="2">
        <v>4.1666666666666664E-2</v>
      </c>
      <c r="W215">
        <v>0</v>
      </c>
      <c r="AA215" t="s">
        <v>39</v>
      </c>
      <c r="AB215" t="s">
        <v>40</v>
      </c>
      <c r="AC215" t="s">
        <v>68</v>
      </c>
      <c r="AD215" t="s">
        <v>41</v>
      </c>
    </row>
    <row r="216" spans="1:30" hidden="1" x14ac:dyDescent="0.3">
      <c r="A216" s="1">
        <v>45530</v>
      </c>
      <c r="B216" t="s">
        <v>311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213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289110</v>
      </c>
      <c r="Q216" t="s">
        <v>75</v>
      </c>
      <c r="R216" t="s">
        <v>76</v>
      </c>
      <c r="S216" t="s">
        <v>38</v>
      </c>
      <c r="T216">
        <v>0</v>
      </c>
      <c r="U216">
        <v>0.25</v>
      </c>
      <c r="V216" s="2">
        <v>1.0416666666666666E-2</v>
      </c>
      <c r="W216">
        <v>0</v>
      </c>
      <c r="AA216" t="s">
        <v>39</v>
      </c>
      <c r="AB216" t="s">
        <v>40</v>
      </c>
      <c r="AC216" t="s">
        <v>68</v>
      </c>
      <c r="AD216" t="s">
        <v>41</v>
      </c>
    </row>
    <row r="217" spans="1:30" hidden="1" x14ac:dyDescent="0.3">
      <c r="A217" s="1">
        <v>45531</v>
      </c>
      <c r="B217" t="s">
        <v>311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213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290226</v>
      </c>
      <c r="Q217" t="s">
        <v>75</v>
      </c>
      <c r="R217" t="s">
        <v>76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68</v>
      </c>
      <c r="AD217" t="s">
        <v>41</v>
      </c>
    </row>
    <row r="218" spans="1:30" hidden="1" x14ac:dyDescent="0.3">
      <c r="A218" s="1">
        <v>45538</v>
      </c>
      <c r="B218" t="s">
        <v>311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213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293549</v>
      </c>
      <c r="Q218" t="s">
        <v>75</v>
      </c>
      <c r="R218" t="s">
        <v>76</v>
      </c>
      <c r="S218" t="s">
        <v>38</v>
      </c>
      <c r="T218">
        <v>0</v>
      </c>
      <c r="U218">
        <v>0.5</v>
      </c>
      <c r="V218" s="2">
        <v>2.0833333333333332E-2</v>
      </c>
      <c r="W218">
        <v>0</v>
      </c>
      <c r="AA218" t="s">
        <v>39</v>
      </c>
      <c r="AB218" t="s">
        <v>40</v>
      </c>
      <c r="AC218" t="s">
        <v>68</v>
      </c>
      <c r="AD218" t="s">
        <v>41</v>
      </c>
    </row>
    <row r="219" spans="1:30" hidden="1" x14ac:dyDescent="0.3">
      <c r="A219" s="1">
        <v>45553</v>
      </c>
      <c r="B219" t="s">
        <v>311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213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298897</v>
      </c>
      <c r="Q219" t="s">
        <v>75</v>
      </c>
      <c r="R219" t="s">
        <v>76</v>
      </c>
      <c r="S219" t="s">
        <v>38</v>
      </c>
      <c r="T219">
        <v>0</v>
      </c>
      <c r="U219">
        <v>0.5</v>
      </c>
      <c r="V219" s="2">
        <v>2.0833333333333332E-2</v>
      </c>
      <c r="W219">
        <v>0</v>
      </c>
      <c r="AA219" t="s">
        <v>39</v>
      </c>
      <c r="AB219" t="s">
        <v>40</v>
      </c>
      <c r="AC219" t="s">
        <v>68</v>
      </c>
      <c r="AD219" t="s">
        <v>41</v>
      </c>
    </row>
    <row r="220" spans="1:30" x14ac:dyDescent="0.3">
      <c r="A220" s="1">
        <v>45581</v>
      </c>
      <c r="B220" t="s">
        <v>311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213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310958</v>
      </c>
      <c r="Q220" t="s">
        <v>75</v>
      </c>
      <c r="R220" t="s">
        <v>76</v>
      </c>
      <c r="S220" t="s">
        <v>38</v>
      </c>
      <c r="T220">
        <v>0</v>
      </c>
      <c r="U220">
        <v>0.5</v>
      </c>
      <c r="V220" s="2">
        <v>2.0833333333333332E-2</v>
      </c>
      <c r="W220">
        <v>0</v>
      </c>
      <c r="AA220" t="s">
        <v>39</v>
      </c>
      <c r="AC220" t="s">
        <v>68</v>
      </c>
      <c r="AD220" t="s">
        <v>41</v>
      </c>
    </row>
    <row r="221" spans="1:30" hidden="1" x14ac:dyDescent="0.3">
      <c r="A221" s="1">
        <v>45387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213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231787</v>
      </c>
      <c r="Q221" t="s">
        <v>75</v>
      </c>
      <c r="R221" t="s">
        <v>76</v>
      </c>
      <c r="S221" t="s">
        <v>38</v>
      </c>
      <c r="T221">
        <v>0</v>
      </c>
      <c r="U221">
        <v>1</v>
      </c>
      <c r="V221" s="2">
        <v>4.1666666666666664E-2</v>
      </c>
      <c r="W221">
        <v>0</v>
      </c>
      <c r="AA221" t="s">
        <v>39</v>
      </c>
      <c r="AB221" t="s">
        <v>40</v>
      </c>
      <c r="AC221" t="s">
        <v>68</v>
      </c>
      <c r="AD221" t="s">
        <v>41</v>
      </c>
    </row>
    <row r="222" spans="1:30" hidden="1" x14ac:dyDescent="0.3">
      <c r="A222" s="1">
        <v>45390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213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232286</v>
      </c>
      <c r="Q222" t="s">
        <v>59</v>
      </c>
      <c r="R222" t="s">
        <v>37</v>
      </c>
      <c r="S222" t="s">
        <v>38</v>
      </c>
      <c r="T222">
        <v>90</v>
      </c>
      <c r="U222">
        <v>0.5</v>
      </c>
      <c r="V222" s="2">
        <v>2.0833333333333332E-2</v>
      </c>
      <c r="W222">
        <v>45</v>
      </c>
      <c r="X222">
        <v>59.5</v>
      </c>
      <c r="Y222">
        <v>14.5</v>
      </c>
      <c r="Z222" t="s">
        <v>192</v>
      </c>
      <c r="AA222" t="s">
        <v>39</v>
      </c>
      <c r="AB222" t="s">
        <v>40</v>
      </c>
      <c r="AC222" t="s">
        <v>86</v>
      </c>
      <c r="AD222" t="s">
        <v>41</v>
      </c>
    </row>
    <row r="223" spans="1:30" hidden="1" x14ac:dyDescent="0.3">
      <c r="A223" s="1">
        <v>45390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213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232311</v>
      </c>
      <c r="Q223" t="s">
        <v>75</v>
      </c>
      <c r="R223" t="s">
        <v>76</v>
      </c>
      <c r="S223" t="s">
        <v>38</v>
      </c>
      <c r="T223">
        <v>0</v>
      </c>
      <c r="U223">
        <v>0.5</v>
      </c>
      <c r="V223" s="2">
        <v>2.0833333333333332E-2</v>
      </c>
      <c r="W223">
        <v>0</v>
      </c>
      <c r="AA223" t="s">
        <v>39</v>
      </c>
      <c r="AB223" t="s">
        <v>40</v>
      </c>
      <c r="AC223" t="s">
        <v>87</v>
      </c>
      <c r="AD223" t="s">
        <v>41</v>
      </c>
    </row>
    <row r="224" spans="1:30" hidden="1" x14ac:dyDescent="0.3">
      <c r="A224" s="1">
        <v>45391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213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232949</v>
      </c>
      <c r="Q224" t="s">
        <v>59</v>
      </c>
      <c r="R224" t="s">
        <v>37</v>
      </c>
      <c r="S224" t="s">
        <v>38</v>
      </c>
      <c r="T224">
        <v>90</v>
      </c>
      <c r="U224">
        <v>1</v>
      </c>
      <c r="V224" s="2">
        <v>4.1666666666666664E-2</v>
      </c>
      <c r="W224">
        <v>90</v>
      </c>
      <c r="X224">
        <v>119.01</v>
      </c>
      <c r="Y224">
        <v>29.01</v>
      </c>
      <c r="Z224" t="s">
        <v>192</v>
      </c>
      <c r="AA224" t="s">
        <v>39</v>
      </c>
      <c r="AB224" t="s">
        <v>40</v>
      </c>
      <c r="AC224" t="s">
        <v>88</v>
      </c>
      <c r="AD224" t="s">
        <v>41</v>
      </c>
    </row>
    <row r="225" spans="1:30" hidden="1" x14ac:dyDescent="0.3">
      <c r="A225" s="1">
        <v>45392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213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233353</v>
      </c>
      <c r="Q225" t="s">
        <v>59</v>
      </c>
      <c r="R225" t="s">
        <v>37</v>
      </c>
      <c r="S225" t="s">
        <v>38</v>
      </c>
      <c r="T225">
        <v>90</v>
      </c>
      <c r="U225">
        <v>1</v>
      </c>
      <c r="V225" s="2">
        <v>4.1666666666666664E-2</v>
      </c>
      <c r="W225">
        <v>90</v>
      </c>
      <c r="X225">
        <v>119.01</v>
      </c>
      <c r="Y225">
        <v>29.01</v>
      </c>
      <c r="Z225" t="s">
        <v>192</v>
      </c>
      <c r="AA225" t="s">
        <v>39</v>
      </c>
      <c r="AB225" t="s">
        <v>40</v>
      </c>
      <c r="AC225" t="s">
        <v>89</v>
      </c>
      <c r="AD225" t="s">
        <v>41</v>
      </c>
    </row>
    <row r="226" spans="1:30" hidden="1" x14ac:dyDescent="0.3">
      <c r="A226" s="1">
        <v>45393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213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233858</v>
      </c>
      <c r="Q226" t="s">
        <v>59</v>
      </c>
      <c r="R226" t="s">
        <v>37</v>
      </c>
      <c r="S226" t="s">
        <v>38</v>
      </c>
      <c r="T226">
        <v>90</v>
      </c>
      <c r="U226">
        <v>0.5</v>
      </c>
      <c r="V226" s="2">
        <v>2.0833333333333332E-2</v>
      </c>
      <c r="W226">
        <v>45</v>
      </c>
      <c r="X226">
        <v>59.5</v>
      </c>
      <c r="Y226">
        <v>14.5</v>
      </c>
      <c r="Z226" t="s">
        <v>192</v>
      </c>
      <c r="AA226" t="s">
        <v>39</v>
      </c>
      <c r="AB226" t="s">
        <v>40</v>
      </c>
      <c r="AC226" t="s">
        <v>90</v>
      </c>
      <c r="AD226" t="s">
        <v>41</v>
      </c>
    </row>
    <row r="227" spans="1:30" hidden="1" x14ac:dyDescent="0.3">
      <c r="A227" s="1">
        <v>45393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213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234332</v>
      </c>
      <c r="Q227" t="s">
        <v>75</v>
      </c>
      <c r="R227" t="s">
        <v>76</v>
      </c>
      <c r="S227" t="s">
        <v>38</v>
      </c>
      <c r="T227">
        <v>0</v>
      </c>
      <c r="U227">
        <v>0.5</v>
      </c>
      <c r="V227" s="2">
        <v>2.0833333333333332E-2</v>
      </c>
      <c r="W227">
        <v>0</v>
      </c>
      <c r="AA227" t="s">
        <v>39</v>
      </c>
      <c r="AB227" t="s">
        <v>40</v>
      </c>
      <c r="AC227" t="s">
        <v>91</v>
      </c>
      <c r="AD227" t="s">
        <v>41</v>
      </c>
    </row>
    <row r="228" spans="1:30" hidden="1" x14ac:dyDescent="0.3">
      <c r="A228" s="1">
        <v>45397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213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235144</v>
      </c>
      <c r="Q228" t="s">
        <v>59</v>
      </c>
      <c r="R228" t="s">
        <v>37</v>
      </c>
      <c r="S228" t="s">
        <v>38</v>
      </c>
      <c r="T228">
        <v>90</v>
      </c>
      <c r="U228">
        <v>2</v>
      </c>
      <c r="V228" s="2">
        <v>8.3333333333333329E-2</v>
      </c>
      <c r="W228">
        <v>180</v>
      </c>
      <c r="X228">
        <v>238.02</v>
      </c>
      <c r="Y228">
        <v>58.02</v>
      </c>
      <c r="Z228" t="s">
        <v>192</v>
      </c>
      <c r="AA228" t="s">
        <v>39</v>
      </c>
      <c r="AB228" t="s">
        <v>40</v>
      </c>
      <c r="AC228" t="s">
        <v>149</v>
      </c>
      <c r="AD228" t="s">
        <v>41</v>
      </c>
    </row>
    <row r="229" spans="1:30" hidden="1" x14ac:dyDescent="0.3">
      <c r="A229" s="1">
        <v>45397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213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235145</v>
      </c>
      <c r="Q229" t="s">
        <v>75</v>
      </c>
      <c r="R229" t="s">
        <v>76</v>
      </c>
      <c r="S229" t="s">
        <v>38</v>
      </c>
      <c r="T229">
        <v>0</v>
      </c>
      <c r="U229">
        <v>1.5</v>
      </c>
      <c r="V229" s="2">
        <v>6.25E-2</v>
      </c>
      <c r="W229">
        <v>0</v>
      </c>
      <c r="AA229" t="s">
        <v>39</v>
      </c>
      <c r="AB229" t="s">
        <v>40</v>
      </c>
      <c r="AC229" t="s">
        <v>88</v>
      </c>
      <c r="AD229" t="s">
        <v>41</v>
      </c>
    </row>
    <row r="230" spans="1:30" hidden="1" x14ac:dyDescent="0.3">
      <c r="A230" s="1">
        <v>45398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213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235698</v>
      </c>
      <c r="Q230" t="s">
        <v>59</v>
      </c>
      <c r="R230" t="s">
        <v>37</v>
      </c>
      <c r="S230" t="s">
        <v>38</v>
      </c>
      <c r="T230">
        <v>90</v>
      </c>
      <c r="U230">
        <v>1.75</v>
      </c>
      <c r="V230" s="2">
        <v>7.2916666666666671E-2</v>
      </c>
      <c r="W230">
        <v>157.5</v>
      </c>
      <c r="X230">
        <v>208.26</v>
      </c>
      <c r="Y230">
        <v>50.76</v>
      </c>
      <c r="Z230" t="s">
        <v>192</v>
      </c>
      <c r="AA230" t="s">
        <v>39</v>
      </c>
      <c r="AB230" t="s">
        <v>40</v>
      </c>
      <c r="AC230" t="s">
        <v>150</v>
      </c>
      <c r="AD230" t="s">
        <v>41</v>
      </c>
    </row>
    <row r="231" spans="1:30" hidden="1" x14ac:dyDescent="0.3">
      <c r="A231" s="1">
        <v>45398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213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235696</v>
      </c>
      <c r="Q231" t="s">
        <v>75</v>
      </c>
      <c r="R231" t="s">
        <v>76</v>
      </c>
      <c r="S231" t="s">
        <v>38</v>
      </c>
      <c r="T231">
        <v>0</v>
      </c>
      <c r="U231">
        <v>3</v>
      </c>
      <c r="V231" s="2">
        <v>0.125</v>
      </c>
      <c r="W231">
        <v>0</v>
      </c>
      <c r="AA231" t="s">
        <v>39</v>
      </c>
      <c r="AB231" t="s">
        <v>40</v>
      </c>
      <c r="AC231" t="e">
        <f>- Call with Sachin to investigate previous error fix - Stand up - Signl4 Grainger support mailbox alert options</f>
        <v>#NAME?</v>
      </c>
      <c r="AD231" t="s">
        <v>41</v>
      </c>
    </row>
    <row r="232" spans="1:30" hidden="1" x14ac:dyDescent="0.3">
      <c r="A232" s="1">
        <v>45399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213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236100</v>
      </c>
      <c r="Q232" t="s">
        <v>75</v>
      </c>
      <c r="R232" t="s">
        <v>76</v>
      </c>
      <c r="S232" t="s">
        <v>38</v>
      </c>
      <c r="T232">
        <v>0</v>
      </c>
      <c r="U232">
        <v>1.25</v>
      </c>
      <c r="V232" s="2">
        <v>5.2083333333333336E-2</v>
      </c>
      <c r="W232">
        <v>0</v>
      </c>
      <c r="AA232" t="s">
        <v>39</v>
      </c>
      <c r="AB232" t="s">
        <v>40</v>
      </c>
      <c r="AC232" t="s">
        <v>151</v>
      </c>
      <c r="AD232" t="s">
        <v>41</v>
      </c>
    </row>
    <row r="233" spans="1:30" hidden="1" x14ac:dyDescent="0.3">
      <c r="A233" s="1">
        <v>45400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213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236900</v>
      </c>
      <c r="Q233" t="s">
        <v>59</v>
      </c>
      <c r="R233" t="s">
        <v>37</v>
      </c>
      <c r="S233" t="s">
        <v>38</v>
      </c>
      <c r="T233">
        <v>90</v>
      </c>
      <c r="U233">
        <v>0.5</v>
      </c>
      <c r="V233" s="2">
        <v>2.0833333333333332E-2</v>
      </c>
      <c r="W233">
        <v>45</v>
      </c>
      <c r="X233">
        <v>59.5</v>
      </c>
      <c r="Y233">
        <v>14.5</v>
      </c>
      <c r="Z233" t="s">
        <v>192</v>
      </c>
      <c r="AA233" t="s">
        <v>39</v>
      </c>
      <c r="AB233" t="s">
        <v>40</v>
      </c>
      <c r="AC233" t="s">
        <v>436</v>
      </c>
      <c r="AD233" t="s">
        <v>41</v>
      </c>
    </row>
    <row r="234" spans="1:30" hidden="1" x14ac:dyDescent="0.3">
      <c r="A234" s="1">
        <v>45400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213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236740</v>
      </c>
      <c r="Q234" t="s">
        <v>75</v>
      </c>
      <c r="R234" t="s">
        <v>76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B234" t="s">
        <v>40</v>
      </c>
      <c r="AC234" t="s">
        <v>68</v>
      </c>
      <c r="AD234" t="s">
        <v>41</v>
      </c>
    </row>
    <row r="235" spans="1:30" hidden="1" x14ac:dyDescent="0.3">
      <c r="A235" s="1">
        <v>45401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213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237309</v>
      </c>
      <c r="Q235" t="s">
        <v>59</v>
      </c>
      <c r="R235" t="s">
        <v>37</v>
      </c>
      <c r="S235" t="s">
        <v>38</v>
      </c>
      <c r="T235">
        <v>90</v>
      </c>
      <c r="U235">
        <v>1.75</v>
      </c>
      <c r="V235" s="2">
        <v>7.2916666666666671E-2</v>
      </c>
      <c r="W235">
        <v>157.5</v>
      </c>
      <c r="X235">
        <v>208.26</v>
      </c>
      <c r="Y235">
        <v>50.76</v>
      </c>
      <c r="Z235" t="s">
        <v>192</v>
      </c>
      <c r="AA235" t="s">
        <v>39</v>
      </c>
      <c r="AB235" t="s">
        <v>40</v>
      </c>
      <c r="AC235" t="s">
        <v>152</v>
      </c>
      <c r="AD235" t="s">
        <v>41</v>
      </c>
    </row>
    <row r="236" spans="1:30" hidden="1" x14ac:dyDescent="0.3">
      <c r="A236" s="1">
        <v>45404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213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237812</v>
      </c>
      <c r="Q236" t="s">
        <v>59</v>
      </c>
      <c r="R236" t="s">
        <v>37</v>
      </c>
      <c r="S236" t="s">
        <v>38</v>
      </c>
      <c r="T236">
        <v>90</v>
      </c>
      <c r="U236">
        <v>0.75</v>
      </c>
      <c r="V236" s="2">
        <v>3.125E-2</v>
      </c>
      <c r="W236">
        <v>67.5</v>
      </c>
      <c r="X236">
        <v>89.26</v>
      </c>
      <c r="Y236">
        <v>21.76</v>
      </c>
      <c r="Z236" t="s">
        <v>192</v>
      </c>
      <c r="AA236" t="s">
        <v>39</v>
      </c>
      <c r="AB236" t="s">
        <v>40</v>
      </c>
      <c r="AC236" t="s">
        <v>153</v>
      </c>
      <c r="AD236" t="s">
        <v>41</v>
      </c>
    </row>
    <row r="237" spans="1:30" hidden="1" x14ac:dyDescent="0.3">
      <c r="A237" s="1">
        <v>45405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213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238745</v>
      </c>
      <c r="Q237" t="s">
        <v>59</v>
      </c>
      <c r="R237" t="s">
        <v>37</v>
      </c>
      <c r="S237" t="s">
        <v>38</v>
      </c>
      <c r="T237">
        <v>90</v>
      </c>
      <c r="U237">
        <v>0.75</v>
      </c>
      <c r="V237" s="2">
        <v>3.125E-2</v>
      </c>
      <c r="W237">
        <v>67.5</v>
      </c>
      <c r="X237">
        <v>89.26</v>
      </c>
      <c r="Y237">
        <v>21.76</v>
      </c>
      <c r="Z237" t="s">
        <v>192</v>
      </c>
      <c r="AA237" t="s">
        <v>39</v>
      </c>
      <c r="AB237" t="s">
        <v>40</v>
      </c>
      <c r="AC237" t="s">
        <v>173</v>
      </c>
      <c r="AD237" t="s">
        <v>41</v>
      </c>
    </row>
    <row r="238" spans="1:30" hidden="1" x14ac:dyDescent="0.3">
      <c r="A238" s="1">
        <v>45408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213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240088</v>
      </c>
      <c r="Q238" t="s">
        <v>59</v>
      </c>
      <c r="R238" t="s">
        <v>37</v>
      </c>
      <c r="S238" t="s">
        <v>38</v>
      </c>
      <c r="T238">
        <v>90</v>
      </c>
      <c r="U238">
        <v>2</v>
      </c>
      <c r="V238" s="2">
        <v>8.3333333333333329E-2</v>
      </c>
      <c r="W238">
        <v>180</v>
      </c>
      <c r="X238">
        <v>238.02</v>
      </c>
      <c r="Y238">
        <v>58.02</v>
      </c>
      <c r="Z238" t="s">
        <v>192</v>
      </c>
      <c r="AA238" t="s">
        <v>39</v>
      </c>
      <c r="AB238" t="s">
        <v>40</v>
      </c>
      <c r="AC238" t="s">
        <v>174</v>
      </c>
      <c r="AD238" t="s">
        <v>41</v>
      </c>
    </row>
    <row r="239" spans="1:30" hidden="1" x14ac:dyDescent="0.3">
      <c r="A239" s="1">
        <v>45411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213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240870</v>
      </c>
      <c r="Q239" t="s">
        <v>59</v>
      </c>
      <c r="R239" t="s">
        <v>37</v>
      </c>
      <c r="S239" t="s">
        <v>38</v>
      </c>
      <c r="T239">
        <v>90</v>
      </c>
      <c r="U239">
        <v>1.5</v>
      </c>
      <c r="V239" s="2">
        <v>6.25E-2</v>
      </c>
      <c r="W239">
        <v>135</v>
      </c>
      <c r="X239">
        <v>178.51</v>
      </c>
      <c r="Y239">
        <v>43.51</v>
      </c>
      <c r="Z239" t="s">
        <v>192</v>
      </c>
      <c r="AA239" t="s">
        <v>39</v>
      </c>
      <c r="AB239" t="s">
        <v>40</v>
      </c>
      <c r="AC239" t="s">
        <v>175</v>
      </c>
      <c r="AD239" t="s">
        <v>41</v>
      </c>
    </row>
    <row r="240" spans="1:30" hidden="1" x14ac:dyDescent="0.3">
      <c r="A240" s="1">
        <v>45411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213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241891</v>
      </c>
      <c r="Q240" t="s">
        <v>75</v>
      </c>
      <c r="R240" t="s">
        <v>76</v>
      </c>
      <c r="S240" t="s">
        <v>38</v>
      </c>
      <c r="T240">
        <v>0</v>
      </c>
      <c r="U240">
        <v>0.5</v>
      </c>
      <c r="V240" s="2">
        <v>2.0833333333333332E-2</v>
      </c>
      <c r="W240">
        <v>0</v>
      </c>
      <c r="AA240" t="s">
        <v>39</v>
      </c>
      <c r="AB240" t="s">
        <v>40</v>
      </c>
      <c r="AC240" t="s">
        <v>68</v>
      </c>
      <c r="AD240" t="s">
        <v>41</v>
      </c>
    </row>
    <row r="241" spans="1:30" hidden="1" x14ac:dyDescent="0.3">
      <c r="A241" s="1">
        <v>45414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213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242593</v>
      </c>
      <c r="Q241" t="s">
        <v>59</v>
      </c>
      <c r="R241" t="s">
        <v>37</v>
      </c>
      <c r="S241" t="s">
        <v>38</v>
      </c>
      <c r="T241">
        <v>90</v>
      </c>
      <c r="U241">
        <v>1.5</v>
      </c>
      <c r="V241" s="2">
        <v>6.25E-2</v>
      </c>
      <c r="W241">
        <v>135</v>
      </c>
      <c r="X241">
        <v>181.51</v>
      </c>
      <c r="Y241">
        <v>46.51</v>
      </c>
      <c r="Z241" t="s">
        <v>282</v>
      </c>
      <c r="AA241" t="s">
        <v>39</v>
      </c>
      <c r="AB241" t="s">
        <v>40</v>
      </c>
      <c r="AC241" t="s">
        <v>196</v>
      </c>
      <c r="AD241" t="s">
        <v>41</v>
      </c>
    </row>
    <row r="242" spans="1:30" hidden="1" x14ac:dyDescent="0.3">
      <c r="A242" s="1">
        <v>45415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213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243054</v>
      </c>
      <c r="Q242" t="s">
        <v>59</v>
      </c>
      <c r="R242" t="s">
        <v>37</v>
      </c>
      <c r="S242" t="s">
        <v>38</v>
      </c>
      <c r="T242">
        <v>90</v>
      </c>
      <c r="U242">
        <v>2.75</v>
      </c>
      <c r="V242" s="2">
        <v>0.11458333333333333</v>
      </c>
      <c r="W242">
        <v>247.5</v>
      </c>
      <c r="X242">
        <v>332.77</v>
      </c>
      <c r="Y242">
        <v>85.27</v>
      </c>
      <c r="Z242" t="s">
        <v>282</v>
      </c>
      <c r="AA242" t="s">
        <v>39</v>
      </c>
      <c r="AB242" t="s">
        <v>40</v>
      </c>
      <c r="AC242" t="s">
        <v>197</v>
      </c>
      <c r="AD242" t="s">
        <v>41</v>
      </c>
    </row>
    <row r="243" spans="1:30" hidden="1" x14ac:dyDescent="0.3">
      <c r="A243" s="1">
        <v>45418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213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243722</v>
      </c>
      <c r="Q243" t="s">
        <v>59</v>
      </c>
      <c r="R243" t="s">
        <v>37</v>
      </c>
      <c r="S243" t="s">
        <v>38</v>
      </c>
      <c r="T243">
        <v>90</v>
      </c>
      <c r="U243">
        <v>2</v>
      </c>
      <c r="V243" s="2">
        <v>8.3333333333333329E-2</v>
      </c>
      <c r="W243">
        <v>180</v>
      </c>
      <c r="X243">
        <v>242.02</v>
      </c>
      <c r="Y243">
        <v>62.02</v>
      </c>
      <c r="Z243" t="s">
        <v>282</v>
      </c>
      <c r="AA243" t="s">
        <v>39</v>
      </c>
      <c r="AB243" t="s">
        <v>40</v>
      </c>
      <c r="AC243" t="s">
        <v>437</v>
      </c>
      <c r="AD243" t="s">
        <v>41</v>
      </c>
    </row>
    <row r="244" spans="1:30" hidden="1" x14ac:dyDescent="0.3">
      <c r="A244" s="1">
        <v>45418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213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243723</v>
      </c>
      <c r="Q244" t="s">
        <v>75</v>
      </c>
      <c r="R244" t="s">
        <v>76</v>
      </c>
      <c r="S244" t="s">
        <v>38</v>
      </c>
      <c r="T244">
        <v>0</v>
      </c>
      <c r="U244">
        <v>1.5</v>
      </c>
      <c r="V244" s="2">
        <v>6.25E-2</v>
      </c>
      <c r="W244">
        <v>0</v>
      </c>
      <c r="AA244" t="s">
        <v>39</v>
      </c>
      <c r="AB244" t="s">
        <v>40</v>
      </c>
      <c r="AC244" t="s">
        <v>219</v>
      </c>
      <c r="AD244" t="s">
        <v>41</v>
      </c>
    </row>
    <row r="245" spans="1:30" hidden="1" x14ac:dyDescent="0.3">
      <c r="A245" s="1">
        <v>45421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213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245138</v>
      </c>
      <c r="Q245" t="s">
        <v>59</v>
      </c>
      <c r="R245" t="s">
        <v>37</v>
      </c>
      <c r="S245" t="s">
        <v>38</v>
      </c>
      <c r="T245">
        <v>90</v>
      </c>
      <c r="U245">
        <v>0.75</v>
      </c>
      <c r="V245" s="2">
        <v>3.125E-2</v>
      </c>
      <c r="W245">
        <v>67.5</v>
      </c>
      <c r="X245">
        <v>90.76</v>
      </c>
      <c r="Y245">
        <v>23.26</v>
      </c>
      <c r="Z245" t="s">
        <v>282</v>
      </c>
      <c r="AA245" t="s">
        <v>39</v>
      </c>
      <c r="AB245" t="s">
        <v>40</v>
      </c>
      <c r="AC245" t="s">
        <v>220</v>
      </c>
      <c r="AD245" t="s">
        <v>41</v>
      </c>
    </row>
    <row r="246" spans="1:30" hidden="1" x14ac:dyDescent="0.3">
      <c r="A246" s="1">
        <v>45421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213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245137</v>
      </c>
      <c r="Q246" t="s">
        <v>75</v>
      </c>
      <c r="R246" t="s">
        <v>76</v>
      </c>
      <c r="S246" t="s">
        <v>38</v>
      </c>
      <c r="T246">
        <v>0</v>
      </c>
      <c r="U246">
        <v>1.75</v>
      </c>
      <c r="V246" s="2">
        <v>7.2916666666666671E-2</v>
      </c>
      <c r="W246">
        <v>0</v>
      </c>
      <c r="AA246" t="s">
        <v>39</v>
      </c>
      <c r="AB246" t="s">
        <v>40</v>
      </c>
      <c r="AC246" t="e">
        <f>- Ticket update catch ups - BSS-22</f>
        <v>#NAME?</v>
      </c>
      <c r="AD246" t="s">
        <v>41</v>
      </c>
    </row>
    <row r="247" spans="1:30" hidden="1" x14ac:dyDescent="0.3">
      <c r="A247" s="1">
        <v>45422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213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247045</v>
      </c>
      <c r="Q247" t="s">
        <v>75</v>
      </c>
      <c r="R247" t="s">
        <v>76</v>
      </c>
      <c r="S247" t="s">
        <v>38</v>
      </c>
      <c r="T247">
        <v>0</v>
      </c>
      <c r="U247">
        <v>1.5</v>
      </c>
      <c r="V247" s="2">
        <v>6.25E-2</v>
      </c>
      <c r="W247">
        <v>0</v>
      </c>
      <c r="AA247" t="s">
        <v>39</v>
      </c>
      <c r="AB247" t="s">
        <v>40</v>
      </c>
      <c r="AC247" t="s">
        <v>68</v>
      </c>
      <c r="AD247" t="s">
        <v>41</v>
      </c>
    </row>
    <row r="248" spans="1:30" hidden="1" x14ac:dyDescent="0.3">
      <c r="A248" s="1">
        <v>45425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213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247044</v>
      </c>
      <c r="Q248" t="s">
        <v>75</v>
      </c>
      <c r="R248" t="s">
        <v>76</v>
      </c>
      <c r="S248" t="s">
        <v>38</v>
      </c>
      <c r="T248">
        <v>0</v>
      </c>
      <c r="U248">
        <v>3.5</v>
      </c>
      <c r="V248" s="2">
        <v>0.14583333333333334</v>
      </c>
      <c r="W248">
        <v>0</v>
      </c>
      <c r="AA248" t="s">
        <v>39</v>
      </c>
      <c r="AB248" t="s">
        <v>40</v>
      </c>
      <c r="AC248" t="s">
        <v>68</v>
      </c>
      <c r="AD248" t="s">
        <v>41</v>
      </c>
    </row>
    <row r="249" spans="1:30" hidden="1" x14ac:dyDescent="0.3">
      <c r="A249" s="1">
        <v>45426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213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246863</v>
      </c>
      <c r="Q249" t="s">
        <v>75</v>
      </c>
      <c r="R249" t="s">
        <v>76</v>
      </c>
      <c r="S249" t="s">
        <v>38</v>
      </c>
      <c r="T249">
        <v>0</v>
      </c>
      <c r="U249">
        <v>4.5</v>
      </c>
      <c r="V249" s="2">
        <v>0.1875</v>
      </c>
      <c r="W249">
        <v>0</v>
      </c>
      <c r="AA249" t="s">
        <v>39</v>
      </c>
      <c r="AB249" t="s">
        <v>40</v>
      </c>
      <c r="AC249" t="s">
        <v>245</v>
      </c>
      <c r="AD249" t="s">
        <v>41</v>
      </c>
    </row>
    <row r="250" spans="1:30" hidden="1" x14ac:dyDescent="0.3">
      <c r="A250" s="1">
        <v>45427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213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247320</v>
      </c>
      <c r="Q250" t="s">
        <v>75</v>
      </c>
      <c r="R250" t="s">
        <v>76</v>
      </c>
      <c r="S250" t="s">
        <v>38</v>
      </c>
      <c r="T250">
        <v>0</v>
      </c>
      <c r="U250">
        <v>1.75</v>
      </c>
      <c r="V250" s="2">
        <v>7.2916666666666671E-2</v>
      </c>
      <c r="W250">
        <v>0</v>
      </c>
      <c r="AA250" t="s">
        <v>39</v>
      </c>
      <c r="AB250" t="s">
        <v>40</v>
      </c>
      <c r="AC250" t="s">
        <v>438</v>
      </c>
      <c r="AD250" t="s">
        <v>41</v>
      </c>
    </row>
    <row r="251" spans="1:30" hidden="1" x14ac:dyDescent="0.3">
      <c r="A251" s="1">
        <v>45428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213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247963</v>
      </c>
      <c r="Q251" t="s">
        <v>75</v>
      </c>
      <c r="R251" t="s">
        <v>76</v>
      </c>
      <c r="S251" t="s">
        <v>38</v>
      </c>
      <c r="T251">
        <v>0</v>
      </c>
      <c r="U251">
        <v>0.75</v>
      </c>
      <c r="V251" s="2">
        <v>3.125E-2</v>
      </c>
      <c r="W251">
        <v>0</v>
      </c>
      <c r="AA251" t="s">
        <v>39</v>
      </c>
      <c r="AB251" t="s">
        <v>40</v>
      </c>
      <c r="AC251" t="e">
        <f>- Grainger support &amp; Projects - New support Ticket BSS-36</f>
        <v>#NAME?</v>
      </c>
      <c r="AD251" t="s">
        <v>41</v>
      </c>
    </row>
    <row r="252" spans="1:30" hidden="1" x14ac:dyDescent="0.3">
      <c r="A252" s="1">
        <v>45429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213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250040</v>
      </c>
      <c r="Q252" t="s">
        <v>59</v>
      </c>
      <c r="R252" t="s">
        <v>37</v>
      </c>
      <c r="S252" t="s">
        <v>38</v>
      </c>
      <c r="T252">
        <v>90</v>
      </c>
      <c r="U252">
        <v>1</v>
      </c>
      <c r="V252" s="2">
        <v>4.1666666666666664E-2</v>
      </c>
      <c r="W252">
        <v>90</v>
      </c>
      <c r="X252">
        <v>121.01</v>
      </c>
      <c r="Y252">
        <v>31.01</v>
      </c>
      <c r="Z252" t="s">
        <v>282</v>
      </c>
      <c r="AA252" t="s">
        <v>39</v>
      </c>
      <c r="AB252" t="s">
        <v>40</v>
      </c>
      <c r="AC252" t="s">
        <v>276</v>
      </c>
      <c r="AD252" t="s">
        <v>41</v>
      </c>
    </row>
    <row r="253" spans="1:30" hidden="1" x14ac:dyDescent="0.3">
      <c r="A253" s="1">
        <v>45429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213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248633</v>
      </c>
      <c r="Q253" t="s">
        <v>75</v>
      </c>
      <c r="R253" t="s">
        <v>76</v>
      </c>
      <c r="S253" t="s">
        <v>38</v>
      </c>
      <c r="T253">
        <v>0</v>
      </c>
      <c r="U253">
        <v>0.5</v>
      </c>
      <c r="V253" s="2">
        <v>2.0833333333333332E-2</v>
      </c>
      <c r="W253">
        <v>0</v>
      </c>
      <c r="AA253" t="s">
        <v>39</v>
      </c>
      <c r="AB253" t="s">
        <v>40</v>
      </c>
      <c r="AC253" t="e">
        <f>- Grainger User Guide - Grainger support &amp; Projects</f>
        <v>#NAME?</v>
      </c>
      <c r="AD253" t="s">
        <v>41</v>
      </c>
    </row>
    <row r="254" spans="1:30" hidden="1" x14ac:dyDescent="0.3">
      <c r="A254" s="1">
        <v>45432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213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249317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277</v>
      </c>
      <c r="AD254" t="s">
        <v>41</v>
      </c>
    </row>
    <row r="255" spans="1:30" hidden="1" x14ac:dyDescent="0.3">
      <c r="A255" s="1">
        <v>45433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213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249788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277</v>
      </c>
      <c r="AD255" t="s">
        <v>41</v>
      </c>
    </row>
    <row r="256" spans="1:30" hidden="1" x14ac:dyDescent="0.3">
      <c r="A256" s="1">
        <v>45434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213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251330</v>
      </c>
      <c r="Q256" t="s">
        <v>75</v>
      </c>
      <c r="R256" t="s">
        <v>76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277</v>
      </c>
      <c r="AD256" t="s">
        <v>41</v>
      </c>
    </row>
    <row r="257" spans="1:30" hidden="1" x14ac:dyDescent="0.3">
      <c r="A257" s="1">
        <v>45435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213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251331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277</v>
      </c>
      <c r="AD257" t="s">
        <v>41</v>
      </c>
    </row>
    <row r="258" spans="1:30" hidden="1" x14ac:dyDescent="0.3">
      <c r="A258" s="1">
        <v>45439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213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251828</v>
      </c>
      <c r="Q258" t="s">
        <v>75</v>
      </c>
      <c r="R258" t="s">
        <v>76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277</v>
      </c>
      <c r="AD258" t="s">
        <v>41</v>
      </c>
    </row>
    <row r="259" spans="1:30" hidden="1" x14ac:dyDescent="0.3">
      <c r="A259" s="1">
        <v>45440</v>
      </c>
      <c r="B259" t="s">
        <v>85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213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252327</v>
      </c>
      <c r="Q259" t="s">
        <v>75</v>
      </c>
      <c r="R259" t="s">
        <v>76</v>
      </c>
      <c r="S259" t="s">
        <v>38</v>
      </c>
      <c r="T259">
        <v>0</v>
      </c>
      <c r="U259">
        <v>0.5</v>
      </c>
      <c r="V259" s="2">
        <v>2.0833333333333332E-2</v>
      </c>
      <c r="W259">
        <v>0</v>
      </c>
      <c r="AA259" t="s">
        <v>39</v>
      </c>
      <c r="AB259" t="s">
        <v>40</v>
      </c>
      <c r="AC259" t="s">
        <v>277</v>
      </c>
      <c r="AD259" t="s">
        <v>41</v>
      </c>
    </row>
    <row r="260" spans="1:30" hidden="1" x14ac:dyDescent="0.3">
      <c r="A260" s="1">
        <v>45441</v>
      </c>
      <c r="B260" t="s">
        <v>85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213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252723</v>
      </c>
      <c r="Q260" t="s">
        <v>75</v>
      </c>
      <c r="R260" t="s">
        <v>76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45442</v>
      </c>
      <c r="B261" t="s">
        <v>85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213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253420</v>
      </c>
      <c r="Q261" t="s">
        <v>75</v>
      </c>
      <c r="R261" t="s">
        <v>76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hidden="1" x14ac:dyDescent="0.3">
      <c r="A262" s="1">
        <v>45446</v>
      </c>
      <c r="B262" t="s">
        <v>85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213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254954</v>
      </c>
      <c r="Q262" t="s">
        <v>75</v>
      </c>
      <c r="R262" t="s">
        <v>76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277</v>
      </c>
      <c r="AD262" t="s">
        <v>41</v>
      </c>
    </row>
    <row r="263" spans="1:30" hidden="1" x14ac:dyDescent="0.3">
      <c r="A263" s="1">
        <v>45447</v>
      </c>
      <c r="B263" t="s">
        <v>85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213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254949</v>
      </c>
      <c r="Q263" t="s">
        <v>75</v>
      </c>
      <c r="R263" t="s">
        <v>76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277</v>
      </c>
      <c r="AD263" t="s">
        <v>41</v>
      </c>
    </row>
    <row r="264" spans="1:30" hidden="1" x14ac:dyDescent="0.3">
      <c r="A264" s="1">
        <v>45448</v>
      </c>
      <c r="B264" t="s">
        <v>85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213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255690</v>
      </c>
      <c r="Q264" t="s">
        <v>75</v>
      </c>
      <c r="R264" t="s">
        <v>76</v>
      </c>
      <c r="S264" t="s">
        <v>38</v>
      </c>
      <c r="T264">
        <v>0</v>
      </c>
      <c r="U264">
        <v>1</v>
      </c>
      <c r="V264" s="2">
        <v>4.1666666666666664E-2</v>
      </c>
      <c r="W264">
        <v>0</v>
      </c>
      <c r="AA264" t="s">
        <v>39</v>
      </c>
      <c r="AB264" t="s">
        <v>40</v>
      </c>
      <c r="AC264" t="s">
        <v>68</v>
      </c>
      <c r="AD264" t="s">
        <v>41</v>
      </c>
    </row>
    <row r="265" spans="1:30" hidden="1" x14ac:dyDescent="0.3">
      <c r="A265" s="1">
        <v>45453</v>
      </c>
      <c r="B265" t="s">
        <v>85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213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257212</v>
      </c>
      <c r="Q265" t="s">
        <v>75</v>
      </c>
      <c r="R265" t="s">
        <v>76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B265" t="s">
        <v>40</v>
      </c>
      <c r="AC265" t="s">
        <v>277</v>
      </c>
      <c r="AD265" t="s">
        <v>41</v>
      </c>
    </row>
    <row r="266" spans="1:30" hidden="1" x14ac:dyDescent="0.3">
      <c r="A266" s="1">
        <v>45454</v>
      </c>
      <c r="B266" t="s">
        <v>85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213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257682</v>
      </c>
      <c r="Q266" t="s">
        <v>75</v>
      </c>
      <c r="R266" t="s">
        <v>76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B266" t="s">
        <v>40</v>
      </c>
      <c r="AC266" t="s">
        <v>277</v>
      </c>
      <c r="AD266" t="s">
        <v>41</v>
      </c>
    </row>
    <row r="267" spans="1:30" hidden="1" x14ac:dyDescent="0.3">
      <c r="A267" s="1">
        <v>45455</v>
      </c>
      <c r="B267" t="s">
        <v>85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213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58</v>
      </c>
      <c r="P267">
        <v>258328</v>
      </c>
      <c r="Q267" t="s">
        <v>75</v>
      </c>
      <c r="R267" t="s">
        <v>76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277</v>
      </c>
      <c r="AD267" t="s">
        <v>41</v>
      </c>
    </row>
    <row r="268" spans="1:30" hidden="1" x14ac:dyDescent="0.3">
      <c r="A268" s="1">
        <v>45456</v>
      </c>
      <c r="B268" t="s">
        <v>85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213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58</v>
      </c>
      <c r="P268">
        <v>258900</v>
      </c>
      <c r="Q268" t="s">
        <v>75</v>
      </c>
      <c r="R268" t="s">
        <v>76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277</v>
      </c>
      <c r="AD268" t="s">
        <v>41</v>
      </c>
    </row>
    <row r="269" spans="1:30" hidden="1" x14ac:dyDescent="0.3">
      <c r="A269" s="1">
        <v>45461</v>
      </c>
      <c r="B269" t="s">
        <v>85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213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58</v>
      </c>
      <c r="P269">
        <v>260644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277</v>
      </c>
      <c r="AD269" t="s">
        <v>41</v>
      </c>
    </row>
    <row r="270" spans="1:30" hidden="1" x14ac:dyDescent="0.3">
      <c r="A270" s="1">
        <v>45462</v>
      </c>
      <c r="B270" t="s">
        <v>85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213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58</v>
      </c>
      <c r="P270">
        <v>260645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45463</v>
      </c>
      <c r="B271" t="s">
        <v>85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213</v>
      </c>
      <c r="J271" t="s">
        <v>34</v>
      </c>
      <c r="K271" t="s">
        <v>31</v>
      </c>
      <c r="L271" t="s">
        <v>35</v>
      </c>
      <c r="M271" t="s">
        <v>36</v>
      </c>
      <c r="N271" t="s">
        <v>42</v>
      </c>
      <c r="O271" t="s">
        <v>58</v>
      </c>
      <c r="P271">
        <v>261557</v>
      </c>
      <c r="Q271" t="s">
        <v>59</v>
      </c>
      <c r="R271" t="s">
        <v>37</v>
      </c>
      <c r="S271" t="s">
        <v>38</v>
      </c>
      <c r="T271">
        <v>90</v>
      </c>
      <c r="U271">
        <v>1</v>
      </c>
      <c r="V271" s="2">
        <v>4.1666666666666664E-2</v>
      </c>
      <c r="W271">
        <v>90</v>
      </c>
      <c r="X271">
        <v>120</v>
      </c>
      <c r="Y271">
        <v>30</v>
      </c>
      <c r="Z271" t="s">
        <v>303</v>
      </c>
      <c r="AA271" t="s">
        <v>39</v>
      </c>
      <c r="AB271" t="s">
        <v>40</v>
      </c>
      <c r="AC271" t="s">
        <v>312</v>
      </c>
      <c r="AD271" t="s">
        <v>41</v>
      </c>
    </row>
    <row r="272" spans="1:30" hidden="1" x14ac:dyDescent="0.3">
      <c r="A272" s="1">
        <v>45463</v>
      </c>
      <c r="B272" t="s">
        <v>85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213</v>
      </c>
      <c r="J272" t="s">
        <v>34</v>
      </c>
      <c r="K272" t="s">
        <v>31</v>
      </c>
      <c r="L272" t="s">
        <v>35</v>
      </c>
      <c r="M272" t="s">
        <v>36</v>
      </c>
      <c r="N272" t="s">
        <v>42</v>
      </c>
      <c r="O272" t="s">
        <v>58</v>
      </c>
      <c r="P272">
        <v>262753</v>
      </c>
      <c r="Q272" t="s">
        <v>75</v>
      </c>
      <c r="R272" t="s">
        <v>76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244</v>
      </c>
      <c r="AD272" t="s">
        <v>41</v>
      </c>
    </row>
    <row r="273" spans="1:30" hidden="1" x14ac:dyDescent="0.3">
      <c r="A273" s="1">
        <v>45464</v>
      </c>
      <c r="B273" t="s">
        <v>85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213</v>
      </c>
      <c r="J273" t="s">
        <v>34</v>
      </c>
      <c r="K273" t="s">
        <v>31</v>
      </c>
      <c r="L273" t="s">
        <v>35</v>
      </c>
      <c r="M273" t="s">
        <v>36</v>
      </c>
      <c r="N273" t="s">
        <v>42</v>
      </c>
      <c r="O273" t="s">
        <v>58</v>
      </c>
      <c r="P273">
        <v>261659</v>
      </c>
      <c r="Q273" t="s">
        <v>59</v>
      </c>
      <c r="R273" t="s">
        <v>37</v>
      </c>
      <c r="S273" t="s">
        <v>38</v>
      </c>
      <c r="T273">
        <v>90</v>
      </c>
      <c r="U273">
        <v>1</v>
      </c>
      <c r="V273" s="2">
        <v>4.1666666666666664E-2</v>
      </c>
      <c r="W273">
        <v>90</v>
      </c>
      <c r="X273">
        <v>120</v>
      </c>
      <c r="Y273">
        <v>30</v>
      </c>
      <c r="Z273" t="s">
        <v>303</v>
      </c>
      <c r="AA273" t="s">
        <v>39</v>
      </c>
      <c r="AB273" t="s">
        <v>40</v>
      </c>
      <c r="AC273" t="s">
        <v>301</v>
      </c>
      <c r="AD273" t="s">
        <v>41</v>
      </c>
    </row>
    <row r="274" spans="1:30" hidden="1" x14ac:dyDescent="0.3">
      <c r="A274" s="1">
        <v>45467</v>
      </c>
      <c r="B274" t="s">
        <v>85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213</v>
      </c>
      <c r="J274" t="s">
        <v>34</v>
      </c>
      <c r="K274" t="s">
        <v>31</v>
      </c>
      <c r="L274" t="s">
        <v>35</v>
      </c>
      <c r="M274" t="s">
        <v>36</v>
      </c>
      <c r="N274" t="s">
        <v>42</v>
      </c>
      <c r="O274" t="s">
        <v>58</v>
      </c>
      <c r="P274">
        <v>262812</v>
      </c>
      <c r="Q274" t="s">
        <v>75</v>
      </c>
      <c r="R274" t="s">
        <v>76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277</v>
      </c>
      <c r="AD274" t="s">
        <v>41</v>
      </c>
    </row>
    <row r="275" spans="1:30" hidden="1" x14ac:dyDescent="0.3">
      <c r="A275" s="1">
        <v>45468</v>
      </c>
      <c r="B275" t="s">
        <v>85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213</v>
      </c>
      <c r="J275" t="s">
        <v>34</v>
      </c>
      <c r="K275" t="s">
        <v>31</v>
      </c>
      <c r="L275" t="s">
        <v>35</v>
      </c>
      <c r="M275" t="s">
        <v>36</v>
      </c>
      <c r="N275" t="s">
        <v>42</v>
      </c>
      <c r="O275" t="s">
        <v>58</v>
      </c>
      <c r="P275">
        <v>262816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277</v>
      </c>
      <c r="AD275" t="s">
        <v>41</v>
      </c>
    </row>
    <row r="276" spans="1:30" hidden="1" x14ac:dyDescent="0.3">
      <c r="A276" s="1">
        <v>45469</v>
      </c>
      <c r="B276" t="s">
        <v>85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213</v>
      </c>
      <c r="J276" t="s">
        <v>34</v>
      </c>
      <c r="K276" t="s">
        <v>31</v>
      </c>
      <c r="L276" t="s">
        <v>35</v>
      </c>
      <c r="M276" t="s">
        <v>36</v>
      </c>
      <c r="N276" t="s">
        <v>42</v>
      </c>
      <c r="O276" t="s">
        <v>58</v>
      </c>
      <c r="P276">
        <v>263625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277</v>
      </c>
      <c r="AD276" t="s">
        <v>41</v>
      </c>
    </row>
    <row r="277" spans="1:30" hidden="1" x14ac:dyDescent="0.3">
      <c r="A277" s="1">
        <v>45470</v>
      </c>
      <c r="B277" t="s">
        <v>85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213</v>
      </c>
      <c r="J277" t="s">
        <v>34</v>
      </c>
      <c r="K277" t="s">
        <v>31</v>
      </c>
      <c r="L277" t="s">
        <v>35</v>
      </c>
      <c r="M277" t="s">
        <v>36</v>
      </c>
      <c r="N277" t="s">
        <v>42</v>
      </c>
      <c r="O277" t="s">
        <v>58</v>
      </c>
      <c r="P277">
        <v>264219</v>
      </c>
      <c r="Q277" t="s">
        <v>75</v>
      </c>
      <c r="R277" t="s">
        <v>76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277</v>
      </c>
      <c r="AD277" t="s">
        <v>41</v>
      </c>
    </row>
    <row r="278" spans="1:30" hidden="1" x14ac:dyDescent="0.3">
      <c r="A278" s="1">
        <v>45471</v>
      </c>
      <c r="B278" t="s">
        <v>85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213</v>
      </c>
      <c r="J278" t="s">
        <v>34</v>
      </c>
      <c r="K278" t="s">
        <v>31</v>
      </c>
      <c r="L278" t="s">
        <v>35</v>
      </c>
      <c r="M278" t="s">
        <v>36</v>
      </c>
      <c r="N278" t="s">
        <v>42</v>
      </c>
      <c r="O278" t="s">
        <v>58</v>
      </c>
      <c r="P278">
        <v>265160</v>
      </c>
      <c r="Q278" t="s">
        <v>75</v>
      </c>
      <c r="R278" t="s">
        <v>76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313</v>
      </c>
      <c r="AD278" t="s">
        <v>41</v>
      </c>
    </row>
    <row r="279" spans="1:30" hidden="1" x14ac:dyDescent="0.3">
      <c r="A279" s="1">
        <v>45474</v>
      </c>
      <c r="B279" t="s">
        <v>85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213</v>
      </c>
      <c r="J279" t="s">
        <v>34</v>
      </c>
      <c r="K279" t="s">
        <v>31</v>
      </c>
      <c r="L279" t="s">
        <v>35</v>
      </c>
      <c r="M279" t="s">
        <v>36</v>
      </c>
      <c r="N279" t="s">
        <v>42</v>
      </c>
      <c r="O279" t="s">
        <v>58</v>
      </c>
      <c r="P279">
        <v>270933</v>
      </c>
      <c r="Q279" t="s">
        <v>75</v>
      </c>
      <c r="R279" t="s">
        <v>76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277</v>
      </c>
      <c r="AD279" t="s">
        <v>41</v>
      </c>
    </row>
    <row r="280" spans="1:30" hidden="1" x14ac:dyDescent="0.3">
      <c r="A280" s="1">
        <v>45475</v>
      </c>
      <c r="B280" t="s">
        <v>85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213</v>
      </c>
      <c r="J280" t="s">
        <v>34</v>
      </c>
      <c r="K280" t="s">
        <v>31</v>
      </c>
      <c r="L280" t="s">
        <v>35</v>
      </c>
      <c r="M280" t="s">
        <v>36</v>
      </c>
      <c r="N280" t="s">
        <v>42</v>
      </c>
      <c r="O280" t="s">
        <v>58</v>
      </c>
      <c r="P280">
        <v>270934</v>
      </c>
      <c r="Q280" t="s">
        <v>75</v>
      </c>
      <c r="R280" t="s">
        <v>76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277</v>
      </c>
      <c r="AD280" t="s">
        <v>41</v>
      </c>
    </row>
    <row r="281" spans="1:30" hidden="1" x14ac:dyDescent="0.3">
      <c r="A281" s="1">
        <v>45478</v>
      </c>
      <c r="B281" t="s">
        <v>85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213</v>
      </c>
      <c r="J281" t="s">
        <v>34</v>
      </c>
      <c r="K281" t="s">
        <v>31</v>
      </c>
      <c r="L281" t="s">
        <v>35</v>
      </c>
      <c r="M281" t="s">
        <v>36</v>
      </c>
      <c r="N281" t="s">
        <v>42</v>
      </c>
      <c r="O281" t="s">
        <v>58</v>
      </c>
      <c r="P281">
        <v>270935</v>
      </c>
      <c r="Q281" t="s">
        <v>75</v>
      </c>
      <c r="R281" t="s">
        <v>76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277</v>
      </c>
      <c r="AD281" t="s">
        <v>41</v>
      </c>
    </row>
    <row r="282" spans="1:30" hidden="1" x14ac:dyDescent="0.3">
      <c r="A282" s="1">
        <v>45482</v>
      </c>
      <c r="B282" t="s">
        <v>85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213</v>
      </c>
      <c r="J282" t="s">
        <v>34</v>
      </c>
      <c r="K282" t="s">
        <v>31</v>
      </c>
      <c r="L282" t="s">
        <v>35</v>
      </c>
      <c r="M282" t="s">
        <v>36</v>
      </c>
      <c r="N282" t="s">
        <v>42</v>
      </c>
      <c r="O282" t="s">
        <v>58</v>
      </c>
      <c r="P282">
        <v>270937</v>
      </c>
      <c r="Q282" t="s">
        <v>75</v>
      </c>
      <c r="R282" t="s">
        <v>76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277</v>
      </c>
      <c r="AD282" t="s">
        <v>41</v>
      </c>
    </row>
    <row r="283" spans="1:30" hidden="1" x14ac:dyDescent="0.3">
      <c r="A283" s="1">
        <v>45483</v>
      </c>
      <c r="B283" t="s">
        <v>85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213</v>
      </c>
      <c r="J283" t="s">
        <v>34</v>
      </c>
      <c r="K283" t="s">
        <v>31</v>
      </c>
      <c r="L283" t="s">
        <v>35</v>
      </c>
      <c r="M283" t="s">
        <v>36</v>
      </c>
      <c r="N283" t="s">
        <v>42</v>
      </c>
      <c r="O283" t="s">
        <v>58</v>
      </c>
      <c r="P283">
        <v>270940</v>
      </c>
      <c r="Q283" t="s">
        <v>75</v>
      </c>
      <c r="R283" t="s">
        <v>76</v>
      </c>
      <c r="S283" t="s">
        <v>38</v>
      </c>
      <c r="T283">
        <v>0</v>
      </c>
      <c r="U283">
        <v>0.25</v>
      </c>
      <c r="V283" s="2">
        <v>1.0416666666666666E-2</v>
      </c>
      <c r="W283">
        <v>0</v>
      </c>
      <c r="AA283" t="s">
        <v>39</v>
      </c>
      <c r="AB283" t="s">
        <v>40</v>
      </c>
      <c r="AC283" t="s">
        <v>277</v>
      </c>
      <c r="AD283" t="s">
        <v>41</v>
      </c>
    </row>
    <row r="284" spans="1:30" hidden="1" x14ac:dyDescent="0.3">
      <c r="A284" s="1">
        <v>45484</v>
      </c>
      <c r="B284" t="s">
        <v>85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213</v>
      </c>
      <c r="J284" t="s">
        <v>34</v>
      </c>
      <c r="K284" t="s">
        <v>31</v>
      </c>
      <c r="L284" t="s">
        <v>35</v>
      </c>
      <c r="M284" t="s">
        <v>36</v>
      </c>
      <c r="N284" t="s">
        <v>42</v>
      </c>
      <c r="O284" t="s">
        <v>58</v>
      </c>
      <c r="P284">
        <v>270944</v>
      </c>
      <c r="Q284" t="s">
        <v>75</v>
      </c>
      <c r="R284" t="s">
        <v>76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277</v>
      </c>
      <c r="AD284" t="s">
        <v>41</v>
      </c>
    </row>
    <row r="285" spans="1:30" hidden="1" x14ac:dyDescent="0.3">
      <c r="A285" s="1">
        <v>45485</v>
      </c>
      <c r="B285" t="s">
        <v>85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213</v>
      </c>
      <c r="J285" t="s">
        <v>34</v>
      </c>
      <c r="K285" t="s">
        <v>31</v>
      </c>
      <c r="L285" t="s">
        <v>35</v>
      </c>
      <c r="M285" t="s">
        <v>36</v>
      </c>
      <c r="N285" t="s">
        <v>42</v>
      </c>
      <c r="O285" t="s">
        <v>58</v>
      </c>
      <c r="P285">
        <v>270945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277</v>
      </c>
      <c r="AD285" t="s">
        <v>41</v>
      </c>
    </row>
    <row r="286" spans="1:30" hidden="1" x14ac:dyDescent="0.3">
      <c r="A286" s="1">
        <v>45489</v>
      </c>
      <c r="B286" t="s">
        <v>85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213</v>
      </c>
      <c r="J286" t="s">
        <v>34</v>
      </c>
      <c r="K286" t="s">
        <v>31</v>
      </c>
      <c r="L286" t="s">
        <v>35</v>
      </c>
      <c r="M286" t="s">
        <v>36</v>
      </c>
      <c r="N286" t="s">
        <v>42</v>
      </c>
      <c r="O286" t="s">
        <v>58</v>
      </c>
      <c r="P286">
        <v>271639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277</v>
      </c>
      <c r="AD286" t="s">
        <v>41</v>
      </c>
    </row>
    <row r="287" spans="1:30" hidden="1" x14ac:dyDescent="0.3">
      <c r="A287" s="1">
        <v>45490</v>
      </c>
      <c r="B287" t="s">
        <v>85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213</v>
      </c>
      <c r="J287" t="s">
        <v>34</v>
      </c>
      <c r="K287" t="s">
        <v>31</v>
      </c>
      <c r="L287" t="s">
        <v>35</v>
      </c>
      <c r="M287" t="s">
        <v>36</v>
      </c>
      <c r="N287" t="s">
        <v>42</v>
      </c>
      <c r="O287" t="s">
        <v>58</v>
      </c>
      <c r="P287">
        <v>272343</v>
      </c>
      <c r="Q287" t="s">
        <v>75</v>
      </c>
      <c r="R287" t="s">
        <v>76</v>
      </c>
      <c r="S287" t="s">
        <v>38</v>
      </c>
      <c r="T287">
        <v>0</v>
      </c>
      <c r="U287">
        <v>0.25</v>
      </c>
      <c r="V287" s="2">
        <v>1.0416666666666666E-2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45491</v>
      </c>
      <c r="B288" t="s">
        <v>85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213</v>
      </c>
      <c r="J288" t="s">
        <v>34</v>
      </c>
      <c r="K288" t="s">
        <v>31</v>
      </c>
      <c r="L288" t="s">
        <v>35</v>
      </c>
      <c r="M288" t="s">
        <v>36</v>
      </c>
      <c r="N288" t="s">
        <v>42</v>
      </c>
      <c r="O288" t="s">
        <v>58</v>
      </c>
      <c r="P288">
        <v>272876</v>
      </c>
      <c r="Q288" t="s">
        <v>75</v>
      </c>
      <c r="R288" t="s">
        <v>76</v>
      </c>
      <c r="S288" t="s">
        <v>38</v>
      </c>
      <c r="T288">
        <v>0</v>
      </c>
      <c r="U288">
        <v>0.25</v>
      </c>
      <c r="V288" s="2">
        <v>1.0416666666666666E-2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45496</v>
      </c>
      <c r="B289" t="s">
        <v>85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213</v>
      </c>
      <c r="J289" t="s">
        <v>34</v>
      </c>
      <c r="K289" t="s">
        <v>31</v>
      </c>
      <c r="L289" t="s">
        <v>35</v>
      </c>
      <c r="M289" t="s">
        <v>36</v>
      </c>
      <c r="N289" t="s">
        <v>42</v>
      </c>
      <c r="O289" t="s">
        <v>58</v>
      </c>
      <c r="P289">
        <v>274935</v>
      </c>
      <c r="Q289" t="s">
        <v>75</v>
      </c>
      <c r="R289" t="s">
        <v>76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313</v>
      </c>
      <c r="AD289" t="s">
        <v>41</v>
      </c>
    </row>
    <row r="290" spans="1:30" hidden="1" x14ac:dyDescent="0.3">
      <c r="A290" s="1">
        <v>45497</v>
      </c>
      <c r="B290" t="s">
        <v>85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213</v>
      </c>
      <c r="J290" t="s">
        <v>34</v>
      </c>
      <c r="K290" t="s">
        <v>31</v>
      </c>
      <c r="L290" t="s">
        <v>35</v>
      </c>
      <c r="M290" t="s">
        <v>36</v>
      </c>
      <c r="N290" t="s">
        <v>42</v>
      </c>
      <c r="O290" t="s">
        <v>58</v>
      </c>
      <c r="P290">
        <v>275595</v>
      </c>
      <c r="Q290" t="s">
        <v>75</v>
      </c>
      <c r="R290" t="s">
        <v>76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B290" t="s">
        <v>40</v>
      </c>
      <c r="AC290" t="s">
        <v>277</v>
      </c>
      <c r="AD290" t="s">
        <v>41</v>
      </c>
    </row>
    <row r="291" spans="1:30" hidden="1" x14ac:dyDescent="0.3">
      <c r="A291" s="1">
        <v>45498</v>
      </c>
      <c r="B291" t="s">
        <v>85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213</v>
      </c>
      <c r="J291" t="s">
        <v>34</v>
      </c>
      <c r="K291" t="s">
        <v>31</v>
      </c>
      <c r="L291" t="s">
        <v>35</v>
      </c>
      <c r="M291" t="s">
        <v>36</v>
      </c>
      <c r="N291" t="s">
        <v>42</v>
      </c>
      <c r="O291" t="s">
        <v>58</v>
      </c>
      <c r="P291">
        <v>276626</v>
      </c>
      <c r="Q291" t="s">
        <v>75</v>
      </c>
      <c r="R291" t="s">
        <v>76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45502</v>
      </c>
      <c r="B292" t="s">
        <v>85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213</v>
      </c>
      <c r="J292" t="s">
        <v>34</v>
      </c>
      <c r="K292" t="s">
        <v>31</v>
      </c>
      <c r="L292" t="s">
        <v>35</v>
      </c>
      <c r="M292" t="s">
        <v>36</v>
      </c>
      <c r="N292" t="s">
        <v>42</v>
      </c>
      <c r="O292" t="s">
        <v>58</v>
      </c>
      <c r="P292">
        <v>277869</v>
      </c>
      <c r="Q292" t="s">
        <v>75</v>
      </c>
      <c r="R292" t="s">
        <v>76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45503</v>
      </c>
      <c r="B293" t="s">
        <v>85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213</v>
      </c>
      <c r="J293" t="s">
        <v>34</v>
      </c>
      <c r="K293" t="s">
        <v>31</v>
      </c>
      <c r="L293" t="s">
        <v>35</v>
      </c>
      <c r="M293" t="s">
        <v>36</v>
      </c>
      <c r="N293" t="s">
        <v>42</v>
      </c>
      <c r="O293" t="s">
        <v>58</v>
      </c>
      <c r="P293">
        <v>278535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45504</v>
      </c>
      <c r="B294" t="s">
        <v>85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213</v>
      </c>
      <c r="J294" t="s">
        <v>34</v>
      </c>
      <c r="K294" t="s">
        <v>31</v>
      </c>
      <c r="L294" t="s">
        <v>35</v>
      </c>
      <c r="M294" t="s">
        <v>36</v>
      </c>
      <c r="N294" t="s">
        <v>42</v>
      </c>
      <c r="O294" t="s">
        <v>58</v>
      </c>
      <c r="P294">
        <v>279709</v>
      </c>
      <c r="Q294" t="s">
        <v>75</v>
      </c>
      <c r="R294" t="s">
        <v>76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45505</v>
      </c>
      <c r="B295" t="s">
        <v>85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213</v>
      </c>
      <c r="J295" t="s">
        <v>34</v>
      </c>
      <c r="K295" t="s">
        <v>31</v>
      </c>
      <c r="L295" t="s">
        <v>35</v>
      </c>
      <c r="M295" t="s">
        <v>36</v>
      </c>
      <c r="N295" t="s">
        <v>42</v>
      </c>
      <c r="O295" t="s">
        <v>58</v>
      </c>
      <c r="P295">
        <v>280308</v>
      </c>
      <c r="Q295" t="s">
        <v>75</v>
      </c>
      <c r="R295" t="s">
        <v>76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45482</v>
      </c>
      <c r="B296" t="s">
        <v>322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213</v>
      </c>
      <c r="J296" t="s">
        <v>34</v>
      </c>
      <c r="K296" t="s">
        <v>31</v>
      </c>
      <c r="L296" t="s">
        <v>35</v>
      </c>
      <c r="M296" t="s">
        <v>36</v>
      </c>
      <c r="N296" t="s">
        <v>42</v>
      </c>
      <c r="O296" t="s">
        <v>58</v>
      </c>
      <c r="P296">
        <v>268724</v>
      </c>
      <c r="Q296" t="s">
        <v>75</v>
      </c>
      <c r="R296" t="s">
        <v>76</v>
      </c>
      <c r="S296" t="s">
        <v>38</v>
      </c>
      <c r="T296">
        <v>0</v>
      </c>
      <c r="U296" s="20" t="s">
        <v>397</v>
      </c>
      <c r="V296" s="2">
        <v>1.7361111111111112E-2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45495</v>
      </c>
      <c r="B297" t="s">
        <v>322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213</v>
      </c>
      <c r="J297" t="s">
        <v>34</v>
      </c>
      <c r="K297" t="s">
        <v>31</v>
      </c>
      <c r="L297" t="s">
        <v>35</v>
      </c>
      <c r="M297" t="s">
        <v>36</v>
      </c>
      <c r="N297" t="s">
        <v>42</v>
      </c>
      <c r="O297" t="s">
        <v>58</v>
      </c>
      <c r="P297">
        <v>274236</v>
      </c>
      <c r="Q297" t="s">
        <v>75</v>
      </c>
      <c r="R297" t="s">
        <v>76</v>
      </c>
      <c r="S297" t="s">
        <v>38</v>
      </c>
      <c r="T297">
        <v>0</v>
      </c>
      <c r="U297">
        <v>0.5</v>
      </c>
      <c r="V297" s="2">
        <v>2.0833333333333332E-2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45511</v>
      </c>
      <c r="B298" t="s">
        <v>322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213</v>
      </c>
      <c r="J298" t="s">
        <v>34</v>
      </c>
      <c r="K298" t="s">
        <v>31</v>
      </c>
      <c r="L298" t="s">
        <v>35</v>
      </c>
      <c r="M298" t="s">
        <v>36</v>
      </c>
      <c r="N298" t="s">
        <v>42</v>
      </c>
      <c r="O298" t="s">
        <v>58</v>
      </c>
      <c r="P298">
        <v>282016</v>
      </c>
      <c r="Q298" t="s">
        <v>75</v>
      </c>
      <c r="R298" t="s">
        <v>76</v>
      </c>
      <c r="S298" t="s">
        <v>38</v>
      </c>
      <c r="T298">
        <v>0</v>
      </c>
      <c r="U298">
        <v>0.5</v>
      </c>
      <c r="V298" s="2">
        <v>2.0833333333333332E-2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45512</v>
      </c>
      <c r="B299" t="s">
        <v>322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213</v>
      </c>
      <c r="J299" t="s">
        <v>34</v>
      </c>
      <c r="K299" t="s">
        <v>31</v>
      </c>
      <c r="L299" t="s">
        <v>35</v>
      </c>
      <c r="M299" t="s">
        <v>36</v>
      </c>
      <c r="N299" t="s">
        <v>42</v>
      </c>
      <c r="O299" t="s">
        <v>58</v>
      </c>
      <c r="P299">
        <v>282386</v>
      </c>
      <c r="Q299" t="s">
        <v>75</v>
      </c>
      <c r="R299" t="s">
        <v>76</v>
      </c>
      <c r="S299" t="s">
        <v>38</v>
      </c>
      <c r="T299">
        <v>0</v>
      </c>
      <c r="U299">
        <v>0.5</v>
      </c>
      <c r="V299" s="2">
        <v>2.0833333333333332E-2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45516</v>
      </c>
      <c r="B300" t="s">
        <v>322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213</v>
      </c>
      <c r="J300" t="s">
        <v>34</v>
      </c>
      <c r="K300" t="s">
        <v>31</v>
      </c>
      <c r="L300" t="s">
        <v>35</v>
      </c>
      <c r="M300" t="s">
        <v>36</v>
      </c>
      <c r="N300" t="s">
        <v>42</v>
      </c>
      <c r="O300" t="s">
        <v>58</v>
      </c>
      <c r="P300">
        <v>283270</v>
      </c>
      <c r="Q300" t="s">
        <v>75</v>
      </c>
      <c r="R300" t="s">
        <v>76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45519</v>
      </c>
      <c r="B301" t="s">
        <v>322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213</v>
      </c>
      <c r="J301" t="s">
        <v>34</v>
      </c>
      <c r="K301" t="s">
        <v>31</v>
      </c>
      <c r="L301" t="s">
        <v>35</v>
      </c>
      <c r="M301" t="s">
        <v>36</v>
      </c>
      <c r="N301" t="s">
        <v>42</v>
      </c>
      <c r="O301" t="s">
        <v>58</v>
      </c>
      <c r="P301">
        <v>284753</v>
      </c>
      <c r="Q301" t="s">
        <v>75</v>
      </c>
      <c r="R301" t="s">
        <v>76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45520</v>
      </c>
      <c r="B302" t="s">
        <v>322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213</v>
      </c>
      <c r="J302" t="s">
        <v>34</v>
      </c>
      <c r="K302" t="s">
        <v>31</v>
      </c>
      <c r="L302" t="s">
        <v>35</v>
      </c>
      <c r="M302" t="s">
        <v>36</v>
      </c>
      <c r="N302" t="s">
        <v>42</v>
      </c>
      <c r="O302" t="s">
        <v>58</v>
      </c>
      <c r="P302">
        <v>285436</v>
      </c>
      <c r="Q302" t="s">
        <v>75</v>
      </c>
      <c r="R302" t="s">
        <v>76</v>
      </c>
      <c r="S302" t="s">
        <v>38</v>
      </c>
      <c r="T302">
        <v>0</v>
      </c>
      <c r="U302">
        <v>0.5</v>
      </c>
      <c r="V302" s="2">
        <v>2.0833333333333332E-2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45546</v>
      </c>
      <c r="B303" t="s">
        <v>322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213</v>
      </c>
      <c r="J303" t="s">
        <v>34</v>
      </c>
      <c r="K303" t="s">
        <v>31</v>
      </c>
      <c r="L303" t="s">
        <v>35</v>
      </c>
      <c r="M303" t="s">
        <v>36</v>
      </c>
      <c r="N303" t="s">
        <v>42</v>
      </c>
      <c r="O303" t="s">
        <v>58</v>
      </c>
      <c r="P303">
        <v>296218</v>
      </c>
      <c r="Q303" t="s">
        <v>75</v>
      </c>
      <c r="R303" t="s">
        <v>76</v>
      </c>
      <c r="S303" t="s">
        <v>38</v>
      </c>
      <c r="T303">
        <v>0</v>
      </c>
      <c r="U303">
        <v>0.5</v>
      </c>
      <c r="V303" s="2">
        <v>2.0833333333333332E-2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45565</v>
      </c>
      <c r="B304" t="s">
        <v>322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213</v>
      </c>
      <c r="J304" t="s">
        <v>34</v>
      </c>
      <c r="K304" t="s">
        <v>31</v>
      </c>
      <c r="L304" t="s">
        <v>35</v>
      </c>
      <c r="M304" t="s">
        <v>36</v>
      </c>
      <c r="N304" t="s">
        <v>42</v>
      </c>
      <c r="O304" t="s">
        <v>58</v>
      </c>
      <c r="P304">
        <v>304480</v>
      </c>
      <c r="Q304" t="s">
        <v>75</v>
      </c>
      <c r="R304" t="s">
        <v>76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x14ac:dyDescent="0.3">
      <c r="A305" s="1">
        <v>45566</v>
      </c>
      <c r="B305" t="s">
        <v>322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213</v>
      </c>
      <c r="J305" t="s">
        <v>34</v>
      </c>
      <c r="K305" t="s">
        <v>31</v>
      </c>
      <c r="L305" t="s">
        <v>35</v>
      </c>
      <c r="M305" t="s">
        <v>36</v>
      </c>
      <c r="N305" t="s">
        <v>42</v>
      </c>
      <c r="O305" t="s">
        <v>58</v>
      </c>
      <c r="P305">
        <v>305368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x14ac:dyDescent="0.3">
      <c r="A306" s="1">
        <v>45572</v>
      </c>
      <c r="B306" t="s">
        <v>322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213</v>
      </c>
      <c r="J306" t="s">
        <v>34</v>
      </c>
      <c r="K306" t="s">
        <v>31</v>
      </c>
      <c r="L306" t="s">
        <v>35</v>
      </c>
      <c r="M306" t="s">
        <v>36</v>
      </c>
      <c r="N306" t="s">
        <v>42</v>
      </c>
      <c r="O306" t="s">
        <v>58</v>
      </c>
      <c r="P306">
        <v>307021</v>
      </c>
      <c r="Q306" t="s">
        <v>75</v>
      </c>
      <c r="R306" t="s">
        <v>76</v>
      </c>
      <c r="S306" t="s">
        <v>38</v>
      </c>
      <c r="T306">
        <v>0</v>
      </c>
      <c r="U306">
        <v>0.5</v>
      </c>
      <c r="V306" s="2">
        <v>2.0833333333333332E-2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x14ac:dyDescent="0.3">
      <c r="A307" s="1">
        <v>45575</v>
      </c>
      <c r="B307" t="s">
        <v>322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213</v>
      </c>
      <c r="J307" t="s">
        <v>34</v>
      </c>
      <c r="K307" t="s">
        <v>31</v>
      </c>
      <c r="L307" t="s">
        <v>35</v>
      </c>
      <c r="M307" t="s">
        <v>36</v>
      </c>
      <c r="N307" t="s">
        <v>42</v>
      </c>
      <c r="O307" t="s">
        <v>58</v>
      </c>
      <c r="P307">
        <v>308435</v>
      </c>
      <c r="Q307" t="s">
        <v>75</v>
      </c>
      <c r="R307" t="s">
        <v>76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x14ac:dyDescent="0.3">
      <c r="A308" s="1">
        <v>45581</v>
      </c>
      <c r="B308" t="s">
        <v>322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213</v>
      </c>
      <c r="J308" t="s">
        <v>34</v>
      </c>
      <c r="K308" t="s">
        <v>31</v>
      </c>
      <c r="L308" t="s">
        <v>35</v>
      </c>
      <c r="M308" t="s">
        <v>36</v>
      </c>
      <c r="N308" t="s">
        <v>42</v>
      </c>
      <c r="O308" t="s">
        <v>58</v>
      </c>
      <c r="P308">
        <v>310977</v>
      </c>
      <c r="Q308" t="s">
        <v>75</v>
      </c>
      <c r="R308" t="s">
        <v>76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C308" t="s">
        <v>68</v>
      </c>
      <c r="AD308" t="s">
        <v>41</v>
      </c>
    </row>
    <row r="309" spans="1:30" hidden="1" x14ac:dyDescent="0.3">
      <c r="A309" s="1">
        <v>45426</v>
      </c>
      <c r="B309" t="s">
        <v>246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213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247325</v>
      </c>
      <c r="Q309" t="s">
        <v>59</v>
      </c>
      <c r="R309" t="s">
        <v>37</v>
      </c>
      <c r="S309" t="s">
        <v>38</v>
      </c>
      <c r="T309">
        <v>90</v>
      </c>
      <c r="U309">
        <v>0.5</v>
      </c>
      <c r="V309" s="2">
        <v>2.0833333333333332E-2</v>
      </c>
      <c r="W309">
        <v>45</v>
      </c>
      <c r="X309">
        <v>60.5</v>
      </c>
      <c r="Y309">
        <v>15.5</v>
      </c>
      <c r="Z309" t="s">
        <v>282</v>
      </c>
      <c r="AA309" t="s">
        <v>39</v>
      </c>
      <c r="AB309" t="s">
        <v>40</v>
      </c>
      <c r="AC309" t="s">
        <v>258</v>
      </c>
      <c r="AD309" t="s">
        <v>41</v>
      </c>
    </row>
    <row r="310" spans="1:30" hidden="1" x14ac:dyDescent="0.3">
      <c r="A310" s="1">
        <v>45426</v>
      </c>
      <c r="B310" t="s">
        <v>246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213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247383</v>
      </c>
      <c r="Q310" t="s">
        <v>75</v>
      </c>
      <c r="R310" t="s">
        <v>76</v>
      </c>
      <c r="S310" t="s">
        <v>38</v>
      </c>
      <c r="T310">
        <v>0</v>
      </c>
      <c r="U310">
        <v>3</v>
      </c>
      <c r="V310" s="2">
        <v>0.125</v>
      </c>
      <c r="W310">
        <v>0</v>
      </c>
      <c r="AA310" t="s">
        <v>39</v>
      </c>
      <c r="AB310" t="s">
        <v>40</v>
      </c>
      <c r="AC310" t="s">
        <v>258</v>
      </c>
      <c r="AD310" t="s">
        <v>41</v>
      </c>
    </row>
    <row r="311" spans="1:30" hidden="1" x14ac:dyDescent="0.3">
      <c r="A311" s="1">
        <v>45427</v>
      </c>
      <c r="B311" t="s">
        <v>246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213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247384</v>
      </c>
      <c r="Q311" t="s">
        <v>75</v>
      </c>
      <c r="R311" t="s">
        <v>76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259</v>
      </c>
      <c r="AD311" t="s">
        <v>41</v>
      </c>
    </row>
    <row r="312" spans="1:30" hidden="1" x14ac:dyDescent="0.3">
      <c r="A312" s="1">
        <v>45442</v>
      </c>
      <c r="B312" t="s">
        <v>246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213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253756</v>
      </c>
      <c r="Q312" t="s">
        <v>75</v>
      </c>
      <c r="R312" t="s">
        <v>76</v>
      </c>
      <c r="S312" t="s">
        <v>38</v>
      </c>
      <c r="T312">
        <v>0</v>
      </c>
      <c r="U312">
        <v>0.25</v>
      </c>
      <c r="V312" s="2">
        <v>1.0416666666666666E-2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45443</v>
      </c>
      <c r="B313" t="s">
        <v>246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213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254229</v>
      </c>
      <c r="Q313" t="s">
        <v>75</v>
      </c>
      <c r="R313" t="s">
        <v>76</v>
      </c>
      <c r="S313" t="s">
        <v>38</v>
      </c>
      <c r="T313">
        <v>0</v>
      </c>
      <c r="U313">
        <v>0.25</v>
      </c>
      <c r="V313" s="2">
        <v>1.0416666666666666E-2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45461</v>
      </c>
      <c r="B314" t="s">
        <v>246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213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260225</v>
      </c>
      <c r="Q314" t="s">
        <v>75</v>
      </c>
      <c r="R314" t="s">
        <v>76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45462</v>
      </c>
      <c r="B315" t="s">
        <v>246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213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261136</v>
      </c>
      <c r="Q315" t="s">
        <v>75</v>
      </c>
      <c r="R315" t="s">
        <v>76</v>
      </c>
      <c r="S315" t="s">
        <v>38</v>
      </c>
      <c r="T315">
        <v>0</v>
      </c>
      <c r="U315">
        <v>0.25</v>
      </c>
      <c r="V315" s="2">
        <v>1.0416666666666666E-2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45463</v>
      </c>
      <c r="B316" t="s">
        <v>246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213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261158</v>
      </c>
      <c r="Q316" t="s">
        <v>75</v>
      </c>
      <c r="R316" t="s">
        <v>76</v>
      </c>
      <c r="S316" t="s">
        <v>38</v>
      </c>
      <c r="T316">
        <v>0</v>
      </c>
      <c r="U316">
        <v>0.25</v>
      </c>
      <c r="V316" s="2">
        <v>1.0416666666666666E-2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45468</v>
      </c>
      <c r="B317" t="s">
        <v>246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213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263608</v>
      </c>
      <c r="Q317" t="s">
        <v>75</v>
      </c>
      <c r="R317" t="s">
        <v>76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45469</v>
      </c>
      <c r="B318" t="s">
        <v>246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213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263609</v>
      </c>
      <c r="Q318" t="s">
        <v>75</v>
      </c>
      <c r="R318" t="s">
        <v>76</v>
      </c>
      <c r="S318" t="s">
        <v>38</v>
      </c>
      <c r="T318">
        <v>0</v>
      </c>
      <c r="U318">
        <v>0.25</v>
      </c>
      <c r="V318" s="2">
        <v>1.0416666666666666E-2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45470</v>
      </c>
      <c r="B319" t="s">
        <v>246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213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264829</v>
      </c>
      <c r="Q319" t="s">
        <v>75</v>
      </c>
      <c r="R319" t="s">
        <v>76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45471</v>
      </c>
      <c r="B320" t="s">
        <v>246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213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265186</v>
      </c>
      <c r="Q320" t="s">
        <v>75</v>
      </c>
      <c r="R320" t="s">
        <v>76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45475</v>
      </c>
      <c r="B321" t="s">
        <v>246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213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266212</v>
      </c>
      <c r="Q321" t="s">
        <v>75</v>
      </c>
      <c r="R321" t="s">
        <v>76</v>
      </c>
      <c r="S321" t="s">
        <v>38</v>
      </c>
      <c r="T321">
        <v>0</v>
      </c>
      <c r="U321">
        <v>0.25</v>
      </c>
      <c r="V321" s="2">
        <v>1.0416666666666666E-2</v>
      </c>
      <c r="W321">
        <v>0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45476</v>
      </c>
      <c r="B322" t="s">
        <v>246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213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266739</v>
      </c>
      <c r="Q322" t="s">
        <v>75</v>
      </c>
      <c r="R322" t="s">
        <v>76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45477</v>
      </c>
      <c r="B323" t="s">
        <v>246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213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267669</v>
      </c>
      <c r="Q323" t="s">
        <v>75</v>
      </c>
      <c r="R323" t="s">
        <v>76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45478</v>
      </c>
      <c r="B324" t="s">
        <v>246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213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267780</v>
      </c>
      <c r="Q324" t="s">
        <v>75</v>
      </c>
      <c r="R324" t="s">
        <v>76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45481</v>
      </c>
      <c r="B325" t="s">
        <v>246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213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268966</v>
      </c>
      <c r="Q325" t="s">
        <v>75</v>
      </c>
      <c r="R325" t="s">
        <v>76</v>
      </c>
      <c r="S325" t="s">
        <v>38</v>
      </c>
      <c r="T325">
        <v>0</v>
      </c>
      <c r="U325">
        <v>0.25</v>
      </c>
      <c r="V325" s="2">
        <v>1.0416666666666666E-2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45482</v>
      </c>
      <c r="B326" t="s">
        <v>246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213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268967</v>
      </c>
      <c r="Q326" t="s">
        <v>75</v>
      </c>
      <c r="R326" t="s">
        <v>76</v>
      </c>
      <c r="S326" t="s">
        <v>38</v>
      </c>
      <c r="T326">
        <v>0</v>
      </c>
      <c r="U326">
        <v>0.25</v>
      </c>
      <c r="V326" s="2">
        <v>1.0416666666666666E-2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45483</v>
      </c>
      <c r="B327" t="s">
        <v>246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213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269385</v>
      </c>
      <c r="Q327" t="s">
        <v>75</v>
      </c>
      <c r="R327" t="s">
        <v>76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45484</v>
      </c>
      <c r="B328" t="s">
        <v>246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213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270549</v>
      </c>
      <c r="Q328" t="s">
        <v>75</v>
      </c>
      <c r="R328" t="s">
        <v>76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45488</v>
      </c>
      <c r="B329" t="s">
        <v>246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213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271698</v>
      </c>
      <c r="Q329" t="s">
        <v>75</v>
      </c>
      <c r="R329" t="s">
        <v>76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45489</v>
      </c>
      <c r="B330" t="s">
        <v>246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213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271907</v>
      </c>
      <c r="Q330" t="s">
        <v>75</v>
      </c>
      <c r="R330" t="s">
        <v>76</v>
      </c>
      <c r="S330" t="s">
        <v>38</v>
      </c>
      <c r="T330">
        <v>0</v>
      </c>
      <c r="U330">
        <v>0.25</v>
      </c>
      <c r="V330" s="2">
        <v>1.0416666666666666E-2</v>
      </c>
      <c r="W330">
        <v>0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45490</v>
      </c>
      <c r="B331" t="s">
        <v>246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213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272360</v>
      </c>
      <c r="Q331" t="s">
        <v>75</v>
      </c>
      <c r="R331" t="s">
        <v>76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45491</v>
      </c>
      <c r="B332" t="s">
        <v>246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213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272946</v>
      </c>
      <c r="Q332" t="s">
        <v>75</v>
      </c>
      <c r="R332" t="s">
        <v>76</v>
      </c>
      <c r="S332" t="s">
        <v>38</v>
      </c>
      <c r="T332">
        <v>0</v>
      </c>
      <c r="U332">
        <v>0.25</v>
      </c>
      <c r="V332" s="2">
        <v>1.0416666666666666E-2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45495</v>
      </c>
      <c r="B333" t="s">
        <v>246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213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274958</v>
      </c>
      <c r="Q333" t="s">
        <v>75</v>
      </c>
      <c r="R333" t="s">
        <v>76</v>
      </c>
      <c r="S333" t="s">
        <v>38</v>
      </c>
      <c r="T333">
        <v>0</v>
      </c>
      <c r="U333">
        <v>0.25</v>
      </c>
      <c r="V333" s="2">
        <v>1.0416666666666666E-2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45496</v>
      </c>
      <c r="B334" t="s">
        <v>246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213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274959</v>
      </c>
      <c r="Q334" t="s">
        <v>75</v>
      </c>
      <c r="R334" t="s">
        <v>76</v>
      </c>
      <c r="S334" t="s">
        <v>38</v>
      </c>
      <c r="T334">
        <v>0</v>
      </c>
      <c r="U334">
        <v>0.25</v>
      </c>
      <c r="V334" s="2">
        <v>1.0416666666666666E-2</v>
      </c>
      <c r="W334">
        <v>0</v>
      </c>
      <c r="AA334" t="s">
        <v>39</v>
      </c>
      <c r="AB334" t="s">
        <v>40</v>
      </c>
      <c r="AC334" t="s">
        <v>68</v>
      </c>
      <c r="AD334" t="s">
        <v>41</v>
      </c>
    </row>
    <row r="335" spans="1:30" hidden="1" x14ac:dyDescent="0.3">
      <c r="A335" s="1">
        <v>45497</v>
      </c>
      <c r="B335" t="s">
        <v>246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213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277232</v>
      </c>
      <c r="Q335" t="s">
        <v>75</v>
      </c>
      <c r="R335" t="s">
        <v>76</v>
      </c>
      <c r="S335" t="s">
        <v>38</v>
      </c>
      <c r="T335">
        <v>0</v>
      </c>
      <c r="U335">
        <v>0.25</v>
      </c>
      <c r="V335" s="2">
        <v>1.0416666666666666E-2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45498</v>
      </c>
      <c r="B336" t="s">
        <v>246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213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277233</v>
      </c>
      <c r="Q336" t="s">
        <v>75</v>
      </c>
      <c r="R336" t="s">
        <v>76</v>
      </c>
      <c r="S336" t="s">
        <v>38</v>
      </c>
      <c r="T336">
        <v>0</v>
      </c>
      <c r="U336">
        <v>0.25</v>
      </c>
      <c r="V336" s="2">
        <v>1.0416666666666666E-2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45499</v>
      </c>
      <c r="B337" t="s">
        <v>246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213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277257</v>
      </c>
      <c r="Q337" t="s">
        <v>75</v>
      </c>
      <c r="R337" t="s">
        <v>76</v>
      </c>
      <c r="S337" t="s">
        <v>38</v>
      </c>
      <c r="T337">
        <v>0</v>
      </c>
      <c r="U337">
        <v>0.25</v>
      </c>
      <c r="V337" s="2">
        <v>1.0416666666666666E-2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45502</v>
      </c>
      <c r="B338" t="s">
        <v>246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213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277658</v>
      </c>
      <c r="Q338" t="s">
        <v>75</v>
      </c>
      <c r="R338" t="s">
        <v>76</v>
      </c>
      <c r="S338" t="s">
        <v>38</v>
      </c>
      <c r="T338">
        <v>0</v>
      </c>
      <c r="U338">
        <v>0.25</v>
      </c>
      <c r="V338" s="2">
        <v>1.0416666666666666E-2</v>
      </c>
      <c r="W338">
        <v>0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45503</v>
      </c>
      <c r="B339" t="s">
        <v>246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213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278189</v>
      </c>
      <c r="Q339" t="s">
        <v>75</v>
      </c>
      <c r="R339" t="s">
        <v>76</v>
      </c>
      <c r="S339" t="s">
        <v>38</v>
      </c>
      <c r="T339">
        <v>0</v>
      </c>
      <c r="U339">
        <v>0.25</v>
      </c>
      <c r="V339" s="2">
        <v>1.0416666666666666E-2</v>
      </c>
      <c r="W339">
        <v>0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45504</v>
      </c>
      <c r="B340" t="s">
        <v>246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213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279141</v>
      </c>
      <c r="Q340" t="s">
        <v>75</v>
      </c>
      <c r="R340" t="s">
        <v>76</v>
      </c>
      <c r="S340" t="s">
        <v>38</v>
      </c>
      <c r="T340">
        <v>0</v>
      </c>
      <c r="U340">
        <v>0.25</v>
      </c>
      <c r="V340" s="2">
        <v>1.0416666666666666E-2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45505</v>
      </c>
      <c r="B341" t="s">
        <v>246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213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280400</v>
      </c>
      <c r="Q341" t="s">
        <v>75</v>
      </c>
      <c r="R341" t="s">
        <v>76</v>
      </c>
      <c r="S341" t="s">
        <v>38</v>
      </c>
      <c r="T341">
        <v>0</v>
      </c>
      <c r="U341">
        <v>0.25</v>
      </c>
      <c r="V341" s="2">
        <v>1.0416666666666666E-2</v>
      </c>
      <c r="W341">
        <v>0</v>
      </c>
      <c r="AA341" t="s">
        <v>39</v>
      </c>
      <c r="AB341" t="s">
        <v>40</v>
      </c>
      <c r="AC341" t="s">
        <v>68</v>
      </c>
      <c r="AD341" t="s">
        <v>41</v>
      </c>
    </row>
    <row r="342" spans="1:30" hidden="1" x14ac:dyDescent="0.3">
      <c r="A342" s="1">
        <v>45506</v>
      </c>
      <c r="B342" t="s">
        <v>246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213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280410</v>
      </c>
      <c r="Q342" t="s">
        <v>75</v>
      </c>
      <c r="R342" t="s">
        <v>76</v>
      </c>
      <c r="S342" t="s">
        <v>38</v>
      </c>
      <c r="T342">
        <v>0</v>
      </c>
      <c r="U342">
        <v>0.25</v>
      </c>
      <c r="V342" s="2">
        <v>1.0416666666666666E-2</v>
      </c>
      <c r="W342">
        <v>0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45509</v>
      </c>
      <c r="B343" t="s">
        <v>246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213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280980</v>
      </c>
      <c r="Q343" t="s">
        <v>75</v>
      </c>
      <c r="R343" t="s">
        <v>76</v>
      </c>
      <c r="S343" t="s">
        <v>38</v>
      </c>
      <c r="T343">
        <v>0</v>
      </c>
      <c r="U343">
        <v>0.25</v>
      </c>
      <c r="V343" s="2">
        <v>1.0416666666666666E-2</v>
      </c>
      <c r="W343">
        <v>0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45510</v>
      </c>
      <c r="B344" t="s">
        <v>246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213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281515</v>
      </c>
      <c r="Q344" t="s">
        <v>75</v>
      </c>
      <c r="R344" t="s">
        <v>76</v>
      </c>
      <c r="S344" t="s">
        <v>38</v>
      </c>
      <c r="T344">
        <v>0</v>
      </c>
      <c r="U344">
        <v>0.25</v>
      </c>
      <c r="V344" s="2">
        <v>1.0416666666666666E-2</v>
      </c>
      <c r="W344">
        <v>0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45511</v>
      </c>
      <c r="B345" t="s">
        <v>246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213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282087</v>
      </c>
      <c r="Q345" t="s">
        <v>75</v>
      </c>
      <c r="R345" t="s">
        <v>76</v>
      </c>
      <c r="S345" t="s">
        <v>38</v>
      </c>
      <c r="T345">
        <v>0</v>
      </c>
      <c r="U345">
        <v>0.25</v>
      </c>
      <c r="V345" s="2">
        <v>1.0416666666666666E-2</v>
      </c>
      <c r="W345">
        <v>0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45512</v>
      </c>
      <c r="B346" t="s">
        <v>246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213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282558</v>
      </c>
      <c r="Q346" t="s">
        <v>59</v>
      </c>
      <c r="R346" t="s">
        <v>37</v>
      </c>
      <c r="S346" t="s">
        <v>38</v>
      </c>
      <c r="T346">
        <v>90</v>
      </c>
      <c r="U346">
        <v>1</v>
      </c>
      <c r="V346" s="2">
        <v>4.1666666666666664E-2</v>
      </c>
      <c r="W346">
        <v>90</v>
      </c>
      <c r="X346">
        <v>120</v>
      </c>
      <c r="Y346">
        <v>30</v>
      </c>
      <c r="Z346" t="s">
        <v>363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45512</v>
      </c>
      <c r="B347" t="s">
        <v>246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213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282542</v>
      </c>
      <c r="Q347" t="s">
        <v>75</v>
      </c>
      <c r="R347" t="s">
        <v>76</v>
      </c>
      <c r="S347" t="s">
        <v>38</v>
      </c>
      <c r="T347">
        <v>0</v>
      </c>
      <c r="U347">
        <v>0.25</v>
      </c>
      <c r="V347" s="2">
        <v>1.0416666666666666E-2</v>
      </c>
      <c r="W347">
        <v>0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45516</v>
      </c>
      <c r="B348" t="s">
        <v>246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213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283392</v>
      </c>
      <c r="Q348" t="s">
        <v>59</v>
      </c>
      <c r="R348" t="s">
        <v>37</v>
      </c>
      <c r="S348" t="s">
        <v>38</v>
      </c>
      <c r="T348">
        <v>90</v>
      </c>
      <c r="U348">
        <v>1.75</v>
      </c>
      <c r="V348" s="2">
        <v>7.2916666666666671E-2</v>
      </c>
      <c r="W348">
        <v>157.5</v>
      </c>
      <c r="X348">
        <v>210</v>
      </c>
      <c r="Y348">
        <v>52.5</v>
      </c>
      <c r="Z348" t="s">
        <v>363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45517</v>
      </c>
      <c r="B349" t="s">
        <v>246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213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283942</v>
      </c>
      <c r="Q349" t="s">
        <v>59</v>
      </c>
      <c r="R349" t="s">
        <v>37</v>
      </c>
      <c r="S349" t="s">
        <v>38</v>
      </c>
      <c r="T349">
        <v>90</v>
      </c>
      <c r="U349">
        <v>0.25</v>
      </c>
      <c r="V349" s="2">
        <v>1.0416666666666666E-2</v>
      </c>
      <c r="W349">
        <v>22.5</v>
      </c>
      <c r="X349">
        <v>30</v>
      </c>
      <c r="Y349">
        <v>7.5</v>
      </c>
      <c r="Z349" t="s">
        <v>363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45518</v>
      </c>
      <c r="B350" t="s">
        <v>246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213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285004</v>
      </c>
      <c r="Q350" t="s">
        <v>59</v>
      </c>
      <c r="R350" t="s">
        <v>37</v>
      </c>
      <c r="S350" t="s">
        <v>38</v>
      </c>
      <c r="T350">
        <v>90</v>
      </c>
      <c r="U350">
        <v>0.75</v>
      </c>
      <c r="V350" s="2">
        <v>3.125E-2</v>
      </c>
      <c r="W350">
        <v>67.5</v>
      </c>
      <c r="X350">
        <v>90</v>
      </c>
      <c r="Y350">
        <v>22.5</v>
      </c>
      <c r="Z350" t="s">
        <v>363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45519</v>
      </c>
      <c r="B351" t="s">
        <v>246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213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286944</v>
      </c>
      <c r="Q351" t="s">
        <v>59</v>
      </c>
      <c r="R351" t="s">
        <v>37</v>
      </c>
      <c r="S351" t="s">
        <v>38</v>
      </c>
      <c r="T351">
        <v>90</v>
      </c>
      <c r="U351">
        <v>2.25</v>
      </c>
      <c r="V351" s="2">
        <v>9.375E-2</v>
      </c>
      <c r="W351">
        <v>202.5</v>
      </c>
      <c r="X351">
        <v>270</v>
      </c>
      <c r="Y351">
        <v>67.5</v>
      </c>
      <c r="Z351" t="s">
        <v>363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45520</v>
      </c>
      <c r="B352" t="s">
        <v>246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213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286001</v>
      </c>
      <c r="Q352" t="s">
        <v>59</v>
      </c>
      <c r="R352" t="s">
        <v>37</v>
      </c>
      <c r="S352" t="s">
        <v>38</v>
      </c>
      <c r="T352">
        <v>90</v>
      </c>
      <c r="U352">
        <v>0.75</v>
      </c>
      <c r="V352" s="2">
        <v>3.125E-2</v>
      </c>
      <c r="W352">
        <v>67.5</v>
      </c>
      <c r="X352">
        <v>90</v>
      </c>
      <c r="Y352">
        <v>22.5</v>
      </c>
      <c r="Z352" t="s">
        <v>363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45523</v>
      </c>
      <c r="B353" t="s">
        <v>246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213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286306</v>
      </c>
      <c r="Q353" t="s">
        <v>59</v>
      </c>
      <c r="R353" t="s">
        <v>37</v>
      </c>
      <c r="S353" t="s">
        <v>38</v>
      </c>
      <c r="T353">
        <v>90</v>
      </c>
      <c r="U353">
        <v>0.25</v>
      </c>
      <c r="V353" s="2">
        <v>1.0416666666666666E-2</v>
      </c>
      <c r="W353">
        <v>22.5</v>
      </c>
      <c r="X353">
        <v>30</v>
      </c>
      <c r="Y353">
        <v>7.5</v>
      </c>
      <c r="Z353" t="s">
        <v>363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45524</v>
      </c>
      <c r="B354" t="s">
        <v>246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213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286862</v>
      </c>
      <c r="Q354" t="s">
        <v>59</v>
      </c>
      <c r="R354" t="s">
        <v>37</v>
      </c>
      <c r="S354" t="s">
        <v>38</v>
      </c>
      <c r="T354">
        <v>90</v>
      </c>
      <c r="U354">
        <v>0.5</v>
      </c>
      <c r="V354" s="2">
        <v>2.0833333333333332E-2</v>
      </c>
      <c r="W354">
        <v>45</v>
      </c>
      <c r="X354">
        <v>60</v>
      </c>
      <c r="Y354">
        <v>15</v>
      </c>
      <c r="Z354" t="s">
        <v>363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45525</v>
      </c>
      <c r="B355" t="s">
        <v>246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213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287940</v>
      </c>
      <c r="Q355" t="s">
        <v>59</v>
      </c>
      <c r="R355" t="s">
        <v>37</v>
      </c>
      <c r="S355" t="s">
        <v>38</v>
      </c>
      <c r="T355">
        <v>90</v>
      </c>
      <c r="U355">
        <v>0.25</v>
      </c>
      <c r="V355" s="2">
        <v>1.0416666666666666E-2</v>
      </c>
      <c r="W355">
        <v>22.5</v>
      </c>
      <c r="X355">
        <v>30</v>
      </c>
      <c r="Y355">
        <v>7.5</v>
      </c>
      <c r="Z355" t="s">
        <v>363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45526</v>
      </c>
      <c r="B356" t="s">
        <v>246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213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288584</v>
      </c>
      <c r="Q356" t="s">
        <v>59</v>
      </c>
      <c r="R356" t="s">
        <v>37</v>
      </c>
      <c r="S356" t="s">
        <v>38</v>
      </c>
      <c r="T356">
        <v>90</v>
      </c>
      <c r="U356">
        <v>0.25</v>
      </c>
      <c r="V356" s="2">
        <v>1.0416666666666666E-2</v>
      </c>
      <c r="W356">
        <v>22.5</v>
      </c>
      <c r="X356">
        <v>30</v>
      </c>
      <c r="Y356">
        <v>7.5</v>
      </c>
      <c r="Z356" t="s">
        <v>363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45527</v>
      </c>
      <c r="B357" t="s">
        <v>246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213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288575</v>
      </c>
      <c r="Q357" t="s">
        <v>59</v>
      </c>
      <c r="R357" t="s">
        <v>37</v>
      </c>
      <c r="S357" t="s">
        <v>38</v>
      </c>
      <c r="T357">
        <v>90</v>
      </c>
      <c r="U357">
        <v>0.25</v>
      </c>
      <c r="V357" s="2">
        <v>1.0416666666666666E-2</v>
      </c>
      <c r="W357">
        <v>22.5</v>
      </c>
      <c r="X357">
        <v>30</v>
      </c>
      <c r="Y357">
        <v>7.5</v>
      </c>
      <c r="Z357" t="s">
        <v>363</v>
      </c>
      <c r="AA357" t="s">
        <v>39</v>
      </c>
      <c r="AB357" t="s">
        <v>40</v>
      </c>
      <c r="AC357" t="s">
        <v>68</v>
      </c>
      <c r="AD357" t="s">
        <v>41</v>
      </c>
    </row>
    <row r="358" spans="1:30" hidden="1" x14ac:dyDescent="0.3">
      <c r="A358" s="1">
        <v>45530</v>
      </c>
      <c r="B358" t="s">
        <v>246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213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289170</v>
      </c>
      <c r="Q358" t="s">
        <v>75</v>
      </c>
      <c r="R358" t="s">
        <v>76</v>
      </c>
      <c r="S358" t="s">
        <v>38</v>
      </c>
      <c r="T358">
        <v>0</v>
      </c>
      <c r="U358">
        <v>0.25</v>
      </c>
      <c r="V358" s="2">
        <v>1.0416666666666666E-2</v>
      </c>
      <c r="W358">
        <v>0</v>
      </c>
      <c r="AA358" t="s">
        <v>39</v>
      </c>
      <c r="AB358" t="s">
        <v>40</v>
      </c>
      <c r="AC358" t="s">
        <v>68</v>
      </c>
      <c r="AD358" t="s">
        <v>41</v>
      </c>
    </row>
    <row r="359" spans="1:30" hidden="1" x14ac:dyDescent="0.3">
      <c r="A359" s="1">
        <v>45534</v>
      </c>
      <c r="B359" t="s">
        <v>246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213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291970</v>
      </c>
      <c r="Q359" t="s">
        <v>75</v>
      </c>
      <c r="R359" t="s">
        <v>76</v>
      </c>
      <c r="S359" t="s">
        <v>38</v>
      </c>
      <c r="T359">
        <v>0</v>
      </c>
      <c r="U359">
        <v>0.5</v>
      </c>
      <c r="V359" s="2">
        <v>2.0833333333333332E-2</v>
      </c>
      <c r="W359">
        <v>0</v>
      </c>
      <c r="AA359" t="s">
        <v>39</v>
      </c>
      <c r="AB359" t="s">
        <v>40</v>
      </c>
      <c r="AC359" t="s">
        <v>68</v>
      </c>
      <c r="AD359" t="s">
        <v>41</v>
      </c>
    </row>
    <row r="360" spans="1:30" hidden="1" x14ac:dyDescent="0.3">
      <c r="A360" s="1">
        <v>45539</v>
      </c>
      <c r="B360" t="s">
        <v>246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213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294155</v>
      </c>
      <c r="Q360" t="s">
        <v>59</v>
      </c>
      <c r="R360" t="s">
        <v>37</v>
      </c>
      <c r="S360" t="s">
        <v>38</v>
      </c>
      <c r="T360">
        <v>90</v>
      </c>
      <c r="U360">
        <v>0.75</v>
      </c>
      <c r="V360" s="2">
        <v>3.125E-2</v>
      </c>
      <c r="W360">
        <v>67.5</v>
      </c>
      <c r="X360">
        <v>90</v>
      </c>
      <c r="Y360">
        <v>22.5</v>
      </c>
      <c r="Z360" t="s">
        <v>386</v>
      </c>
      <c r="AA360" t="s">
        <v>39</v>
      </c>
      <c r="AB360" t="s">
        <v>40</v>
      </c>
      <c r="AC360" t="s">
        <v>68</v>
      </c>
      <c r="AD360" t="s">
        <v>41</v>
      </c>
    </row>
    <row r="361" spans="1:30" hidden="1" x14ac:dyDescent="0.3">
      <c r="A361" s="1">
        <v>45540</v>
      </c>
      <c r="B361" t="s">
        <v>246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213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294156</v>
      </c>
      <c r="Q361" t="s">
        <v>59</v>
      </c>
      <c r="R361" t="s">
        <v>37</v>
      </c>
      <c r="S361" t="s">
        <v>38</v>
      </c>
      <c r="T361">
        <v>90</v>
      </c>
      <c r="U361">
        <v>0.75</v>
      </c>
      <c r="V361" s="2">
        <v>3.125E-2</v>
      </c>
      <c r="W361">
        <v>67.5</v>
      </c>
      <c r="X361">
        <v>90</v>
      </c>
      <c r="Y361">
        <v>22.5</v>
      </c>
      <c r="Z361" t="s">
        <v>386</v>
      </c>
      <c r="AA361" t="s">
        <v>39</v>
      </c>
      <c r="AB361" t="s">
        <v>40</v>
      </c>
      <c r="AC361" t="s">
        <v>68</v>
      </c>
      <c r="AD361" t="s">
        <v>41</v>
      </c>
    </row>
    <row r="362" spans="1:30" hidden="1" x14ac:dyDescent="0.3">
      <c r="A362" s="1">
        <v>45541</v>
      </c>
      <c r="B362" t="s">
        <v>246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213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295133</v>
      </c>
      <c r="Q362" t="s">
        <v>75</v>
      </c>
      <c r="R362" t="s">
        <v>76</v>
      </c>
      <c r="S362" t="s">
        <v>38</v>
      </c>
      <c r="T362">
        <v>0</v>
      </c>
      <c r="U362">
        <v>0.25</v>
      </c>
      <c r="V362" s="2">
        <v>1.0416666666666666E-2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45544</v>
      </c>
      <c r="B363" t="s">
        <v>246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213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295623</v>
      </c>
      <c r="Q363" t="s">
        <v>59</v>
      </c>
      <c r="R363" t="s">
        <v>37</v>
      </c>
      <c r="S363" t="s">
        <v>38</v>
      </c>
      <c r="T363">
        <v>90</v>
      </c>
      <c r="U363">
        <v>0.5</v>
      </c>
      <c r="V363" s="2">
        <v>2.0833333333333332E-2</v>
      </c>
      <c r="W363">
        <v>45</v>
      </c>
      <c r="X363">
        <v>60</v>
      </c>
      <c r="Y363">
        <v>15</v>
      </c>
      <c r="Z363" t="s">
        <v>386</v>
      </c>
      <c r="AA363" t="s">
        <v>39</v>
      </c>
      <c r="AB363" t="s">
        <v>40</v>
      </c>
      <c r="AC363" t="s">
        <v>68</v>
      </c>
      <c r="AD363" t="s">
        <v>41</v>
      </c>
    </row>
    <row r="364" spans="1:30" hidden="1" x14ac:dyDescent="0.3">
      <c r="A364" s="1">
        <v>45545</v>
      </c>
      <c r="B364" t="s">
        <v>246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213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296653</v>
      </c>
      <c r="Q364" t="s">
        <v>75</v>
      </c>
      <c r="R364" t="s">
        <v>76</v>
      </c>
      <c r="S364" t="s">
        <v>38</v>
      </c>
      <c r="T364">
        <v>0</v>
      </c>
      <c r="U364">
        <v>0.25</v>
      </c>
      <c r="V364" s="2">
        <v>1.0416666666666666E-2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hidden="1" x14ac:dyDescent="0.3">
      <c r="A365" s="1">
        <v>45546</v>
      </c>
      <c r="B365" t="s">
        <v>246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213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296654</v>
      </c>
      <c r="Q365" t="s">
        <v>75</v>
      </c>
      <c r="R365" t="s">
        <v>76</v>
      </c>
      <c r="S365" t="s">
        <v>38</v>
      </c>
      <c r="T365">
        <v>0</v>
      </c>
      <c r="U365">
        <v>0.25</v>
      </c>
      <c r="V365" s="2">
        <v>1.0416666666666666E-2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45547</v>
      </c>
      <c r="B366" t="s">
        <v>246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213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296756</v>
      </c>
      <c r="Q366" t="s">
        <v>59</v>
      </c>
      <c r="R366" t="s">
        <v>37</v>
      </c>
      <c r="S366" t="s">
        <v>38</v>
      </c>
      <c r="T366">
        <v>90</v>
      </c>
      <c r="U366">
        <v>1</v>
      </c>
      <c r="V366" s="2">
        <v>4.1666666666666664E-2</v>
      </c>
      <c r="W366">
        <v>90</v>
      </c>
      <c r="X366">
        <v>120</v>
      </c>
      <c r="Y366">
        <v>30</v>
      </c>
      <c r="Z366" t="s">
        <v>386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45548</v>
      </c>
      <c r="B367" t="s">
        <v>246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213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297704</v>
      </c>
      <c r="Q367" t="s">
        <v>59</v>
      </c>
      <c r="R367" t="s">
        <v>37</v>
      </c>
      <c r="S367" t="s">
        <v>38</v>
      </c>
      <c r="T367">
        <v>90</v>
      </c>
      <c r="U367">
        <v>1</v>
      </c>
      <c r="V367" s="2">
        <v>4.1666666666666664E-2</v>
      </c>
      <c r="W367">
        <v>90</v>
      </c>
      <c r="X367">
        <v>120</v>
      </c>
      <c r="Y367">
        <v>30</v>
      </c>
      <c r="Z367" t="s">
        <v>386</v>
      </c>
      <c r="AA367" t="s">
        <v>39</v>
      </c>
      <c r="AB367" t="s">
        <v>40</v>
      </c>
      <c r="AC367" t="s">
        <v>68</v>
      </c>
      <c r="AD367" t="s">
        <v>41</v>
      </c>
    </row>
    <row r="368" spans="1:30" hidden="1" x14ac:dyDescent="0.3">
      <c r="A368" s="1">
        <v>45551</v>
      </c>
      <c r="B368" t="s">
        <v>246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213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298065</v>
      </c>
      <c r="Q368" t="s">
        <v>59</v>
      </c>
      <c r="R368" t="s">
        <v>37</v>
      </c>
      <c r="S368" t="s">
        <v>38</v>
      </c>
      <c r="T368">
        <v>90</v>
      </c>
      <c r="U368">
        <v>0.5</v>
      </c>
      <c r="V368" s="2">
        <v>2.0833333333333332E-2</v>
      </c>
      <c r="W368">
        <v>45</v>
      </c>
      <c r="X368">
        <v>60</v>
      </c>
      <c r="Y368">
        <v>15</v>
      </c>
      <c r="Z368" t="s">
        <v>386</v>
      </c>
      <c r="AA368" t="s">
        <v>39</v>
      </c>
      <c r="AB368" t="s">
        <v>40</v>
      </c>
      <c r="AC368" t="s">
        <v>68</v>
      </c>
      <c r="AD368" t="s">
        <v>41</v>
      </c>
    </row>
    <row r="369" spans="1:30" hidden="1" x14ac:dyDescent="0.3">
      <c r="A369" s="1">
        <v>45553</v>
      </c>
      <c r="B369" t="s">
        <v>246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213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299517</v>
      </c>
      <c r="Q369" t="s">
        <v>75</v>
      </c>
      <c r="R369" t="s">
        <v>76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hidden="1" x14ac:dyDescent="0.3">
      <c r="A370" s="1">
        <v>45554</v>
      </c>
      <c r="B370" t="s">
        <v>246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213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300067</v>
      </c>
      <c r="Q370" t="s">
        <v>75</v>
      </c>
      <c r="R370" t="s">
        <v>76</v>
      </c>
      <c r="S370" t="s">
        <v>38</v>
      </c>
      <c r="T370">
        <v>0</v>
      </c>
      <c r="U370">
        <v>0.25</v>
      </c>
      <c r="V370" s="2">
        <v>1.0416666666666666E-2</v>
      </c>
      <c r="W370">
        <v>0</v>
      </c>
      <c r="AA370" t="s">
        <v>39</v>
      </c>
      <c r="AB370" t="s">
        <v>40</v>
      </c>
      <c r="AC370" t="s">
        <v>68</v>
      </c>
      <c r="AD370" t="s">
        <v>41</v>
      </c>
    </row>
    <row r="371" spans="1:30" hidden="1" x14ac:dyDescent="0.3">
      <c r="A371" s="1">
        <v>45555</v>
      </c>
      <c r="B371" t="s">
        <v>246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213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300060</v>
      </c>
      <c r="Q371" t="s">
        <v>59</v>
      </c>
      <c r="R371" t="s">
        <v>37</v>
      </c>
      <c r="S371" t="s">
        <v>38</v>
      </c>
      <c r="T371">
        <v>90</v>
      </c>
      <c r="U371">
        <v>0.75</v>
      </c>
      <c r="V371" s="2">
        <v>3.125E-2</v>
      </c>
      <c r="W371">
        <v>67.5</v>
      </c>
      <c r="X371">
        <v>90</v>
      </c>
      <c r="Y371">
        <v>22.5</v>
      </c>
      <c r="Z371" t="s">
        <v>386</v>
      </c>
      <c r="AA371" t="s">
        <v>39</v>
      </c>
      <c r="AB371" t="s">
        <v>40</v>
      </c>
      <c r="AC371" t="s">
        <v>68</v>
      </c>
      <c r="AD371" t="s">
        <v>41</v>
      </c>
    </row>
    <row r="372" spans="1:30" hidden="1" x14ac:dyDescent="0.3">
      <c r="A372" s="1">
        <v>45558</v>
      </c>
      <c r="B372" t="s">
        <v>246</v>
      </c>
      <c r="C372" t="s">
        <v>30</v>
      </c>
      <c r="D372" t="s">
        <v>31</v>
      </c>
      <c r="E372" t="s">
        <v>43</v>
      </c>
      <c r="F372" t="s">
        <v>32</v>
      </c>
      <c r="G372" t="s">
        <v>33</v>
      </c>
      <c r="H372" t="s">
        <v>57</v>
      </c>
      <c r="I372" t="s">
        <v>213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300972</v>
      </c>
      <c r="Q372" t="s">
        <v>59</v>
      </c>
      <c r="R372" t="s">
        <v>37</v>
      </c>
      <c r="S372" t="s">
        <v>38</v>
      </c>
      <c r="T372">
        <v>90</v>
      </c>
      <c r="U372">
        <v>0.5</v>
      </c>
      <c r="V372" s="2">
        <v>2.0833333333333332E-2</v>
      </c>
      <c r="W372">
        <v>45</v>
      </c>
      <c r="X372">
        <v>60</v>
      </c>
      <c r="Y372">
        <v>15</v>
      </c>
      <c r="Z372" t="s">
        <v>386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45559</v>
      </c>
      <c r="B373" t="s">
        <v>246</v>
      </c>
      <c r="C373" t="s">
        <v>30</v>
      </c>
      <c r="D373" t="s">
        <v>31</v>
      </c>
      <c r="E373" t="s">
        <v>43</v>
      </c>
      <c r="F373" t="s">
        <v>32</v>
      </c>
      <c r="G373" t="s">
        <v>33</v>
      </c>
      <c r="H373" t="s">
        <v>57</v>
      </c>
      <c r="I373" t="s">
        <v>213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301342</v>
      </c>
      <c r="Q373" t="s">
        <v>75</v>
      </c>
      <c r="R373" t="s">
        <v>76</v>
      </c>
      <c r="S373" t="s">
        <v>38</v>
      </c>
      <c r="T373">
        <v>0</v>
      </c>
      <c r="U373">
        <v>0.25</v>
      </c>
      <c r="V373" s="2">
        <v>1.0416666666666666E-2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45560</v>
      </c>
      <c r="B374" t="s">
        <v>246</v>
      </c>
      <c r="C374" t="s">
        <v>30</v>
      </c>
      <c r="D374" t="s">
        <v>31</v>
      </c>
      <c r="E374" t="s">
        <v>43</v>
      </c>
      <c r="F374" t="s">
        <v>32</v>
      </c>
      <c r="G374" t="s">
        <v>33</v>
      </c>
      <c r="H374" t="s">
        <v>57</v>
      </c>
      <c r="I374" t="s">
        <v>213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301341</v>
      </c>
      <c r="Q374" t="s">
        <v>75</v>
      </c>
      <c r="R374" t="s">
        <v>76</v>
      </c>
      <c r="S374" t="s">
        <v>38</v>
      </c>
      <c r="T374">
        <v>0</v>
      </c>
      <c r="U374">
        <v>0.25</v>
      </c>
      <c r="V374" s="2">
        <v>1.0416666666666666E-2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hidden="1" x14ac:dyDescent="0.3">
      <c r="A375" s="1">
        <v>45562</v>
      </c>
      <c r="B375" t="s">
        <v>246</v>
      </c>
      <c r="C375" t="s">
        <v>30</v>
      </c>
      <c r="D375" t="s">
        <v>31</v>
      </c>
      <c r="E375" t="s">
        <v>43</v>
      </c>
      <c r="F375" t="s">
        <v>32</v>
      </c>
      <c r="G375" t="s">
        <v>33</v>
      </c>
      <c r="H375" t="s">
        <v>57</v>
      </c>
      <c r="I375" t="s">
        <v>213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303002</v>
      </c>
      <c r="Q375" t="s">
        <v>75</v>
      </c>
      <c r="R375" t="s">
        <v>76</v>
      </c>
      <c r="S375" t="s">
        <v>38</v>
      </c>
      <c r="T375">
        <v>0</v>
      </c>
      <c r="U375">
        <v>0.25</v>
      </c>
      <c r="V375" s="2">
        <v>1.0416666666666666E-2</v>
      </c>
      <c r="W375">
        <v>0</v>
      </c>
      <c r="AA375" t="s">
        <v>39</v>
      </c>
      <c r="AB375" t="s">
        <v>40</v>
      </c>
      <c r="AC375" t="s">
        <v>68</v>
      </c>
      <c r="AD375" t="s">
        <v>41</v>
      </c>
    </row>
    <row r="376" spans="1:30" hidden="1" x14ac:dyDescent="0.3">
      <c r="A376" s="1">
        <v>45565</v>
      </c>
      <c r="B376" t="s">
        <v>246</v>
      </c>
      <c r="C376" t="s">
        <v>30</v>
      </c>
      <c r="D376" t="s">
        <v>31</v>
      </c>
      <c r="E376" t="s">
        <v>43</v>
      </c>
      <c r="F376" t="s">
        <v>32</v>
      </c>
      <c r="G376" t="s">
        <v>33</v>
      </c>
      <c r="H376" t="s">
        <v>57</v>
      </c>
      <c r="I376" t="s">
        <v>213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304283</v>
      </c>
      <c r="Q376" t="s">
        <v>75</v>
      </c>
      <c r="R376" t="s">
        <v>76</v>
      </c>
      <c r="S376" t="s">
        <v>38</v>
      </c>
      <c r="T376">
        <v>0</v>
      </c>
      <c r="U376">
        <v>0.75</v>
      </c>
      <c r="V376" s="2">
        <v>3.125E-2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x14ac:dyDescent="0.3">
      <c r="A377" s="1">
        <v>45566</v>
      </c>
      <c r="B377" t="s">
        <v>246</v>
      </c>
      <c r="C377" t="s">
        <v>30</v>
      </c>
      <c r="D377" t="s">
        <v>31</v>
      </c>
      <c r="E377" t="s">
        <v>43</v>
      </c>
      <c r="F377" t="s">
        <v>32</v>
      </c>
      <c r="G377" t="s">
        <v>33</v>
      </c>
      <c r="H377" t="s">
        <v>57</v>
      </c>
      <c r="I377" t="s">
        <v>213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306205</v>
      </c>
      <c r="Q377" t="s">
        <v>75</v>
      </c>
      <c r="R377" t="s">
        <v>76</v>
      </c>
      <c r="S377" t="s">
        <v>38</v>
      </c>
      <c r="T377">
        <v>0</v>
      </c>
      <c r="U377">
        <v>0.25</v>
      </c>
      <c r="V377" s="2">
        <v>1.0416666666666666E-2</v>
      </c>
      <c r="W377">
        <v>0</v>
      </c>
      <c r="AA377" t="s">
        <v>39</v>
      </c>
      <c r="AB377" t="s">
        <v>40</v>
      </c>
      <c r="AC377" t="s">
        <v>68</v>
      </c>
      <c r="AD377" t="s">
        <v>41</v>
      </c>
    </row>
    <row r="378" spans="1:30" x14ac:dyDescent="0.3">
      <c r="A378" s="1">
        <v>45567</v>
      </c>
      <c r="B378" t="s">
        <v>246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213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306214</v>
      </c>
      <c r="Q378" t="s">
        <v>75</v>
      </c>
      <c r="R378" t="s">
        <v>76</v>
      </c>
      <c r="S378" t="s">
        <v>38</v>
      </c>
      <c r="T378">
        <v>0</v>
      </c>
      <c r="U378">
        <v>0.25</v>
      </c>
      <c r="V378" s="2">
        <v>1.0416666666666666E-2</v>
      </c>
      <c r="W378">
        <v>0</v>
      </c>
      <c r="AA378" t="s">
        <v>39</v>
      </c>
      <c r="AB378" t="s">
        <v>40</v>
      </c>
      <c r="AC378" t="s">
        <v>68</v>
      </c>
      <c r="AD378" t="s">
        <v>41</v>
      </c>
    </row>
    <row r="379" spans="1:30" x14ac:dyDescent="0.3">
      <c r="A379" s="1">
        <v>45572</v>
      </c>
      <c r="B379" t="s">
        <v>246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213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307047</v>
      </c>
      <c r="Q379" t="s">
        <v>59</v>
      </c>
      <c r="R379" t="s">
        <v>37</v>
      </c>
      <c r="S379" t="s">
        <v>38</v>
      </c>
      <c r="T379">
        <v>90</v>
      </c>
      <c r="U379">
        <v>0.25</v>
      </c>
      <c r="V379" s="2">
        <v>1.0416666666666666E-2</v>
      </c>
      <c r="W379">
        <v>22.5</v>
      </c>
      <c r="AA379" t="s">
        <v>39</v>
      </c>
      <c r="AB379" t="s">
        <v>40</v>
      </c>
      <c r="AC379" t="s">
        <v>68</v>
      </c>
      <c r="AD379" t="s">
        <v>41</v>
      </c>
    </row>
    <row r="380" spans="1:30" x14ac:dyDescent="0.3">
      <c r="A380" s="1">
        <v>45573</v>
      </c>
      <c r="B380" t="s">
        <v>246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213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307948</v>
      </c>
      <c r="Q380" t="s">
        <v>59</v>
      </c>
      <c r="R380" t="s">
        <v>37</v>
      </c>
      <c r="S380" t="s">
        <v>38</v>
      </c>
      <c r="T380">
        <v>90</v>
      </c>
      <c r="U380">
        <v>0.5</v>
      </c>
      <c r="V380" s="2">
        <v>2.0833333333333332E-2</v>
      </c>
      <c r="W380">
        <v>45</v>
      </c>
      <c r="AA380" t="s">
        <v>39</v>
      </c>
      <c r="AB380" t="s">
        <v>40</v>
      </c>
      <c r="AC380" t="s">
        <v>68</v>
      </c>
      <c r="AD380" t="s">
        <v>41</v>
      </c>
    </row>
    <row r="381" spans="1:30" x14ac:dyDescent="0.3">
      <c r="A381" s="1">
        <v>45575</v>
      </c>
      <c r="B381" t="s">
        <v>246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213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308691</v>
      </c>
      <c r="Q381" t="s">
        <v>75</v>
      </c>
      <c r="R381" t="s">
        <v>76</v>
      </c>
      <c r="S381" t="s">
        <v>38</v>
      </c>
      <c r="T381">
        <v>0</v>
      </c>
      <c r="U381">
        <v>0.25</v>
      </c>
      <c r="V381" s="2">
        <v>1.0416666666666666E-2</v>
      </c>
      <c r="W381">
        <v>0</v>
      </c>
      <c r="AA381" t="s">
        <v>39</v>
      </c>
      <c r="AB381" t="s">
        <v>40</v>
      </c>
      <c r="AC381" t="s">
        <v>68</v>
      </c>
      <c r="AD381" t="s">
        <v>41</v>
      </c>
    </row>
    <row r="382" spans="1:30" x14ac:dyDescent="0.3">
      <c r="A382" s="1">
        <v>45579</v>
      </c>
      <c r="B382" t="s">
        <v>246</v>
      </c>
      <c r="C382" t="s">
        <v>30</v>
      </c>
      <c r="D382" t="s">
        <v>31</v>
      </c>
      <c r="E382" t="s">
        <v>43</v>
      </c>
      <c r="F382" t="s">
        <v>32</v>
      </c>
      <c r="G382" t="s">
        <v>33</v>
      </c>
      <c r="H382" t="s">
        <v>57</v>
      </c>
      <c r="I382" t="s">
        <v>213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311241</v>
      </c>
      <c r="Q382" t="s">
        <v>59</v>
      </c>
      <c r="R382" t="s">
        <v>37</v>
      </c>
      <c r="S382" t="s">
        <v>38</v>
      </c>
      <c r="T382">
        <v>90</v>
      </c>
      <c r="U382">
        <v>0.75</v>
      </c>
      <c r="V382" s="2">
        <v>3.125E-2</v>
      </c>
      <c r="W382">
        <v>67.5</v>
      </c>
      <c r="AA382" t="s">
        <v>39</v>
      </c>
      <c r="AC382" t="s">
        <v>68</v>
      </c>
      <c r="AD382" t="s">
        <v>41</v>
      </c>
    </row>
    <row r="383" spans="1:30" x14ac:dyDescent="0.3">
      <c r="A383" s="1">
        <v>45580</v>
      </c>
      <c r="B383" t="s">
        <v>246</v>
      </c>
      <c r="C383" t="s">
        <v>30</v>
      </c>
      <c r="D383" t="s">
        <v>31</v>
      </c>
      <c r="E383" t="s">
        <v>43</v>
      </c>
      <c r="F383" t="s">
        <v>32</v>
      </c>
      <c r="G383" t="s">
        <v>33</v>
      </c>
      <c r="H383" t="s">
        <v>57</v>
      </c>
      <c r="I383" t="s">
        <v>213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311261</v>
      </c>
      <c r="Q383" t="s">
        <v>59</v>
      </c>
      <c r="R383" t="s">
        <v>37</v>
      </c>
      <c r="S383" t="s">
        <v>38</v>
      </c>
      <c r="T383">
        <v>90</v>
      </c>
      <c r="U383">
        <v>0.5</v>
      </c>
      <c r="V383" s="2">
        <v>2.0833333333333332E-2</v>
      </c>
      <c r="W383">
        <v>45</v>
      </c>
      <c r="AA383" t="s">
        <v>39</v>
      </c>
      <c r="AC383" t="s">
        <v>68</v>
      </c>
      <c r="AD383" t="s">
        <v>41</v>
      </c>
    </row>
    <row r="384" spans="1:30" x14ac:dyDescent="0.3">
      <c r="A384" s="1">
        <v>45586</v>
      </c>
      <c r="B384" t="s">
        <v>246</v>
      </c>
      <c r="C384" t="s">
        <v>30</v>
      </c>
      <c r="D384" t="s">
        <v>31</v>
      </c>
      <c r="E384" t="s">
        <v>43</v>
      </c>
      <c r="F384" t="s">
        <v>32</v>
      </c>
      <c r="G384" t="s">
        <v>33</v>
      </c>
      <c r="H384" t="s">
        <v>57</v>
      </c>
      <c r="I384" t="s">
        <v>213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312090</v>
      </c>
      <c r="Q384" t="s">
        <v>59</v>
      </c>
      <c r="R384" t="s">
        <v>37</v>
      </c>
      <c r="S384" t="s">
        <v>38</v>
      </c>
      <c r="T384">
        <v>90</v>
      </c>
      <c r="U384">
        <v>0.5</v>
      </c>
      <c r="V384" s="2">
        <v>2.0833333333333332E-2</v>
      </c>
      <c r="W384">
        <v>45</v>
      </c>
      <c r="AA384" t="s">
        <v>39</v>
      </c>
      <c r="AC384" t="s">
        <v>68</v>
      </c>
      <c r="AD384" t="s">
        <v>41</v>
      </c>
    </row>
    <row r="385" spans="1:30" hidden="1" x14ac:dyDescent="0.3">
      <c r="A385" s="1">
        <v>45520</v>
      </c>
      <c r="B385" t="s">
        <v>361</v>
      </c>
      <c r="C385" t="s">
        <v>30</v>
      </c>
      <c r="D385" t="s">
        <v>31</v>
      </c>
      <c r="E385" t="s">
        <v>43</v>
      </c>
      <c r="F385" t="s">
        <v>32</v>
      </c>
      <c r="G385" t="s">
        <v>33</v>
      </c>
      <c r="H385" t="s">
        <v>57</v>
      </c>
      <c r="I385" t="s">
        <v>213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285366</v>
      </c>
      <c r="Q385" t="s">
        <v>75</v>
      </c>
      <c r="R385" t="s">
        <v>76</v>
      </c>
      <c r="S385" t="s">
        <v>38</v>
      </c>
      <c r="T385">
        <v>0</v>
      </c>
      <c r="U385">
        <v>0.25</v>
      </c>
      <c r="V385" s="2">
        <v>1.0416666666666666E-2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45527</v>
      </c>
      <c r="B386" t="s">
        <v>361</v>
      </c>
      <c r="C386" t="s">
        <v>30</v>
      </c>
      <c r="D386" t="s">
        <v>31</v>
      </c>
      <c r="E386" t="s">
        <v>43</v>
      </c>
      <c r="F386" t="s">
        <v>32</v>
      </c>
      <c r="G386" t="s">
        <v>33</v>
      </c>
      <c r="H386" t="s">
        <v>57</v>
      </c>
      <c r="I386" t="s">
        <v>213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288412</v>
      </c>
      <c r="Q386" t="s">
        <v>75</v>
      </c>
      <c r="R386" t="s">
        <v>76</v>
      </c>
      <c r="S386" t="s">
        <v>38</v>
      </c>
      <c r="T386">
        <v>0</v>
      </c>
      <c r="U386">
        <v>0.25</v>
      </c>
      <c r="V386" s="2">
        <v>1.0416666666666666E-2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45534</v>
      </c>
      <c r="B387" t="s">
        <v>361</v>
      </c>
      <c r="C387" t="s">
        <v>30</v>
      </c>
      <c r="D387" t="s">
        <v>31</v>
      </c>
      <c r="E387" t="s">
        <v>43</v>
      </c>
      <c r="F387" t="s">
        <v>32</v>
      </c>
      <c r="G387" t="s">
        <v>33</v>
      </c>
      <c r="H387" t="s">
        <v>57</v>
      </c>
      <c r="I387" t="s">
        <v>213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291648</v>
      </c>
      <c r="Q387" t="s">
        <v>75</v>
      </c>
      <c r="R387" t="s">
        <v>76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300</v>
      </c>
      <c r="AD387" t="s">
        <v>41</v>
      </c>
    </row>
    <row r="388" spans="1:30" hidden="1" x14ac:dyDescent="0.3">
      <c r="A388" s="1">
        <v>45433</v>
      </c>
      <c r="B388" t="s">
        <v>278</v>
      </c>
      <c r="C388" t="s">
        <v>30</v>
      </c>
      <c r="D388" t="s">
        <v>31</v>
      </c>
      <c r="E388" t="s">
        <v>43</v>
      </c>
      <c r="F388" t="s">
        <v>32</v>
      </c>
      <c r="G388" t="s">
        <v>33</v>
      </c>
      <c r="H388" t="s">
        <v>57</v>
      </c>
      <c r="I388" t="s">
        <v>213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249514</v>
      </c>
      <c r="Q388" t="s">
        <v>75</v>
      </c>
      <c r="R388" t="s">
        <v>76</v>
      </c>
      <c r="S388" t="s">
        <v>38</v>
      </c>
      <c r="T388">
        <v>0</v>
      </c>
      <c r="U388">
        <v>0.25</v>
      </c>
      <c r="V388" s="2">
        <v>1.0416666666666666E-2</v>
      </c>
      <c r="W388">
        <v>0</v>
      </c>
      <c r="AA388" t="s">
        <v>39</v>
      </c>
      <c r="AB388" t="s">
        <v>40</v>
      </c>
      <c r="AC388" t="s">
        <v>279</v>
      </c>
      <c r="AD388" t="s">
        <v>41</v>
      </c>
    </row>
    <row r="389" spans="1:30" hidden="1" x14ac:dyDescent="0.3">
      <c r="A389" s="1">
        <v>45434</v>
      </c>
      <c r="B389" t="s">
        <v>278</v>
      </c>
      <c r="C389" t="s">
        <v>30</v>
      </c>
      <c r="D389" t="s">
        <v>31</v>
      </c>
      <c r="E389" t="s">
        <v>43</v>
      </c>
      <c r="F389" t="s">
        <v>32</v>
      </c>
      <c r="G389" t="s">
        <v>33</v>
      </c>
      <c r="H389" t="s">
        <v>57</v>
      </c>
      <c r="I389" t="s">
        <v>213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250134</v>
      </c>
      <c r="Q389" t="s">
        <v>75</v>
      </c>
      <c r="R389" t="s">
        <v>76</v>
      </c>
      <c r="S389" t="s">
        <v>38</v>
      </c>
      <c r="T389">
        <v>0</v>
      </c>
      <c r="U389">
        <v>0.75</v>
      </c>
      <c r="V389" s="2">
        <v>3.125E-2</v>
      </c>
      <c r="W389">
        <v>0</v>
      </c>
      <c r="AA389" t="s">
        <v>39</v>
      </c>
      <c r="AB389" t="s">
        <v>40</v>
      </c>
      <c r="AC389" t="s">
        <v>280</v>
      </c>
      <c r="AD389" t="s">
        <v>41</v>
      </c>
    </row>
    <row r="390" spans="1:30" hidden="1" x14ac:dyDescent="0.3">
      <c r="A390" s="1">
        <v>45439</v>
      </c>
      <c r="B390" t="s">
        <v>278</v>
      </c>
      <c r="C390" t="s">
        <v>30</v>
      </c>
      <c r="D390" t="s">
        <v>31</v>
      </c>
      <c r="E390" t="s">
        <v>43</v>
      </c>
      <c r="F390" t="s">
        <v>32</v>
      </c>
      <c r="G390" t="s">
        <v>33</v>
      </c>
      <c r="H390" t="s">
        <v>57</v>
      </c>
      <c r="I390" t="s">
        <v>213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251639</v>
      </c>
      <c r="Q390" t="s">
        <v>75</v>
      </c>
      <c r="R390" t="s">
        <v>76</v>
      </c>
      <c r="S390" t="s">
        <v>38</v>
      </c>
      <c r="T390">
        <v>0</v>
      </c>
      <c r="U390">
        <v>1</v>
      </c>
      <c r="V390" s="2">
        <v>4.1666666666666664E-2</v>
      </c>
      <c r="W390">
        <v>0</v>
      </c>
      <c r="AA390" t="s">
        <v>39</v>
      </c>
      <c r="AB390" t="s">
        <v>40</v>
      </c>
      <c r="AC390" t="s">
        <v>281</v>
      </c>
      <c r="AD390" t="s">
        <v>41</v>
      </c>
    </row>
    <row r="391" spans="1:30" hidden="1" x14ac:dyDescent="0.3">
      <c r="A391" s="1">
        <v>45446</v>
      </c>
      <c r="B391" t="s">
        <v>278</v>
      </c>
      <c r="C391" t="s">
        <v>30</v>
      </c>
      <c r="D391" t="s">
        <v>31</v>
      </c>
      <c r="E391" t="s">
        <v>43</v>
      </c>
      <c r="F391" t="s">
        <v>32</v>
      </c>
      <c r="G391" t="s">
        <v>33</v>
      </c>
      <c r="H391" t="s">
        <v>57</v>
      </c>
      <c r="I391" t="s">
        <v>213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254751</v>
      </c>
      <c r="Q391" t="s">
        <v>75</v>
      </c>
      <c r="R391" t="s">
        <v>76</v>
      </c>
      <c r="S391" t="s">
        <v>38</v>
      </c>
      <c r="T391">
        <v>0</v>
      </c>
      <c r="U391">
        <v>0.5</v>
      </c>
      <c r="V391" s="2">
        <v>2.0833333333333332E-2</v>
      </c>
      <c r="W391">
        <v>0</v>
      </c>
      <c r="AA391" t="s">
        <v>39</v>
      </c>
      <c r="AB391" t="s">
        <v>40</v>
      </c>
      <c r="AC391" t="s">
        <v>281</v>
      </c>
      <c r="AD391" t="s">
        <v>41</v>
      </c>
    </row>
    <row r="392" spans="1:30" hidden="1" x14ac:dyDescent="0.3">
      <c r="A392" s="1">
        <v>45450</v>
      </c>
      <c r="B392" t="s">
        <v>278</v>
      </c>
      <c r="C392" t="s">
        <v>30</v>
      </c>
      <c r="D392" t="s">
        <v>31</v>
      </c>
      <c r="E392" t="s">
        <v>43</v>
      </c>
      <c r="F392" t="s">
        <v>32</v>
      </c>
      <c r="G392" t="s">
        <v>33</v>
      </c>
      <c r="H392" t="s">
        <v>57</v>
      </c>
      <c r="I392" t="s">
        <v>213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256490</v>
      </c>
      <c r="Q392" t="s">
        <v>75</v>
      </c>
      <c r="R392" t="s">
        <v>76</v>
      </c>
      <c r="S392" t="s">
        <v>38</v>
      </c>
      <c r="T392">
        <v>0</v>
      </c>
      <c r="U392">
        <v>0.5</v>
      </c>
      <c r="V392" s="2">
        <v>2.0833333333333332E-2</v>
      </c>
      <c r="W392">
        <v>0</v>
      </c>
      <c r="AA392" t="s">
        <v>39</v>
      </c>
      <c r="AB392" t="s">
        <v>40</v>
      </c>
      <c r="AC392" t="s">
        <v>284</v>
      </c>
      <c r="AD392" t="s">
        <v>41</v>
      </c>
    </row>
    <row r="393" spans="1:30" hidden="1" x14ac:dyDescent="0.3">
      <c r="A393" s="1">
        <v>45488</v>
      </c>
      <c r="B393" t="s">
        <v>278</v>
      </c>
      <c r="C393" t="s">
        <v>30</v>
      </c>
      <c r="D393" t="s">
        <v>31</v>
      </c>
      <c r="E393" t="s">
        <v>43</v>
      </c>
      <c r="F393" t="s">
        <v>32</v>
      </c>
      <c r="G393" t="s">
        <v>33</v>
      </c>
      <c r="H393" t="s">
        <v>57</v>
      </c>
      <c r="I393" t="s">
        <v>213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271381</v>
      </c>
      <c r="Q393" t="s">
        <v>75</v>
      </c>
      <c r="R393" t="s">
        <v>76</v>
      </c>
      <c r="S393" t="s">
        <v>38</v>
      </c>
      <c r="T393">
        <v>0</v>
      </c>
      <c r="U393">
        <v>0.75</v>
      </c>
      <c r="V393" s="2">
        <v>3.125E-2</v>
      </c>
      <c r="W393">
        <v>0</v>
      </c>
      <c r="AA393" t="s">
        <v>39</v>
      </c>
      <c r="AB393" t="s">
        <v>40</v>
      </c>
      <c r="AC393" t="s">
        <v>332</v>
      </c>
      <c r="AD393" t="s">
        <v>41</v>
      </c>
    </row>
    <row r="394" spans="1:30" hidden="1" x14ac:dyDescent="0.3">
      <c r="A394" s="1">
        <v>45476</v>
      </c>
      <c r="B394" t="s">
        <v>314</v>
      </c>
      <c r="C394" t="s">
        <v>30</v>
      </c>
      <c r="D394" t="s">
        <v>31</v>
      </c>
      <c r="E394" t="s">
        <v>74</v>
      </c>
      <c r="F394" t="s">
        <v>32</v>
      </c>
      <c r="G394" t="s">
        <v>33</v>
      </c>
      <c r="H394" t="s">
        <v>57</v>
      </c>
      <c r="I394" t="s">
        <v>213</v>
      </c>
      <c r="J394" t="s">
        <v>34</v>
      </c>
      <c r="K394" t="s">
        <v>31</v>
      </c>
      <c r="L394" t="s">
        <v>35</v>
      </c>
      <c r="M394" t="s">
        <v>36</v>
      </c>
      <c r="N394" t="s">
        <v>315</v>
      </c>
      <c r="O394" t="s">
        <v>58</v>
      </c>
      <c r="P394">
        <v>266698</v>
      </c>
      <c r="Q394" t="s">
        <v>59</v>
      </c>
      <c r="R394" t="s">
        <v>37</v>
      </c>
      <c r="S394" t="s">
        <v>38</v>
      </c>
      <c r="T394">
        <v>90</v>
      </c>
      <c r="U394">
        <v>0.25</v>
      </c>
      <c r="V394" s="2">
        <v>1.0416666666666666E-2</v>
      </c>
      <c r="W394">
        <v>22.5</v>
      </c>
      <c r="X394">
        <v>30</v>
      </c>
      <c r="Y394">
        <v>7.5</v>
      </c>
      <c r="Z394" t="s">
        <v>341</v>
      </c>
      <c r="AA394" t="s">
        <v>39</v>
      </c>
      <c r="AB394" t="s">
        <v>40</v>
      </c>
      <c r="AC394" t="s">
        <v>316</v>
      </c>
      <c r="AD394" t="s">
        <v>41</v>
      </c>
    </row>
    <row r="395" spans="1:30" hidden="1" x14ac:dyDescent="0.3">
      <c r="A395" s="1">
        <v>45373</v>
      </c>
      <c r="B395" t="s">
        <v>62</v>
      </c>
      <c r="C395" t="s">
        <v>56</v>
      </c>
      <c r="D395" t="s">
        <v>31</v>
      </c>
      <c r="E395" t="s">
        <v>43</v>
      </c>
      <c r="F395" t="s">
        <v>32</v>
      </c>
      <c r="G395" t="s">
        <v>33</v>
      </c>
      <c r="H395" t="s">
        <v>57</v>
      </c>
      <c r="I395" t="s">
        <v>213</v>
      </c>
      <c r="J395" t="s">
        <v>34</v>
      </c>
      <c r="K395" t="s">
        <v>31</v>
      </c>
      <c r="L395" t="s">
        <v>35</v>
      </c>
      <c r="M395" t="s">
        <v>36</v>
      </c>
      <c r="N395" t="s">
        <v>42</v>
      </c>
      <c r="O395" t="s">
        <v>58</v>
      </c>
      <c r="P395">
        <v>227014</v>
      </c>
      <c r="Q395" t="s">
        <v>59</v>
      </c>
      <c r="R395" t="s">
        <v>37</v>
      </c>
      <c r="S395" t="s">
        <v>38</v>
      </c>
      <c r="T395">
        <v>90</v>
      </c>
      <c r="U395">
        <v>1</v>
      </c>
      <c r="V395" s="2">
        <v>4.1666666666666664E-2</v>
      </c>
      <c r="W395">
        <v>90</v>
      </c>
      <c r="X395">
        <v>119.01</v>
      </c>
      <c r="Y395">
        <v>29.01</v>
      </c>
      <c r="Z395" t="s">
        <v>192</v>
      </c>
      <c r="AA395" t="s">
        <v>39</v>
      </c>
      <c r="AB395" t="s">
        <v>40</v>
      </c>
      <c r="AC395" t="s">
        <v>63</v>
      </c>
      <c r="AD395" t="s">
        <v>41</v>
      </c>
    </row>
    <row r="396" spans="1:30" hidden="1" x14ac:dyDescent="0.3">
      <c r="A396" s="1">
        <v>45377</v>
      </c>
      <c r="B396" t="s">
        <v>62</v>
      </c>
      <c r="C396" t="s">
        <v>56</v>
      </c>
      <c r="D396" t="s">
        <v>31</v>
      </c>
      <c r="E396" t="s">
        <v>43</v>
      </c>
      <c r="F396" t="s">
        <v>32</v>
      </c>
      <c r="G396" t="s">
        <v>33</v>
      </c>
      <c r="H396" t="s">
        <v>57</v>
      </c>
      <c r="I396" t="s">
        <v>213</v>
      </c>
      <c r="J396" t="s">
        <v>34</v>
      </c>
      <c r="K396" t="s">
        <v>31</v>
      </c>
      <c r="L396" t="s">
        <v>35</v>
      </c>
      <c r="M396" t="s">
        <v>36</v>
      </c>
      <c r="N396" t="s">
        <v>42</v>
      </c>
      <c r="O396" t="s">
        <v>58</v>
      </c>
      <c r="P396">
        <v>228560</v>
      </c>
      <c r="Q396" t="s">
        <v>59</v>
      </c>
      <c r="R396" t="s">
        <v>37</v>
      </c>
      <c r="S396" t="s">
        <v>38</v>
      </c>
      <c r="T396">
        <v>90</v>
      </c>
      <c r="U396">
        <v>1</v>
      </c>
      <c r="V396" s="2">
        <v>4.1666666666666664E-2</v>
      </c>
      <c r="W396">
        <v>90</v>
      </c>
      <c r="X396">
        <v>119.01</v>
      </c>
      <c r="Y396">
        <v>29.01</v>
      </c>
      <c r="Z396" t="s">
        <v>192</v>
      </c>
      <c r="AA396" t="s">
        <v>39</v>
      </c>
      <c r="AB396" t="s">
        <v>40</v>
      </c>
      <c r="AC396" t="s">
        <v>64</v>
      </c>
      <c r="AD396" t="s">
        <v>41</v>
      </c>
    </row>
    <row r="397" spans="1:30" hidden="1" x14ac:dyDescent="0.3">
      <c r="A397" s="1">
        <v>45378</v>
      </c>
      <c r="B397" t="s">
        <v>62</v>
      </c>
      <c r="C397" t="s">
        <v>56</v>
      </c>
      <c r="D397" t="s">
        <v>31</v>
      </c>
      <c r="E397" t="s">
        <v>43</v>
      </c>
      <c r="F397" t="s">
        <v>32</v>
      </c>
      <c r="G397" t="s">
        <v>33</v>
      </c>
      <c r="H397" t="s">
        <v>57</v>
      </c>
      <c r="I397" t="s">
        <v>213</v>
      </c>
      <c r="J397" t="s">
        <v>34</v>
      </c>
      <c r="K397" t="s">
        <v>31</v>
      </c>
      <c r="L397" t="s">
        <v>35</v>
      </c>
      <c r="M397" t="s">
        <v>36</v>
      </c>
      <c r="N397" t="s">
        <v>42</v>
      </c>
      <c r="O397" t="s">
        <v>58</v>
      </c>
      <c r="P397">
        <v>229177</v>
      </c>
      <c r="Q397" t="s">
        <v>59</v>
      </c>
      <c r="R397" t="s">
        <v>37</v>
      </c>
      <c r="S397" t="s">
        <v>38</v>
      </c>
      <c r="T397">
        <v>90</v>
      </c>
      <c r="U397">
        <v>0.5</v>
      </c>
      <c r="V397" s="2">
        <v>2.0833333333333332E-2</v>
      </c>
      <c r="W397">
        <v>45</v>
      </c>
      <c r="X397">
        <v>59.5</v>
      </c>
      <c r="Y397">
        <v>14.5</v>
      </c>
      <c r="Z397" t="s">
        <v>192</v>
      </c>
      <c r="AA397" t="s">
        <v>39</v>
      </c>
      <c r="AB397" t="s">
        <v>40</v>
      </c>
      <c r="AC397" t="s">
        <v>65</v>
      </c>
      <c r="AD397" t="s">
        <v>41</v>
      </c>
    </row>
    <row r="398" spans="1:30" hidden="1" x14ac:dyDescent="0.3">
      <c r="A398" s="1">
        <v>45386</v>
      </c>
      <c r="B398" t="s">
        <v>42</v>
      </c>
      <c r="C398" t="s">
        <v>30</v>
      </c>
      <c r="D398" t="s">
        <v>31</v>
      </c>
      <c r="E398" t="s">
        <v>43</v>
      </c>
      <c r="F398" t="s">
        <v>32</v>
      </c>
      <c r="G398" t="s">
        <v>33</v>
      </c>
      <c r="H398" t="s">
        <v>57</v>
      </c>
      <c r="I398" t="s">
        <v>213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231333</v>
      </c>
      <c r="Q398" t="s">
        <v>59</v>
      </c>
      <c r="R398" t="s">
        <v>37</v>
      </c>
      <c r="S398" t="s">
        <v>38</v>
      </c>
      <c r="T398">
        <v>90</v>
      </c>
      <c r="U398">
        <v>0.5</v>
      </c>
      <c r="V398" s="2">
        <v>2.0833333333333332E-2</v>
      </c>
      <c r="W398">
        <v>45</v>
      </c>
      <c r="X398">
        <v>59.5</v>
      </c>
      <c r="Y398">
        <v>14.5</v>
      </c>
      <c r="Z398" t="s">
        <v>192</v>
      </c>
      <c r="AA398" t="s">
        <v>39</v>
      </c>
      <c r="AB398" t="s">
        <v>40</v>
      </c>
      <c r="AC398" t="s">
        <v>69</v>
      </c>
      <c r="AD398" t="s">
        <v>41</v>
      </c>
    </row>
    <row r="399" spans="1:30" hidden="1" x14ac:dyDescent="0.3">
      <c r="A399" s="1">
        <v>45390</v>
      </c>
      <c r="B399" t="s">
        <v>42</v>
      </c>
      <c r="C399" t="s">
        <v>30</v>
      </c>
      <c r="D399" t="s">
        <v>31</v>
      </c>
      <c r="E399" t="s">
        <v>43</v>
      </c>
      <c r="F399" t="s">
        <v>32</v>
      </c>
      <c r="G399" t="s">
        <v>33</v>
      </c>
      <c r="H399" t="s">
        <v>57</v>
      </c>
      <c r="I399" t="s">
        <v>213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232216</v>
      </c>
      <c r="Q399" t="s">
        <v>59</v>
      </c>
      <c r="R399" t="s">
        <v>37</v>
      </c>
      <c r="S399" t="s">
        <v>38</v>
      </c>
      <c r="T399">
        <v>90</v>
      </c>
      <c r="U399">
        <v>0.5</v>
      </c>
      <c r="V399" s="2">
        <v>2.0833333333333332E-2</v>
      </c>
      <c r="W399">
        <v>45</v>
      </c>
      <c r="X399">
        <v>59.5</v>
      </c>
      <c r="Y399">
        <v>14.5</v>
      </c>
      <c r="Z399" t="s">
        <v>192</v>
      </c>
      <c r="AA399" t="s">
        <v>39</v>
      </c>
      <c r="AB399" t="s">
        <v>40</v>
      </c>
      <c r="AC399" t="s">
        <v>70</v>
      </c>
      <c r="AD399" t="s">
        <v>41</v>
      </c>
    </row>
    <row r="400" spans="1:30" hidden="1" x14ac:dyDescent="0.3">
      <c r="A400" s="1">
        <v>45391</v>
      </c>
      <c r="B400" t="s">
        <v>42</v>
      </c>
      <c r="C400" t="s">
        <v>30</v>
      </c>
      <c r="D400" t="s">
        <v>31</v>
      </c>
      <c r="E400" t="s">
        <v>43</v>
      </c>
      <c r="F400" t="s">
        <v>32</v>
      </c>
      <c r="G400" t="s">
        <v>33</v>
      </c>
      <c r="H400" t="s">
        <v>57</v>
      </c>
      <c r="I400" t="s">
        <v>213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232898</v>
      </c>
      <c r="Q400" t="s">
        <v>59</v>
      </c>
      <c r="R400" t="s">
        <v>37</v>
      </c>
      <c r="S400" t="s">
        <v>38</v>
      </c>
      <c r="T400">
        <v>90</v>
      </c>
      <c r="U400">
        <v>0.5</v>
      </c>
      <c r="V400" s="2">
        <v>2.0833333333333332E-2</v>
      </c>
      <c r="W400">
        <v>45</v>
      </c>
      <c r="X400">
        <v>59.5</v>
      </c>
      <c r="Y400">
        <v>14.5</v>
      </c>
      <c r="Z400" t="s">
        <v>192</v>
      </c>
      <c r="AA400" t="s">
        <v>39</v>
      </c>
      <c r="AB400" t="s">
        <v>40</v>
      </c>
      <c r="AC400" t="s">
        <v>92</v>
      </c>
      <c r="AD400" t="s">
        <v>41</v>
      </c>
    </row>
    <row r="401" spans="1:30" hidden="1" x14ac:dyDescent="0.3">
      <c r="A401" s="1">
        <v>45405</v>
      </c>
      <c r="B401" t="s">
        <v>42</v>
      </c>
      <c r="C401" t="s">
        <v>30</v>
      </c>
      <c r="D401" t="s">
        <v>31</v>
      </c>
      <c r="E401" t="s">
        <v>43</v>
      </c>
      <c r="F401" t="s">
        <v>32</v>
      </c>
      <c r="G401" t="s">
        <v>33</v>
      </c>
      <c r="H401" t="s">
        <v>57</v>
      </c>
      <c r="I401" t="s">
        <v>213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240660</v>
      </c>
      <c r="Q401" t="s">
        <v>59</v>
      </c>
      <c r="R401" t="s">
        <v>37</v>
      </c>
      <c r="S401" t="s">
        <v>38</v>
      </c>
      <c r="T401">
        <v>90</v>
      </c>
      <c r="U401">
        <v>1</v>
      </c>
      <c r="V401" s="2">
        <v>4.1666666666666664E-2</v>
      </c>
      <c r="W401">
        <v>90</v>
      </c>
      <c r="X401">
        <v>119.01</v>
      </c>
      <c r="Y401">
        <v>29.01</v>
      </c>
      <c r="Z401" t="s">
        <v>192</v>
      </c>
      <c r="AA401" t="s">
        <v>39</v>
      </c>
      <c r="AB401" t="s">
        <v>40</v>
      </c>
      <c r="AC401" t="s">
        <v>176</v>
      </c>
      <c r="AD401" t="s">
        <v>41</v>
      </c>
    </row>
    <row r="402" spans="1:30" hidden="1" x14ac:dyDescent="0.3">
      <c r="A402" s="1">
        <v>45406</v>
      </c>
      <c r="B402" t="s">
        <v>42</v>
      </c>
      <c r="C402" t="s">
        <v>30</v>
      </c>
      <c r="D402" t="s">
        <v>31</v>
      </c>
      <c r="E402" t="s">
        <v>43</v>
      </c>
      <c r="F402" t="s">
        <v>32</v>
      </c>
      <c r="G402" t="s">
        <v>33</v>
      </c>
      <c r="H402" t="s">
        <v>57</v>
      </c>
      <c r="I402" t="s">
        <v>213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239365</v>
      </c>
      <c r="Q402" t="s">
        <v>59</v>
      </c>
      <c r="R402" t="s">
        <v>37</v>
      </c>
      <c r="S402" t="s">
        <v>38</v>
      </c>
      <c r="T402">
        <v>90</v>
      </c>
      <c r="U402">
        <v>1.5</v>
      </c>
      <c r="V402" s="2">
        <v>6.25E-2</v>
      </c>
      <c r="W402">
        <v>135</v>
      </c>
      <c r="X402">
        <v>178.51</v>
      </c>
      <c r="Y402">
        <v>43.51</v>
      </c>
      <c r="Z402" t="s">
        <v>192</v>
      </c>
      <c r="AA402" t="s">
        <v>39</v>
      </c>
      <c r="AB402" t="s">
        <v>40</v>
      </c>
      <c r="AC402" t="s">
        <v>177</v>
      </c>
      <c r="AD402" t="s">
        <v>41</v>
      </c>
    </row>
    <row r="403" spans="1:30" hidden="1" x14ac:dyDescent="0.3">
      <c r="A403" s="1">
        <v>45407</v>
      </c>
      <c r="B403" t="s">
        <v>42</v>
      </c>
      <c r="C403" t="s">
        <v>30</v>
      </c>
      <c r="D403" t="s">
        <v>31</v>
      </c>
      <c r="E403" t="s">
        <v>43</v>
      </c>
      <c r="F403" t="s">
        <v>32</v>
      </c>
      <c r="G403" t="s">
        <v>33</v>
      </c>
      <c r="H403" t="s">
        <v>57</v>
      </c>
      <c r="I403" t="s">
        <v>213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240672</v>
      </c>
      <c r="Q403" t="s">
        <v>59</v>
      </c>
      <c r="R403" t="s">
        <v>37</v>
      </c>
      <c r="S403" t="s">
        <v>38</v>
      </c>
      <c r="T403">
        <v>90</v>
      </c>
      <c r="U403">
        <v>1</v>
      </c>
      <c r="V403" s="2">
        <v>4.1666666666666664E-2</v>
      </c>
      <c r="W403">
        <v>90</v>
      </c>
      <c r="X403">
        <v>119.01</v>
      </c>
      <c r="Y403">
        <v>29.01</v>
      </c>
      <c r="Z403" t="s">
        <v>192</v>
      </c>
      <c r="AA403" t="s">
        <v>39</v>
      </c>
      <c r="AB403" t="s">
        <v>40</v>
      </c>
      <c r="AC403" t="s">
        <v>88</v>
      </c>
      <c r="AD403" t="s">
        <v>41</v>
      </c>
    </row>
    <row r="404" spans="1:30" hidden="1" x14ac:dyDescent="0.3">
      <c r="A404" s="1">
        <v>45408</v>
      </c>
      <c r="B404" t="s">
        <v>42</v>
      </c>
      <c r="C404" t="s">
        <v>30</v>
      </c>
      <c r="D404" t="s">
        <v>31</v>
      </c>
      <c r="E404" t="s">
        <v>43</v>
      </c>
      <c r="F404" t="s">
        <v>32</v>
      </c>
      <c r="G404" t="s">
        <v>33</v>
      </c>
      <c r="H404" t="s">
        <v>57</v>
      </c>
      <c r="I404" t="s">
        <v>213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240433</v>
      </c>
      <c r="Q404" t="s">
        <v>59</v>
      </c>
      <c r="R404" t="s">
        <v>37</v>
      </c>
      <c r="S404" t="s">
        <v>38</v>
      </c>
      <c r="T404">
        <v>90</v>
      </c>
      <c r="U404">
        <v>1</v>
      </c>
      <c r="V404" s="2">
        <v>4.1666666666666664E-2</v>
      </c>
      <c r="W404">
        <v>90</v>
      </c>
      <c r="X404">
        <v>119.01</v>
      </c>
      <c r="Y404">
        <v>29.01</v>
      </c>
      <c r="Z404" t="s">
        <v>192</v>
      </c>
      <c r="AA404" t="s">
        <v>39</v>
      </c>
      <c r="AB404" t="s">
        <v>40</v>
      </c>
      <c r="AC404" t="s">
        <v>88</v>
      </c>
      <c r="AD404" t="s">
        <v>41</v>
      </c>
    </row>
    <row r="405" spans="1:30" hidden="1" x14ac:dyDescent="0.3">
      <c r="A405" s="1">
        <v>45408</v>
      </c>
      <c r="B405" t="s">
        <v>42</v>
      </c>
      <c r="C405" t="s">
        <v>30</v>
      </c>
      <c r="D405" t="s">
        <v>31</v>
      </c>
      <c r="E405" t="s">
        <v>43</v>
      </c>
      <c r="F405" t="s">
        <v>32</v>
      </c>
      <c r="G405" t="s">
        <v>33</v>
      </c>
      <c r="H405" t="s">
        <v>57</v>
      </c>
      <c r="I405" t="s">
        <v>213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240434</v>
      </c>
      <c r="Q405" t="s">
        <v>59</v>
      </c>
      <c r="R405" t="s">
        <v>37</v>
      </c>
      <c r="S405" t="s">
        <v>38</v>
      </c>
      <c r="T405">
        <v>90</v>
      </c>
      <c r="U405">
        <v>1</v>
      </c>
      <c r="V405" s="2">
        <v>4.1666666666666664E-2</v>
      </c>
      <c r="W405">
        <v>90</v>
      </c>
      <c r="X405">
        <v>119.01</v>
      </c>
      <c r="Y405">
        <v>29.01</v>
      </c>
      <c r="Z405" t="s">
        <v>192</v>
      </c>
      <c r="AA405" t="s">
        <v>39</v>
      </c>
      <c r="AB405" t="s">
        <v>40</v>
      </c>
      <c r="AC405" t="s">
        <v>176</v>
      </c>
      <c r="AD405" t="s">
        <v>41</v>
      </c>
    </row>
    <row r="406" spans="1:30" hidden="1" x14ac:dyDescent="0.3">
      <c r="A406" s="1">
        <v>45419</v>
      </c>
      <c r="B406" t="s">
        <v>42</v>
      </c>
      <c r="C406" t="s">
        <v>30</v>
      </c>
      <c r="D406" t="s">
        <v>31</v>
      </c>
      <c r="E406" t="s">
        <v>43</v>
      </c>
      <c r="F406" t="s">
        <v>32</v>
      </c>
      <c r="G406" t="s">
        <v>33</v>
      </c>
      <c r="H406" t="s">
        <v>57</v>
      </c>
      <c r="I406" t="s">
        <v>213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243918</v>
      </c>
      <c r="Q406" t="s">
        <v>59</v>
      </c>
      <c r="R406" t="s">
        <v>37</v>
      </c>
      <c r="S406" t="s">
        <v>38</v>
      </c>
      <c r="T406">
        <v>90</v>
      </c>
      <c r="U406">
        <v>1</v>
      </c>
      <c r="V406" s="2">
        <v>4.1666666666666664E-2</v>
      </c>
      <c r="W406">
        <v>90</v>
      </c>
      <c r="X406">
        <v>121.01</v>
      </c>
      <c r="Y406">
        <v>31.01</v>
      </c>
      <c r="Z406" t="s">
        <v>282</v>
      </c>
      <c r="AA406" t="s">
        <v>39</v>
      </c>
      <c r="AB406" t="s">
        <v>40</v>
      </c>
      <c r="AC406" t="s">
        <v>221</v>
      </c>
      <c r="AD406" t="s">
        <v>41</v>
      </c>
    </row>
    <row r="407" spans="1:30" hidden="1" x14ac:dyDescent="0.3">
      <c r="A407" s="1">
        <v>45453</v>
      </c>
      <c r="B407" t="s">
        <v>42</v>
      </c>
      <c r="C407" t="s">
        <v>30</v>
      </c>
      <c r="D407" t="s">
        <v>31</v>
      </c>
      <c r="E407" t="s">
        <v>43</v>
      </c>
      <c r="F407" t="s">
        <v>32</v>
      </c>
      <c r="G407" t="s">
        <v>33</v>
      </c>
      <c r="H407" t="s">
        <v>57</v>
      </c>
      <c r="I407" t="s">
        <v>213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260134</v>
      </c>
      <c r="Q407" t="s">
        <v>59</v>
      </c>
      <c r="R407" t="s">
        <v>37</v>
      </c>
      <c r="S407" t="s">
        <v>38</v>
      </c>
      <c r="T407">
        <v>90</v>
      </c>
      <c r="U407">
        <v>0.5</v>
      </c>
      <c r="V407" s="2">
        <v>2.0833333333333332E-2</v>
      </c>
      <c r="W407">
        <v>45</v>
      </c>
      <c r="X407">
        <v>60</v>
      </c>
      <c r="Y407">
        <v>15</v>
      </c>
      <c r="Z407" t="s">
        <v>303</v>
      </c>
      <c r="AA407" t="s">
        <v>39</v>
      </c>
      <c r="AB407" t="s">
        <v>40</v>
      </c>
      <c r="AC407" t="s">
        <v>293</v>
      </c>
      <c r="AD407" t="s">
        <v>41</v>
      </c>
    </row>
    <row r="408" spans="1:30" hidden="1" x14ac:dyDescent="0.3">
      <c r="A408" s="1">
        <v>45455</v>
      </c>
      <c r="B408" t="s">
        <v>42</v>
      </c>
      <c r="C408" t="s">
        <v>30</v>
      </c>
      <c r="D408" t="s">
        <v>31</v>
      </c>
      <c r="E408" t="s">
        <v>43</v>
      </c>
      <c r="F408" t="s">
        <v>32</v>
      </c>
      <c r="G408" t="s">
        <v>33</v>
      </c>
      <c r="H408" t="s">
        <v>57</v>
      </c>
      <c r="I408" t="s">
        <v>213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260135</v>
      </c>
      <c r="Q408" t="s">
        <v>59</v>
      </c>
      <c r="R408" t="s">
        <v>37</v>
      </c>
      <c r="S408" t="s">
        <v>38</v>
      </c>
      <c r="T408">
        <v>90</v>
      </c>
      <c r="U408">
        <v>1</v>
      </c>
      <c r="V408" s="2">
        <v>4.1666666666666664E-2</v>
      </c>
      <c r="W408">
        <v>90</v>
      </c>
      <c r="X408">
        <v>120</v>
      </c>
      <c r="Y408">
        <v>30</v>
      </c>
      <c r="Z408" t="s">
        <v>303</v>
      </c>
      <c r="AA408" t="s">
        <v>39</v>
      </c>
      <c r="AB408" t="s">
        <v>40</v>
      </c>
      <c r="AC408" t="s">
        <v>293</v>
      </c>
      <c r="AD408" t="s">
        <v>41</v>
      </c>
    </row>
    <row r="409" spans="1:30" hidden="1" x14ac:dyDescent="0.3">
      <c r="A409" s="1">
        <v>45456</v>
      </c>
      <c r="B409" t="s">
        <v>42</v>
      </c>
      <c r="C409" t="s">
        <v>30</v>
      </c>
      <c r="D409" t="s">
        <v>31</v>
      </c>
      <c r="E409" t="s">
        <v>43</v>
      </c>
      <c r="F409" t="s">
        <v>32</v>
      </c>
      <c r="G409" t="s">
        <v>33</v>
      </c>
      <c r="H409" t="s">
        <v>57</v>
      </c>
      <c r="I409" t="s">
        <v>213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260151</v>
      </c>
      <c r="Q409" t="s">
        <v>59</v>
      </c>
      <c r="R409" t="s">
        <v>37</v>
      </c>
      <c r="S409" t="s">
        <v>38</v>
      </c>
      <c r="T409">
        <v>90</v>
      </c>
      <c r="U409">
        <v>0.5</v>
      </c>
      <c r="V409" s="2">
        <v>2.0833333333333332E-2</v>
      </c>
      <c r="W409">
        <v>45</v>
      </c>
      <c r="X409">
        <v>60</v>
      </c>
      <c r="Y409">
        <v>15</v>
      </c>
      <c r="Z409" t="s">
        <v>303</v>
      </c>
      <c r="AA409" t="s">
        <v>39</v>
      </c>
      <c r="AB409" t="s">
        <v>40</v>
      </c>
      <c r="AC409" t="s">
        <v>294</v>
      </c>
      <c r="AD409" t="s">
        <v>41</v>
      </c>
    </row>
    <row r="410" spans="1:30" hidden="1" x14ac:dyDescent="0.3">
      <c r="A410" s="1">
        <v>45457</v>
      </c>
      <c r="B410" t="s">
        <v>42</v>
      </c>
      <c r="C410" t="s">
        <v>30</v>
      </c>
      <c r="D410" t="s">
        <v>31</v>
      </c>
      <c r="E410" t="s">
        <v>43</v>
      </c>
      <c r="F410" t="s">
        <v>32</v>
      </c>
      <c r="G410" t="s">
        <v>33</v>
      </c>
      <c r="H410" t="s">
        <v>57</v>
      </c>
      <c r="I410" t="s">
        <v>213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259116</v>
      </c>
      <c r="Q410" t="s">
        <v>59</v>
      </c>
      <c r="R410" t="s">
        <v>37</v>
      </c>
      <c r="S410" t="s">
        <v>38</v>
      </c>
      <c r="T410">
        <v>90</v>
      </c>
      <c r="U410">
        <v>1</v>
      </c>
      <c r="V410" s="2">
        <v>4.1666666666666664E-2</v>
      </c>
      <c r="W410">
        <v>90</v>
      </c>
      <c r="X410">
        <v>120</v>
      </c>
      <c r="Y410">
        <v>30</v>
      </c>
      <c r="Z410" t="s">
        <v>303</v>
      </c>
      <c r="AA410" t="s">
        <v>39</v>
      </c>
      <c r="AB410" t="s">
        <v>40</v>
      </c>
      <c r="AC410" t="s">
        <v>439</v>
      </c>
      <c r="AD410" t="s">
        <v>41</v>
      </c>
    </row>
    <row r="411" spans="1:30" hidden="1" x14ac:dyDescent="0.3">
      <c r="A411" s="1">
        <v>45460</v>
      </c>
      <c r="B411" t="s">
        <v>42</v>
      </c>
      <c r="C411" t="s">
        <v>30</v>
      </c>
      <c r="D411" t="s">
        <v>31</v>
      </c>
      <c r="E411" t="s">
        <v>43</v>
      </c>
      <c r="F411" t="s">
        <v>32</v>
      </c>
      <c r="G411" t="s">
        <v>33</v>
      </c>
      <c r="H411" t="s">
        <v>57</v>
      </c>
      <c r="I411" t="s">
        <v>213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260164</v>
      </c>
      <c r="Q411" t="s">
        <v>59</v>
      </c>
      <c r="R411" t="s">
        <v>37</v>
      </c>
      <c r="S411" t="s">
        <v>38</v>
      </c>
      <c r="T411">
        <v>90</v>
      </c>
      <c r="U411">
        <v>2</v>
      </c>
      <c r="V411" s="2">
        <v>8.3333333333333329E-2</v>
      </c>
      <c r="W411">
        <v>180</v>
      </c>
      <c r="X411">
        <v>240</v>
      </c>
      <c r="Y411">
        <v>60</v>
      </c>
      <c r="Z411" t="s">
        <v>303</v>
      </c>
      <c r="AA411" t="s">
        <v>39</v>
      </c>
      <c r="AB411" t="s">
        <v>40</v>
      </c>
      <c r="AC411" t="s">
        <v>295</v>
      </c>
      <c r="AD411" t="s">
        <v>41</v>
      </c>
    </row>
    <row r="412" spans="1:30" hidden="1" x14ac:dyDescent="0.3">
      <c r="A412" s="1">
        <v>45461</v>
      </c>
      <c r="B412" t="s">
        <v>42</v>
      </c>
      <c r="C412" t="s">
        <v>30</v>
      </c>
      <c r="D412" t="s">
        <v>31</v>
      </c>
      <c r="E412" t="s">
        <v>43</v>
      </c>
      <c r="F412" t="s">
        <v>32</v>
      </c>
      <c r="G412" t="s">
        <v>33</v>
      </c>
      <c r="H412" t="s">
        <v>57</v>
      </c>
      <c r="I412" t="s">
        <v>213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260165</v>
      </c>
      <c r="Q412" t="s">
        <v>59</v>
      </c>
      <c r="R412" t="s">
        <v>37</v>
      </c>
      <c r="S412" t="s">
        <v>38</v>
      </c>
      <c r="T412">
        <v>90</v>
      </c>
      <c r="U412">
        <v>1</v>
      </c>
      <c r="V412" s="2">
        <v>4.1666666666666664E-2</v>
      </c>
      <c r="W412">
        <v>90</v>
      </c>
      <c r="X412">
        <v>120</v>
      </c>
      <c r="Y412">
        <v>30</v>
      </c>
      <c r="Z412" t="s">
        <v>303</v>
      </c>
      <c r="AA412" t="s">
        <v>39</v>
      </c>
      <c r="AB412" t="s">
        <v>40</v>
      </c>
      <c r="AC412" t="s">
        <v>295</v>
      </c>
      <c r="AD412" t="s">
        <v>41</v>
      </c>
    </row>
    <row r="413" spans="1:30" hidden="1" x14ac:dyDescent="0.3">
      <c r="A413" s="1">
        <v>45464</v>
      </c>
      <c r="B413" t="s">
        <v>42</v>
      </c>
      <c r="C413" t="s">
        <v>30</v>
      </c>
      <c r="D413" t="s">
        <v>31</v>
      </c>
      <c r="E413" t="s">
        <v>43</v>
      </c>
      <c r="F413" t="s">
        <v>32</v>
      </c>
      <c r="G413" t="s">
        <v>33</v>
      </c>
      <c r="H413" t="s">
        <v>57</v>
      </c>
      <c r="I413" t="s">
        <v>213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262243</v>
      </c>
      <c r="Q413" t="s">
        <v>59</v>
      </c>
      <c r="R413" t="s">
        <v>37</v>
      </c>
      <c r="S413" t="s">
        <v>38</v>
      </c>
      <c r="T413">
        <v>90</v>
      </c>
      <c r="U413">
        <v>1.5</v>
      </c>
      <c r="V413" s="2">
        <v>6.25E-2</v>
      </c>
      <c r="W413">
        <v>135</v>
      </c>
      <c r="X413">
        <v>180</v>
      </c>
      <c r="Y413">
        <v>45</v>
      </c>
      <c r="Z413" t="s">
        <v>303</v>
      </c>
      <c r="AA413" t="s">
        <v>39</v>
      </c>
      <c r="AB413" t="s">
        <v>40</v>
      </c>
      <c r="AC413" t="s">
        <v>440</v>
      </c>
      <c r="AD413" t="s">
        <v>41</v>
      </c>
    </row>
    <row r="414" spans="1:30" hidden="1" x14ac:dyDescent="0.3">
      <c r="A414" s="1">
        <v>45482</v>
      </c>
      <c r="B414" t="s">
        <v>42</v>
      </c>
      <c r="C414" t="s">
        <v>30</v>
      </c>
      <c r="D414" t="s">
        <v>31</v>
      </c>
      <c r="E414" t="s">
        <v>43</v>
      </c>
      <c r="F414" t="s">
        <v>32</v>
      </c>
      <c r="G414" t="s">
        <v>33</v>
      </c>
      <c r="H414" t="s">
        <v>57</v>
      </c>
      <c r="I414" t="s">
        <v>213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270723</v>
      </c>
      <c r="Q414" t="s">
        <v>59</v>
      </c>
      <c r="R414" t="s">
        <v>37</v>
      </c>
      <c r="S414" t="s">
        <v>38</v>
      </c>
      <c r="T414">
        <v>90</v>
      </c>
      <c r="U414">
        <v>1</v>
      </c>
      <c r="V414" s="2">
        <v>4.1666666666666664E-2</v>
      </c>
      <c r="W414">
        <v>90</v>
      </c>
      <c r="X414">
        <v>120</v>
      </c>
      <c r="Y414">
        <v>30</v>
      </c>
      <c r="Z414" t="s">
        <v>341</v>
      </c>
      <c r="AA414" t="s">
        <v>39</v>
      </c>
      <c r="AB414" t="s">
        <v>40</v>
      </c>
      <c r="AC414" t="s">
        <v>328</v>
      </c>
      <c r="AD414" t="s">
        <v>41</v>
      </c>
    </row>
    <row r="415" spans="1:30" hidden="1" x14ac:dyDescent="0.3">
      <c r="A415" s="1">
        <v>45483</v>
      </c>
      <c r="B415" t="s">
        <v>42</v>
      </c>
      <c r="C415" t="s">
        <v>30</v>
      </c>
      <c r="D415" t="s">
        <v>31</v>
      </c>
      <c r="E415" t="s">
        <v>43</v>
      </c>
      <c r="F415" t="s">
        <v>32</v>
      </c>
      <c r="G415" t="s">
        <v>33</v>
      </c>
      <c r="H415" t="s">
        <v>57</v>
      </c>
      <c r="I415" t="s">
        <v>213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270724</v>
      </c>
      <c r="Q415" t="s">
        <v>59</v>
      </c>
      <c r="R415" t="s">
        <v>37</v>
      </c>
      <c r="S415" t="s">
        <v>38</v>
      </c>
      <c r="T415">
        <v>90</v>
      </c>
      <c r="U415">
        <v>1</v>
      </c>
      <c r="V415" s="2">
        <v>4.1666666666666664E-2</v>
      </c>
      <c r="W415">
        <v>90</v>
      </c>
      <c r="X415">
        <v>120</v>
      </c>
      <c r="Y415">
        <v>30</v>
      </c>
      <c r="Z415" t="s">
        <v>341</v>
      </c>
      <c r="AA415" t="s">
        <v>39</v>
      </c>
      <c r="AB415" t="s">
        <v>40</v>
      </c>
      <c r="AC415" t="s">
        <v>328</v>
      </c>
      <c r="AD415" t="s">
        <v>41</v>
      </c>
    </row>
    <row r="416" spans="1:30" hidden="1" x14ac:dyDescent="0.3">
      <c r="A416" s="1">
        <v>45485</v>
      </c>
      <c r="B416" t="s">
        <v>42</v>
      </c>
      <c r="C416" t="s">
        <v>30</v>
      </c>
      <c r="D416" t="s">
        <v>31</v>
      </c>
      <c r="E416" t="s">
        <v>43</v>
      </c>
      <c r="F416" t="s">
        <v>32</v>
      </c>
      <c r="G416" t="s">
        <v>33</v>
      </c>
      <c r="H416" t="s">
        <v>57</v>
      </c>
      <c r="I416" t="s">
        <v>213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270744</v>
      </c>
      <c r="Q416" t="s">
        <v>59</v>
      </c>
      <c r="R416" t="s">
        <v>37</v>
      </c>
      <c r="S416" t="s">
        <v>38</v>
      </c>
      <c r="T416">
        <v>90</v>
      </c>
      <c r="U416">
        <v>0.25</v>
      </c>
      <c r="V416" s="2">
        <v>1.0416666666666666E-2</v>
      </c>
      <c r="W416">
        <v>22.5</v>
      </c>
      <c r="X416">
        <v>30</v>
      </c>
      <c r="Y416">
        <v>7.5</v>
      </c>
      <c r="Z416" t="s">
        <v>341</v>
      </c>
      <c r="AA416" t="s">
        <v>39</v>
      </c>
      <c r="AB416" t="s">
        <v>40</v>
      </c>
      <c r="AC416" t="s">
        <v>329</v>
      </c>
      <c r="AD416" t="s">
        <v>41</v>
      </c>
    </row>
    <row r="417" spans="1:30" hidden="1" x14ac:dyDescent="0.3">
      <c r="A417" s="1">
        <v>45495</v>
      </c>
      <c r="B417" t="s">
        <v>42</v>
      </c>
      <c r="C417" t="s">
        <v>30</v>
      </c>
      <c r="D417" t="s">
        <v>31</v>
      </c>
      <c r="E417" t="s">
        <v>43</v>
      </c>
      <c r="F417" t="s">
        <v>32</v>
      </c>
      <c r="G417" t="s">
        <v>33</v>
      </c>
      <c r="H417" t="s">
        <v>57</v>
      </c>
      <c r="I417" t="s">
        <v>213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277425</v>
      </c>
      <c r="Q417" t="s">
        <v>59</v>
      </c>
      <c r="R417" t="s">
        <v>37</v>
      </c>
      <c r="S417" t="s">
        <v>38</v>
      </c>
      <c r="T417">
        <v>90</v>
      </c>
      <c r="U417">
        <v>0.5</v>
      </c>
      <c r="V417" s="2">
        <v>2.0833333333333332E-2</v>
      </c>
      <c r="W417">
        <v>45</v>
      </c>
      <c r="X417">
        <v>60</v>
      </c>
      <c r="Y417">
        <v>15</v>
      </c>
      <c r="Z417" t="s">
        <v>341</v>
      </c>
      <c r="AA417" t="s">
        <v>39</v>
      </c>
      <c r="AB417" t="s">
        <v>40</v>
      </c>
      <c r="AC417" t="s">
        <v>338</v>
      </c>
      <c r="AD417" t="s">
        <v>41</v>
      </c>
    </row>
    <row r="418" spans="1:30" hidden="1" x14ac:dyDescent="0.3">
      <c r="A418" s="1">
        <v>45511</v>
      </c>
      <c r="B418" t="s">
        <v>42</v>
      </c>
      <c r="C418" t="s">
        <v>30</v>
      </c>
      <c r="D418" t="s">
        <v>31</v>
      </c>
      <c r="E418" t="s">
        <v>43</v>
      </c>
      <c r="F418" t="s">
        <v>32</v>
      </c>
      <c r="G418" t="s">
        <v>33</v>
      </c>
      <c r="H418" t="s">
        <v>57</v>
      </c>
      <c r="I418" t="s">
        <v>213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281928</v>
      </c>
      <c r="Q418" t="s">
        <v>59</v>
      </c>
      <c r="R418" t="s">
        <v>37</v>
      </c>
      <c r="S418" t="s">
        <v>38</v>
      </c>
      <c r="T418">
        <v>90</v>
      </c>
      <c r="U418">
        <v>1</v>
      </c>
      <c r="V418" s="2">
        <v>4.1666666666666664E-2</v>
      </c>
      <c r="W418">
        <v>90</v>
      </c>
      <c r="X418">
        <v>120</v>
      </c>
      <c r="Y418">
        <v>30</v>
      </c>
      <c r="Z418" t="s">
        <v>363</v>
      </c>
      <c r="AA418" t="s">
        <v>39</v>
      </c>
      <c r="AB418" t="s">
        <v>40</v>
      </c>
      <c r="AC418" t="s">
        <v>354</v>
      </c>
      <c r="AD418" t="s">
        <v>41</v>
      </c>
    </row>
    <row r="419" spans="1:30" hidden="1" x14ac:dyDescent="0.3">
      <c r="A419" s="1">
        <v>45512</v>
      </c>
      <c r="B419" t="s">
        <v>42</v>
      </c>
      <c r="C419" t="s">
        <v>30</v>
      </c>
      <c r="D419" t="s">
        <v>31</v>
      </c>
      <c r="E419" t="s">
        <v>43</v>
      </c>
      <c r="F419" t="s">
        <v>32</v>
      </c>
      <c r="G419" t="s">
        <v>33</v>
      </c>
      <c r="H419" t="s">
        <v>57</v>
      </c>
      <c r="I419" t="s">
        <v>213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282976</v>
      </c>
      <c r="Q419" t="s">
        <v>59</v>
      </c>
      <c r="R419" t="s">
        <v>37</v>
      </c>
      <c r="S419" t="s">
        <v>38</v>
      </c>
      <c r="T419">
        <v>90</v>
      </c>
      <c r="U419">
        <v>0.5</v>
      </c>
      <c r="V419" s="2">
        <v>2.0833333333333332E-2</v>
      </c>
      <c r="W419">
        <v>45</v>
      </c>
      <c r="X419">
        <v>60</v>
      </c>
      <c r="Y419">
        <v>15</v>
      </c>
      <c r="Z419" t="s">
        <v>363</v>
      </c>
      <c r="AA419" t="s">
        <v>39</v>
      </c>
      <c r="AB419" t="s">
        <v>40</v>
      </c>
      <c r="AC419" t="s">
        <v>355</v>
      </c>
      <c r="AD419" t="s">
        <v>41</v>
      </c>
    </row>
    <row r="420" spans="1:30" hidden="1" x14ac:dyDescent="0.3">
      <c r="A420" s="1">
        <v>45534</v>
      </c>
      <c r="B420" t="s">
        <v>42</v>
      </c>
      <c r="C420" t="s">
        <v>30</v>
      </c>
      <c r="D420" t="s">
        <v>31</v>
      </c>
      <c r="E420" t="s">
        <v>43</v>
      </c>
      <c r="F420" t="s">
        <v>32</v>
      </c>
      <c r="G420" t="s">
        <v>33</v>
      </c>
      <c r="H420" t="s">
        <v>57</v>
      </c>
      <c r="I420" t="s">
        <v>213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291279</v>
      </c>
      <c r="Q420" t="s">
        <v>59</v>
      </c>
      <c r="R420" t="s">
        <v>37</v>
      </c>
      <c r="S420" t="s">
        <v>38</v>
      </c>
      <c r="T420">
        <v>90</v>
      </c>
      <c r="U420">
        <v>0.5</v>
      </c>
      <c r="V420" s="2">
        <v>2.0833333333333332E-2</v>
      </c>
      <c r="W420">
        <v>45</v>
      </c>
      <c r="X420">
        <v>60</v>
      </c>
      <c r="Y420">
        <v>15</v>
      </c>
      <c r="Z420" t="s">
        <v>363</v>
      </c>
      <c r="AA420" t="s">
        <v>39</v>
      </c>
      <c r="AB420" t="s">
        <v>40</v>
      </c>
      <c r="AC420" t="s">
        <v>373</v>
      </c>
      <c r="AD420" t="s">
        <v>41</v>
      </c>
    </row>
    <row r="421" spans="1:30" hidden="1" x14ac:dyDescent="0.3">
      <c r="A421" s="1">
        <v>45509</v>
      </c>
      <c r="B421" t="s">
        <v>356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213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283000</v>
      </c>
      <c r="Q421" t="s">
        <v>75</v>
      </c>
      <c r="R421" t="s">
        <v>76</v>
      </c>
      <c r="S421" t="s">
        <v>38</v>
      </c>
      <c r="T421">
        <v>0</v>
      </c>
      <c r="U421">
        <v>4</v>
      </c>
      <c r="V421" s="2">
        <v>0.16666666666666666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45510</v>
      </c>
      <c r="B422" t="s">
        <v>356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213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283011</v>
      </c>
      <c r="Q422" t="s">
        <v>75</v>
      </c>
      <c r="R422" t="s">
        <v>76</v>
      </c>
      <c r="S422" t="s">
        <v>38</v>
      </c>
      <c r="T422">
        <v>0</v>
      </c>
      <c r="U422">
        <v>4.5</v>
      </c>
      <c r="V422" s="2">
        <v>0.1875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45511</v>
      </c>
      <c r="B423" t="s">
        <v>356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213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283002</v>
      </c>
      <c r="Q423" t="s">
        <v>75</v>
      </c>
      <c r="R423" t="s">
        <v>76</v>
      </c>
      <c r="S423" t="s">
        <v>38</v>
      </c>
      <c r="T423">
        <v>0</v>
      </c>
      <c r="U423">
        <v>2.5</v>
      </c>
      <c r="V423" s="2">
        <v>0.10416666666666667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45517</v>
      </c>
      <c r="B424" t="s">
        <v>356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213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283884</v>
      </c>
      <c r="Q424" t="s">
        <v>75</v>
      </c>
      <c r="R424" t="s">
        <v>76</v>
      </c>
      <c r="S424" t="s">
        <v>38</v>
      </c>
      <c r="T424">
        <v>0</v>
      </c>
      <c r="U424">
        <v>0.5</v>
      </c>
      <c r="V424" s="2">
        <v>2.0833333333333332E-2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45518</v>
      </c>
      <c r="B425" t="s">
        <v>356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213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284396</v>
      </c>
      <c r="Q425" t="s">
        <v>75</v>
      </c>
      <c r="R425" t="s">
        <v>76</v>
      </c>
      <c r="S425" t="s">
        <v>38</v>
      </c>
      <c r="T425">
        <v>0</v>
      </c>
      <c r="U425">
        <v>0.75</v>
      </c>
      <c r="V425" s="2">
        <v>3.125E-2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45519</v>
      </c>
      <c r="B426" t="s">
        <v>356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213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286007</v>
      </c>
      <c r="Q426" t="s">
        <v>59</v>
      </c>
      <c r="R426" t="s">
        <v>37</v>
      </c>
      <c r="S426" t="s">
        <v>38</v>
      </c>
      <c r="T426">
        <v>90</v>
      </c>
      <c r="U426">
        <v>1.5</v>
      </c>
      <c r="V426" s="2">
        <v>6.25E-2</v>
      </c>
      <c r="W426">
        <v>135</v>
      </c>
      <c r="X426">
        <v>180</v>
      </c>
      <c r="Y426">
        <v>45</v>
      </c>
      <c r="Z426" t="s">
        <v>363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45519</v>
      </c>
      <c r="B427" t="s">
        <v>356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213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286006</v>
      </c>
      <c r="Q427" t="s">
        <v>75</v>
      </c>
      <c r="R427" t="s">
        <v>76</v>
      </c>
      <c r="S427" t="s">
        <v>38</v>
      </c>
      <c r="T427">
        <v>0</v>
      </c>
      <c r="U427">
        <v>2.75</v>
      </c>
      <c r="V427" s="2">
        <v>0.11458333333333333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45520</v>
      </c>
      <c r="B428" t="s">
        <v>356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213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286033</v>
      </c>
      <c r="Q428" t="s">
        <v>75</v>
      </c>
      <c r="R428" t="s">
        <v>76</v>
      </c>
      <c r="S428" t="s">
        <v>38</v>
      </c>
      <c r="T428">
        <v>0</v>
      </c>
      <c r="U428">
        <v>0.25</v>
      </c>
      <c r="V428" s="2">
        <v>1.0416666666666666E-2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45523</v>
      </c>
      <c r="B429" t="s">
        <v>356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213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286589</v>
      </c>
      <c r="Q429" t="s">
        <v>75</v>
      </c>
      <c r="R429" t="s">
        <v>76</v>
      </c>
      <c r="S429" t="s">
        <v>38</v>
      </c>
      <c r="T429">
        <v>0</v>
      </c>
      <c r="U429">
        <v>1</v>
      </c>
      <c r="V429" s="2">
        <v>4.1666666666666664E-2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45524</v>
      </c>
      <c r="B430" t="s">
        <v>356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213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286905</v>
      </c>
      <c r="Q430" t="s">
        <v>75</v>
      </c>
      <c r="R430" t="s">
        <v>76</v>
      </c>
      <c r="S430" t="s">
        <v>38</v>
      </c>
      <c r="T430">
        <v>0</v>
      </c>
      <c r="U430">
        <v>0.5</v>
      </c>
      <c r="V430" s="2">
        <v>2.0833333333333332E-2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45525</v>
      </c>
      <c r="B431" t="s">
        <v>356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213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288073</v>
      </c>
      <c r="Q431" t="s">
        <v>75</v>
      </c>
      <c r="R431" t="s">
        <v>76</v>
      </c>
      <c r="S431" t="s">
        <v>38</v>
      </c>
      <c r="T431">
        <v>0</v>
      </c>
      <c r="U431">
        <v>0.25</v>
      </c>
      <c r="V431" s="2">
        <v>1.0416666666666666E-2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hidden="1" x14ac:dyDescent="0.3">
      <c r="A432" s="1">
        <v>45526</v>
      </c>
      <c r="B432" t="s">
        <v>356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213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288076</v>
      </c>
      <c r="Q432" t="s">
        <v>75</v>
      </c>
      <c r="R432" t="s">
        <v>76</v>
      </c>
      <c r="S432" t="s">
        <v>38</v>
      </c>
      <c r="T432">
        <v>0</v>
      </c>
      <c r="U432">
        <v>0.75</v>
      </c>
      <c r="V432" s="2">
        <v>3.125E-2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45527</v>
      </c>
      <c r="B433" t="s">
        <v>356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213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288661</v>
      </c>
      <c r="Q433" t="s">
        <v>75</v>
      </c>
      <c r="R433" t="s">
        <v>76</v>
      </c>
      <c r="S433" t="s">
        <v>38</v>
      </c>
      <c r="T433">
        <v>0</v>
      </c>
      <c r="U433">
        <v>1.75</v>
      </c>
      <c r="V433" s="2">
        <v>7.2916666666666671E-2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45530</v>
      </c>
      <c r="B434" t="s">
        <v>356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213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289197</v>
      </c>
      <c r="Q434" t="s">
        <v>75</v>
      </c>
      <c r="R434" t="s">
        <v>76</v>
      </c>
      <c r="S434" t="s">
        <v>38</v>
      </c>
      <c r="T434">
        <v>0</v>
      </c>
      <c r="U434">
        <v>0.5</v>
      </c>
      <c r="V434" s="2">
        <v>2.0833333333333332E-2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45531</v>
      </c>
      <c r="B435" t="s">
        <v>356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213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289517</v>
      </c>
      <c r="Q435" t="s">
        <v>75</v>
      </c>
      <c r="R435" t="s">
        <v>76</v>
      </c>
      <c r="S435" t="s">
        <v>38</v>
      </c>
      <c r="T435">
        <v>0</v>
      </c>
      <c r="U435">
        <v>0.25</v>
      </c>
      <c r="V435" s="2">
        <v>1.0416666666666666E-2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45532</v>
      </c>
      <c r="B436" t="s">
        <v>356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213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290429</v>
      </c>
      <c r="Q436" t="s">
        <v>75</v>
      </c>
      <c r="R436" t="s">
        <v>76</v>
      </c>
      <c r="S436" t="s">
        <v>38</v>
      </c>
      <c r="T436">
        <v>0</v>
      </c>
      <c r="U436">
        <v>0.25</v>
      </c>
      <c r="V436" s="2">
        <v>1.0416666666666666E-2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45533</v>
      </c>
      <c r="B437" t="s">
        <v>356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213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290967</v>
      </c>
      <c r="Q437" t="s">
        <v>75</v>
      </c>
      <c r="R437" t="s">
        <v>76</v>
      </c>
      <c r="S437" t="s">
        <v>38</v>
      </c>
      <c r="T437">
        <v>0</v>
      </c>
      <c r="U437">
        <v>0.75</v>
      </c>
      <c r="V437" s="2">
        <v>3.125E-2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45537</v>
      </c>
      <c r="B438" t="s">
        <v>356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213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292827</v>
      </c>
      <c r="Q438" t="s">
        <v>75</v>
      </c>
      <c r="R438" t="s">
        <v>76</v>
      </c>
      <c r="S438" t="s">
        <v>38</v>
      </c>
      <c r="T438">
        <v>0</v>
      </c>
      <c r="U438">
        <v>0.75</v>
      </c>
      <c r="V438" s="2">
        <v>3.125E-2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45537</v>
      </c>
      <c r="B439" t="s">
        <v>356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213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293502</v>
      </c>
      <c r="Q439" t="s">
        <v>75</v>
      </c>
      <c r="R439" t="s">
        <v>76</v>
      </c>
      <c r="S439" t="s">
        <v>38</v>
      </c>
      <c r="T439">
        <v>0</v>
      </c>
      <c r="U439">
        <v>0.25</v>
      </c>
      <c r="V439" s="2">
        <v>1.0416666666666666E-2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45538</v>
      </c>
      <c r="B440" t="s">
        <v>356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213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293503</v>
      </c>
      <c r="Q440" t="s">
        <v>75</v>
      </c>
      <c r="R440" t="s">
        <v>76</v>
      </c>
      <c r="S440" t="s">
        <v>38</v>
      </c>
      <c r="T440">
        <v>0</v>
      </c>
      <c r="U440">
        <v>0.25</v>
      </c>
      <c r="V440" s="2">
        <v>1.0416666666666666E-2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45539</v>
      </c>
      <c r="B441" t="s">
        <v>356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213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293722</v>
      </c>
      <c r="Q441" t="s">
        <v>75</v>
      </c>
      <c r="R441" t="s">
        <v>76</v>
      </c>
      <c r="S441" t="s">
        <v>38</v>
      </c>
      <c r="T441">
        <v>0</v>
      </c>
      <c r="U441">
        <v>0.25</v>
      </c>
      <c r="V441" s="2">
        <v>1.0416666666666666E-2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45539</v>
      </c>
      <c r="B442" t="s">
        <v>356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213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293723</v>
      </c>
      <c r="Q442" t="s">
        <v>75</v>
      </c>
      <c r="R442" t="s">
        <v>76</v>
      </c>
      <c r="S442" t="s">
        <v>38</v>
      </c>
      <c r="T442">
        <v>0</v>
      </c>
      <c r="U442">
        <v>0.5</v>
      </c>
      <c r="V442" s="2">
        <v>2.0833333333333332E-2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45540</v>
      </c>
      <c r="B443" t="s">
        <v>356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213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294031</v>
      </c>
      <c r="Q443" t="s">
        <v>75</v>
      </c>
      <c r="R443" t="s">
        <v>76</v>
      </c>
      <c r="S443" t="s">
        <v>38</v>
      </c>
      <c r="T443">
        <v>0</v>
      </c>
      <c r="U443">
        <v>0.25</v>
      </c>
      <c r="V443" s="2">
        <v>1.0416666666666666E-2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45541</v>
      </c>
      <c r="B444" t="s">
        <v>356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213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294330</v>
      </c>
      <c r="Q444" t="s">
        <v>75</v>
      </c>
      <c r="R444" t="s">
        <v>76</v>
      </c>
      <c r="S444" t="s">
        <v>38</v>
      </c>
      <c r="T444">
        <v>0</v>
      </c>
      <c r="U444">
        <v>0.25</v>
      </c>
      <c r="V444" s="2">
        <v>1.0416666666666666E-2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45544</v>
      </c>
      <c r="B445" t="s">
        <v>356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213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295739</v>
      </c>
      <c r="Q445" t="s">
        <v>75</v>
      </c>
      <c r="R445" t="s">
        <v>76</v>
      </c>
      <c r="S445" t="s">
        <v>38</v>
      </c>
      <c r="T445">
        <v>0</v>
      </c>
      <c r="U445">
        <v>0.25</v>
      </c>
      <c r="V445" s="2">
        <v>1.0416666666666666E-2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45545</v>
      </c>
      <c r="B446" t="s">
        <v>356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213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295746</v>
      </c>
      <c r="Q446" t="s">
        <v>75</v>
      </c>
      <c r="R446" t="s">
        <v>76</v>
      </c>
      <c r="S446" t="s">
        <v>38</v>
      </c>
      <c r="T446">
        <v>0</v>
      </c>
      <c r="U446">
        <v>0.25</v>
      </c>
      <c r="V446" s="2">
        <v>1.0416666666666666E-2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45546</v>
      </c>
      <c r="B447" t="s">
        <v>356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213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296641</v>
      </c>
      <c r="Q447" t="s">
        <v>75</v>
      </c>
      <c r="R447" t="s">
        <v>76</v>
      </c>
      <c r="S447" t="s">
        <v>38</v>
      </c>
      <c r="T447">
        <v>0</v>
      </c>
      <c r="U447">
        <v>0.25</v>
      </c>
      <c r="V447" s="2">
        <v>1.0416666666666666E-2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45547</v>
      </c>
      <c r="B448" t="s">
        <v>356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213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296648</v>
      </c>
      <c r="Q448" t="s">
        <v>75</v>
      </c>
      <c r="R448" t="s">
        <v>76</v>
      </c>
      <c r="S448" t="s">
        <v>38</v>
      </c>
      <c r="T448">
        <v>0</v>
      </c>
      <c r="U448">
        <v>0.25</v>
      </c>
      <c r="V448" s="2">
        <v>1.0416666666666666E-2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45547</v>
      </c>
      <c r="B449" t="s">
        <v>356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213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296809</v>
      </c>
      <c r="Q449" t="s">
        <v>75</v>
      </c>
      <c r="R449" t="s">
        <v>76</v>
      </c>
      <c r="S449" t="s">
        <v>38</v>
      </c>
      <c r="T449">
        <v>0</v>
      </c>
      <c r="U449">
        <v>0.5</v>
      </c>
      <c r="V449" s="2">
        <v>2.0833333333333332E-2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45552</v>
      </c>
      <c r="B450" t="s">
        <v>356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213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298503</v>
      </c>
      <c r="Q450" t="s">
        <v>75</v>
      </c>
      <c r="R450" t="s">
        <v>76</v>
      </c>
      <c r="S450" t="s">
        <v>38</v>
      </c>
      <c r="T450">
        <v>0</v>
      </c>
      <c r="U450">
        <v>0.25</v>
      </c>
      <c r="V450" s="2">
        <v>1.0416666666666666E-2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45553</v>
      </c>
      <c r="B451" t="s">
        <v>356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213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298873</v>
      </c>
      <c r="Q451" t="s">
        <v>75</v>
      </c>
      <c r="R451" t="s">
        <v>76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45554</v>
      </c>
      <c r="B452" t="s">
        <v>356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213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300358</v>
      </c>
      <c r="Q452" t="s">
        <v>75</v>
      </c>
      <c r="R452" t="s">
        <v>76</v>
      </c>
      <c r="S452" t="s">
        <v>38</v>
      </c>
      <c r="T452">
        <v>0</v>
      </c>
      <c r="U452">
        <v>0.25</v>
      </c>
      <c r="V452" s="2">
        <v>1.0416666666666666E-2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45555</v>
      </c>
      <c r="B453" t="s">
        <v>356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213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300359</v>
      </c>
      <c r="Q453" t="s">
        <v>75</v>
      </c>
      <c r="R453" t="s">
        <v>76</v>
      </c>
      <c r="S453" t="s">
        <v>38</v>
      </c>
      <c r="T453">
        <v>0</v>
      </c>
      <c r="U453">
        <v>0.25</v>
      </c>
      <c r="V453" s="2">
        <v>1.0416666666666666E-2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45560</v>
      </c>
      <c r="B454" t="s">
        <v>356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213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302132</v>
      </c>
      <c r="Q454" t="s">
        <v>75</v>
      </c>
      <c r="R454" t="s">
        <v>76</v>
      </c>
      <c r="S454" t="s">
        <v>38</v>
      </c>
      <c r="T454">
        <v>0</v>
      </c>
      <c r="U454">
        <v>0.25</v>
      </c>
      <c r="V454" s="2">
        <v>1.0416666666666666E-2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45378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213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228826</v>
      </c>
      <c r="Q455" t="s">
        <v>75</v>
      </c>
      <c r="R455" t="s">
        <v>76</v>
      </c>
      <c r="S455" t="s">
        <v>38</v>
      </c>
      <c r="T455">
        <v>0</v>
      </c>
      <c r="U455">
        <v>0.5</v>
      </c>
      <c r="V455" s="2">
        <v>2.0833333333333332E-2</v>
      </c>
      <c r="W455">
        <v>0</v>
      </c>
      <c r="AA455" t="s">
        <v>39</v>
      </c>
      <c r="AB455" t="s">
        <v>40</v>
      </c>
      <c r="AC455" t="s">
        <v>93</v>
      </c>
      <c r="AD455" t="s">
        <v>41</v>
      </c>
    </row>
    <row r="456" spans="1:30" hidden="1" x14ac:dyDescent="0.3">
      <c r="A456" s="1">
        <v>45385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213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230872</v>
      </c>
      <c r="Q456" t="s">
        <v>75</v>
      </c>
      <c r="R456" t="s">
        <v>76</v>
      </c>
      <c r="S456" t="s">
        <v>38</v>
      </c>
      <c r="T456">
        <v>0</v>
      </c>
      <c r="U456">
        <v>0.75</v>
      </c>
      <c r="V456" s="2">
        <v>3.125E-2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45386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213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231546</v>
      </c>
      <c r="Q457" t="s">
        <v>75</v>
      </c>
      <c r="R457" t="s">
        <v>76</v>
      </c>
      <c r="S457" t="s">
        <v>38</v>
      </c>
      <c r="T457">
        <v>0</v>
      </c>
      <c r="U457">
        <v>0.75</v>
      </c>
      <c r="V457" s="2">
        <v>3.125E-2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45387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213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231837</v>
      </c>
      <c r="Q458" t="s">
        <v>75</v>
      </c>
      <c r="R458" t="s">
        <v>76</v>
      </c>
      <c r="S458" t="s">
        <v>38</v>
      </c>
      <c r="T458">
        <v>0</v>
      </c>
      <c r="U458">
        <v>1</v>
      </c>
      <c r="V458" s="2">
        <v>4.1666666666666664E-2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45390</v>
      </c>
      <c r="B459" t="s">
        <v>35</v>
      </c>
      <c r="C459" t="s">
        <v>30</v>
      </c>
      <c r="D459" t="s">
        <v>31</v>
      </c>
      <c r="E459" t="s">
        <v>74</v>
      </c>
      <c r="F459" t="s">
        <v>32</v>
      </c>
      <c r="G459" t="s">
        <v>33</v>
      </c>
      <c r="H459" t="s">
        <v>57</v>
      </c>
      <c r="I459" t="s">
        <v>213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232524</v>
      </c>
      <c r="Q459" t="s">
        <v>75</v>
      </c>
      <c r="R459" t="s">
        <v>76</v>
      </c>
      <c r="S459" t="s">
        <v>38</v>
      </c>
      <c r="T459">
        <v>0</v>
      </c>
      <c r="U459">
        <v>0.75</v>
      </c>
      <c r="V459" s="2">
        <v>3.125E-2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45391</v>
      </c>
      <c r="B460" t="s">
        <v>35</v>
      </c>
      <c r="C460" t="s">
        <v>30</v>
      </c>
      <c r="D460" t="s">
        <v>31</v>
      </c>
      <c r="E460" t="s">
        <v>74</v>
      </c>
      <c r="F460" t="s">
        <v>32</v>
      </c>
      <c r="G460" t="s">
        <v>33</v>
      </c>
      <c r="H460" t="s">
        <v>57</v>
      </c>
      <c r="I460" t="s">
        <v>213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233122</v>
      </c>
      <c r="Q460" t="s">
        <v>75</v>
      </c>
      <c r="R460" t="s">
        <v>76</v>
      </c>
      <c r="S460" t="s">
        <v>38</v>
      </c>
      <c r="T460">
        <v>0</v>
      </c>
      <c r="U460">
        <v>0.75</v>
      </c>
      <c r="V460" s="2">
        <v>3.125E-2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45392</v>
      </c>
      <c r="B461" t="s">
        <v>35</v>
      </c>
      <c r="C461" t="s">
        <v>30</v>
      </c>
      <c r="D461" t="s">
        <v>31</v>
      </c>
      <c r="E461" t="s">
        <v>74</v>
      </c>
      <c r="F461" t="s">
        <v>32</v>
      </c>
      <c r="G461" t="s">
        <v>33</v>
      </c>
      <c r="H461" t="s">
        <v>57</v>
      </c>
      <c r="I461" t="s">
        <v>213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233821</v>
      </c>
      <c r="Q461" t="s">
        <v>75</v>
      </c>
      <c r="R461" t="s">
        <v>76</v>
      </c>
      <c r="S461" t="s">
        <v>38</v>
      </c>
      <c r="T461">
        <v>0</v>
      </c>
      <c r="U461">
        <v>1</v>
      </c>
      <c r="V461" s="2">
        <v>4.1666666666666664E-2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45393</v>
      </c>
      <c r="B462" t="s">
        <v>35</v>
      </c>
      <c r="C462" t="s">
        <v>30</v>
      </c>
      <c r="D462" t="s">
        <v>31</v>
      </c>
      <c r="E462" t="s">
        <v>74</v>
      </c>
      <c r="F462" t="s">
        <v>32</v>
      </c>
      <c r="G462" t="s">
        <v>33</v>
      </c>
      <c r="H462" t="s">
        <v>57</v>
      </c>
      <c r="I462" t="s">
        <v>213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234263</v>
      </c>
      <c r="Q462" t="s">
        <v>75</v>
      </c>
      <c r="R462" t="s">
        <v>76</v>
      </c>
      <c r="S462" t="s">
        <v>38</v>
      </c>
      <c r="T462">
        <v>0</v>
      </c>
      <c r="U462">
        <v>1</v>
      </c>
      <c r="V462" s="2">
        <v>4.1666666666666664E-2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45394</v>
      </c>
      <c r="B463" t="s">
        <v>35</v>
      </c>
      <c r="C463" t="s">
        <v>30</v>
      </c>
      <c r="D463" t="s">
        <v>31</v>
      </c>
      <c r="E463" t="s">
        <v>74</v>
      </c>
      <c r="F463" t="s">
        <v>32</v>
      </c>
      <c r="G463" t="s">
        <v>33</v>
      </c>
      <c r="H463" t="s">
        <v>57</v>
      </c>
      <c r="I463" t="s">
        <v>213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234430</v>
      </c>
      <c r="Q463" t="s">
        <v>75</v>
      </c>
      <c r="R463" t="s">
        <v>76</v>
      </c>
      <c r="S463" t="s">
        <v>38</v>
      </c>
      <c r="T463">
        <v>0</v>
      </c>
      <c r="U463">
        <v>0.75</v>
      </c>
      <c r="V463" s="2">
        <v>3.125E-2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45397</v>
      </c>
      <c r="B464" t="s">
        <v>35</v>
      </c>
      <c r="C464" t="s">
        <v>30</v>
      </c>
      <c r="D464" t="s">
        <v>31</v>
      </c>
      <c r="E464" t="s">
        <v>74</v>
      </c>
      <c r="F464" t="s">
        <v>32</v>
      </c>
      <c r="G464" t="s">
        <v>33</v>
      </c>
      <c r="H464" t="s">
        <v>57</v>
      </c>
      <c r="I464" t="s">
        <v>213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235324</v>
      </c>
      <c r="Q464" t="s">
        <v>75</v>
      </c>
      <c r="R464" t="s">
        <v>76</v>
      </c>
      <c r="S464" t="s">
        <v>38</v>
      </c>
      <c r="T464">
        <v>0</v>
      </c>
      <c r="U464">
        <v>1</v>
      </c>
      <c r="V464" s="2">
        <v>4.1666666666666664E-2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45398</v>
      </c>
      <c r="B465" t="s">
        <v>35</v>
      </c>
      <c r="C465" t="s">
        <v>30</v>
      </c>
      <c r="D465" t="s">
        <v>31</v>
      </c>
      <c r="E465" t="s">
        <v>74</v>
      </c>
      <c r="F465" t="s">
        <v>32</v>
      </c>
      <c r="G465" t="s">
        <v>33</v>
      </c>
      <c r="H465" t="s">
        <v>57</v>
      </c>
      <c r="I465" t="s">
        <v>213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235992</v>
      </c>
      <c r="Q465" t="s">
        <v>75</v>
      </c>
      <c r="R465" t="s">
        <v>76</v>
      </c>
      <c r="S465" t="s">
        <v>38</v>
      </c>
      <c r="T465">
        <v>0</v>
      </c>
      <c r="U465">
        <v>1.5</v>
      </c>
      <c r="V465" s="2">
        <v>6.25E-2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45399</v>
      </c>
      <c r="B466" t="s">
        <v>35</v>
      </c>
      <c r="C466" t="s">
        <v>30</v>
      </c>
      <c r="D466" t="s">
        <v>31</v>
      </c>
      <c r="E466" t="s">
        <v>74</v>
      </c>
      <c r="F466" t="s">
        <v>32</v>
      </c>
      <c r="G466" t="s">
        <v>33</v>
      </c>
      <c r="H466" t="s">
        <v>57</v>
      </c>
      <c r="I466" t="s">
        <v>213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236701</v>
      </c>
      <c r="Q466" t="s">
        <v>75</v>
      </c>
      <c r="R466" t="s">
        <v>76</v>
      </c>
      <c r="S466" t="s">
        <v>38</v>
      </c>
      <c r="T466">
        <v>0</v>
      </c>
      <c r="U466">
        <v>0.75</v>
      </c>
      <c r="V466" s="2">
        <v>3.125E-2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45400</v>
      </c>
      <c r="B467" t="s">
        <v>35</v>
      </c>
      <c r="C467" t="s">
        <v>30</v>
      </c>
      <c r="D467" t="s">
        <v>31</v>
      </c>
      <c r="E467" t="s">
        <v>74</v>
      </c>
      <c r="F467" t="s">
        <v>32</v>
      </c>
      <c r="G467" t="s">
        <v>33</v>
      </c>
      <c r="H467" t="s">
        <v>57</v>
      </c>
      <c r="I467" t="s">
        <v>213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237125</v>
      </c>
      <c r="Q467" t="s">
        <v>75</v>
      </c>
      <c r="R467" t="s">
        <v>76</v>
      </c>
      <c r="S467" t="s">
        <v>38</v>
      </c>
      <c r="T467">
        <v>0</v>
      </c>
      <c r="U467">
        <v>1</v>
      </c>
      <c r="V467" s="2">
        <v>4.1666666666666664E-2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45401</v>
      </c>
      <c r="B468" t="s">
        <v>35</v>
      </c>
      <c r="C468" t="s">
        <v>30</v>
      </c>
      <c r="D468" t="s">
        <v>31</v>
      </c>
      <c r="E468" t="s">
        <v>74</v>
      </c>
      <c r="F468" t="s">
        <v>32</v>
      </c>
      <c r="G468" t="s">
        <v>33</v>
      </c>
      <c r="H468" t="s">
        <v>57</v>
      </c>
      <c r="I468" t="s">
        <v>213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237711</v>
      </c>
      <c r="Q468" t="s">
        <v>75</v>
      </c>
      <c r="R468" t="s">
        <v>76</v>
      </c>
      <c r="S468" t="s">
        <v>38</v>
      </c>
      <c r="T468">
        <v>0</v>
      </c>
      <c r="U468">
        <v>0.75</v>
      </c>
      <c r="V468" s="2">
        <v>3.125E-2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45404</v>
      </c>
      <c r="B469" t="s">
        <v>35</v>
      </c>
      <c r="C469" t="s">
        <v>30</v>
      </c>
      <c r="D469" t="s">
        <v>31</v>
      </c>
      <c r="E469" t="s">
        <v>74</v>
      </c>
      <c r="F469" t="s">
        <v>32</v>
      </c>
      <c r="G469" t="s">
        <v>33</v>
      </c>
      <c r="H469" t="s">
        <v>57</v>
      </c>
      <c r="I469" t="s">
        <v>213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238353</v>
      </c>
      <c r="Q469" t="s">
        <v>75</v>
      </c>
      <c r="R469" t="s">
        <v>76</v>
      </c>
      <c r="S469" t="s">
        <v>38</v>
      </c>
      <c r="T469">
        <v>0</v>
      </c>
      <c r="U469">
        <v>0.5</v>
      </c>
      <c r="V469" s="2">
        <v>2.0833333333333332E-2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45405</v>
      </c>
      <c r="B470" t="s">
        <v>35</v>
      </c>
      <c r="C470" t="s">
        <v>30</v>
      </c>
      <c r="D470" t="s">
        <v>31</v>
      </c>
      <c r="E470" t="s">
        <v>74</v>
      </c>
      <c r="F470" t="s">
        <v>32</v>
      </c>
      <c r="G470" t="s">
        <v>33</v>
      </c>
      <c r="H470" t="s">
        <v>57</v>
      </c>
      <c r="I470" t="s">
        <v>213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239022</v>
      </c>
      <c r="Q470" t="s">
        <v>75</v>
      </c>
      <c r="R470" t="s">
        <v>76</v>
      </c>
      <c r="S470" t="s">
        <v>38</v>
      </c>
      <c r="T470">
        <v>0</v>
      </c>
      <c r="U470">
        <v>0.25</v>
      </c>
      <c r="V470" s="2">
        <v>1.0416666666666666E-2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45406</v>
      </c>
      <c r="B471" t="s">
        <v>35</v>
      </c>
      <c r="C471" t="s">
        <v>30</v>
      </c>
      <c r="D471" t="s">
        <v>31</v>
      </c>
      <c r="E471" t="s">
        <v>74</v>
      </c>
      <c r="F471" t="s">
        <v>32</v>
      </c>
      <c r="G471" t="s">
        <v>33</v>
      </c>
      <c r="H471" t="s">
        <v>57</v>
      </c>
      <c r="I471" t="s">
        <v>213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239576</v>
      </c>
      <c r="Q471" t="s">
        <v>75</v>
      </c>
      <c r="R471" t="s">
        <v>76</v>
      </c>
      <c r="S471" t="s">
        <v>38</v>
      </c>
      <c r="T471">
        <v>0</v>
      </c>
      <c r="U471">
        <v>0.5</v>
      </c>
      <c r="V471" s="2">
        <v>2.0833333333333332E-2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45407</v>
      </c>
      <c r="B472" t="s">
        <v>35</v>
      </c>
      <c r="C472" t="s">
        <v>30</v>
      </c>
      <c r="D472" t="s">
        <v>31</v>
      </c>
      <c r="E472" t="s">
        <v>74</v>
      </c>
      <c r="F472" t="s">
        <v>32</v>
      </c>
      <c r="G472" t="s">
        <v>33</v>
      </c>
      <c r="H472" t="s">
        <v>57</v>
      </c>
      <c r="I472" t="s">
        <v>213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240339</v>
      </c>
      <c r="Q472" t="s">
        <v>75</v>
      </c>
      <c r="R472" t="s">
        <v>76</v>
      </c>
      <c r="S472" t="s">
        <v>38</v>
      </c>
      <c r="T472">
        <v>0</v>
      </c>
      <c r="U472">
        <v>0.5</v>
      </c>
      <c r="V472" s="2">
        <v>2.0833333333333332E-2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45408</v>
      </c>
      <c r="B473" t="s">
        <v>35</v>
      </c>
      <c r="C473" t="s">
        <v>30</v>
      </c>
      <c r="D473" t="s">
        <v>31</v>
      </c>
      <c r="E473" t="s">
        <v>74</v>
      </c>
      <c r="F473" t="s">
        <v>32</v>
      </c>
      <c r="G473" t="s">
        <v>33</v>
      </c>
      <c r="H473" t="s">
        <v>57</v>
      </c>
      <c r="I473" t="s">
        <v>213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240375</v>
      </c>
      <c r="Q473" t="s">
        <v>75</v>
      </c>
      <c r="R473" t="s">
        <v>76</v>
      </c>
      <c r="S473" t="s">
        <v>38</v>
      </c>
      <c r="T473">
        <v>0</v>
      </c>
      <c r="U473">
        <v>0.25</v>
      </c>
      <c r="V473" s="2">
        <v>1.0416666666666666E-2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45411</v>
      </c>
      <c r="B474" t="s">
        <v>35</v>
      </c>
      <c r="C474" t="s">
        <v>30</v>
      </c>
      <c r="D474" t="s">
        <v>31</v>
      </c>
      <c r="E474" t="s">
        <v>74</v>
      </c>
      <c r="F474" t="s">
        <v>32</v>
      </c>
      <c r="G474" t="s">
        <v>33</v>
      </c>
      <c r="H474" t="s">
        <v>57</v>
      </c>
      <c r="I474" t="s">
        <v>213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241507</v>
      </c>
      <c r="Q474" t="s">
        <v>75</v>
      </c>
      <c r="R474" t="s">
        <v>76</v>
      </c>
      <c r="S474" t="s">
        <v>38</v>
      </c>
      <c r="T474">
        <v>0</v>
      </c>
      <c r="U474">
        <v>0.75</v>
      </c>
      <c r="V474" s="2">
        <v>3.125E-2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45412</v>
      </c>
      <c r="B475" t="s">
        <v>35</v>
      </c>
      <c r="C475" t="s">
        <v>30</v>
      </c>
      <c r="D475" t="s">
        <v>31</v>
      </c>
      <c r="E475" t="s">
        <v>74</v>
      </c>
      <c r="F475" t="s">
        <v>32</v>
      </c>
      <c r="G475" t="s">
        <v>33</v>
      </c>
      <c r="H475" t="s">
        <v>57</v>
      </c>
      <c r="I475" t="s">
        <v>213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241946</v>
      </c>
      <c r="Q475" t="s">
        <v>75</v>
      </c>
      <c r="R475" t="s">
        <v>76</v>
      </c>
      <c r="S475" t="s">
        <v>38</v>
      </c>
      <c r="T475">
        <v>0</v>
      </c>
      <c r="U475">
        <v>0.25</v>
      </c>
      <c r="V475" s="2">
        <v>1.0416666666666666E-2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45415</v>
      </c>
      <c r="B476" t="s">
        <v>35</v>
      </c>
      <c r="C476" t="s">
        <v>30</v>
      </c>
      <c r="D476" t="s">
        <v>31</v>
      </c>
      <c r="E476" t="s">
        <v>74</v>
      </c>
      <c r="F476" t="s">
        <v>32</v>
      </c>
      <c r="G476" t="s">
        <v>33</v>
      </c>
      <c r="H476" t="s">
        <v>57</v>
      </c>
      <c r="I476" t="s">
        <v>213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243418</v>
      </c>
      <c r="Q476" t="s">
        <v>75</v>
      </c>
      <c r="R476" t="s">
        <v>76</v>
      </c>
      <c r="S476" t="s">
        <v>38</v>
      </c>
      <c r="T476">
        <v>0</v>
      </c>
      <c r="U476">
        <v>0.5</v>
      </c>
      <c r="V476" s="2">
        <v>2.0833333333333332E-2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45418</v>
      </c>
      <c r="B477" t="s">
        <v>35</v>
      </c>
      <c r="C477" t="s">
        <v>30</v>
      </c>
      <c r="D477" t="s">
        <v>31</v>
      </c>
      <c r="E477" t="s">
        <v>74</v>
      </c>
      <c r="F477" t="s">
        <v>32</v>
      </c>
      <c r="G477" t="s">
        <v>33</v>
      </c>
      <c r="H477" t="s">
        <v>57</v>
      </c>
      <c r="I477" t="s">
        <v>213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243831</v>
      </c>
      <c r="Q477" t="s">
        <v>75</v>
      </c>
      <c r="R477" t="s">
        <v>76</v>
      </c>
      <c r="S477" t="s">
        <v>38</v>
      </c>
      <c r="T477">
        <v>0</v>
      </c>
      <c r="U477">
        <v>0.5</v>
      </c>
      <c r="V477" s="2">
        <v>2.0833333333333332E-2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45419</v>
      </c>
      <c r="B478" t="s">
        <v>35</v>
      </c>
      <c r="C478" t="s">
        <v>30</v>
      </c>
      <c r="D478" t="s">
        <v>31</v>
      </c>
      <c r="E478" t="s">
        <v>74</v>
      </c>
      <c r="F478" t="s">
        <v>32</v>
      </c>
      <c r="G478" t="s">
        <v>33</v>
      </c>
      <c r="H478" t="s">
        <v>57</v>
      </c>
      <c r="I478" t="s">
        <v>213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244356</v>
      </c>
      <c r="Q478" t="s">
        <v>75</v>
      </c>
      <c r="R478" t="s">
        <v>76</v>
      </c>
      <c r="S478" t="s">
        <v>38</v>
      </c>
      <c r="T478">
        <v>0</v>
      </c>
      <c r="U478">
        <v>0.5</v>
      </c>
      <c r="V478" s="2">
        <v>2.0833333333333332E-2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hidden="1" x14ac:dyDescent="0.3">
      <c r="A479" s="1">
        <v>45420</v>
      </c>
      <c r="B479" t="s">
        <v>35</v>
      </c>
      <c r="C479" t="s">
        <v>30</v>
      </c>
      <c r="D479" t="s">
        <v>31</v>
      </c>
      <c r="E479" t="s">
        <v>74</v>
      </c>
      <c r="F479" t="s">
        <v>32</v>
      </c>
      <c r="G479" t="s">
        <v>33</v>
      </c>
      <c r="H479" t="s">
        <v>57</v>
      </c>
      <c r="I479" t="s">
        <v>213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244599</v>
      </c>
      <c r="Q479" t="s">
        <v>75</v>
      </c>
      <c r="R479" t="s">
        <v>76</v>
      </c>
      <c r="S479" t="s">
        <v>38</v>
      </c>
      <c r="T479">
        <v>0</v>
      </c>
      <c r="U479">
        <v>0.5</v>
      </c>
      <c r="V479" s="2">
        <v>2.0833333333333332E-2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hidden="1" x14ac:dyDescent="0.3">
      <c r="A480" s="1">
        <v>45421</v>
      </c>
      <c r="B480" t="s">
        <v>35</v>
      </c>
      <c r="C480" t="s">
        <v>30</v>
      </c>
      <c r="D480" t="s">
        <v>31</v>
      </c>
      <c r="E480" t="s">
        <v>74</v>
      </c>
      <c r="F480" t="s">
        <v>32</v>
      </c>
      <c r="G480" t="s">
        <v>33</v>
      </c>
      <c r="H480" t="s">
        <v>57</v>
      </c>
      <c r="I480" t="s">
        <v>213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245361</v>
      </c>
      <c r="Q480" t="s">
        <v>75</v>
      </c>
      <c r="R480" t="s">
        <v>76</v>
      </c>
      <c r="S480" t="s">
        <v>38</v>
      </c>
      <c r="T480">
        <v>0</v>
      </c>
      <c r="U480">
        <v>1</v>
      </c>
      <c r="V480" s="2">
        <v>4.1666666666666664E-2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hidden="1" x14ac:dyDescent="0.3">
      <c r="A481" s="1">
        <v>45422</v>
      </c>
      <c r="B481" t="s">
        <v>35</v>
      </c>
      <c r="C481" t="s">
        <v>30</v>
      </c>
      <c r="D481" t="s">
        <v>31</v>
      </c>
      <c r="E481" t="s">
        <v>74</v>
      </c>
      <c r="F481" t="s">
        <v>32</v>
      </c>
      <c r="G481" t="s">
        <v>33</v>
      </c>
      <c r="H481" t="s">
        <v>57</v>
      </c>
      <c r="I481" t="s">
        <v>213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245722</v>
      </c>
      <c r="Q481" t="s">
        <v>75</v>
      </c>
      <c r="R481" t="s">
        <v>76</v>
      </c>
      <c r="S481" t="s">
        <v>38</v>
      </c>
      <c r="T481">
        <v>0</v>
      </c>
      <c r="U481">
        <v>0.5</v>
      </c>
      <c r="V481" s="2">
        <v>2.0833333333333332E-2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hidden="1" x14ac:dyDescent="0.3">
      <c r="A482" s="1">
        <v>45425</v>
      </c>
      <c r="B482" t="s">
        <v>35</v>
      </c>
      <c r="C482" t="s">
        <v>30</v>
      </c>
      <c r="D482" t="s">
        <v>31</v>
      </c>
      <c r="E482" t="s">
        <v>74</v>
      </c>
      <c r="F482" t="s">
        <v>32</v>
      </c>
      <c r="G482" t="s">
        <v>33</v>
      </c>
      <c r="H482" t="s">
        <v>57</v>
      </c>
      <c r="I482" t="s">
        <v>213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246583</v>
      </c>
      <c r="Q482" t="s">
        <v>75</v>
      </c>
      <c r="R482" t="s">
        <v>76</v>
      </c>
      <c r="S482" t="s">
        <v>38</v>
      </c>
      <c r="T482">
        <v>0</v>
      </c>
      <c r="U482">
        <v>1</v>
      </c>
      <c r="V482" s="2">
        <v>4.1666666666666664E-2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hidden="1" x14ac:dyDescent="0.3">
      <c r="A483" s="1">
        <v>45426</v>
      </c>
      <c r="B483" t="s">
        <v>35</v>
      </c>
      <c r="C483" t="s">
        <v>30</v>
      </c>
      <c r="D483" t="s">
        <v>31</v>
      </c>
      <c r="E483" t="s">
        <v>74</v>
      </c>
      <c r="F483" t="s">
        <v>32</v>
      </c>
      <c r="G483" t="s">
        <v>33</v>
      </c>
      <c r="H483" t="s">
        <v>57</v>
      </c>
      <c r="I483" t="s">
        <v>213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247035</v>
      </c>
      <c r="Q483" t="s">
        <v>75</v>
      </c>
      <c r="R483" t="s">
        <v>76</v>
      </c>
      <c r="S483" t="s">
        <v>38</v>
      </c>
      <c r="T483">
        <v>0</v>
      </c>
      <c r="U483">
        <v>0.5</v>
      </c>
      <c r="V483" s="2">
        <v>2.0833333333333332E-2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hidden="1" x14ac:dyDescent="0.3">
      <c r="A484" s="1">
        <v>45427</v>
      </c>
      <c r="B484" t="s">
        <v>35</v>
      </c>
      <c r="C484" t="s">
        <v>30</v>
      </c>
      <c r="D484" t="s">
        <v>31</v>
      </c>
      <c r="E484" t="s">
        <v>74</v>
      </c>
      <c r="F484" t="s">
        <v>32</v>
      </c>
      <c r="G484" t="s">
        <v>33</v>
      </c>
      <c r="H484" t="s">
        <v>57</v>
      </c>
      <c r="I484" t="s">
        <v>213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247848</v>
      </c>
      <c r="Q484" t="s">
        <v>75</v>
      </c>
      <c r="R484" t="s">
        <v>76</v>
      </c>
      <c r="S484" t="s">
        <v>38</v>
      </c>
      <c r="T484">
        <v>0</v>
      </c>
      <c r="U484">
        <v>1</v>
      </c>
      <c r="V484" s="2">
        <v>4.1666666666666664E-2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hidden="1" x14ac:dyDescent="0.3">
      <c r="A485" s="1">
        <v>45428</v>
      </c>
      <c r="B485" t="s">
        <v>35</v>
      </c>
      <c r="C485" t="s">
        <v>30</v>
      </c>
      <c r="D485" t="s">
        <v>31</v>
      </c>
      <c r="E485" t="s">
        <v>74</v>
      </c>
      <c r="F485" t="s">
        <v>32</v>
      </c>
      <c r="G485" t="s">
        <v>33</v>
      </c>
      <c r="H485" t="s">
        <v>57</v>
      </c>
      <c r="I485" t="s">
        <v>213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248901</v>
      </c>
      <c r="Q485" t="s">
        <v>75</v>
      </c>
      <c r="R485" t="s">
        <v>76</v>
      </c>
      <c r="S485" t="s">
        <v>38</v>
      </c>
      <c r="T485">
        <v>0</v>
      </c>
      <c r="U485">
        <v>0.5</v>
      </c>
      <c r="V485" s="2">
        <v>2.0833333333333332E-2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hidden="1" x14ac:dyDescent="0.3">
      <c r="A486" s="1">
        <v>45429</v>
      </c>
      <c r="B486" t="s">
        <v>35</v>
      </c>
      <c r="C486" t="s">
        <v>30</v>
      </c>
      <c r="D486" t="s">
        <v>31</v>
      </c>
      <c r="E486" t="s">
        <v>74</v>
      </c>
      <c r="F486" t="s">
        <v>32</v>
      </c>
      <c r="G486" t="s">
        <v>33</v>
      </c>
      <c r="H486" t="s">
        <v>57</v>
      </c>
      <c r="I486" t="s">
        <v>213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248902</v>
      </c>
      <c r="Q486" t="s">
        <v>75</v>
      </c>
      <c r="R486" t="s">
        <v>76</v>
      </c>
      <c r="S486" t="s">
        <v>38</v>
      </c>
      <c r="T486">
        <v>0</v>
      </c>
      <c r="U486">
        <v>0.5</v>
      </c>
      <c r="V486" s="2">
        <v>2.0833333333333332E-2</v>
      </c>
      <c r="W486">
        <v>0</v>
      </c>
      <c r="AA486" t="s">
        <v>39</v>
      </c>
      <c r="AB486" t="s">
        <v>40</v>
      </c>
      <c r="AC486" t="s">
        <v>68</v>
      </c>
      <c r="AD486" t="s">
        <v>41</v>
      </c>
    </row>
    <row r="487" spans="1:30" hidden="1" x14ac:dyDescent="0.3">
      <c r="A487" s="1">
        <v>45432</v>
      </c>
      <c r="B487" t="s">
        <v>35</v>
      </c>
      <c r="C487" t="s">
        <v>30</v>
      </c>
      <c r="D487" t="s">
        <v>31</v>
      </c>
      <c r="E487" t="s">
        <v>74</v>
      </c>
      <c r="F487" t="s">
        <v>32</v>
      </c>
      <c r="G487" t="s">
        <v>33</v>
      </c>
      <c r="H487" t="s">
        <v>57</v>
      </c>
      <c r="I487" t="s">
        <v>213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249463</v>
      </c>
      <c r="Q487" t="s">
        <v>75</v>
      </c>
      <c r="R487" t="s">
        <v>76</v>
      </c>
      <c r="S487" t="s">
        <v>38</v>
      </c>
      <c r="T487">
        <v>0</v>
      </c>
      <c r="U487">
        <v>0.5</v>
      </c>
      <c r="V487" s="2">
        <v>2.0833333333333332E-2</v>
      </c>
      <c r="W487">
        <v>0</v>
      </c>
      <c r="AA487" t="s">
        <v>39</v>
      </c>
      <c r="AB487" t="s">
        <v>40</v>
      </c>
      <c r="AC487" t="s">
        <v>68</v>
      </c>
      <c r="AD487" t="s">
        <v>41</v>
      </c>
    </row>
    <row r="488" spans="1:30" hidden="1" x14ac:dyDescent="0.3">
      <c r="A488" s="1">
        <v>45433</v>
      </c>
      <c r="B488" t="s">
        <v>35</v>
      </c>
      <c r="C488" t="s">
        <v>30</v>
      </c>
      <c r="D488" t="s">
        <v>31</v>
      </c>
      <c r="E488" t="s">
        <v>74</v>
      </c>
      <c r="F488" t="s">
        <v>32</v>
      </c>
      <c r="G488" t="s">
        <v>33</v>
      </c>
      <c r="H488" t="s">
        <v>57</v>
      </c>
      <c r="I488" t="s">
        <v>213</v>
      </c>
      <c r="J488" t="s">
        <v>34</v>
      </c>
      <c r="K488" t="s">
        <v>31</v>
      </c>
      <c r="L488" t="s">
        <v>35</v>
      </c>
      <c r="M488" t="s">
        <v>36</v>
      </c>
      <c r="N488" t="s">
        <v>68</v>
      </c>
      <c r="O488" t="s">
        <v>58</v>
      </c>
      <c r="P488">
        <v>250288</v>
      </c>
      <c r="Q488" t="s">
        <v>75</v>
      </c>
      <c r="R488" t="s">
        <v>76</v>
      </c>
      <c r="S488" t="s">
        <v>38</v>
      </c>
      <c r="T488">
        <v>0</v>
      </c>
      <c r="U488">
        <v>0.5</v>
      </c>
      <c r="V488" s="2">
        <v>2.0833333333333332E-2</v>
      </c>
      <c r="W488">
        <v>0</v>
      </c>
      <c r="AA488" t="s">
        <v>39</v>
      </c>
      <c r="AB488" t="s">
        <v>40</v>
      </c>
      <c r="AC488" t="s">
        <v>68</v>
      </c>
      <c r="AD488" t="s">
        <v>41</v>
      </c>
    </row>
    <row r="489" spans="1:30" hidden="1" x14ac:dyDescent="0.3">
      <c r="A489" s="1">
        <v>45434</v>
      </c>
      <c r="B489" t="s">
        <v>35</v>
      </c>
      <c r="C489" t="s">
        <v>30</v>
      </c>
      <c r="D489" t="s">
        <v>31</v>
      </c>
      <c r="E489" t="s">
        <v>74</v>
      </c>
      <c r="F489" t="s">
        <v>32</v>
      </c>
      <c r="G489" t="s">
        <v>33</v>
      </c>
      <c r="H489" t="s">
        <v>57</v>
      </c>
      <c r="I489" t="s">
        <v>213</v>
      </c>
      <c r="J489" t="s">
        <v>34</v>
      </c>
      <c r="K489" t="s">
        <v>31</v>
      </c>
      <c r="L489" t="s">
        <v>35</v>
      </c>
      <c r="M489" t="s">
        <v>36</v>
      </c>
      <c r="N489" t="s">
        <v>68</v>
      </c>
      <c r="O489" t="s">
        <v>58</v>
      </c>
      <c r="P489">
        <v>250291</v>
      </c>
      <c r="Q489" t="s">
        <v>75</v>
      </c>
      <c r="R489" t="s">
        <v>76</v>
      </c>
      <c r="S489" t="s">
        <v>38</v>
      </c>
      <c r="T489">
        <v>0</v>
      </c>
      <c r="U489">
        <v>0.5</v>
      </c>
      <c r="V489" s="2">
        <v>2.0833333333333332E-2</v>
      </c>
      <c r="W489">
        <v>0</v>
      </c>
      <c r="AA489" t="s">
        <v>39</v>
      </c>
      <c r="AB489" t="s">
        <v>40</v>
      </c>
      <c r="AC489" t="s">
        <v>68</v>
      </c>
      <c r="AD489" t="s">
        <v>41</v>
      </c>
    </row>
    <row r="490" spans="1:30" hidden="1" x14ac:dyDescent="0.3">
      <c r="A490" s="1">
        <v>45435</v>
      </c>
      <c r="B490" t="s">
        <v>35</v>
      </c>
      <c r="C490" t="s">
        <v>30</v>
      </c>
      <c r="D490" t="s">
        <v>31</v>
      </c>
      <c r="E490" t="s">
        <v>74</v>
      </c>
      <c r="F490" t="s">
        <v>32</v>
      </c>
      <c r="G490" t="s">
        <v>33</v>
      </c>
      <c r="H490" t="s">
        <v>57</v>
      </c>
      <c r="I490" t="s">
        <v>213</v>
      </c>
      <c r="J490" t="s">
        <v>34</v>
      </c>
      <c r="K490" t="s">
        <v>31</v>
      </c>
      <c r="L490" t="s">
        <v>35</v>
      </c>
      <c r="M490" t="s">
        <v>36</v>
      </c>
      <c r="N490" t="s">
        <v>68</v>
      </c>
      <c r="O490" t="s">
        <v>58</v>
      </c>
      <c r="P490">
        <v>250839</v>
      </c>
      <c r="Q490" t="s">
        <v>75</v>
      </c>
      <c r="R490" t="s">
        <v>76</v>
      </c>
      <c r="S490" t="s">
        <v>38</v>
      </c>
      <c r="T490">
        <v>0</v>
      </c>
      <c r="U490">
        <v>0.25</v>
      </c>
      <c r="V490" s="2">
        <v>1.0416666666666666E-2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45442</v>
      </c>
      <c r="B491" t="s">
        <v>35</v>
      </c>
      <c r="C491" t="s">
        <v>30</v>
      </c>
      <c r="D491" t="s">
        <v>31</v>
      </c>
      <c r="E491" t="s">
        <v>74</v>
      </c>
      <c r="F491" t="s">
        <v>32</v>
      </c>
      <c r="G491" t="s">
        <v>33</v>
      </c>
      <c r="H491" t="s">
        <v>57</v>
      </c>
      <c r="I491" t="s">
        <v>213</v>
      </c>
      <c r="J491" t="s">
        <v>34</v>
      </c>
      <c r="K491" t="s">
        <v>31</v>
      </c>
      <c r="L491" t="s">
        <v>35</v>
      </c>
      <c r="M491" t="s">
        <v>36</v>
      </c>
      <c r="N491" t="s">
        <v>68</v>
      </c>
      <c r="O491" t="s">
        <v>58</v>
      </c>
      <c r="P491">
        <v>253325</v>
      </c>
      <c r="Q491" t="s">
        <v>75</v>
      </c>
      <c r="R491" t="s">
        <v>76</v>
      </c>
      <c r="S491" t="s">
        <v>38</v>
      </c>
      <c r="T491">
        <v>0</v>
      </c>
      <c r="U491">
        <v>0.25</v>
      </c>
      <c r="V491" s="2">
        <v>1.0416666666666666E-2</v>
      </c>
      <c r="W491">
        <v>0</v>
      </c>
      <c r="AA491" t="s">
        <v>39</v>
      </c>
      <c r="AB491" t="s">
        <v>40</v>
      </c>
      <c r="AC491" t="s">
        <v>68</v>
      </c>
      <c r="AD491" t="s">
        <v>41</v>
      </c>
    </row>
    <row r="492" spans="1:30" hidden="1" x14ac:dyDescent="0.3">
      <c r="A492" s="1">
        <v>45443</v>
      </c>
      <c r="B492" t="s">
        <v>35</v>
      </c>
      <c r="C492" t="s">
        <v>30</v>
      </c>
      <c r="D492" t="s">
        <v>31</v>
      </c>
      <c r="E492" t="s">
        <v>74</v>
      </c>
      <c r="F492" t="s">
        <v>32</v>
      </c>
      <c r="G492" t="s">
        <v>33</v>
      </c>
      <c r="H492" t="s">
        <v>57</v>
      </c>
      <c r="I492" t="s">
        <v>213</v>
      </c>
      <c r="J492" t="s">
        <v>34</v>
      </c>
      <c r="K492" t="s">
        <v>31</v>
      </c>
      <c r="L492" t="s">
        <v>35</v>
      </c>
      <c r="M492" t="s">
        <v>36</v>
      </c>
      <c r="N492" t="s">
        <v>68</v>
      </c>
      <c r="O492" t="s">
        <v>58</v>
      </c>
      <c r="P492">
        <v>253303</v>
      </c>
      <c r="Q492" t="s">
        <v>75</v>
      </c>
      <c r="R492" t="s">
        <v>76</v>
      </c>
      <c r="S492" t="s">
        <v>38</v>
      </c>
      <c r="T492">
        <v>0</v>
      </c>
      <c r="U492">
        <v>0.25</v>
      </c>
      <c r="V492" s="2">
        <v>1.0416666666666666E-2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hidden="1" x14ac:dyDescent="0.3">
      <c r="A493" s="1">
        <v>45446</v>
      </c>
      <c r="B493" t="s">
        <v>35</v>
      </c>
      <c r="C493" t="s">
        <v>30</v>
      </c>
      <c r="D493" t="s">
        <v>31</v>
      </c>
      <c r="E493" t="s">
        <v>74</v>
      </c>
      <c r="F493" t="s">
        <v>32</v>
      </c>
      <c r="G493" t="s">
        <v>33</v>
      </c>
      <c r="H493" t="s">
        <v>57</v>
      </c>
      <c r="I493" t="s">
        <v>213</v>
      </c>
      <c r="J493" t="s">
        <v>34</v>
      </c>
      <c r="K493" t="s">
        <v>31</v>
      </c>
      <c r="L493" t="s">
        <v>35</v>
      </c>
      <c r="M493" t="s">
        <v>36</v>
      </c>
      <c r="N493" t="s">
        <v>68</v>
      </c>
      <c r="O493" t="s">
        <v>58</v>
      </c>
      <c r="P493">
        <v>254875</v>
      </c>
      <c r="Q493" t="s">
        <v>75</v>
      </c>
      <c r="R493" t="s">
        <v>76</v>
      </c>
      <c r="S493" t="s">
        <v>38</v>
      </c>
      <c r="T493">
        <v>0</v>
      </c>
      <c r="U493">
        <v>0.25</v>
      </c>
      <c r="V493" s="2">
        <v>1.0416666666666666E-2</v>
      </c>
      <c r="W493">
        <v>0</v>
      </c>
      <c r="AA493" t="s">
        <v>39</v>
      </c>
      <c r="AB493" t="s">
        <v>40</v>
      </c>
      <c r="AC493" t="s">
        <v>68</v>
      </c>
      <c r="AD493" t="s">
        <v>41</v>
      </c>
    </row>
    <row r="494" spans="1:30" hidden="1" x14ac:dyDescent="0.3">
      <c r="A494" s="1">
        <v>45447</v>
      </c>
      <c r="B494" t="s">
        <v>35</v>
      </c>
      <c r="C494" t="s">
        <v>30</v>
      </c>
      <c r="D494" t="s">
        <v>31</v>
      </c>
      <c r="E494" t="s">
        <v>74</v>
      </c>
      <c r="F494" t="s">
        <v>32</v>
      </c>
      <c r="G494" t="s">
        <v>33</v>
      </c>
      <c r="H494" t="s">
        <v>57</v>
      </c>
      <c r="I494" t="s">
        <v>213</v>
      </c>
      <c r="J494" t="s">
        <v>34</v>
      </c>
      <c r="K494" t="s">
        <v>31</v>
      </c>
      <c r="L494" t="s">
        <v>35</v>
      </c>
      <c r="M494" t="s">
        <v>36</v>
      </c>
      <c r="N494" t="s">
        <v>68</v>
      </c>
      <c r="O494" t="s">
        <v>58</v>
      </c>
      <c r="P494">
        <v>255289</v>
      </c>
      <c r="Q494" t="s">
        <v>75</v>
      </c>
      <c r="R494" t="s">
        <v>76</v>
      </c>
      <c r="S494" t="s">
        <v>38</v>
      </c>
      <c r="T494">
        <v>0</v>
      </c>
      <c r="U494">
        <v>0.75</v>
      </c>
      <c r="V494" s="2">
        <v>3.125E-2</v>
      </c>
      <c r="W494">
        <v>0</v>
      </c>
      <c r="AA494" t="s">
        <v>39</v>
      </c>
      <c r="AB494" t="s">
        <v>40</v>
      </c>
      <c r="AC494" t="s">
        <v>68</v>
      </c>
      <c r="AD494" t="s">
        <v>41</v>
      </c>
    </row>
    <row r="495" spans="1:30" hidden="1" x14ac:dyDescent="0.3">
      <c r="A495" s="1">
        <v>45448</v>
      </c>
      <c r="B495" t="s">
        <v>35</v>
      </c>
      <c r="C495" t="s">
        <v>30</v>
      </c>
      <c r="D495" t="s">
        <v>31</v>
      </c>
      <c r="E495" t="s">
        <v>74</v>
      </c>
      <c r="F495" t="s">
        <v>32</v>
      </c>
      <c r="G495" t="s">
        <v>33</v>
      </c>
      <c r="H495" t="s">
        <v>57</v>
      </c>
      <c r="I495" t="s">
        <v>213</v>
      </c>
      <c r="J495" t="s">
        <v>34</v>
      </c>
      <c r="K495" t="s">
        <v>31</v>
      </c>
      <c r="L495" t="s">
        <v>35</v>
      </c>
      <c r="M495" t="s">
        <v>36</v>
      </c>
      <c r="N495" t="s">
        <v>68</v>
      </c>
      <c r="O495" t="s">
        <v>58</v>
      </c>
      <c r="P495">
        <v>256515</v>
      </c>
      <c r="Q495" t="s">
        <v>75</v>
      </c>
      <c r="R495" t="s">
        <v>76</v>
      </c>
      <c r="S495" t="s">
        <v>38</v>
      </c>
      <c r="T495">
        <v>0</v>
      </c>
      <c r="U495">
        <v>0.25</v>
      </c>
      <c r="V495" s="2">
        <v>1.0416666666666666E-2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hidden="1" x14ac:dyDescent="0.3">
      <c r="A496" s="1">
        <v>45453</v>
      </c>
      <c r="B496" t="s">
        <v>35</v>
      </c>
      <c r="C496" t="s">
        <v>30</v>
      </c>
      <c r="D496" t="s">
        <v>31</v>
      </c>
      <c r="E496" t="s">
        <v>74</v>
      </c>
      <c r="F496" t="s">
        <v>32</v>
      </c>
      <c r="G496" t="s">
        <v>33</v>
      </c>
      <c r="H496" t="s">
        <v>57</v>
      </c>
      <c r="I496" t="s">
        <v>213</v>
      </c>
      <c r="J496" t="s">
        <v>34</v>
      </c>
      <c r="K496" t="s">
        <v>31</v>
      </c>
      <c r="L496" t="s">
        <v>35</v>
      </c>
      <c r="M496" t="s">
        <v>36</v>
      </c>
      <c r="N496" t="s">
        <v>68</v>
      </c>
      <c r="O496" t="s">
        <v>58</v>
      </c>
      <c r="P496">
        <v>257352</v>
      </c>
      <c r="Q496" t="s">
        <v>75</v>
      </c>
      <c r="R496" t="s">
        <v>76</v>
      </c>
      <c r="S496" t="s">
        <v>38</v>
      </c>
      <c r="T496">
        <v>0</v>
      </c>
      <c r="U496">
        <v>0.5</v>
      </c>
      <c r="V496" s="2">
        <v>2.0833333333333332E-2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hidden="1" x14ac:dyDescent="0.3">
      <c r="A497" s="1">
        <v>45454</v>
      </c>
      <c r="B497" t="s">
        <v>35</v>
      </c>
      <c r="C497" t="s">
        <v>30</v>
      </c>
      <c r="D497" t="s">
        <v>31</v>
      </c>
      <c r="E497" t="s">
        <v>74</v>
      </c>
      <c r="F497" t="s">
        <v>32</v>
      </c>
      <c r="G497" t="s">
        <v>33</v>
      </c>
      <c r="H497" t="s">
        <v>57</v>
      </c>
      <c r="I497" t="s">
        <v>213</v>
      </c>
      <c r="J497" t="s">
        <v>34</v>
      </c>
      <c r="K497" t="s">
        <v>31</v>
      </c>
      <c r="L497" t="s">
        <v>35</v>
      </c>
      <c r="M497" t="s">
        <v>36</v>
      </c>
      <c r="N497" t="s">
        <v>68</v>
      </c>
      <c r="O497" t="s">
        <v>58</v>
      </c>
      <c r="P497">
        <v>257824</v>
      </c>
      <c r="Q497" t="s">
        <v>75</v>
      </c>
      <c r="R497" t="s">
        <v>76</v>
      </c>
      <c r="S497" t="s">
        <v>38</v>
      </c>
      <c r="T497">
        <v>0</v>
      </c>
      <c r="U497">
        <v>0.5</v>
      </c>
      <c r="V497" s="2">
        <v>2.0833333333333332E-2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hidden="1" x14ac:dyDescent="0.3">
      <c r="A498" s="1">
        <v>45455</v>
      </c>
      <c r="B498" t="s">
        <v>35</v>
      </c>
      <c r="C498" t="s">
        <v>30</v>
      </c>
      <c r="D498" t="s">
        <v>31</v>
      </c>
      <c r="E498" t="s">
        <v>74</v>
      </c>
      <c r="F498" t="s">
        <v>32</v>
      </c>
      <c r="G498" t="s">
        <v>33</v>
      </c>
      <c r="H498" t="s">
        <v>57</v>
      </c>
      <c r="I498" t="s">
        <v>213</v>
      </c>
      <c r="J498" t="s">
        <v>34</v>
      </c>
      <c r="K498" t="s">
        <v>31</v>
      </c>
      <c r="L498" t="s">
        <v>35</v>
      </c>
      <c r="M498" t="s">
        <v>36</v>
      </c>
      <c r="N498" t="s">
        <v>68</v>
      </c>
      <c r="O498" t="s">
        <v>58</v>
      </c>
      <c r="P498">
        <v>258629</v>
      </c>
      <c r="Q498" t="s">
        <v>75</v>
      </c>
      <c r="R498" t="s">
        <v>76</v>
      </c>
      <c r="S498" t="s">
        <v>38</v>
      </c>
      <c r="T498">
        <v>0</v>
      </c>
      <c r="U498">
        <v>0.25</v>
      </c>
      <c r="V498" s="2">
        <v>1.0416666666666666E-2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hidden="1" x14ac:dyDescent="0.3">
      <c r="A499" s="1">
        <v>45456</v>
      </c>
      <c r="B499" t="s">
        <v>35</v>
      </c>
      <c r="C499" t="s">
        <v>30</v>
      </c>
      <c r="D499" t="s">
        <v>31</v>
      </c>
      <c r="E499" t="s">
        <v>74</v>
      </c>
      <c r="F499" t="s">
        <v>32</v>
      </c>
      <c r="G499" t="s">
        <v>33</v>
      </c>
      <c r="H499" t="s">
        <v>57</v>
      </c>
      <c r="I499" t="s">
        <v>213</v>
      </c>
      <c r="J499" t="s">
        <v>34</v>
      </c>
      <c r="K499" t="s">
        <v>31</v>
      </c>
      <c r="L499" t="s">
        <v>35</v>
      </c>
      <c r="M499" t="s">
        <v>36</v>
      </c>
      <c r="N499" t="s">
        <v>68</v>
      </c>
      <c r="O499" t="s">
        <v>58</v>
      </c>
      <c r="P499">
        <v>258998</v>
      </c>
      <c r="Q499" t="s">
        <v>75</v>
      </c>
      <c r="R499" t="s">
        <v>76</v>
      </c>
      <c r="S499" t="s">
        <v>38</v>
      </c>
      <c r="T499">
        <v>0</v>
      </c>
      <c r="U499">
        <v>0.25</v>
      </c>
      <c r="V499" s="2">
        <v>1.0416666666666666E-2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hidden="1" x14ac:dyDescent="0.3">
      <c r="A500" s="1">
        <v>45457</v>
      </c>
      <c r="B500" t="s">
        <v>35</v>
      </c>
      <c r="C500" t="s">
        <v>30</v>
      </c>
      <c r="D500" t="s">
        <v>31</v>
      </c>
      <c r="E500" t="s">
        <v>74</v>
      </c>
      <c r="F500" t="s">
        <v>32</v>
      </c>
      <c r="G500" t="s">
        <v>33</v>
      </c>
      <c r="H500" t="s">
        <v>57</v>
      </c>
      <c r="I500" t="s">
        <v>213</v>
      </c>
      <c r="J500" t="s">
        <v>34</v>
      </c>
      <c r="K500" t="s">
        <v>31</v>
      </c>
      <c r="L500" t="s">
        <v>35</v>
      </c>
      <c r="M500" t="s">
        <v>36</v>
      </c>
      <c r="N500" t="s">
        <v>68</v>
      </c>
      <c r="O500" t="s">
        <v>58</v>
      </c>
      <c r="P500">
        <v>259541</v>
      </c>
      <c r="Q500" t="s">
        <v>75</v>
      </c>
      <c r="R500" t="s">
        <v>76</v>
      </c>
      <c r="S500" t="s">
        <v>38</v>
      </c>
      <c r="T500">
        <v>0</v>
      </c>
      <c r="U500">
        <v>0.5</v>
      </c>
      <c r="V500" s="2">
        <v>2.0833333333333332E-2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hidden="1" x14ac:dyDescent="0.3">
      <c r="A501" s="1">
        <v>45471</v>
      </c>
      <c r="B501" t="s">
        <v>35</v>
      </c>
      <c r="C501" t="s">
        <v>30</v>
      </c>
      <c r="D501" t="s">
        <v>31</v>
      </c>
      <c r="E501" t="s">
        <v>74</v>
      </c>
      <c r="F501" t="s">
        <v>32</v>
      </c>
      <c r="G501" t="s">
        <v>33</v>
      </c>
      <c r="H501" t="s">
        <v>57</v>
      </c>
      <c r="I501" t="s">
        <v>213</v>
      </c>
      <c r="J501" t="s">
        <v>34</v>
      </c>
      <c r="K501" t="s">
        <v>31</v>
      </c>
      <c r="L501" t="s">
        <v>35</v>
      </c>
      <c r="M501" t="s">
        <v>36</v>
      </c>
      <c r="N501" t="s">
        <v>68</v>
      </c>
      <c r="O501" t="s">
        <v>58</v>
      </c>
      <c r="P501">
        <v>265120</v>
      </c>
      <c r="Q501" t="s">
        <v>75</v>
      </c>
      <c r="R501" t="s">
        <v>76</v>
      </c>
      <c r="S501" t="s">
        <v>38</v>
      </c>
      <c r="T501">
        <v>0</v>
      </c>
      <c r="U501">
        <v>0.25</v>
      </c>
      <c r="V501" s="2">
        <v>1.0416666666666666E-2</v>
      </c>
      <c r="W501">
        <v>0</v>
      </c>
      <c r="AA501" t="s">
        <v>39</v>
      </c>
      <c r="AB501" t="s">
        <v>40</v>
      </c>
      <c r="AC501" t="s">
        <v>68</v>
      </c>
      <c r="AD501" t="s">
        <v>41</v>
      </c>
    </row>
    <row r="502" spans="1:30" hidden="1" x14ac:dyDescent="0.3">
      <c r="A502" s="1">
        <v>45475</v>
      </c>
      <c r="B502" t="s">
        <v>35</v>
      </c>
      <c r="C502" t="s">
        <v>30</v>
      </c>
      <c r="D502" t="s">
        <v>31</v>
      </c>
      <c r="E502" t="s">
        <v>74</v>
      </c>
      <c r="F502" t="s">
        <v>32</v>
      </c>
      <c r="G502" t="s">
        <v>33</v>
      </c>
      <c r="H502" t="s">
        <v>57</v>
      </c>
      <c r="I502" t="s">
        <v>213</v>
      </c>
      <c r="J502" t="s">
        <v>34</v>
      </c>
      <c r="K502" t="s">
        <v>31</v>
      </c>
      <c r="L502" t="s">
        <v>35</v>
      </c>
      <c r="M502" t="s">
        <v>36</v>
      </c>
      <c r="N502" t="s">
        <v>68</v>
      </c>
      <c r="O502" t="s">
        <v>58</v>
      </c>
      <c r="P502">
        <v>266630</v>
      </c>
      <c r="Q502" t="s">
        <v>75</v>
      </c>
      <c r="R502" t="s">
        <v>76</v>
      </c>
      <c r="S502" t="s">
        <v>38</v>
      </c>
      <c r="T502">
        <v>0</v>
      </c>
      <c r="U502">
        <v>0.25</v>
      </c>
      <c r="V502" s="2">
        <v>1.0416666666666666E-2</v>
      </c>
      <c r="W502">
        <v>0</v>
      </c>
      <c r="AA502" t="s">
        <v>39</v>
      </c>
      <c r="AB502" t="s">
        <v>40</v>
      </c>
      <c r="AC502" t="s">
        <v>68</v>
      </c>
      <c r="AD502" t="s">
        <v>41</v>
      </c>
    </row>
    <row r="503" spans="1:30" hidden="1" x14ac:dyDescent="0.3">
      <c r="A503" s="1">
        <v>45476</v>
      </c>
      <c r="B503" t="s">
        <v>35</v>
      </c>
      <c r="C503" t="s">
        <v>30</v>
      </c>
      <c r="D503" t="s">
        <v>31</v>
      </c>
      <c r="E503" t="s">
        <v>74</v>
      </c>
      <c r="F503" t="s">
        <v>32</v>
      </c>
      <c r="G503" t="s">
        <v>33</v>
      </c>
      <c r="H503" t="s">
        <v>57</v>
      </c>
      <c r="I503" t="s">
        <v>213</v>
      </c>
      <c r="J503" t="s">
        <v>34</v>
      </c>
      <c r="K503" t="s">
        <v>31</v>
      </c>
      <c r="L503" t="s">
        <v>35</v>
      </c>
      <c r="M503" t="s">
        <v>36</v>
      </c>
      <c r="N503" t="s">
        <v>68</v>
      </c>
      <c r="O503" t="s">
        <v>58</v>
      </c>
      <c r="P503">
        <v>266819</v>
      </c>
      <c r="Q503" t="s">
        <v>75</v>
      </c>
      <c r="R503" t="s">
        <v>76</v>
      </c>
      <c r="S503" t="s">
        <v>38</v>
      </c>
      <c r="T503">
        <v>0</v>
      </c>
      <c r="U503">
        <v>0.25</v>
      </c>
      <c r="V503" s="2">
        <v>1.0416666666666666E-2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hidden="1" x14ac:dyDescent="0.3">
      <c r="A504" s="1">
        <v>45477</v>
      </c>
      <c r="B504" t="s">
        <v>35</v>
      </c>
      <c r="C504" t="s">
        <v>30</v>
      </c>
      <c r="D504" t="s">
        <v>31</v>
      </c>
      <c r="E504" t="s">
        <v>74</v>
      </c>
      <c r="F504" t="s">
        <v>32</v>
      </c>
      <c r="G504" t="s">
        <v>33</v>
      </c>
      <c r="H504" t="s">
        <v>57</v>
      </c>
      <c r="I504" t="s">
        <v>213</v>
      </c>
      <c r="J504" t="s">
        <v>34</v>
      </c>
      <c r="K504" t="s">
        <v>31</v>
      </c>
      <c r="L504" t="s">
        <v>35</v>
      </c>
      <c r="M504" t="s">
        <v>36</v>
      </c>
      <c r="N504" t="s">
        <v>68</v>
      </c>
      <c r="O504" t="s">
        <v>58</v>
      </c>
      <c r="P504">
        <v>267318</v>
      </c>
      <c r="Q504" t="s">
        <v>75</v>
      </c>
      <c r="R504" t="s">
        <v>76</v>
      </c>
      <c r="S504" t="s">
        <v>38</v>
      </c>
      <c r="T504">
        <v>0</v>
      </c>
      <c r="U504">
        <v>0.25</v>
      </c>
      <c r="V504" s="2">
        <v>1.0416666666666666E-2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hidden="1" x14ac:dyDescent="0.3">
      <c r="A505" s="1">
        <v>45478</v>
      </c>
      <c r="B505" t="s">
        <v>35</v>
      </c>
      <c r="C505" t="s">
        <v>30</v>
      </c>
      <c r="D505" t="s">
        <v>31</v>
      </c>
      <c r="E505" t="s">
        <v>74</v>
      </c>
      <c r="F505" t="s">
        <v>32</v>
      </c>
      <c r="G505" t="s">
        <v>33</v>
      </c>
      <c r="H505" t="s">
        <v>57</v>
      </c>
      <c r="I505" t="s">
        <v>213</v>
      </c>
      <c r="J505" t="s">
        <v>34</v>
      </c>
      <c r="K505" t="s">
        <v>31</v>
      </c>
      <c r="L505" t="s">
        <v>35</v>
      </c>
      <c r="M505" t="s">
        <v>36</v>
      </c>
      <c r="N505" t="s">
        <v>68</v>
      </c>
      <c r="O505" t="s">
        <v>58</v>
      </c>
      <c r="P505">
        <v>267936</v>
      </c>
      <c r="Q505" t="s">
        <v>75</v>
      </c>
      <c r="R505" t="s">
        <v>76</v>
      </c>
      <c r="S505" t="s">
        <v>38</v>
      </c>
      <c r="T505">
        <v>0</v>
      </c>
      <c r="U505">
        <v>0.25</v>
      </c>
      <c r="V505" s="2">
        <v>1.0416666666666666E-2</v>
      </c>
      <c r="W505">
        <v>0</v>
      </c>
      <c r="AA505" t="s">
        <v>39</v>
      </c>
      <c r="AB505" t="s">
        <v>40</v>
      </c>
      <c r="AC505" t="s">
        <v>68</v>
      </c>
      <c r="AD505" t="s">
        <v>41</v>
      </c>
    </row>
    <row r="506" spans="1:30" hidden="1" x14ac:dyDescent="0.3">
      <c r="A506" s="1">
        <v>45481</v>
      </c>
      <c r="B506" t="s">
        <v>35</v>
      </c>
      <c r="C506" t="s">
        <v>30</v>
      </c>
      <c r="D506" t="s">
        <v>31</v>
      </c>
      <c r="E506" t="s">
        <v>74</v>
      </c>
      <c r="F506" t="s">
        <v>32</v>
      </c>
      <c r="G506" t="s">
        <v>33</v>
      </c>
      <c r="H506" t="s">
        <v>57</v>
      </c>
      <c r="I506" t="s">
        <v>213</v>
      </c>
      <c r="J506" t="s">
        <v>34</v>
      </c>
      <c r="K506" t="s">
        <v>31</v>
      </c>
      <c r="L506" t="s">
        <v>35</v>
      </c>
      <c r="M506" t="s">
        <v>36</v>
      </c>
      <c r="N506" t="s">
        <v>68</v>
      </c>
      <c r="O506" t="s">
        <v>58</v>
      </c>
      <c r="P506">
        <v>268576</v>
      </c>
      <c r="Q506" t="s">
        <v>75</v>
      </c>
      <c r="R506" t="s">
        <v>76</v>
      </c>
      <c r="S506" t="s">
        <v>38</v>
      </c>
      <c r="T506">
        <v>0</v>
      </c>
      <c r="U506">
        <v>0.25</v>
      </c>
      <c r="V506" s="2">
        <v>1.0416666666666666E-2</v>
      </c>
      <c r="W506">
        <v>0</v>
      </c>
      <c r="AA506" t="s">
        <v>39</v>
      </c>
      <c r="AB506" t="s">
        <v>40</v>
      </c>
      <c r="AC506" t="s">
        <v>68</v>
      </c>
      <c r="AD506" t="s">
        <v>41</v>
      </c>
    </row>
    <row r="507" spans="1:30" hidden="1" x14ac:dyDescent="0.3">
      <c r="A507" s="1">
        <v>45482</v>
      </c>
      <c r="B507" t="s">
        <v>35</v>
      </c>
      <c r="C507" t="s">
        <v>30</v>
      </c>
      <c r="D507" t="s">
        <v>31</v>
      </c>
      <c r="E507" t="s">
        <v>74</v>
      </c>
      <c r="F507" t="s">
        <v>32</v>
      </c>
      <c r="G507" t="s">
        <v>33</v>
      </c>
      <c r="H507" t="s">
        <v>57</v>
      </c>
      <c r="I507" t="s">
        <v>213</v>
      </c>
      <c r="J507" t="s">
        <v>34</v>
      </c>
      <c r="K507" t="s">
        <v>31</v>
      </c>
      <c r="L507" t="s">
        <v>35</v>
      </c>
      <c r="M507" t="s">
        <v>36</v>
      </c>
      <c r="N507" t="s">
        <v>68</v>
      </c>
      <c r="O507" t="s">
        <v>58</v>
      </c>
      <c r="P507">
        <v>269042</v>
      </c>
      <c r="Q507" t="s">
        <v>75</v>
      </c>
      <c r="R507" t="s">
        <v>76</v>
      </c>
      <c r="S507" t="s">
        <v>38</v>
      </c>
      <c r="T507">
        <v>0</v>
      </c>
      <c r="U507">
        <v>0.75</v>
      </c>
      <c r="V507" s="2">
        <v>3.125E-2</v>
      </c>
      <c r="W507">
        <v>0</v>
      </c>
      <c r="AA507" t="s">
        <v>39</v>
      </c>
      <c r="AB507" t="s">
        <v>40</v>
      </c>
      <c r="AC507" t="s">
        <v>68</v>
      </c>
      <c r="AD507" t="s">
        <v>41</v>
      </c>
    </row>
    <row r="508" spans="1:30" hidden="1" x14ac:dyDescent="0.3">
      <c r="A508" s="1">
        <v>45483</v>
      </c>
      <c r="B508" t="s">
        <v>35</v>
      </c>
      <c r="C508" t="s">
        <v>30</v>
      </c>
      <c r="D508" t="s">
        <v>31</v>
      </c>
      <c r="E508" t="s">
        <v>74</v>
      </c>
      <c r="F508" t="s">
        <v>32</v>
      </c>
      <c r="G508" t="s">
        <v>33</v>
      </c>
      <c r="H508" t="s">
        <v>57</v>
      </c>
      <c r="I508" t="s">
        <v>213</v>
      </c>
      <c r="J508" t="s">
        <v>34</v>
      </c>
      <c r="K508" t="s">
        <v>31</v>
      </c>
      <c r="L508" t="s">
        <v>35</v>
      </c>
      <c r="M508" t="s">
        <v>36</v>
      </c>
      <c r="N508" t="s">
        <v>68</v>
      </c>
      <c r="O508" t="s">
        <v>58</v>
      </c>
      <c r="P508">
        <v>269554</v>
      </c>
      <c r="Q508" t="s">
        <v>75</v>
      </c>
      <c r="R508" t="s">
        <v>76</v>
      </c>
      <c r="S508" t="s">
        <v>38</v>
      </c>
      <c r="T508">
        <v>0</v>
      </c>
      <c r="U508">
        <v>0.25</v>
      </c>
      <c r="V508" s="2">
        <v>1.0416666666666666E-2</v>
      </c>
      <c r="W508">
        <v>0</v>
      </c>
      <c r="AA508" t="s">
        <v>39</v>
      </c>
      <c r="AB508" t="s">
        <v>40</v>
      </c>
      <c r="AC508" t="s">
        <v>68</v>
      </c>
      <c r="AD508" t="s">
        <v>41</v>
      </c>
    </row>
    <row r="509" spans="1:30" hidden="1" x14ac:dyDescent="0.3">
      <c r="A509" s="1">
        <v>45484</v>
      </c>
      <c r="B509" t="s">
        <v>35</v>
      </c>
      <c r="C509" t="s">
        <v>30</v>
      </c>
      <c r="D509" t="s">
        <v>31</v>
      </c>
      <c r="E509" t="s">
        <v>74</v>
      </c>
      <c r="F509" t="s">
        <v>32</v>
      </c>
      <c r="G509" t="s">
        <v>33</v>
      </c>
      <c r="H509" t="s">
        <v>57</v>
      </c>
      <c r="I509" t="s">
        <v>213</v>
      </c>
      <c r="J509" t="s">
        <v>34</v>
      </c>
      <c r="K509" t="s">
        <v>31</v>
      </c>
      <c r="L509" t="s">
        <v>35</v>
      </c>
      <c r="M509" t="s">
        <v>36</v>
      </c>
      <c r="N509" t="s">
        <v>68</v>
      </c>
      <c r="O509" t="s">
        <v>58</v>
      </c>
      <c r="P509">
        <v>269993</v>
      </c>
      <c r="Q509" t="s">
        <v>75</v>
      </c>
      <c r="R509" t="s">
        <v>76</v>
      </c>
      <c r="S509" t="s">
        <v>38</v>
      </c>
      <c r="T509">
        <v>0</v>
      </c>
      <c r="U509">
        <v>0.25</v>
      </c>
      <c r="V509" s="2">
        <v>1.0416666666666666E-2</v>
      </c>
      <c r="W509">
        <v>0</v>
      </c>
      <c r="AA509" t="s">
        <v>39</v>
      </c>
      <c r="AB509" t="s">
        <v>40</v>
      </c>
      <c r="AC509" t="s">
        <v>68</v>
      </c>
      <c r="AD509" t="s">
        <v>41</v>
      </c>
    </row>
    <row r="510" spans="1:30" hidden="1" x14ac:dyDescent="0.3">
      <c r="A510" s="1">
        <v>45485</v>
      </c>
      <c r="B510" t="s">
        <v>35</v>
      </c>
      <c r="C510" t="s">
        <v>30</v>
      </c>
      <c r="D510" t="s">
        <v>31</v>
      </c>
      <c r="E510" t="s">
        <v>74</v>
      </c>
      <c r="F510" t="s">
        <v>32</v>
      </c>
      <c r="G510" t="s">
        <v>33</v>
      </c>
      <c r="H510" t="s">
        <v>57</v>
      </c>
      <c r="I510" t="s">
        <v>213</v>
      </c>
      <c r="J510" t="s">
        <v>34</v>
      </c>
      <c r="K510" t="s">
        <v>31</v>
      </c>
      <c r="L510" t="s">
        <v>35</v>
      </c>
      <c r="M510" t="s">
        <v>36</v>
      </c>
      <c r="N510" t="s">
        <v>68</v>
      </c>
      <c r="O510" t="s">
        <v>58</v>
      </c>
      <c r="P510">
        <v>270566</v>
      </c>
      <c r="Q510" t="s">
        <v>75</v>
      </c>
      <c r="R510" t="s">
        <v>76</v>
      </c>
      <c r="S510" t="s">
        <v>38</v>
      </c>
      <c r="T510">
        <v>0</v>
      </c>
      <c r="U510">
        <v>0.25</v>
      </c>
      <c r="V510" s="2">
        <v>1.0416666666666666E-2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hidden="1" x14ac:dyDescent="0.3">
      <c r="A511" s="1">
        <v>45488</v>
      </c>
      <c r="B511" t="s">
        <v>35</v>
      </c>
      <c r="C511" t="s">
        <v>30</v>
      </c>
      <c r="D511" t="s">
        <v>31</v>
      </c>
      <c r="E511" t="s">
        <v>74</v>
      </c>
      <c r="F511" t="s">
        <v>32</v>
      </c>
      <c r="G511" t="s">
        <v>33</v>
      </c>
      <c r="H511" t="s">
        <v>57</v>
      </c>
      <c r="I511" t="s">
        <v>213</v>
      </c>
      <c r="J511" t="s">
        <v>34</v>
      </c>
      <c r="K511" t="s">
        <v>31</v>
      </c>
      <c r="L511" t="s">
        <v>35</v>
      </c>
      <c r="M511" t="s">
        <v>36</v>
      </c>
      <c r="N511" t="s">
        <v>68</v>
      </c>
      <c r="O511" t="s">
        <v>58</v>
      </c>
      <c r="P511">
        <v>271450</v>
      </c>
      <c r="Q511" t="s">
        <v>75</v>
      </c>
      <c r="R511" t="s">
        <v>76</v>
      </c>
      <c r="S511" t="s">
        <v>38</v>
      </c>
      <c r="T511">
        <v>0</v>
      </c>
      <c r="U511">
        <v>0.75</v>
      </c>
      <c r="V511" s="2">
        <v>3.125E-2</v>
      </c>
      <c r="W511">
        <v>0</v>
      </c>
      <c r="AA511" t="s">
        <v>39</v>
      </c>
      <c r="AB511" t="s">
        <v>40</v>
      </c>
      <c r="AC511" t="s">
        <v>68</v>
      </c>
      <c r="AD511" t="s">
        <v>41</v>
      </c>
    </row>
    <row r="512" spans="1:30" hidden="1" x14ac:dyDescent="0.3">
      <c r="A512" s="1">
        <v>45489</v>
      </c>
      <c r="B512" t="s">
        <v>35</v>
      </c>
      <c r="C512" t="s">
        <v>30</v>
      </c>
      <c r="D512" t="s">
        <v>31</v>
      </c>
      <c r="E512" t="s">
        <v>74</v>
      </c>
      <c r="F512" t="s">
        <v>32</v>
      </c>
      <c r="G512" t="s">
        <v>33</v>
      </c>
      <c r="H512" t="s">
        <v>57</v>
      </c>
      <c r="I512" t="s">
        <v>213</v>
      </c>
      <c r="J512" t="s">
        <v>34</v>
      </c>
      <c r="K512" t="s">
        <v>31</v>
      </c>
      <c r="L512" t="s">
        <v>35</v>
      </c>
      <c r="M512" t="s">
        <v>36</v>
      </c>
      <c r="N512" t="s">
        <v>68</v>
      </c>
      <c r="O512" t="s">
        <v>58</v>
      </c>
      <c r="P512">
        <v>271999</v>
      </c>
      <c r="Q512" t="s">
        <v>75</v>
      </c>
      <c r="R512" t="s">
        <v>76</v>
      </c>
      <c r="S512" t="s">
        <v>38</v>
      </c>
      <c r="T512">
        <v>0</v>
      </c>
      <c r="U512">
        <v>0.25</v>
      </c>
      <c r="V512" s="2">
        <v>1.0416666666666666E-2</v>
      </c>
      <c r="W512">
        <v>0</v>
      </c>
      <c r="AA512" t="s">
        <v>39</v>
      </c>
      <c r="AB512" t="s">
        <v>40</v>
      </c>
      <c r="AC512" t="s">
        <v>68</v>
      </c>
      <c r="AD512" t="s">
        <v>41</v>
      </c>
    </row>
    <row r="513" spans="1:30" hidden="1" x14ac:dyDescent="0.3">
      <c r="A513" s="1">
        <v>45490</v>
      </c>
      <c r="B513" t="s">
        <v>35</v>
      </c>
      <c r="C513" t="s">
        <v>30</v>
      </c>
      <c r="D513" t="s">
        <v>31</v>
      </c>
      <c r="E513" t="s">
        <v>74</v>
      </c>
      <c r="F513" t="s">
        <v>32</v>
      </c>
      <c r="G513" t="s">
        <v>33</v>
      </c>
      <c r="H513" t="s">
        <v>57</v>
      </c>
      <c r="I513" t="s">
        <v>213</v>
      </c>
      <c r="J513" t="s">
        <v>34</v>
      </c>
      <c r="K513" t="s">
        <v>31</v>
      </c>
      <c r="L513" t="s">
        <v>35</v>
      </c>
      <c r="M513" t="s">
        <v>36</v>
      </c>
      <c r="N513" t="s">
        <v>68</v>
      </c>
      <c r="O513" t="s">
        <v>58</v>
      </c>
      <c r="P513">
        <v>272504</v>
      </c>
      <c r="Q513" t="s">
        <v>75</v>
      </c>
      <c r="R513" t="s">
        <v>76</v>
      </c>
      <c r="S513" t="s">
        <v>38</v>
      </c>
      <c r="T513">
        <v>0</v>
      </c>
      <c r="U513">
        <v>0.75</v>
      </c>
      <c r="V513" s="2">
        <v>3.125E-2</v>
      </c>
      <c r="W513">
        <v>0</v>
      </c>
      <c r="AA513" t="s">
        <v>39</v>
      </c>
      <c r="AB513" t="s">
        <v>40</v>
      </c>
      <c r="AC513" t="s">
        <v>68</v>
      </c>
      <c r="AD513" t="s">
        <v>41</v>
      </c>
    </row>
    <row r="514" spans="1:30" hidden="1" x14ac:dyDescent="0.3">
      <c r="A514" s="1">
        <v>45491</v>
      </c>
      <c r="B514" t="s">
        <v>35</v>
      </c>
      <c r="C514" t="s">
        <v>30</v>
      </c>
      <c r="D514" t="s">
        <v>31</v>
      </c>
      <c r="E514" t="s">
        <v>74</v>
      </c>
      <c r="F514" t="s">
        <v>32</v>
      </c>
      <c r="G514" t="s">
        <v>33</v>
      </c>
      <c r="H514" t="s">
        <v>57</v>
      </c>
      <c r="I514" t="s">
        <v>213</v>
      </c>
      <c r="J514" t="s">
        <v>34</v>
      </c>
      <c r="K514" t="s">
        <v>31</v>
      </c>
      <c r="L514" t="s">
        <v>35</v>
      </c>
      <c r="M514" t="s">
        <v>36</v>
      </c>
      <c r="N514" t="s">
        <v>68</v>
      </c>
      <c r="O514" t="s">
        <v>58</v>
      </c>
      <c r="P514">
        <v>273046</v>
      </c>
      <c r="Q514" t="s">
        <v>75</v>
      </c>
      <c r="R514" t="s">
        <v>76</v>
      </c>
      <c r="S514" t="s">
        <v>38</v>
      </c>
      <c r="T514">
        <v>0</v>
      </c>
      <c r="U514">
        <v>0.5</v>
      </c>
      <c r="V514" s="2">
        <v>2.0833333333333332E-2</v>
      </c>
      <c r="W514">
        <v>0</v>
      </c>
      <c r="AA514" t="s">
        <v>39</v>
      </c>
      <c r="AB514" t="s">
        <v>40</v>
      </c>
      <c r="AC514" t="s">
        <v>68</v>
      </c>
      <c r="AD514" t="s">
        <v>41</v>
      </c>
    </row>
    <row r="515" spans="1:30" hidden="1" x14ac:dyDescent="0.3">
      <c r="A515" s="1">
        <v>45492</v>
      </c>
      <c r="B515" t="s">
        <v>35</v>
      </c>
      <c r="C515" t="s">
        <v>30</v>
      </c>
      <c r="D515" t="s">
        <v>31</v>
      </c>
      <c r="E515" t="s">
        <v>74</v>
      </c>
      <c r="F515" t="s">
        <v>32</v>
      </c>
      <c r="G515" t="s">
        <v>33</v>
      </c>
      <c r="H515" t="s">
        <v>57</v>
      </c>
      <c r="I515" t="s">
        <v>213</v>
      </c>
      <c r="J515" t="s">
        <v>34</v>
      </c>
      <c r="K515" t="s">
        <v>31</v>
      </c>
      <c r="L515" t="s">
        <v>35</v>
      </c>
      <c r="M515" t="s">
        <v>36</v>
      </c>
      <c r="N515" t="s">
        <v>68</v>
      </c>
      <c r="O515" t="s">
        <v>58</v>
      </c>
      <c r="P515">
        <v>273587</v>
      </c>
      <c r="Q515" t="s">
        <v>75</v>
      </c>
      <c r="R515" t="s">
        <v>76</v>
      </c>
      <c r="S515" t="s">
        <v>38</v>
      </c>
      <c r="T515">
        <v>0</v>
      </c>
      <c r="U515">
        <v>0.25</v>
      </c>
      <c r="V515" s="2">
        <v>1.0416666666666666E-2</v>
      </c>
      <c r="W515">
        <v>0</v>
      </c>
      <c r="AA515" t="s">
        <v>39</v>
      </c>
      <c r="AB515" t="s">
        <v>40</v>
      </c>
      <c r="AC515" t="s">
        <v>68</v>
      </c>
      <c r="AD515" t="s">
        <v>41</v>
      </c>
    </row>
    <row r="516" spans="1:30" hidden="1" x14ac:dyDescent="0.3">
      <c r="A516" s="1">
        <v>45495</v>
      </c>
      <c r="B516" t="s">
        <v>35</v>
      </c>
      <c r="C516" t="s">
        <v>30</v>
      </c>
      <c r="D516" t="s">
        <v>31</v>
      </c>
      <c r="E516" t="s">
        <v>74</v>
      </c>
      <c r="F516" t="s">
        <v>32</v>
      </c>
      <c r="G516" t="s">
        <v>33</v>
      </c>
      <c r="H516" t="s">
        <v>57</v>
      </c>
      <c r="I516" t="s">
        <v>213</v>
      </c>
      <c r="J516" t="s">
        <v>34</v>
      </c>
      <c r="K516" t="s">
        <v>31</v>
      </c>
      <c r="L516" t="s">
        <v>35</v>
      </c>
      <c r="M516" t="s">
        <v>36</v>
      </c>
      <c r="N516" t="s">
        <v>68</v>
      </c>
      <c r="O516" t="s">
        <v>58</v>
      </c>
      <c r="P516">
        <v>274622</v>
      </c>
      <c r="Q516" t="s">
        <v>75</v>
      </c>
      <c r="R516" t="s">
        <v>76</v>
      </c>
      <c r="S516" t="s">
        <v>38</v>
      </c>
      <c r="T516">
        <v>0</v>
      </c>
      <c r="U516">
        <v>1</v>
      </c>
      <c r="V516" s="2">
        <v>4.1666666666666664E-2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hidden="1" x14ac:dyDescent="0.3">
      <c r="A517" s="1">
        <v>45496</v>
      </c>
      <c r="B517" t="s">
        <v>35</v>
      </c>
      <c r="C517" t="s">
        <v>30</v>
      </c>
      <c r="D517" t="s">
        <v>31</v>
      </c>
      <c r="E517" t="s">
        <v>74</v>
      </c>
      <c r="F517" t="s">
        <v>32</v>
      </c>
      <c r="G517" t="s">
        <v>33</v>
      </c>
      <c r="H517" t="s">
        <v>57</v>
      </c>
      <c r="I517" t="s">
        <v>213</v>
      </c>
      <c r="J517" t="s">
        <v>34</v>
      </c>
      <c r="K517" t="s">
        <v>31</v>
      </c>
      <c r="L517" t="s">
        <v>35</v>
      </c>
      <c r="M517" t="s">
        <v>36</v>
      </c>
      <c r="N517" t="s">
        <v>68</v>
      </c>
      <c r="O517" t="s">
        <v>58</v>
      </c>
      <c r="P517">
        <v>274614</v>
      </c>
      <c r="Q517" t="s">
        <v>75</v>
      </c>
      <c r="R517" t="s">
        <v>76</v>
      </c>
      <c r="S517" t="s">
        <v>38</v>
      </c>
      <c r="T517">
        <v>0</v>
      </c>
      <c r="U517">
        <v>0.5</v>
      </c>
      <c r="V517" s="2">
        <v>2.0833333333333332E-2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hidden="1" x14ac:dyDescent="0.3">
      <c r="A518" s="1">
        <v>45497</v>
      </c>
      <c r="B518" t="s">
        <v>35</v>
      </c>
      <c r="C518" t="s">
        <v>30</v>
      </c>
      <c r="D518" t="s">
        <v>31</v>
      </c>
      <c r="E518" t="s">
        <v>74</v>
      </c>
      <c r="F518" t="s">
        <v>32</v>
      </c>
      <c r="G518" t="s">
        <v>33</v>
      </c>
      <c r="H518" t="s">
        <v>57</v>
      </c>
      <c r="I518" t="s">
        <v>213</v>
      </c>
      <c r="J518" t="s">
        <v>34</v>
      </c>
      <c r="K518" t="s">
        <v>31</v>
      </c>
      <c r="L518" t="s">
        <v>35</v>
      </c>
      <c r="M518" t="s">
        <v>36</v>
      </c>
      <c r="N518" t="s">
        <v>68</v>
      </c>
      <c r="O518" t="s">
        <v>58</v>
      </c>
      <c r="P518">
        <v>275844</v>
      </c>
      <c r="Q518" t="s">
        <v>75</v>
      </c>
      <c r="R518" t="s">
        <v>76</v>
      </c>
      <c r="S518" t="s">
        <v>38</v>
      </c>
      <c r="T518">
        <v>0</v>
      </c>
      <c r="U518">
        <v>0.25</v>
      </c>
      <c r="V518" s="2">
        <v>1.0416666666666666E-2</v>
      </c>
      <c r="W518">
        <v>0</v>
      </c>
      <c r="AA518" t="s">
        <v>39</v>
      </c>
      <c r="AB518" t="s">
        <v>40</v>
      </c>
      <c r="AC518" t="s">
        <v>68</v>
      </c>
      <c r="AD518" t="s">
        <v>41</v>
      </c>
    </row>
    <row r="519" spans="1:30" hidden="1" x14ac:dyDescent="0.3">
      <c r="A519" s="1">
        <v>45498</v>
      </c>
      <c r="B519" t="s">
        <v>35</v>
      </c>
      <c r="C519" t="s">
        <v>30</v>
      </c>
      <c r="D519" t="s">
        <v>31</v>
      </c>
      <c r="E519" t="s">
        <v>74</v>
      </c>
      <c r="F519" t="s">
        <v>32</v>
      </c>
      <c r="G519" t="s">
        <v>33</v>
      </c>
      <c r="H519" t="s">
        <v>57</v>
      </c>
      <c r="I519" t="s">
        <v>213</v>
      </c>
      <c r="J519" t="s">
        <v>34</v>
      </c>
      <c r="K519" t="s">
        <v>31</v>
      </c>
      <c r="L519" t="s">
        <v>35</v>
      </c>
      <c r="M519" t="s">
        <v>36</v>
      </c>
      <c r="N519" t="s">
        <v>68</v>
      </c>
      <c r="O519" t="s">
        <v>58</v>
      </c>
      <c r="P519">
        <v>276232</v>
      </c>
      <c r="Q519" t="s">
        <v>75</v>
      </c>
      <c r="R519" t="s">
        <v>76</v>
      </c>
      <c r="S519" t="s">
        <v>38</v>
      </c>
      <c r="T519">
        <v>0</v>
      </c>
      <c r="U519">
        <v>0.5</v>
      </c>
      <c r="V519" s="2">
        <v>2.0833333333333332E-2</v>
      </c>
      <c r="W519">
        <v>0</v>
      </c>
      <c r="AA519" t="s">
        <v>39</v>
      </c>
      <c r="AB519" t="s">
        <v>40</v>
      </c>
      <c r="AC519" t="s">
        <v>68</v>
      </c>
      <c r="AD519" t="s">
        <v>41</v>
      </c>
    </row>
    <row r="520" spans="1:30" hidden="1" x14ac:dyDescent="0.3">
      <c r="A520" s="1">
        <v>45499</v>
      </c>
      <c r="B520" t="s">
        <v>35</v>
      </c>
      <c r="C520" t="s">
        <v>30</v>
      </c>
      <c r="D520" t="s">
        <v>31</v>
      </c>
      <c r="E520" t="s">
        <v>74</v>
      </c>
      <c r="F520" t="s">
        <v>32</v>
      </c>
      <c r="G520" t="s">
        <v>33</v>
      </c>
      <c r="H520" t="s">
        <v>57</v>
      </c>
      <c r="I520" t="s">
        <v>213</v>
      </c>
      <c r="J520" t="s">
        <v>34</v>
      </c>
      <c r="K520" t="s">
        <v>31</v>
      </c>
      <c r="L520" t="s">
        <v>35</v>
      </c>
      <c r="M520" t="s">
        <v>36</v>
      </c>
      <c r="N520" t="s">
        <v>68</v>
      </c>
      <c r="O520" t="s">
        <v>58</v>
      </c>
      <c r="P520">
        <v>277001</v>
      </c>
      <c r="Q520" t="s">
        <v>75</v>
      </c>
      <c r="R520" t="s">
        <v>76</v>
      </c>
      <c r="S520" t="s">
        <v>38</v>
      </c>
      <c r="T520">
        <v>0</v>
      </c>
      <c r="U520">
        <v>0.25</v>
      </c>
      <c r="V520" s="2">
        <v>1.0416666666666666E-2</v>
      </c>
      <c r="W520">
        <v>0</v>
      </c>
      <c r="AA520" t="s">
        <v>39</v>
      </c>
      <c r="AB520" t="s">
        <v>40</v>
      </c>
      <c r="AC520" t="s">
        <v>68</v>
      </c>
      <c r="AD520" t="s">
        <v>41</v>
      </c>
    </row>
    <row r="521" spans="1:30" hidden="1" x14ac:dyDescent="0.3">
      <c r="A521" s="1">
        <v>45502</v>
      </c>
      <c r="B521" t="s">
        <v>35</v>
      </c>
      <c r="C521" t="s">
        <v>30</v>
      </c>
      <c r="D521" t="s">
        <v>31</v>
      </c>
      <c r="E521" t="s">
        <v>74</v>
      </c>
      <c r="F521" t="s">
        <v>32</v>
      </c>
      <c r="G521" t="s">
        <v>33</v>
      </c>
      <c r="H521" t="s">
        <v>57</v>
      </c>
      <c r="I521" t="s">
        <v>213</v>
      </c>
      <c r="J521" t="s">
        <v>34</v>
      </c>
      <c r="K521" t="s">
        <v>31</v>
      </c>
      <c r="L521" t="s">
        <v>35</v>
      </c>
      <c r="M521" t="s">
        <v>36</v>
      </c>
      <c r="N521" t="s">
        <v>68</v>
      </c>
      <c r="O521" t="s">
        <v>58</v>
      </c>
      <c r="P521">
        <v>277747</v>
      </c>
      <c r="Q521" t="s">
        <v>75</v>
      </c>
      <c r="R521" t="s">
        <v>76</v>
      </c>
      <c r="S521" t="s">
        <v>38</v>
      </c>
      <c r="T521">
        <v>0</v>
      </c>
      <c r="U521">
        <v>0.25</v>
      </c>
      <c r="V521" s="2">
        <v>1.0416666666666666E-2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45503</v>
      </c>
      <c r="B522" t="s">
        <v>35</v>
      </c>
      <c r="C522" t="s">
        <v>30</v>
      </c>
      <c r="D522" t="s">
        <v>31</v>
      </c>
      <c r="E522" t="s">
        <v>74</v>
      </c>
      <c r="F522" t="s">
        <v>32</v>
      </c>
      <c r="G522" t="s">
        <v>33</v>
      </c>
      <c r="H522" t="s">
        <v>57</v>
      </c>
      <c r="I522" t="s">
        <v>213</v>
      </c>
      <c r="J522" t="s">
        <v>34</v>
      </c>
      <c r="K522" t="s">
        <v>31</v>
      </c>
      <c r="L522" t="s">
        <v>35</v>
      </c>
      <c r="M522" t="s">
        <v>36</v>
      </c>
      <c r="N522" t="s">
        <v>68</v>
      </c>
      <c r="O522" t="s">
        <v>58</v>
      </c>
      <c r="P522">
        <v>278239</v>
      </c>
      <c r="Q522" t="s">
        <v>75</v>
      </c>
      <c r="R522" t="s">
        <v>76</v>
      </c>
      <c r="S522" t="s">
        <v>38</v>
      </c>
      <c r="T522">
        <v>0</v>
      </c>
      <c r="U522">
        <v>0.25</v>
      </c>
      <c r="V522" s="2">
        <v>1.0416666666666666E-2</v>
      </c>
      <c r="W522">
        <v>0</v>
      </c>
      <c r="AA522" t="s">
        <v>39</v>
      </c>
      <c r="AB522" t="s">
        <v>40</v>
      </c>
      <c r="AC522" t="s">
        <v>68</v>
      </c>
      <c r="AD522" t="s">
        <v>41</v>
      </c>
    </row>
    <row r="523" spans="1:30" hidden="1" x14ac:dyDescent="0.3">
      <c r="A523" s="1">
        <v>45505</v>
      </c>
      <c r="B523" t="s">
        <v>35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213</v>
      </c>
      <c r="J523" t="s">
        <v>34</v>
      </c>
      <c r="K523" t="s">
        <v>31</v>
      </c>
      <c r="L523" t="s">
        <v>35</v>
      </c>
      <c r="M523" t="s">
        <v>36</v>
      </c>
      <c r="N523" t="s">
        <v>68</v>
      </c>
      <c r="O523" t="s">
        <v>58</v>
      </c>
      <c r="P523">
        <v>280271</v>
      </c>
      <c r="Q523" t="s">
        <v>75</v>
      </c>
      <c r="R523" t="s">
        <v>76</v>
      </c>
      <c r="S523" t="s">
        <v>38</v>
      </c>
      <c r="T523">
        <v>0</v>
      </c>
      <c r="U523">
        <v>0.5</v>
      </c>
      <c r="V523" s="2">
        <v>2.0833333333333332E-2</v>
      </c>
      <c r="W523">
        <v>0</v>
      </c>
      <c r="AA523" t="s">
        <v>39</v>
      </c>
      <c r="AB523" t="s">
        <v>40</v>
      </c>
      <c r="AC523" t="s">
        <v>68</v>
      </c>
      <c r="AD523" t="s">
        <v>41</v>
      </c>
    </row>
    <row r="524" spans="1:30" hidden="1" x14ac:dyDescent="0.3">
      <c r="A524" s="1">
        <v>45506</v>
      </c>
      <c r="B524" t="s">
        <v>35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213</v>
      </c>
      <c r="J524" t="s">
        <v>34</v>
      </c>
      <c r="K524" t="s">
        <v>31</v>
      </c>
      <c r="L524" t="s">
        <v>35</v>
      </c>
      <c r="M524" t="s">
        <v>36</v>
      </c>
      <c r="N524" t="s">
        <v>68</v>
      </c>
      <c r="O524" t="s">
        <v>58</v>
      </c>
      <c r="P524">
        <v>280788</v>
      </c>
      <c r="Q524" t="s">
        <v>75</v>
      </c>
      <c r="R524" t="s">
        <v>76</v>
      </c>
      <c r="S524" t="s">
        <v>38</v>
      </c>
      <c r="T524">
        <v>0</v>
      </c>
      <c r="U524">
        <v>0.5</v>
      </c>
      <c r="V524" s="2">
        <v>2.0833333333333332E-2</v>
      </c>
      <c r="W524">
        <v>0</v>
      </c>
      <c r="AA524" t="s">
        <v>39</v>
      </c>
      <c r="AB524" t="s">
        <v>40</v>
      </c>
      <c r="AC524" t="s">
        <v>68</v>
      </c>
      <c r="AD524" t="s">
        <v>41</v>
      </c>
    </row>
    <row r="525" spans="1:30" hidden="1" x14ac:dyDescent="0.3">
      <c r="A525" s="1">
        <v>45509</v>
      </c>
      <c r="B525" t="s">
        <v>35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213</v>
      </c>
      <c r="J525" t="s">
        <v>34</v>
      </c>
      <c r="K525" t="s">
        <v>31</v>
      </c>
      <c r="L525" t="s">
        <v>35</v>
      </c>
      <c r="M525" t="s">
        <v>36</v>
      </c>
      <c r="N525" t="s">
        <v>68</v>
      </c>
      <c r="O525" t="s">
        <v>58</v>
      </c>
      <c r="P525">
        <v>281281</v>
      </c>
      <c r="Q525" t="s">
        <v>75</v>
      </c>
      <c r="R525" t="s">
        <v>76</v>
      </c>
      <c r="S525" t="s">
        <v>38</v>
      </c>
      <c r="T525">
        <v>0</v>
      </c>
      <c r="U525">
        <v>0.25</v>
      </c>
      <c r="V525" s="2">
        <v>1.0416666666666666E-2</v>
      </c>
      <c r="W525">
        <v>0</v>
      </c>
      <c r="AA525" t="s">
        <v>39</v>
      </c>
      <c r="AB525" t="s">
        <v>40</v>
      </c>
      <c r="AC525" t="s">
        <v>68</v>
      </c>
      <c r="AD525" t="s">
        <v>41</v>
      </c>
    </row>
    <row r="526" spans="1:30" hidden="1" x14ac:dyDescent="0.3">
      <c r="A526" s="1">
        <v>45510</v>
      </c>
      <c r="B526" t="s">
        <v>35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213</v>
      </c>
      <c r="J526" t="s">
        <v>34</v>
      </c>
      <c r="K526" t="s">
        <v>31</v>
      </c>
      <c r="L526" t="s">
        <v>35</v>
      </c>
      <c r="M526" t="s">
        <v>36</v>
      </c>
      <c r="N526" t="s">
        <v>68</v>
      </c>
      <c r="O526" t="s">
        <v>58</v>
      </c>
      <c r="P526">
        <v>281588</v>
      </c>
      <c r="Q526" t="s">
        <v>75</v>
      </c>
      <c r="R526" t="s">
        <v>76</v>
      </c>
      <c r="S526" t="s">
        <v>38</v>
      </c>
      <c r="T526">
        <v>0</v>
      </c>
      <c r="U526">
        <v>0.25</v>
      </c>
      <c r="V526" s="2">
        <v>1.0416666666666666E-2</v>
      </c>
      <c r="W526">
        <v>0</v>
      </c>
      <c r="AA526" t="s">
        <v>39</v>
      </c>
      <c r="AB526" t="s">
        <v>40</v>
      </c>
      <c r="AC526" t="s">
        <v>68</v>
      </c>
      <c r="AD526" t="s">
        <v>41</v>
      </c>
    </row>
    <row r="527" spans="1:30" hidden="1" x14ac:dyDescent="0.3">
      <c r="A527" s="1">
        <v>45511</v>
      </c>
      <c r="B527" t="s">
        <v>35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213</v>
      </c>
      <c r="J527" t="s">
        <v>34</v>
      </c>
      <c r="K527" t="s">
        <v>31</v>
      </c>
      <c r="L527" t="s">
        <v>35</v>
      </c>
      <c r="M527" t="s">
        <v>36</v>
      </c>
      <c r="N527" t="s">
        <v>68</v>
      </c>
      <c r="O527" t="s">
        <v>58</v>
      </c>
      <c r="P527">
        <v>282188</v>
      </c>
      <c r="Q527" t="s">
        <v>75</v>
      </c>
      <c r="R527" t="s">
        <v>76</v>
      </c>
      <c r="S527" t="s">
        <v>38</v>
      </c>
      <c r="T527">
        <v>0</v>
      </c>
      <c r="U527">
        <v>0.75</v>
      </c>
      <c r="V527" s="2">
        <v>3.125E-2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45512</v>
      </c>
      <c r="B528" t="s">
        <v>35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213</v>
      </c>
      <c r="J528" t="s">
        <v>34</v>
      </c>
      <c r="K528" t="s">
        <v>31</v>
      </c>
      <c r="L528" t="s">
        <v>35</v>
      </c>
      <c r="M528" t="s">
        <v>36</v>
      </c>
      <c r="N528" t="s">
        <v>68</v>
      </c>
      <c r="O528" t="s">
        <v>58</v>
      </c>
      <c r="P528">
        <v>282608</v>
      </c>
      <c r="Q528" t="s">
        <v>75</v>
      </c>
      <c r="R528" t="s">
        <v>76</v>
      </c>
      <c r="S528" t="s">
        <v>38</v>
      </c>
      <c r="T528">
        <v>0</v>
      </c>
      <c r="U528">
        <v>0.5</v>
      </c>
      <c r="V528" s="2">
        <v>2.0833333333333332E-2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45516</v>
      </c>
      <c r="B529" t="s">
        <v>35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213</v>
      </c>
      <c r="J529" t="s">
        <v>34</v>
      </c>
      <c r="K529" t="s">
        <v>31</v>
      </c>
      <c r="L529" t="s">
        <v>35</v>
      </c>
      <c r="M529" t="s">
        <v>36</v>
      </c>
      <c r="N529" t="s">
        <v>68</v>
      </c>
      <c r="O529" t="s">
        <v>58</v>
      </c>
      <c r="P529">
        <v>283534</v>
      </c>
      <c r="Q529" t="s">
        <v>75</v>
      </c>
      <c r="R529" t="s">
        <v>76</v>
      </c>
      <c r="S529" t="s">
        <v>38</v>
      </c>
      <c r="T529">
        <v>0</v>
      </c>
      <c r="U529">
        <v>0.5</v>
      </c>
      <c r="V529" s="2">
        <v>2.0833333333333332E-2</v>
      </c>
      <c r="W529">
        <v>0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45517</v>
      </c>
      <c r="B530" t="s">
        <v>35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213</v>
      </c>
      <c r="J530" t="s">
        <v>34</v>
      </c>
      <c r="K530" t="s">
        <v>31</v>
      </c>
      <c r="L530" t="s">
        <v>35</v>
      </c>
      <c r="M530" t="s">
        <v>36</v>
      </c>
      <c r="N530" t="s">
        <v>68</v>
      </c>
      <c r="O530" t="s">
        <v>58</v>
      </c>
      <c r="P530">
        <v>284261</v>
      </c>
      <c r="Q530" t="s">
        <v>75</v>
      </c>
      <c r="R530" t="s">
        <v>76</v>
      </c>
      <c r="S530" t="s">
        <v>38</v>
      </c>
      <c r="T530">
        <v>0</v>
      </c>
      <c r="U530">
        <v>0.25</v>
      </c>
      <c r="V530" s="2">
        <v>1.0416666666666666E-2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45518</v>
      </c>
      <c r="B531" t="s">
        <v>35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213</v>
      </c>
      <c r="J531" t="s">
        <v>34</v>
      </c>
      <c r="K531" t="s">
        <v>31</v>
      </c>
      <c r="L531" t="s">
        <v>35</v>
      </c>
      <c r="M531" t="s">
        <v>36</v>
      </c>
      <c r="N531" t="s">
        <v>68</v>
      </c>
      <c r="O531" t="s">
        <v>58</v>
      </c>
      <c r="P531">
        <v>284630</v>
      </c>
      <c r="Q531" t="s">
        <v>75</v>
      </c>
      <c r="R531" t="s">
        <v>76</v>
      </c>
      <c r="S531" t="s">
        <v>38</v>
      </c>
      <c r="T531">
        <v>0</v>
      </c>
      <c r="U531">
        <v>0.25</v>
      </c>
      <c r="V531" s="2">
        <v>1.0416666666666666E-2</v>
      </c>
      <c r="W531">
        <v>0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45519</v>
      </c>
      <c r="B532" t="s">
        <v>35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213</v>
      </c>
      <c r="J532" t="s">
        <v>34</v>
      </c>
      <c r="K532" t="s">
        <v>31</v>
      </c>
      <c r="L532" t="s">
        <v>35</v>
      </c>
      <c r="M532" t="s">
        <v>36</v>
      </c>
      <c r="N532" t="s">
        <v>68</v>
      </c>
      <c r="O532" t="s">
        <v>58</v>
      </c>
      <c r="P532">
        <v>285228</v>
      </c>
      <c r="Q532" t="s">
        <v>75</v>
      </c>
      <c r="R532" t="s">
        <v>76</v>
      </c>
      <c r="S532" t="s">
        <v>38</v>
      </c>
      <c r="T532">
        <v>0</v>
      </c>
      <c r="U532">
        <v>0.25</v>
      </c>
      <c r="V532" s="2">
        <v>1.0416666666666666E-2</v>
      </c>
      <c r="W532">
        <v>0</v>
      </c>
      <c r="AA532" t="s">
        <v>39</v>
      </c>
      <c r="AB532" t="s">
        <v>40</v>
      </c>
      <c r="AC532" t="s">
        <v>68</v>
      </c>
      <c r="AD532" t="s">
        <v>41</v>
      </c>
    </row>
    <row r="533" spans="1:30" hidden="1" x14ac:dyDescent="0.3">
      <c r="A533" s="1">
        <v>45520</v>
      </c>
      <c r="B533" t="s">
        <v>35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213</v>
      </c>
      <c r="J533" t="s">
        <v>34</v>
      </c>
      <c r="K533" t="s">
        <v>31</v>
      </c>
      <c r="L533" t="s">
        <v>35</v>
      </c>
      <c r="M533" t="s">
        <v>36</v>
      </c>
      <c r="N533" t="s">
        <v>68</v>
      </c>
      <c r="O533" t="s">
        <v>58</v>
      </c>
      <c r="P533">
        <v>285651</v>
      </c>
      <c r="Q533" t="s">
        <v>75</v>
      </c>
      <c r="R533" t="s">
        <v>76</v>
      </c>
      <c r="S533" t="s">
        <v>38</v>
      </c>
      <c r="T533">
        <v>0</v>
      </c>
      <c r="U533">
        <v>0.25</v>
      </c>
      <c r="V533" s="2">
        <v>1.0416666666666666E-2</v>
      </c>
      <c r="W533">
        <v>0</v>
      </c>
      <c r="AA533" t="s">
        <v>39</v>
      </c>
      <c r="AB533" t="s">
        <v>40</v>
      </c>
      <c r="AC533" t="s">
        <v>68</v>
      </c>
      <c r="AD533" t="s">
        <v>41</v>
      </c>
    </row>
    <row r="534" spans="1:30" hidden="1" x14ac:dyDescent="0.3">
      <c r="A534" s="1">
        <v>45523</v>
      </c>
      <c r="B534" t="s">
        <v>35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213</v>
      </c>
      <c r="J534" t="s">
        <v>34</v>
      </c>
      <c r="K534" t="s">
        <v>31</v>
      </c>
      <c r="L534" t="s">
        <v>35</v>
      </c>
      <c r="M534" t="s">
        <v>36</v>
      </c>
      <c r="N534" t="s">
        <v>68</v>
      </c>
      <c r="O534" t="s">
        <v>58</v>
      </c>
      <c r="P534">
        <v>286552</v>
      </c>
      <c r="Q534" t="s">
        <v>75</v>
      </c>
      <c r="R534" t="s">
        <v>76</v>
      </c>
      <c r="S534" t="s">
        <v>38</v>
      </c>
      <c r="T534">
        <v>0</v>
      </c>
      <c r="U534">
        <v>0.25</v>
      </c>
      <c r="V534" s="2">
        <v>1.0416666666666666E-2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hidden="1" x14ac:dyDescent="0.3">
      <c r="A535" s="1">
        <v>45524</v>
      </c>
      <c r="B535" t="s">
        <v>35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213</v>
      </c>
      <c r="J535" t="s">
        <v>34</v>
      </c>
      <c r="K535" t="s">
        <v>31</v>
      </c>
      <c r="L535" t="s">
        <v>35</v>
      </c>
      <c r="M535" t="s">
        <v>36</v>
      </c>
      <c r="N535" t="s">
        <v>68</v>
      </c>
      <c r="O535" t="s">
        <v>58</v>
      </c>
      <c r="P535">
        <v>287103</v>
      </c>
      <c r="Q535" t="s">
        <v>75</v>
      </c>
      <c r="R535" t="s">
        <v>76</v>
      </c>
      <c r="S535" t="s">
        <v>38</v>
      </c>
      <c r="T535">
        <v>0</v>
      </c>
      <c r="U535">
        <v>0.5</v>
      </c>
      <c r="V535" s="2">
        <v>2.0833333333333332E-2</v>
      </c>
      <c r="W535">
        <v>0</v>
      </c>
      <c r="AA535" t="s">
        <v>39</v>
      </c>
      <c r="AB535" t="s">
        <v>40</v>
      </c>
      <c r="AC535" t="s">
        <v>68</v>
      </c>
      <c r="AD535" t="s">
        <v>41</v>
      </c>
    </row>
    <row r="536" spans="1:30" hidden="1" x14ac:dyDescent="0.3">
      <c r="A536" s="1">
        <v>45525</v>
      </c>
      <c r="B536" t="s">
        <v>35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213</v>
      </c>
      <c r="J536" t="s">
        <v>34</v>
      </c>
      <c r="K536" t="s">
        <v>31</v>
      </c>
      <c r="L536" t="s">
        <v>35</v>
      </c>
      <c r="M536" t="s">
        <v>36</v>
      </c>
      <c r="N536" t="s">
        <v>68</v>
      </c>
      <c r="O536" t="s">
        <v>58</v>
      </c>
      <c r="P536">
        <v>287600</v>
      </c>
      <c r="Q536" t="s">
        <v>75</v>
      </c>
      <c r="R536" t="s">
        <v>76</v>
      </c>
      <c r="S536" t="s">
        <v>38</v>
      </c>
      <c r="T536">
        <v>0</v>
      </c>
      <c r="U536">
        <v>0.5</v>
      </c>
      <c r="V536" s="2">
        <v>2.0833333333333332E-2</v>
      </c>
      <c r="W536">
        <v>0</v>
      </c>
      <c r="AA536" t="s">
        <v>39</v>
      </c>
      <c r="AB536" t="s">
        <v>40</v>
      </c>
      <c r="AC536" t="s">
        <v>68</v>
      </c>
      <c r="AD536" t="s">
        <v>41</v>
      </c>
    </row>
    <row r="537" spans="1:30" hidden="1" x14ac:dyDescent="0.3">
      <c r="A537" s="1">
        <v>45526</v>
      </c>
      <c r="B537" t="s">
        <v>35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213</v>
      </c>
      <c r="J537" t="s">
        <v>34</v>
      </c>
      <c r="K537" t="s">
        <v>31</v>
      </c>
      <c r="L537" t="s">
        <v>35</v>
      </c>
      <c r="M537" t="s">
        <v>36</v>
      </c>
      <c r="N537" t="s">
        <v>68</v>
      </c>
      <c r="O537" t="s">
        <v>58</v>
      </c>
      <c r="P537">
        <v>288129</v>
      </c>
      <c r="Q537" t="s">
        <v>75</v>
      </c>
      <c r="R537" t="s">
        <v>76</v>
      </c>
      <c r="S537" t="s">
        <v>38</v>
      </c>
      <c r="T537">
        <v>0</v>
      </c>
      <c r="U537">
        <v>0.25</v>
      </c>
      <c r="V537" s="2">
        <v>1.0416666666666666E-2</v>
      </c>
      <c r="W537">
        <v>0</v>
      </c>
      <c r="AA537" t="s">
        <v>39</v>
      </c>
      <c r="AB537" t="s">
        <v>40</v>
      </c>
      <c r="AC537" t="s">
        <v>68</v>
      </c>
      <c r="AD537" t="s">
        <v>41</v>
      </c>
    </row>
    <row r="538" spans="1:30" hidden="1" x14ac:dyDescent="0.3">
      <c r="A538" s="1">
        <v>45527</v>
      </c>
      <c r="B538" t="s">
        <v>35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213</v>
      </c>
      <c r="J538" t="s">
        <v>34</v>
      </c>
      <c r="K538" t="s">
        <v>31</v>
      </c>
      <c r="L538" t="s">
        <v>35</v>
      </c>
      <c r="M538" t="s">
        <v>36</v>
      </c>
      <c r="N538" t="s">
        <v>68</v>
      </c>
      <c r="O538" t="s">
        <v>58</v>
      </c>
      <c r="P538">
        <v>288346</v>
      </c>
      <c r="Q538" t="s">
        <v>75</v>
      </c>
      <c r="R538" t="s">
        <v>76</v>
      </c>
      <c r="S538" t="s">
        <v>38</v>
      </c>
      <c r="T538">
        <v>0</v>
      </c>
      <c r="U538">
        <v>0.5</v>
      </c>
      <c r="V538" s="2">
        <v>2.0833333333333332E-2</v>
      </c>
      <c r="W538">
        <v>0</v>
      </c>
      <c r="AA538" t="s">
        <v>39</v>
      </c>
      <c r="AB538" t="s">
        <v>40</v>
      </c>
      <c r="AC538" t="s">
        <v>68</v>
      </c>
      <c r="AD538" t="s">
        <v>41</v>
      </c>
    </row>
    <row r="539" spans="1:30" hidden="1" x14ac:dyDescent="0.3">
      <c r="A539" s="1">
        <v>45531</v>
      </c>
      <c r="B539" t="s">
        <v>35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213</v>
      </c>
      <c r="J539" t="s">
        <v>34</v>
      </c>
      <c r="K539" t="s">
        <v>31</v>
      </c>
      <c r="L539" t="s">
        <v>35</v>
      </c>
      <c r="M539" t="s">
        <v>36</v>
      </c>
      <c r="N539" t="s">
        <v>68</v>
      </c>
      <c r="O539" t="s">
        <v>58</v>
      </c>
      <c r="P539">
        <v>289797</v>
      </c>
      <c r="Q539" t="s">
        <v>75</v>
      </c>
      <c r="R539" t="s">
        <v>76</v>
      </c>
      <c r="S539" t="s">
        <v>38</v>
      </c>
      <c r="T539">
        <v>0</v>
      </c>
      <c r="U539">
        <v>1.25</v>
      </c>
      <c r="V539" s="2">
        <v>5.2083333333333336E-2</v>
      </c>
      <c r="W539">
        <v>0</v>
      </c>
      <c r="AA539" t="s">
        <v>39</v>
      </c>
      <c r="AB539" t="s">
        <v>40</v>
      </c>
      <c r="AC539" t="s">
        <v>68</v>
      </c>
      <c r="AD539" t="s">
        <v>41</v>
      </c>
    </row>
    <row r="540" spans="1:30" hidden="1" x14ac:dyDescent="0.3">
      <c r="A540" s="1">
        <v>45532</v>
      </c>
      <c r="B540" t="s">
        <v>35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213</v>
      </c>
      <c r="J540" t="s">
        <v>34</v>
      </c>
      <c r="K540" t="s">
        <v>31</v>
      </c>
      <c r="L540" t="s">
        <v>35</v>
      </c>
      <c r="M540" t="s">
        <v>36</v>
      </c>
      <c r="N540" t="s">
        <v>68</v>
      </c>
      <c r="O540" t="s">
        <v>58</v>
      </c>
      <c r="P540">
        <v>290497</v>
      </c>
      <c r="Q540" t="s">
        <v>75</v>
      </c>
      <c r="R540" t="s">
        <v>76</v>
      </c>
      <c r="S540" t="s">
        <v>38</v>
      </c>
      <c r="T540">
        <v>0</v>
      </c>
      <c r="U540">
        <v>1.5</v>
      </c>
      <c r="V540" s="2">
        <v>6.25E-2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45533</v>
      </c>
      <c r="B541" t="s">
        <v>35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213</v>
      </c>
      <c r="J541" t="s">
        <v>34</v>
      </c>
      <c r="K541" t="s">
        <v>31</v>
      </c>
      <c r="L541" t="s">
        <v>35</v>
      </c>
      <c r="M541" t="s">
        <v>36</v>
      </c>
      <c r="N541" t="s">
        <v>68</v>
      </c>
      <c r="O541" t="s">
        <v>58</v>
      </c>
      <c r="P541">
        <v>291434</v>
      </c>
      <c r="Q541" t="s">
        <v>75</v>
      </c>
      <c r="R541" t="s">
        <v>76</v>
      </c>
      <c r="S541" t="s">
        <v>38</v>
      </c>
      <c r="T541">
        <v>0</v>
      </c>
      <c r="U541">
        <v>1</v>
      </c>
      <c r="V541" s="2">
        <v>4.1666666666666664E-2</v>
      </c>
      <c r="W541">
        <v>0</v>
      </c>
      <c r="AA541" t="s">
        <v>39</v>
      </c>
      <c r="AB541" t="s">
        <v>40</v>
      </c>
      <c r="AC541" t="s">
        <v>68</v>
      </c>
      <c r="AD541" t="s">
        <v>41</v>
      </c>
    </row>
    <row r="542" spans="1:30" hidden="1" x14ac:dyDescent="0.3">
      <c r="A542" s="1">
        <v>45534</v>
      </c>
      <c r="B542" t="s">
        <v>35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213</v>
      </c>
      <c r="J542" t="s">
        <v>34</v>
      </c>
      <c r="K542" t="s">
        <v>31</v>
      </c>
      <c r="L542" t="s">
        <v>35</v>
      </c>
      <c r="M542" t="s">
        <v>36</v>
      </c>
      <c r="N542" t="s">
        <v>68</v>
      </c>
      <c r="O542" t="s">
        <v>58</v>
      </c>
      <c r="P542">
        <v>292130</v>
      </c>
      <c r="Q542" t="s">
        <v>75</v>
      </c>
      <c r="R542" t="s">
        <v>76</v>
      </c>
      <c r="S542" t="s">
        <v>38</v>
      </c>
      <c r="T542">
        <v>0</v>
      </c>
      <c r="U542">
        <v>0.25</v>
      </c>
      <c r="V542" s="2">
        <v>1.0416666666666666E-2</v>
      </c>
      <c r="W542">
        <v>0</v>
      </c>
      <c r="AA542" t="s">
        <v>39</v>
      </c>
      <c r="AB542" t="s">
        <v>40</v>
      </c>
      <c r="AC542" t="s">
        <v>68</v>
      </c>
      <c r="AD542" t="s">
        <v>41</v>
      </c>
    </row>
    <row r="543" spans="1:30" hidden="1" x14ac:dyDescent="0.3">
      <c r="A543" s="1">
        <v>45537</v>
      </c>
      <c r="B543" t="s">
        <v>35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213</v>
      </c>
      <c r="J543" t="s">
        <v>34</v>
      </c>
      <c r="K543" t="s">
        <v>31</v>
      </c>
      <c r="L543" t="s">
        <v>35</v>
      </c>
      <c r="M543" t="s">
        <v>36</v>
      </c>
      <c r="N543" t="s">
        <v>68</v>
      </c>
      <c r="O543" t="s">
        <v>58</v>
      </c>
      <c r="P543">
        <v>293035</v>
      </c>
      <c r="Q543" t="s">
        <v>75</v>
      </c>
      <c r="R543" t="s">
        <v>76</v>
      </c>
      <c r="S543" t="s">
        <v>38</v>
      </c>
      <c r="T543">
        <v>0</v>
      </c>
      <c r="U543">
        <v>0.5</v>
      </c>
      <c r="V543" s="2">
        <v>2.0833333333333332E-2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45538</v>
      </c>
      <c r="B544" t="s">
        <v>35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213</v>
      </c>
      <c r="J544" t="s">
        <v>34</v>
      </c>
      <c r="K544" t="s">
        <v>31</v>
      </c>
      <c r="L544" t="s">
        <v>35</v>
      </c>
      <c r="M544" t="s">
        <v>36</v>
      </c>
      <c r="N544" t="s">
        <v>68</v>
      </c>
      <c r="O544" t="s">
        <v>58</v>
      </c>
      <c r="P544">
        <v>293396</v>
      </c>
      <c r="Q544" t="s">
        <v>75</v>
      </c>
      <c r="R544" t="s">
        <v>76</v>
      </c>
      <c r="S544" t="s">
        <v>38</v>
      </c>
      <c r="T544">
        <v>0</v>
      </c>
      <c r="U544">
        <v>0.5</v>
      </c>
      <c r="V544" s="2">
        <v>2.0833333333333332E-2</v>
      </c>
      <c r="W544">
        <v>0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45539</v>
      </c>
      <c r="B545" t="s">
        <v>35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213</v>
      </c>
      <c r="J545" t="s">
        <v>34</v>
      </c>
      <c r="K545" t="s">
        <v>31</v>
      </c>
      <c r="L545" t="s">
        <v>35</v>
      </c>
      <c r="M545" t="s">
        <v>36</v>
      </c>
      <c r="N545" t="s">
        <v>68</v>
      </c>
      <c r="O545" t="s">
        <v>58</v>
      </c>
      <c r="P545">
        <v>293823</v>
      </c>
      <c r="Q545" t="s">
        <v>75</v>
      </c>
      <c r="R545" t="s">
        <v>76</v>
      </c>
      <c r="S545" t="s">
        <v>38</v>
      </c>
      <c r="T545">
        <v>0</v>
      </c>
      <c r="U545">
        <v>0.5</v>
      </c>
      <c r="V545" s="2">
        <v>2.0833333333333332E-2</v>
      </c>
      <c r="W545">
        <v>0</v>
      </c>
      <c r="AA545" t="s">
        <v>39</v>
      </c>
      <c r="AB545" t="s">
        <v>40</v>
      </c>
      <c r="AC545" t="s">
        <v>68</v>
      </c>
      <c r="AD545" t="s">
        <v>41</v>
      </c>
    </row>
    <row r="546" spans="1:30" hidden="1" x14ac:dyDescent="0.3">
      <c r="A546" s="1">
        <v>45540</v>
      </c>
      <c r="B546" t="s">
        <v>35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213</v>
      </c>
      <c r="J546" t="s">
        <v>34</v>
      </c>
      <c r="K546" t="s">
        <v>31</v>
      </c>
      <c r="L546" t="s">
        <v>35</v>
      </c>
      <c r="M546" t="s">
        <v>36</v>
      </c>
      <c r="N546" t="s">
        <v>68</v>
      </c>
      <c r="O546" t="s">
        <v>58</v>
      </c>
      <c r="P546">
        <v>294433</v>
      </c>
      <c r="Q546" t="s">
        <v>75</v>
      </c>
      <c r="R546" t="s">
        <v>76</v>
      </c>
      <c r="S546" t="s">
        <v>38</v>
      </c>
      <c r="T546">
        <v>0</v>
      </c>
      <c r="U546">
        <v>0.5</v>
      </c>
      <c r="V546" s="2">
        <v>2.0833333333333332E-2</v>
      </c>
      <c r="W546">
        <v>0</v>
      </c>
      <c r="AA546" t="s">
        <v>39</v>
      </c>
      <c r="AB546" t="s">
        <v>40</v>
      </c>
      <c r="AC546" t="s">
        <v>68</v>
      </c>
      <c r="AD546" t="s">
        <v>41</v>
      </c>
    </row>
    <row r="547" spans="1:30" hidden="1" x14ac:dyDescent="0.3">
      <c r="A547" s="1">
        <v>45541</v>
      </c>
      <c r="B547" t="s">
        <v>35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213</v>
      </c>
      <c r="J547" t="s">
        <v>34</v>
      </c>
      <c r="K547" t="s">
        <v>31</v>
      </c>
      <c r="L547" t="s">
        <v>35</v>
      </c>
      <c r="M547" t="s">
        <v>36</v>
      </c>
      <c r="N547" t="s">
        <v>68</v>
      </c>
      <c r="O547" t="s">
        <v>58</v>
      </c>
      <c r="P547">
        <v>294610</v>
      </c>
      <c r="Q547" t="s">
        <v>75</v>
      </c>
      <c r="R547" t="s">
        <v>76</v>
      </c>
      <c r="S547" t="s">
        <v>38</v>
      </c>
      <c r="T547">
        <v>0</v>
      </c>
      <c r="U547">
        <v>0.5</v>
      </c>
      <c r="V547" s="2">
        <v>2.0833333333333332E-2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hidden="1" x14ac:dyDescent="0.3">
      <c r="A548" s="1">
        <v>45544</v>
      </c>
      <c r="B548" t="s">
        <v>35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213</v>
      </c>
      <c r="J548" t="s">
        <v>34</v>
      </c>
      <c r="K548" t="s">
        <v>31</v>
      </c>
      <c r="L548" t="s">
        <v>35</v>
      </c>
      <c r="M548" t="s">
        <v>36</v>
      </c>
      <c r="N548" t="s">
        <v>68</v>
      </c>
      <c r="O548" t="s">
        <v>58</v>
      </c>
      <c r="P548">
        <v>295404</v>
      </c>
      <c r="Q548" t="s">
        <v>75</v>
      </c>
      <c r="R548" t="s">
        <v>76</v>
      </c>
      <c r="S548" t="s">
        <v>38</v>
      </c>
      <c r="T548">
        <v>0</v>
      </c>
      <c r="U548">
        <v>0.75</v>
      </c>
      <c r="V548" s="2">
        <v>3.125E-2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hidden="1" x14ac:dyDescent="0.3">
      <c r="A549" s="1">
        <v>45545</v>
      </c>
      <c r="B549" t="s">
        <v>35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213</v>
      </c>
      <c r="J549" t="s">
        <v>34</v>
      </c>
      <c r="K549" t="s">
        <v>31</v>
      </c>
      <c r="L549" t="s">
        <v>35</v>
      </c>
      <c r="M549" t="s">
        <v>36</v>
      </c>
      <c r="N549" t="s">
        <v>68</v>
      </c>
      <c r="O549" t="s">
        <v>58</v>
      </c>
      <c r="P549">
        <v>295847</v>
      </c>
      <c r="Q549" t="s">
        <v>75</v>
      </c>
      <c r="R549" t="s">
        <v>76</v>
      </c>
      <c r="S549" t="s">
        <v>38</v>
      </c>
      <c r="T549">
        <v>0</v>
      </c>
      <c r="U549">
        <v>0.5</v>
      </c>
      <c r="V549" s="2">
        <v>2.0833333333333332E-2</v>
      </c>
      <c r="W549">
        <v>0</v>
      </c>
      <c r="AA549" t="s">
        <v>39</v>
      </c>
      <c r="AB549" t="s">
        <v>40</v>
      </c>
      <c r="AC549" t="s">
        <v>68</v>
      </c>
      <c r="AD549" t="s">
        <v>41</v>
      </c>
    </row>
    <row r="550" spans="1:30" hidden="1" x14ac:dyDescent="0.3">
      <c r="A550" s="1">
        <v>45547</v>
      </c>
      <c r="B550" t="s">
        <v>35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213</v>
      </c>
      <c r="J550" t="s">
        <v>34</v>
      </c>
      <c r="K550" t="s">
        <v>31</v>
      </c>
      <c r="L550" t="s">
        <v>35</v>
      </c>
      <c r="M550" t="s">
        <v>36</v>
      </c>
      <c r="N550" t="s">
        <v>68</v>
      </c>
      <c r="O550" t="s">
        <v>58</v>
      </c>
      <c r="P550">
        <v>297015</v>
      </c>
      <c r="Q550" t="s">
        <v>75</v>
      </c>
      <c r="R550" t="s">
        <v>76</v>
      </c>
      <c r="S550" t="s">
        <v>38</v>
      </c>
      <c r="T550">
        <v>0</v>
      </c>
      <c r="U550">
        <v>0.25</v>
      </c>
      <c r="V550" s="2">
        <v>1.0416666666666666E-2</v>
      </c>
      <c r="W550">
        <v>0</v>
      </c>
      <c r="AA550" t="s">
        <v>39</v>
      </c>
      <c r="AB550" t="s">
        <v>40</v>
      </c>
      <c r="AC550" t="s">
        <v>68</v>
      </c>
      <c r="AD550" t="s">
        <v>41</v>
      </c>
    </row>
    <row r="551" spans="1:30" hidden="1" x14ac:dyDescent="0.3">
      <c r="A551" s="1">
        <v>45548</v>
      </c>
      <c r="B551" t="s">
        <v>35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213</v>
      </c>
      <c r="J551" t="s">
        <v>34</v>
      </c>
      <c r="K551" t="s">
        <v>31</v>
      </c>
      <c r="L551" t="s">
        <v>35</v>
      </c>
      <c r="M551" t="s">
        <v>36</v>
      </c>
      <c r="N551" t="s">
        <v>68</v>
      </c>
      <c r="O551" t="s">
        <v>58</v>
      </c>
      <c r="P551">
        <v>297293</v>
      </c>
      <c r="Q551" t="s">
        <v>75</v>
      </c>
      <c r="R551" t="s">
        <v>76</v>
      </c>
      <c r="S551" t="s">
        <v>38</v>
      </c>
      <c r="T551">
        <v>0</v>
      </c>
      <c r="U551">
        <v>0.25</v>
      </c>
      <c r="V551" s="2">
        <v>1.0416666666666666E-2</v>
      </c>
      <c r="W551">
        <v>0</v>
      </c>
      <c r="AA551" t="s">
        <v>39</v>
      </c>
      <c r="AB551" t="s">
        <v>40</v>
      </c>
      <c r="AC551" t="s">
        <v>68</v>
      </c>
      <c r="AD551" t="s">
        <v>41</v>
      </c>
    </row>
    <row r="552" spans="1:30" hidden="1" x14ac:dyDescent="0.3">
      <c r="A552" s="1">
        <v>45552</v>
      </c>
      <c r="B552" t="s">
        <v>35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213</v>
      </c>
      <c r="J552" t="s">
        <v>34</v>
      </c>
      <c r="K552" t="s">
        <v>31</v>
      </c>
      <c r="L552" t="s">
        <v>35</v>
      </c>
      <c r="M552" t="s">
        <v>36</v>
      </c>
      <c r="N552" t="s">
        <v>68</v>
      </c>
      <c r="O552" t="s">
        <v>58</v>
      </c>
      <c r="P552">
        <v>298906</v>
      </c>
      <c r="Q552" t="s">
        <v>75</v>
      </c>
      <c r="R552" t="s">
        <v>76</v>
      </c>
      <c r="S552" t="s">
        <v>38</v>
      </c>
      <c r="T552">
        <v>0</v>
      </c>
      <c r="U552">
        <v>0.25</v>
      </c>
      <c r="V552" s="2">
        <v>1.0416666666666666E-2</v>
      </c>
      <c r="W552">
        <v>0</v>
      </c>
      <c r="AA552" t="s">
        <v>39</v>
      </c>
      <c r="AB552" t="s">
        <v>40</v>
      </c>
      <c r="AC552" t="s">
        <v>68</v>
      </c>
      <c r="AD552" t="s">
        <v>41</v>
      </c>
    </row>
    <row r="553" spans="1:30" hidden="1" x14ac:dyDescent="0.3">
      <c r="A553" s="1">
        <v>45553</v>
      </c>
      <c r="B553" t="s">
        <v>35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213</v>
      </c>
      <c r="J553" t="s">
        <v>34</v>
      </c>
      <c r="K553" t="s">
        <v>31</v>
      </c>
      <c r="L553" t="s">
        <v>35</v>
      </c>
      <c r="M553" t="s">
        <v>36</v>
      </c>
      <c r="N553" t="s">
        <v>68</v>
      </c>
      <c r="O553" t="s">
        <v>58</v>
      </c>
      <c r="P553">
        <v>299341</v>
      </c>
      <c r="Q553" t="s">
        <v>75</v>
      </c>
      <c r="R553" t="s">
        <v>76</v>
      </c>
      <c r="S553" t="s">
        <v>38</v>
      </c>
      <c r="T553">
        <v>0</v>
      </c>
      <c r="U553">
        <v>0.5</v>
      </c>
      <c r="V553" s="2">
        <v>2.0833333333333332E-2</v>
      </c>
      <c r="W553">
        <v>0</v>
      </c>
      <c r="AA553" t="s">
        <v>39</v>
      </c>
      <c r="AB553" t="s">
        <v>40</v>
      </c>
      <c r="AC553" t="s">
        <v>68</v>
      </c>
      <c r="AD553" t="s">
        <v>41</v>
      </c>
    </row>
    <row r="554" spans="1:30" hidden="1" x14ac:dyDescent="0.3">
      <c r="A554" s="1">
        <v>45554</v>
      </c>
      <c r="B554" t="s">
        <v>35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213</v>
      </c>
      <c r="J554" t="s">
        <v>34</v>
      </c>
      <c r="K554" t="s">
        <v>31</v>
      </c>
      <c r="L554" t="s">
        <v>35</v>
      </c>
      <c r="M554" t="s">
        <v>36</v>
      </c>
      <c r="N554" t="s">
        <v>68</v>
      </c>
      <c r="O554" t="s">
        <v>58</v>
      </c>
      <c r="P554">
        <v>299697</v>
      </c>
      <c r="Q554" t="s">
        <v>75</v>
      </c>
      <c r="R554" t="s">
        <v>76</v>
      </c>
      <c r="S554" t="s">
        <v>38</v>
      </c>
      <c r="T554">
        <v>0</v>
      </c>
      <c r="U554">
        <v>0.25</v>
      </c>
      <c r="V554" s="2">
        <v>1.0416666666666666E-2</v>
      </c>
      <c r="W554">
        <v>0</v>
      </c>
      <c r="AA554" t="s">
        <v>39</v>
      </c>
      <c r="AB554" t="s">
        <v>40</v>
      </c>
      <c r="AC554" t="s">
        <v>68</v>
      </c>
      <c r="AD554" t="s">
        <v>41</v>
      </c>
    </row>
    <row r="555" spans="1:30" hidden="1" x14ac:dyDescent="0.3">
      <c r="A555" s="1">
        <v>45555</v>
      </c>
      <c r="B555" t="s">
        <v>35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213</v>
      </c>
      <c r="J555" t="s">
        <v>34</v>
      </c>
      <c r="K555" t="s">
        <v>31</v>
      </c>
      <c r="L555" t="s">
        <v>35</v>
      </c>
      <c r="M555" t="s">
        <v>36</v>
      </c>
      <c r="N555" t="s">
        <v>68</v>
      </c>
      <c r="O555" t="s">
        <v>58</v>
      </c>
      <c r="P555">
        <v>300201</v>
      </c>
      <c r="Q555" t="s">
        <v>75</v>
      </c>
      <c r="R555" t="s">
        <v>76</v>
      </c>
      <c r="S555" t="s">
        <v>38</v>
      </c>
      <c r="T555">
        <v>0</v>
      </c>
      <c r="U555">
        <v>0.25</v>
      </c>
      <c r="V555" s="2">
        <v>1.0416666666666666E-2</v>
      </c>
      <c r="W555">
        <v>0</v>
      </c>
      <c r="AA555" t="s">
        <v>39</v>
      </c>
      <c r="AB555" t="s">
        <v>40</v>
      </c>
      <c r="AC555" t="s">
        <v>68</v>
      </c>
      <c r="AD555" t="s">
        <v>41</v>
      </c>
    </row>
    <row r="556" spans="1:30" hidden="1" x14ac:dyDescent="0.3">
      <c r="A556" s="1">
        <v>45560</v>
      </c>
      <c r="B556" t="s">
        <v>35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213</v>
      </c>
      <c r="J556" t="s">
        <v>34</v>
      </c>
      <c r="K556" t="s">
        <v>31</v>
      </c>
      <c r="L556" t="s">
        <v>35</v>
      </c>
      <c r="M556" t="s">
        <v>36</v>
      </c>
      <c r="N556" t="s">
        <v>68</v>
      </c>
      <c r="O556" t="s">
        <v>58</v>
      </c>
      <c r="P556">
        <v>301499</v>
      </c>
      <c r="Q556" t="s">
        <v>75</v>
      </c>
      <c r="R556" t="s">
        <v>76</v>
      </c>
      <c r="S556" t="s">
        <v>38</v>
      </c>
      <c r="T556">
        <v>0</v>
      </c>
      <c r="U556">
        <v>0.75</v>
      </c>
      <c r="V556" s="2">
        <v>3.125E-2</v>
      </c>
      <c r="W556">
        <v>0</v>
      </c>
      <c r="AA556" t="s">
        <v>39</v>
      </c>
      <c r="AB556" t="s">
        <v>40</v>
      </c>
      <c r="AC556" t="s">
        <v>68</v>
      </c>
      <c r="AD556" t="s">
        <v>41</v>
      </c>
    </row>
    <row r="557" spans="1:30" hidden="1" x14ac:dyDescent="0.3">
      <c r="A557" s="1">
        <v>45561</v>
      </c>
      <c r="B557" t="s">
        <v>35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213</v>
      </c>
      <c r="J557" t="s">
        <v>34</v>
      </c>
      <c r="K557" t="s">
        <v>31</v>
      </c>
      <c r="L557" t="s">
        <v>35</v>
      </c>
      <c r="M557" t="s">
        <v>36</v>
      </c>
      <c r="N557" t="s">
        <v>68</v>
      </c>
      <c r="O557" t="s">
        <v>58</v>
      </c>
      <c r="P557">
        <v>302055</v>
      </c>
      <c r="Q557" t="s">
        <v>75</v>
      </c>
      <c r="R557" t="s">
        <v>76</v>
      </c>
      <c r="S557" t="s">
        <v>38</v>
      </c>
      <c r="T557">
        <v>0</v>
      </c>
      <c r="U557">
        <v>0.5</v>
      </c>
      <c r="V557" s="2">
        <v>2.0833333333333332E-2</v>
      </c>
      <c r="W557">
        <v>0</v>
      </c>
      <c r="AA557" t="s">
        <v>39</v>
      </c>
      <c r="AB557" t="s">
        <v>40</v>
      </c>
      <c r="AC557" t="s">
        <v>68</v>
      </c>
      <c r="AD557" t="s">
        <v>41</v>
      </c>
    </row>
    <row r="558" spans="1:30" x14ac:dyDescent="0.3">
      <c r="A558" s="1">
        <v>45567</v>
      </c>
      <c r="B558" t="s">
        <v>35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213</v>
      </c>
      <c r="J558" t="s">
        <v>34</v>
      </c>
      <c r="K558" t="s">
        <v>31</v>
      </c>
      <c r="L558" t="s">
        <v>35</v>
      </c>
      <c r="M558" t="s">
        <v>36</v>
      </c>
      <c r="N558" t="s">
        <v>68</v>
      </c>
      <c r="O558" t="s">
        <v>58</v>
      </c>
      <c r="P558">
        <v>305635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x14ac:dyDescent="0.3">
      <c r="A559" s="1">
        <v>45569</v>
      </c>
      <c r="B559" t="s">
        <v>35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213</v>
      </c>
      <c r="J559" t="s">
        <v>34</v>
      </c>
      <c r="K559" t="s">
        <v>31</v>
      </c>
      <c r="L559" t="s">
        <v>35</v>
      </c>
      <c r="M559" t="s">
        <v>36</v>
      </c>
      <c r="N559" t="s">
        <v>68</v>
      </c>
      <c r="O559" t="s">
        <v>58</v>
      </c>
      <c r="P559">
        <v>306400</v>
      </c>
      <c r="Q559" t="s">
        <v>75</v>
      </c>
      <c r="R559" t="s">
        <v>76</v>
      </c>
      <c r="S559" t="s">
        <v>38</v>
      </c>
      <c r="T559">
        <v>0</v>
      </c>
      <c r="U559">
        <v>0.25</v>
      </c>
      <c r="V559" s="2">
        <v>1.0416666666666666E-2</v>
      </c>
      <c r="W559">
        <v>0</v>
      </c>
      <c r="AA559" t="s">
        <v>39</v>
      </c>
      <c r="AB559" t="s">
        <v>40</v>
      </c>
      <c r="AC559" t="s">
        <v>68</v>
      </c>
      <c r="AD559" t="s">
        <v>41</v>
      </c>
    </row>
    <row r="560" spans="1:30" x14ac:dyDescent="0.3">
      <c r="A560" s="1">
        <v>45572</v>
      </c>
      <c r="B560" t="s">
        <v>35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213</v>
      </c>
      <c r="J560" t="s">
        <v>34</v>
      </c>
      <c r="K560" t="s">
        <v>31</v>
      </c>
      <c r="L560" t="s">
        <v>35</v>
      </c>
      <c r="M560" t="s">
        <v>36</v>
      </c>
      <c r="N560" t="s">
        <v>68</v>
      </c>
      <c r="O560" t="s">
        <v>58</v>
      </c>
      <c r="P560">
        <v>307313</v>
      </c>
      <c r="Q560" t="s">
        <v>75</v>
      </c>
      <c r="R560" t="s">
        <v>76</v>
      </c>
      <c r="S560" t="s">
        <v>38</v>
      </c>
      <c r="T560">
        <v>0</v>
      </c>
      <c r="U560">
        <v>0.5</v>
      </c>
      <c r="V560" s="2">
        <v>2.0833333333333332E-2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x14ac:dyDescent="0.3">
      <c r="A561" s="1">
        <v>45573</v>
      </c>
      <c r="B561" t="s">
        <v>35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213</v>
      </c>
      <c r="J561" t="s">
        <v>34</v>
      </c>
      <c r="K561" t="s">
        <v>31</v>
      </c>
      <c r="L561" t="s">
        <v>35</v>
      </c>
      <c r="M561" t="s">
        <v>36</v>
      </c>
      <c r="N561" t="s">
        <v>68</v>
      </c>
      <c r="O561" t="s">
        <v>58</v>
      </c>
      <c r="P561">
        <v>307581</v>
      </c>
      <c r="Q561" t="s">
        <v>75</v>
      </c>
      <c r="R561" t="s">
        <v>76</v>
      </c>
      <c r="S561" t="s">
        <v>38</v>
      </c>
      <c r="T561">
        <v>0</v>
      </c>
      <c r="U561">
        <v>0.25</v>
      </c>
      <c r="V561" s="2">
        <v>1.0416666666666666E-2</v>
      </c>
      <c r="W561">
        <v>0</v>
      </c>
      <c r="AA561" t="s">
        <v>39</v>
      </c>
      <c r="AB561" t="s">
        <v>40</v>
      </c>
      <c r="AC561" t="s">
        <v>68</v>
      </c>
      <c r="AD561" t="s">
        <v>41</v>
      </c>
    </row>
    <row r="562" spans="1:30" x14ac:dyDescent="0.3">
      <c r="A562" s="1">
        <v>45576</v>
      </c>
      <c r="B562" t="s">
        <v>35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213</v>
      </c>
      <c r="J562" t="s">
        <v>34</v>
      </c>
      <c r="K562" t="s">
        <v>31</v>
      </c>
      <c r="L562" t="s">
        <v>35</v>
      </c>
      <c r="M562" t="s">
        <v>36</v>
      </c>
      <c r="N562" t="s">
        <v>68</v>
      </c>
      <c r="O562" t="s">
        <v>58</v>
      </c>
      <c r="P562">
        <v>309017</v>
      </c>
      <c r="Q562" t="s">
        <v>75</v>
      </c>
      <c r="R562" t="s">
        <v>76</v>
      </c>
      <c r="S562" t="s">
        <v>38</v>
      </c>
      <c r="T562">
        <v>0</v>
      </c>
      <c r="U562">
        <v>0.25</v>
      </c>
      <c r="V562" s="2">
        <v>1.0416666666666666E-2</v>
      </c>
      <c r="W562">
        <v>0</v>
      </c>
      <c r="AA562" t="s">
        <v>39</v>
      </c>
      <c r="AB562" t="s">
        <v>40</v>
      </c>
      <c r="AC562" t="s">
        <v>68</v>
      </c>
      <c r="AD562" t="s">
        <v>41</v>
      </c>
    </row>
    <row r="563" spans="1:30" x14ac:dyDescent="0.3">
      <c r="A563" s="1">
        <v>45579</v>
      </c>
      <c r="B563" t="s">
        <v>35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213</v>
      </c>
      <c r="J563" t="s">
        <v>34</v>
      </c>
      <c r="K563" t="s">
        <v>31</v>
      </c>
      <c r="L563" t="s">
        <v>35</v>
      </c>
      <c r="M563" t="s">
        <v>36</v>
      </c>
      <c r="N563" t="s">
        <v>68</v>
      </c>
      <c r="O563" t="s">
        <v>58</v>
      </c>
      <c r="P563">
        <v>309677</v>
      </c>
      <c r="Q563" t="s">
        <v>75</v>
      </c>
      <c r="R563" t="s">
        <v>76</v>
      </c>
      <c r="S563" t="s">
        <v>38</v>
      </c>
      <c r="T563">
        <v>0</v>
      </c>
      <c r="U563">
        <v>0.25</v>
      </c>
      <c r="V563" s="2">
        <v>1.0416666666666666E-2</v>
      </c>
      <c r="W563">
        <v>0</v>
      </c>
      <c r="AA563" t="s">
        <v>39</v>
      </c>
      <c r="AB563" t="s">
        <v>40</v>
      </c>
      <c r="AC563" t="s">
        <v>68</v>
      </c>
      <c r="AD563" t="s">
        <v>41</v>
      </c>
    </row>
    <row r="564" spans="1:30" x14ac:dyDescent="0.3">
      <c r="A564" s="1">
        <v>45580</v>
      </c>
      <c r="B564" t="s">
        <v>35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213</v>
      </c>
      <c r="J564" t="s">
        <v>34</v>
      </c>
      <c r="K564" t="s">
        <v>31</v>
      </c>
      <c r="L564" t="s">
        <v>35</v>
      </c>
      <c r="M564" t="s">
        <v>36</v>
      </c>
      <c r="N564" t="s">
        <v>68</v>
      </c>
      <c r="O564" t="s">
        <v>58</v>
      </c>
      <c r="P564">
        <v>310187</v>
      </c>
      <c r="Q564" t="s">
        <v>75</v>
      </c>
      <c r="R564" t="s">
        <v>76</v>
      </c>
      <c r="S564" t="s">
        <v>38</v>
      </c>
      <c r="T564">
        <v>0</v>
      </c>
      <c r="U564">
        <v>0.25</v>
      </c>
      <c r="V564" s="2">
        <v>1.0416666666666666E-2</v>
      </c>
      <c r="W564">
        <v>0</v>
      </c>
      <c r="AA564" t="s">
        <v>39</v>
      </c>
      <c r="AB564" t="s">
        <v>40</v>
      </c>
      <c r="AC564" t="s">
        <v>68</v>
      </c>
      <c r="AD564" t="s">
        <v>41</v>
      </c>
    </row>
    <row r="565" spans="1:30" x14ac:dyDescent="0.3">
      <c r="A565" s="1">
        <v>45581</v>
      </c>
      <c r="B565" t="s">
        <v>35</v>
      </c>
      <c r="C565" t="s">
        <v>30</v>
      </c>
      <c r="D565" t="s">
        <v>31</v>
      </c>
      <c r="E565" t="s">
        <v>43</v>
      </c>
      <c r="F565" t="s">
        <v>32</v>
      </c>
      <c r="G565" t="s">
        <v>33</v>
      </c>
      <c r="H565" t="s">
        <v>57</v>
      </c>
      <c r="I565" t="s">
        <v>213</v>
      </c>
      <c r="J565" t="s">
        <v>34</v>
      </c>
      <c r="K565" t="s">
        <v>31</v>
      </c>
      <c r="L565" t="s">
        <v>35</v>
      </c>
      <c r="M565" t="s">
        <v>36</v>
      </c>
      <c r="N565" t="s">
        <v>68</v>
      </c>
      <c r="O565" t="s">
        <v>58</v>
      </c>
      <c r="P565">
        <v>310852</v>
      </c>
      <c r="Q565" t="s">
        <v>75</v>
      </c>
      <c r="R565" t="s">
        <v>76</v>
      </c>
      <c r="S565" t="s">
        <v>38</v>
      </c>
      <c r="T565">
        <v>0</v>
      </c>
      <c r="U565">
        <v>0.25</v>
      </c>
      <c r="V565" s="2">
        <v>1.0416666666666666E-2</v>
      </c>
      <c r="W565">
        <v>0</v>
      </c>
      <c r="AA565" t="s">
        <v>39</v>
      </c>
      <c r="AC565" t="s">
        <v>68</v>
      </c>
      <c r="AD565" t="s">
        <v>41</v>
      </c>
    </row>
    <row r="566" spans="1:30" x14ac:dyDescent="0.3">
      <c r="A566" s="1">
        <v>45582</v>
      </c>
      <c r="B566" t="s">
        <v>35</v>
      </c>
      <c r="C566" t="s">
        <v>30</v>
      </c>
      <c r="D566" t="s">
        <v>31</v>
      </c>
      <c r="E566" t="s">
        <v>43</v>
      </c>
      <c r="F566" t="s">
        <v>32</v>
      </c>
      <c r="G566" t="s">
        <v>33</v>
      </c>
      <c r="H566" t="s">
        <v>57</v>
      </c>
      <c r="I566" t="s">
        <v>213</v>
      </c>
      <c r="J566" t="s">
        <v>34</v>
      </c>
      <c r="K566" t="s">
        <v>31</v>
      </c>
      <c r="L566" t="s">
        <v>35</v>
      </c>
      <c r="M566" t="s">
        <v>36</v>
      </c>
      <c r="N566" t="s">
        <v>68</v>
      </c>
      <c r="O566" t="s">
        <v>58</v>
      </c>
      <c r="P566">
        <v>311173</v>
      </c>
      <c r="Q566" t="s">
        <v>75</v>
      </c>
      <c r="R566" t="s">
        <v>76</v>
      </c>
      <c r="S566" t="s">
        <v>38</v>
      </c>
      <c r="T566">
        <v>0</v>
      </c>
      <c r="U566">
        <v>0.5</v>
      </c>
      <c r="V566" s="2">
        <v>2.0833333333333332E-2</v>
      </c>
      <c r="W566">
        <v>0</v>
      </c>
      <c r="AA566" t="s">
        <v>39</v>
      </c>
      <c r="AC566" t="s">
        <v>68</v>
      </c>
      <c r="AD566" t="s">
        <v>41</v>
      </c>
    </row>
    <row r="567" spans="1:30" x14ac:dyDescent="0.3">
      <c r="A567" s="1">
        <v>45583</v>
      </c>
      <c r="B567" t="s">
        <v>35</v>
      </c>
      <c r="C567" t="s">
        <v>30</v>
      </c>
      <c r="D567" t="s">
        <v>31</v>
      </c>
      <c r="E567" t="s">
        <v>43</v>
      </c>
      <c r="F567" t="s">
        <v>32</v>
      </c>
      <c r="G567" t="s">
        <v>33</v>
      </c>
      <c r="H567" t="s">
        <v>57</v>
      </c>
      <c r="I567" t="s">
        <v>213</v>
      </c>
      <c r="J567" t="s">
        <v>34</v>
      </c>
      <c r="K567" t="s">
        <v>31</v>
      </c>
      <c r="L567" t="s">
        <v>35</v>
      </c>
      <c r="M567" t="s">
        <v>36</v>
      </c>
      <c r="N567" t="s">
        <v>68</v>
      </c>
      <c r="O567" t="s">
        <v>58</v>
      </c>
      <c r="P567">
        <v>312547</v>
      </c>
      <c r="Q567" t="s">
        <v>75</v>
      </c>
      <c r="R567" t="s">
        <v>76</v>
      </c>
      <c r="S567" t="s">
        <v>38</v>
      </c>
      <c r="T567">
        <v>0</v>
      </c>
      <c r="U567">
        <v>0.25</v>
      </c>
      <c r="V567" s="2">
        <v>1.0416666666666666E-2</v>
      </c>
      <c r="W567">
        <v>0</v>
      </c>
      <c r="AA567" t="s">
        <v>39</v>
      </c>
      <c r="AC567" t="s">
        <v>68</v>
      </c>
      <c r="AD567" t="s">
        <v>41</v>
      </c>
    </row>
    <row r="568" spans="1:30" hidden="1" x14ac:dyDescent="0.3">
      <c r="A568" s="1">
        <v>45379</v>
      </c>
      <c r="B568" t="s">
        <v>66</v>
      </c>
      <c r="C568" t="s">
        <v>30</v>
      </c>
      <c r="D568" t="s">
        <v>31</v>
      </c>
      <c r="E568" t="s">
        <v>43</v>
      </c>
      <c r="F568" t="s">
        <v>32</v>
      </c>
      <c r="G568" t="s">
        <v>33</v>
      </c>
      <c r="H568" t="s">
        <v>57</v>
      </c>
      <c r="I568" t="s">
        <v>213</v>
      </c>
      <c r="J568" t="s">
        <v>34</v>
      </c>
      <c r="K568" t="s">
        <v>31</v>
      </c>
      <c r="L568" t="s">
        <v>35</v>
      </c>
      <c r="M568" t="s">
        <v>36</v>
      </c>
      <c r="N568" t="s">
        <v>42</v>
      </c>
      <c r="O568" t="s">
        <v>58</v>
      </c>
      <c r="P568">
        <v>229978</v>
      </c>
      <c r="Q568" t="s">
        <v>59</v>
      </c>
      <c r="R568" t="s">
        <v>37</v>
      </c>
      <c r="S568" t="s">
        <v>38</v>
      </c>
      <c r="T568">
        <v>90</v>
      </c>
      <c r="U568">
        <v>0.5</v>
      </c>
      <c r="V568" s="2">
        <v>2.0833333333333332E-2</v>
      </c>
      <c r="W568">
        <v>45</v>
      </c>
      <c r="X568">
        <v>59.5</v>
      </c>
      <c r="Y568">
        <v>14.5</v>
      </c>
      <c r="Z568" t="s">
        <v>192</v>
      </c>
      <c r="AA568" t="s">
        <v>39</v>
      </c>
      <c r="AB568" t="s">
        <v>40</v>
      </c>
      <c r="AC568" t="s">
        <v>67</v>
      </c>
      <c r="AD568" t="s">
        <v>41</v>
      </c>
    </row>
    <row r="569" spans="1:30" hidden="1" x14ac:dyDescent="0.3">
      <c r="A569" s="1">
        <v>45419</v>
      </c>
      <c r="B569" t="s">
        <v>66</v>
      </c>
      <c r="C569" t="s">
        <v>30</v>
      </c>
      <c r="D569" t="s">
        <v>31</v>
      </c>
      <c r="E569" t="s">
        <v>43</v>
      </c>
      <c r="F569" t="s">
        <v>32</v>
      </c>
      <c r="G569" t="s">
        <v>33</v>
      </c>
      <c r="H569" t="s">
        <v>57</v>
      </c>
      <c r="I569" t="s">
        <v>213</v>
      </c>
      <c r="J569" t="s">
        <v>34</v>
      </c>
      <c r="K569" t="s">
        <v>31</v>
      </c>
      <c r="L569" t="s">
        <v>35</v>
      </c>
      <c r="M569" t="s">
        <v>36</v>
      </c>
      <c r="N569" t="s">
        <v>42</v>
      </c>
      <c r="O569" t="s">
        <v>58</v>
      </c>
      <c r="P569">
        <v>244430</v>
      </c>
      <c r="Q569" t="s">
        <v>75</v>
      </c>
      <c r="R569" t="s">
        <v>76</v>
      </c>
      <c r="S569" t="s">
        <v>38</v>
      </c>
      <c r="T569">
        <v>0</v>
      </c>
      <c r="U569">
        <v>1</v>
      </c>
      <c r="V569" s="2">
        <v>4.1666666666666664E-2</v>
      </c>
      <c r="W569">
        <v>0</v>
      </c>
      <c r="AA569" t="s">
        <v>39</v>
      </c>
      <c r="AB569" t="s">
        <v>40</v>
      </c>
      <c r="AC569" t="s">
        <v>222</v>
      </c>
      <c r="AD569" t="s">
        <v>41</v>
      </c>
    </row>
    <row r="570" spans="1:30" hidden="1" x14ac:dyDescent="0.3">
      <c r="A570" s="1">
        <v>45420</v>
      </c>
      <c r="B570" t="s">
        <v>66</v>
      </c>
      <c r="C570" t="s">
        <v>30</v>
      </c>
      <c r="D570" t="s">
        <v>31</v>
      </c>
      <c r="E570" t="s">
        <v>43</v>
      </c>
      <c r="F570" t="s">
        <v>32</v>
      </c>
      <c r="G570" t="s">
        <v>33</v>
      </c>
      <c r="H570" t="s">
        <v>57</v>
      </c>
      <c r="I570" t="s">
        <v>213</v>
      </c>
      <c r="J570" t="s">
        <v>34</v>
      </c>
      <c r="K570" t="s">
        <v>31</v>
      </c>
      <c r="L570" t="s">
        <v>35</v>
      </c>
      <c r="M570" t="s">
        <v>36</v>
      </c>
      <c r="N570" t="s">
        <v>42</v>
      </c>
      <c r="O570" t="s">
        <v>58</v>
      </c>
      <c r="P570">
        <v>244738</v>
      </c>
      <c r="Q570" t="s">
        <v>75</v>
      </c>
      <c r="R570" t="s">
        <v>76</v>
      </c>
      <c r="S570" t="s">
        <v>38</v>
      </c>
      <c r="T570">
        <v>0</v>
      </c>
      <c r="U570">
        <v>2</v>
      </c>
      <c r="V570" s="2">
        <v>8.3333333333333329E-2</v>
      </c>
      <c r="W570">
        <v>0</v>
      </c>
      <c r="AA570" t="s">
        <v>39</v>
      </c>
      <c r="AB570" t="s">
        <v>40</v>
      </c>
      <c r="AC570" t="s">
        <v>68</v>
      </c>
      <c r="AD570" t="s">
        <v>41</v>
      </c>
    </row>
    <row r="571" spans="1:30" hidden="1" x14ac:dyDescent="0.3">
      <c r="A571" s="1">
        <v>45421</v>
      </c>
      <c r="B571" t="s">
        <v>66</v>
      </c>
      <c r="C571" t="s">
        <v>30</v>
      </c>
      <c r="D571" t="s">
        <v>31</v>
      </c>
      <c r="E571" t="s">
        <v>43</v>
      </c>
      <c r="F571" t="s">
        <v>32</v>
      </c>
      <c r="G571" t="s">
        <v>33</v>
      </c>
      <c r="H571" t="s">
        <v>57</v>
      </c>
      <c r="I571" t="s">
        <v>213</v>
      </c>
      <c r="J571" t="s">
        <v>34</v>
      </c>
      <c r="K571" t="s">
        <v>31</v>
      </c>
      <c r="L571" t="s">
        <v>35</v>
      </c>
      <c r="M571" t="s">
        <v>36</v>
      </c>
      <c r="N571" t="s">
        <v>42</v>
      </c>
      <c r="O571" t="s">
        <v>58</v>
      </c>
      <c r="P571">
        <v>245768</v>
      </c>
      <c r="Q571" t="s">
        <v>75</v>
      </c>
      <c r="R571" t="s">
        <v>76</v>
      </c>
      <c r="S571" t="s">
        <v>38</v>
      </c>
      <c r="T571">
        <v>0</v>
      </c>
      <c r="U571">
        <v>2</v>
      </c>
      <c r="V571" s="2">
        <v>8.3333333333333329E-2</v>
      </c>
      <c r="W571">
        <v>0</v>
      </c>
      <c r="AA571" t="s">
        <v>39</v>
      </c>
      <c r="AB571" t="s">
        <v>40</v>
      </c>
      <c r="AC571" t="s">
        <v>223</v>
      </c>
      <c r="AD571" t="s">
        <v>41</v>
      </c>
    </row>
    <row r="572" spans="1:30" hidden="1" x14ac:dyDescent="0.3">
      <c r="A572" s="1">
        <v>45422</v>
      </c>
      <c r="B572" t="s">
        <v>66</v>
      </c>
      <c r="C572" t="s">
        <v>30</v>
      </c>
      <c r="D572" t="s">
        <v>31</v>
      </c>
      <c r="E572" t="s">
        <v>43</v>
      </c>
      <c r="F572" t="s">
        <v>32</v>
      </c>
      <c r="G572" t="s">
        <v>33</v>
      </c>
      <c r="H572" t="s">
        <v>57</v>
      </c>
      <c r="I572" t="s">
        <v>213</v>
      </c>
      <c r="J572" t="s">
        <v>34</v>
      </c>
      <c r="K572" t="s">
        <v>31</v>
      </c>
      <c r="L572" t="s">
        <v>35</v>
      </c>
      <c r="M572" t="s">
        <v>36</v>
      </c>
      <c r="N572" t="s">
        <v>42</v>
      </c>
      <c r="O572" t="s">
        <v>58</v>
      </c>
      <c r="P572">
        <v>245776</v>
      </c>
      <c r="Q572" t="s">
        <v>75</v>
      </c>
      <c r="R572" t="s">
        <v>76</v>
      </c>
      <c r="S572" t="s">
        <v>38</v>
      </c>
      <c r="T572">
        <v>0</v>
      </c>
      <c r="U572">
        <v>2</v>
      </c>
      <c r="V572" s="2">
        <v>8.3333333333333329E-2</v>
      </c>
      <c r="W572">
        <v>0</v>
      </c>
      <c r="AA572" t="s">
        <v>39</v>
      </c>
      <c r="AB572" t="s">
        <v>40</v>
      </c>
      <c r="AC572" t="s">
        <v>68</v>
      </c>
      <c r="AD572" t="s">
        <v>41</v>
      </c>
    </row>
    <row r="573" spans="1:30" hidden="1" x14ac:dyDescent="0.3">
      <c r="A573" s="1">
        <v>45425</v>
      </c>
      <c r="B573" t="s">
        <v>66</v>
      </c>
      <c r="C573" t="s">
        <v>30</v>
      </c>
      <c r="D573" t="s">
        <v>31</v>
      </c>
      <c r="E573" t="s">
        <v>43</v>
      </c>
      <c r="F573" t="s">
        <v>32</v>
      </c>
      <c r="G573" t="s">
        <v>33</v>
      </c>
      <c r="H573" t="s">
        <v>57</v>
      </c>
      <c r="I573" t="s">
        <v>213</v>
      </c>
      <c r="J573" t="s">
        <v>34</v>
      </c>
      <c r="K573" t="s">
        <v>31</v>
      </c>
      <c r="L573" t="s">
        <v>35</v>
      </c>
      <c r="M573" t="s">
        <v>36</v>
      </c>
      <c r="N573" t="s">
        <v>42</v>
      </c>
      <c r="O573" t="s">
        <v>58</v>
      </c>
      <c r="P573">
        <v>247316</v>
      </c>
      <c r="Q573" t="s">
        <v>75</v>
      </c>
      <c r="R573" t="s">
        <v>76</v>
      </c>
      <c r="S573" t="s">
        <v>38</v>
      </c>
      <c r="T573">
        <v>0</v>
      </c>
      <c r="U573">
        <v>5.25</v>
      </c>
      <c r="V573" s="2">
        <v>0.21875</v>
      </c>
      <c r="W573">
        <v>0</v>
      </c>
      <c r="AA573" t="s">
        <v>39</v>
      </c>
      <c r="AB573" t="s">
        <v>40</v>
      </c>
      <c r="AC573" t="s">
        <v>247</v>
      </c>
      <c r="AD573" t="s">
        <v>41</v>
      </c>
    </row>
    <row r="574" spans="1:30" hidden="1" x14ac:dyDescent="0.3">
      <c r="A574" s="1">
        <v>45426</v>
      </c>
      <c r="B574" t="s">
        <v>66</v>
      </c>
      <c r="C574" t="s">
        <v>30</v>
      </c>
      <c r="D574" t="s">
        <v>31</v>
      </c>
      <c r="E574" t="s">
        <v>43</v>
      </c>
      <c r="F574" t="s">
        <v>32</v>
      </c>
      <c r="G574" t="s">
        <v>33</v>
      </c>
      <c r="H574" t="s">
        <v>57</v>
      </c>
      <c r="I574" t="s">
        <v>213</v>
      </c>
      <c r="J574" t="s">
        <v>34</v>
      </c>
      <c r="K574" t="s">
        <v>31</v>
      </c>
      <c r="L574" t="s">
        <v>35</v>
      </c>
      <c r="M574" t="s">
        <v>36</v>
      </c>
      <c r="N574" t="s">
        <v>42</v>
      </c>
      <c r="O574" t="s">
        <v>58</v>
      </c>
      <c r="P574">
        <v>247319</v>
      </c>
      <c r="Q574" t="s">
        <v>75</v>
      </c>
      <c r="R574" t="s">
        <v>76</v>
      </c>
      <c r="S574" t="s">
        <v>38</v>
      </c>
      <c r="T574">
        <v>0</v>
      </c>
      <c r="U574">
        <v>3.25</v>
      </c>
      <c r="V574" s="2">
        <v>0.13541666666666666</v>
      </c>
      <c r="W574">
        <v>0</v>
      </c>
      <c r="AA574" t="s">
        <v>39</v>
      </c>
      <c r="AB574" t="s">
        <v>40</v>
      </c>
      <c r="AC574" t="s">
        <v>264</v>
      </c>
      <c r="AD574" t="s">
        <v>41</v>
      </c>
    </row>
    <row r="575" spans="1:30" hidden="1" x14ac:dyDescent="0.3">
      <c r="A575" s="1">
        <v>45427</v>
      </c>
      <c r="B575" t="s">
        <v>66</v>
      </c>
      <c r="C575" t="s">
        <v>30</v>
      </c>
      <c r="D575" t="s">
        <v>31</v>
      </c>
      <c r="E575" t="s">
        <v>43</v>
      </c>
      <c r="F575" t="s">
        <v>32</v>
      </c>
      <c r="G575" t="s">
        <v>33</v>
      </c>
      <c r="H575" t="s">
        <v>57</v>
      </c>
      <c r="I575" t="s">
        <v>213</v>
      </c>
      <c r="J575" t="s">
        <v>34</v>
      </c>
      <c r="K575" t="s">
        <v>31</v>
      </c>
      <c r="L575" t="s">
        <v>35</v>
      </c>
      <c r="M575" t="s">
        <v>36</v>
      </c>
      <c r="N575" t="s">
        <v>42</v>
      </c>
      <c r="O575" t="s">
        <v>58</v>
      </c>
      <c r="P575">
        <v>247793</v>
      </c>
      <c r="Q575" t="s">
        <v>75</v>
      </c>
      <c r="R575" t="s">
        <v>76</v>
      </c>
      <c r="S575" t="s">
        <v>38</v>
      </c>
      <c r="T575">
        <v>0</v>
      </c>
      <c r="U575">
        <v>0.25</v>
      </c>
      <c r="V575" s="2">
        <v>1.0416666666666666E-2</v>
      </c>
      <c r="W575">
        <v>0</v>
      </c>
      <c r="AA575" t="s">
        <v>39</v>
      </c>
      <c r="AB575" t="s">
        <v>40</v>
      </c>
      <c r="AC575" t="s">
        <v>68</v>
      </c>
      <c r="AD575" t="s">
        <v>41</v>
      </c>
    </row>
    <row r="576" spans="1:30" hidden="1" x14ac:dyDescent="0.3">
      <c r="A576" s="1">
        <v>45428</v>
      </c>
      <c r="B576" t="s">
        <v>66</v>
      </c>
      <c r="C576" t="s">
        <v>30</v>
      </c>
      <c r="D576" t="s">
        <v>31</v>
      </c>
      <c r="E576" t="s">
        <v>43</v>
      </c>
      <c r="F576" t="s">
        <v>32</v>
      </c>
      <c r="G576" t="s">
        <v>33</v>
      </c>
      <c r="H576" t="s">
        <v>57</v>
      </c>
      <c r="I576" t="s">
        <v>213</v>
      </c>
      <c r="J576" t="s">
        <v>34</v>
      </c>
      <c r="K576" t="s">
        <v>31</v>
      </c>
      <c r="L576" t="s">
        <v>35</v>
      </c>
      <c r="M576" t="s">
        <v>36</v>
      </c>
      <c r="N576" t="s">
        <v>42</v>
      </c>
      <c r="O576" t="s">
        <v>58</v>
      </c>
      <c r="P576">
        <v>248860</v>
      </c>
      <c r="Q576" t="s">
        <v>75</v>
      </c>
      <c r="R576" t="s">
        <v>76</v>
      </c>
      <c r="S576" t="s">
        <v>38</v>
      </c>
      <c r="T576">
        <v>0</v>
      </c>
      <c r="U576">
        <v>0.25</v>
      </c>
      <c r="V576" s="2">
        <v>1.0416666666666666E-2</v>
      </c>
      <c r="W576">
        <v>0</v>
      </c>
      <c r="AA576" t="s">
        <v>39</v>
      </c>
      <c r="AB576" t="s">
        <v>40</v>
      </c>
      <c r="AC576" t="s">
        <v>68</v>
      </c>
      <c r="AD576" t="s">
        <v>41</v>
      </c>
    </row>
    <row r="577" spans="1:30" hidden="1" x14ac:dyDescent="0.3">
      <c r="A577" s="1">
        <v>45429</v>
      </c>
      <c r="B577" t="s">
        <v>66</v>
      </c>
      <c r="C577" t="s">
        <v>30</v>
      </c>
      <c r="D577" t="s">
        <v>31</v>
      </c>
      <c r="E577" t="s">
        <v>43</v>
      </c>
      <c r="F577" t="s">
        <v>32</v>
      </c>
      <c r="G577" t="s">
        <v>33</v>
      </c>
      <c r="H577" t="s">
        <v>57</v>
      </c>
      <c r="I577" t="s">
        <v>213</v>
      </c>
      <c r="J577" t="s">
        <v>34</v>
      </c>
      <c r="K577" t="s">
        <v>31</v>
      </c>
      <c r="L577" t="s">
        <v>35</v>
      </c>
      <c r="M577" t="s">
        <v>36</v>
      </c>
      <c r="N577" t="s">
        <v>42</v>
      </c>
      <c r="O577" t="s">
        <v>58</v>
      </c>
      <c r="P577">
        <v>248878</v>
      </c>
      <c r="Q577" t="s">
        <v>75</v>
      </c>
      <c r="R577" t="s">
        <v>76</v>
      </c>
      <c r="S577" t="s">
        <v>38</v>
      </c>
      <c r="T577">
        <v>0</v>
      </c>
      <c r="U577">
        <v>0.25</v>
      </c>
      <c r="V577" s="2">
        <v>1.0416666666666666E-2</v>
      </c>
      <c r="W577">
        <v>0</v>
      </c>
      <c r="AA577" t="s">
        <v>39</v>
      </c>
      <c r="AB577" t="s">
        <v>40</v>
      </c>
      <c r="AC577" t="s">
        <v>68</v>
      </c>
      <c r="AD577" t="s">
        <v>41</v>
      </c>
    </row>
    <row r="578" spans="1:30" hidden="1" x14ac:dyDescent="0.3">
      <c r="A578" s="1">
        <v>45443</v>
      </c>
      <c r="B578" t="s">
        <v>66</v>
      </c>
      <c r="C578" t="s">
        <v>30</v>
      </c>
      <c r="D578" t="s">
        <v>31</v>
      </c>
      <c r="E578" t="s">
        <v>43</v>
      </c>
      <c r="F578" t="s">
        <v>32</v>
      </c>
      <c r="G578" t="s">
        <v>33</v>
      </c>
      <c r="H578" t="s">
        <v>57</v>
      </c>
      <c r="I578" t="s">
        <v>213</v>
      </c>
      <c r="J578" t="s">
        <v>34</v>
      </c>
      <c r="K578" t="s">
        <v>31</v>
      </c>
      <c r="L578" t="s">
        <v>35</v>
      </c>
      <c r="M578" t="s">
        <v>36</v>
      </c>
      <c r="N578" t="s">
        <v>42</v>
      </c>
      <c r="O578" t="s">
        <v>58</v>
      </c>
      <c r="P578">
        <v>254361</v>
      </c>
      <c r="Q578" t="s">
        <v>75</v>
      </c>
      <c r="R578" t="s">
        <v>76</v>
      </c>
      <c r="S578" t="s">
        <v>38</v>
      </c>
      <c r="T578">
        <v>0</v>
      </c>
      <c r="U578">
        <v>0.25</v>
      </c>
      <c r="V578" s="2">
        <v>1.0416666666666666E-2</v>
      </c>
      <c r="W578">
        <v>0</v>
      </c>
      <c r="AA578" t="s">
        <v>39</v>
      </c>
      <c r="AB578" t="s">
        <v>40</v>
      </c>
      <c r="AC578" t="s">
        <v>68</v>
      </c>
      <c r="AD578" t="s">
        <v>41</v>
      </c>
    </row>
    <row r="579" spans="1:30" hidden="1" x14ac:dyDescent="0.3">
      <c r="A579" s="1">
        <v>45446</v>
      </c>
      <c r="B579" t="s">
        <v>66</v>
      </c>
      <c r="C579" t="s">
        <v>30</v>
      </c>
      <c r="D579" t="s">
        <v>31</v>
      </c>
      <c r="E579" t="s">
        <v>43</v>
      </c>
      <c r="F579" t="s">
        <v>32</v>
      </c>
      <c r="G579" t="s">
        <v>33</v>
      </c>
      <c r="H579" t="s">
        <v>57</v>
      </c>
      <c r="I579" t="s">
        <v>213</v>
      </c>
      <c r="J579" t="s">
        <v>34</v>
      </c>
      <c r="K579" t="s">
        <v>31</v>
      </c>
      <c r="L579" t="s">
        <v>35</v>
      </c>
      <c r="M579" t="s">
        <v>36</v>
      </c>
      <c r="N579" t="s">
        <v>42</v>
      </c>
      <c r="O579" t="s">
        <v>58</v>
      </c>
      <c r="P579">
        <v>257108</v>
      </c>
      <c r="Q579" t="s">
        <v>75</v>
      </c>
      <c r="R579" t="s">
        <v>76</v>
      </c>
      <c r="S579" t="s">
        <v>38</v>
      </c>
      <c r="T579">
        <v>0</v>
      </c>
      <c r="U579">
        <v>0.25</v>
      </c>
      <c r="V579" s="2">
        <v>1.0416666666666666E-2</v>
      </c>
      <c r="W579">
        <v>0</v>
      </c>
      <c r="AA579" t="s">
        <v>39</v>
      </c>
      <c r="AB579" t="s">
        <v>40</v>
      </c>
      <c r="AC579" t="s">
        <v>68</v>
      </c>
      <c r="AD579" t="s">
        <v>41</v>
      </c>
    </row>
    <row r="580" spans="1:30" hidden="1" x14ac:dyDescent="0.3">
      <c r="A580" s="1">
        <v>45447</v>
      </c>
      <c r="B580" t="s">
        <v>66</v>
      </c>
      <c r="C580" t="s">
        <v>30</v>
      </c>
      <c r="D580" t="s">
        <v>31</v>
      </c>
      <c r="E580" t="s">
        <v>43</v>
      </c>
      <c r="F580" t="s">
        <v>32</v>
      </c>
      <c r="G580" t="s">
        <v>33</v>
      </c>
      <c r="H580" t="s">
        <v>57</v>
      </c>
      <c r="I580" t="s">
        <v>213</v>
      </c>
      <c r="J580" t="s">
        <v>34</v>
      </c>
      <c r="K580" t="s">
        <v>31</v>
      </c>
      <c r="L580" t="s">
        <v>35</v>
      </c>
      <c r="M580" t="s">
        <v>36</v>
      </c>
      <c r="N580" t="s">
        <v>42</v>
      </c>
      <c r="O580" t="s">
        <v>58</v>
      </c>
      <c r="P580">
        <v>257110</v>
      </c>
      <c r="Q580" t="s">
        <v>75</v>
      </c>
      <c r="R580" t="s">
        <v>76</v>
      </c>
      <c r="S580" t="s">
        <v>38</v>
      </c>
      <c r="T580">
        <v>0</v>
      </c>
      <c r="U580">
        <v>0.25</v>
      </c>
      <c r="V580" s="2">
        <v>1.0416666666666666E-2</v>
      </c>
      <c r="W580">
        <v>0</v>
      </c>
      <c r="AA580" t="s">
        <v>39</v>
      </c>
      <c r="AB580" t="s">
        <v>40</v>
      </c>
      <c r="AC580" t="s">
        <v>68</v>
      </c>
      <c r="AD580" t="s">
        <v>41</v>
      </c>
    </row>
    <row r="581" spans="1:30" hidden="1" x14ac:dyDescent="0.3">
      <c r="A581" s="1">
        <v>45450</v>
      </c>
      <c r="B581" t="s">
        <v>66</v>
      </c>
      <c r="C581" t="s">
        <v>30</v>
      </c>
      <c r="D581" t="s">
        <v>31</v>
      </c>
      <c r="E581" t="s">
        <v>43</v>
      </c>
      <c r="F581" t="s">
        <v>32</v>
      </c>
      <c r="G581" t="s">
        <v>33</v>
      </c>
      <c r="H581" t="s">
        <v>57</v>
      </c>
      <c r="I581" t="s">
        <v>213</v>
      </c>
      <c r="J581" t="s">
        <v>34</v>
      </c>
      <c r="K581" t="s">
        <v>31</v>
      </c>
      <c r="L581" t="s">
        <v>35</v>
      </c>
      <c r="M581" t="s">
        <v>36</v>
      </c>
      <c r="N581" t="s">
        <v>42</v>
      </c>
      <c r="O581" t="s">
        <v>58</v>
      </c>
      <c r="P581">
        <v>257104</v>
      </c>
      <c r="Q581" t="s">
        <v>75</v>
      </c>
      <c r="R581" t="s">
        <v>76</v>
      </c>
      <c r="S581" t="s">
        <v>38</v>
      </c>
      <c r="T581">
        <v>0</v>
      </c>
      <c r="U581">
        <v>0.5</v>
      </c>
      <c r="V581" s="2">
        <v>2.0833333333333332E-2</v>
      </c>
      <c r="W581">
        <v>0</v>
      </c>
      <c r="AA581" t="s">
        <v>39</v>
      </c>
      <c r="AB581" t="s">
        <v>40</v>
      </c>
      <c r="AC581" t="s">
        <v>285</v>
      </c>
      <c r="AD581" t="s">
        <v>41</v>
      </c>
    </row>
    <row r="582" spans="1:30" hidden="1" x14ac:dyDescent="0.3">
      <c r="A582" s="1">
        <v>45453</v>
      </c>
      <c r="B582" t="s">
        <v>66</v>
      </c>
      <c r="C582" t="s">
        <v>30</v>
      </c>
      <c r="D582" t="s">
        <v>31</v>
      </c>
      <c r="E582" t="s">
        <v>43</v>
      </c>
      <c r="F582" t="s">
        <v>32</v>
      </c>
      <c r="G582" t="s">
        <v>33</v>
      </c>
      <c r="H582" t="s">
        <v>57</v>
      </c>
      <c r="I582" t="s">
        <v>213</v>
      </c>
      <c r="J582" t="s">
        <v>34</v>
      </c>
      <c r="K582" t="s">
        <v>31</v>
      </c>
      <c r="L582" t="s">
        <v>35</v>
      </c>
      <c r="M582" t="s">
        <v>36</v>
      </c>
      <c r="N582" t="s">
        <v>42</v>
      </c>
      <c r="O582" t="s">
        <v>58</v>
      </c>
      <c r="P582">
        <v>257298</v>
      </c>
      <c r="Q582" t="s">
        <v>59</v>
      </c>
      <c r="R582" t="s">
        <v>37</v>
      </c>
      <c r="S582" t="s">
        <v>38</v>
      </c>
      <c r="T582">
        <v>90</v>
      </c>
      <c r="U582">
        <v>3</v>
      </c>
      <c r="V582" s="2">
        <v>0.125</v>
      </c>
      <c r="W582">
        <v>270</v>
      </c>
      <c r="X582">
        <v>360</v>
      </c>
      <c r="Y582">
        <v>90</v>
      </c>
      <c r="Z582" t="s">
        <v>303</v>
      </c>
      <c r="AA582" t="s">
        <v>39</v>
      </c>
      <c r="AB582" t="s">
        <v>40</v>
      </c>
      <c r="AC582" t="s">
        <v>286</v>
      </c>
      <c r="AD582" t="s">
        <v>41</v>
      </c>
    </row>
    <row r="583" spans="1:30" hidden="1" x14ac:dyDescent="0.3">
      <c r="A583" s="1">
        <v>45453</v>
      </c>
      <c r="B583" t="s">
        <v>66</v>
      </c>
      <c r="C583" t="s">
        <v>30</v>
      </c>
      <c r="D583" t="s">
        <v>31</v>
      </c>
      <c r="E583" t="s">
        <v>43</v>
      </c>
      <c r="F583" t="s">
        <v>32</v>
      </c>
      <c r="G583" t="s">
        <v>33</v>
      </c>
      <c r="H583" t="s">
        <v>57</v>
      </c>
      <c r="I583" t="s">
        <v>213</v>
      </c>
      <c r="J583" t="s">
        <v>34</v>
      </c>
      <c r="K583" t="s">
        <v>31</v>
      </c>
      <c r="L583" t="s">
        <v>35</v>
      </c>
      <c r="M583" t="s">
        <v>36</v>
      </c>
      <c r="N583" t="s">
        <v>42</v>
      </c>
      <c r="O583" t="s">
        <v>58</v>
      </c>
      <c r="P583">
        <v>257295</v>
      </c>
      <c r="Q583" t="s">
        <v>75</v>
      </c>
      <c r="R583" t="s">
        <v>76</v>
      </c>
      <c r="S583" t="s">
        <v>38</v>
      </c>
      <c r="T583">
        <v>0</v>
      </c>
      <c r="U583">
        <v>0.25</v>
      </c>
      <c r="V583" s="2">
        <v>1.0416666666666666E-2</v>
      </c>
      <c r="W583">
        <v>0</v>
      </c>
      <c r="AA583" t="s">
        <v>39</v>
      </c>
      <c r="AB583" t="s">
        <v>40</v>
      </c>
      <c r="AC583" t="s">
        <v>68</v>
      </c>
      <c r="AD583" t="s">
        <v>41</v>
      </c>
    </row>
    <row r="584" spans="1:30" hidden="1" x14ac:dyDescent="0.3">
      <c r="A584" s="1">
        <v>45454</v>
      </c>
      <c r="B584" t="s">
        <v>66</v>
      </c>
      <c r="C584" t="s">
        <v>30</v>
      </c>
      <c r="D584" t="s">
        <v>31</v>
      </c>
      <c r="E584" t="s">
        <v>43</v>
      </c>
      <c r="F584" t="s">
        <v>32</v>
      </c>
      <c r="G584" t="s">
        <v>33</v>
      </c>
      <c r="H584" t="s">
        <v>57</v>
      </c>
      <c r="I584" t="s">
        <v>213</v>
      </c>
      <c r="J584" t="s">
        <v>34</v>
      </c>
      <c r="K584" t="s">
        <v>31</v>
      </c>
      <c r="L584" t="s">
        <v>35</v>
      </c>
      <c r="M584" t="s">
        <v>36</v>
      </c>
      <c r="N584" t="s">
        <v>42</v>
      </c>
      <c r="O584" t="s">
        <v>58</v>
      </c>
      <c r="P584">
        <v>258773</v>
      </c>
      <c r="Q584" t="s">
        <v>75</v>
      </c>
      <c r="R584" t="s">
        <v>76</v>
      </c>
      <c r="S584" t="s">
        <v>38</v>
      </c>
      <c r="T584">
        <v>0</v>
      </c>
      <c r="U584">
        <v>0.25</v>
      </c>
      <c r="V584" s="2">
        <v>1.0416666666666666E-2</v>
      </c>
      <c r="W584">
        <v>0</v>
      </c>
      <c r="AA584" t="s">
        <v>39</v>
      </c>
      <c r="AB584" t="s">
        <v>40</v>
      </c>
      <c r="AC584" t="s">
        <v>68</v>
      </c>
      <c r="AD584" t="s">
        <v>41</v>
      </c>
    </row>
    <row r="585" spans="1:30" hidden="1" x14ac:dyDescent="0.3">
      <c r="A585" s="1">
        <v>45455</v>
      </c>
      <c r="B585" t="s">
        <v>66</v>
      </c>
      <c r="C585" t="s">
        <v>30</v>
      </c>
      <c r="D585" t="s">
        <v>31</v>
      </c>
      <c r="E585" t="s">
        <v>43</v>
      </c>
      <c r="F585" t="s">
        <v>32</v>
      </c>
      <c r="G585" t="s">
        <v>33</v>
      </c>
      <c r="H585" t="s">
        <v>57</v>
      </c>
      <c r="I585" t="s">
        <v>213</v>
      </c>
      <c r="J585" t="s">
        <v>34</v>
      </c>
      <c r="K585" t="s">
        <v>31</v>
      </c>
      <c r="L585" t="s">
        <v>35</v>
      </c>
      <c r="M585" t="s">
        <v>36</v>
      </c>
      <c r="N585" t="s">
        <v>42</v>
      </c>
      <c r="O585" t="s">
        <v>58</v>
      </c>
      <c r="P585">
        <v>258772</v>
      </c>
      <c r="Q585" t="s">
        <v>75</v>
      </c>
      <c r="R585" t="s">
        <v>76</v>
      </c>
      <c r="S585" t="s">
        <v>38</v>
      </c>
      <c r="T585">
        <v>0</v>
      </c>
      <c r="U585">
        <v>3.25</v>
      </c>
      <c r="V585" s="2">
        <v>0.13541666666666666</v>
      </c>
      <c r="W585">
        <v>0</v>
      </c>
      <c r="AA585" t="s">
        <v>39</v>
      </c>
      <c r="AB585" t="s">
        <v>40</v>
      </c>
      <c r="AC585" t="s">
        <v>296</v>
      </c>
      <c r="AD585" t="s">
        <v>41</v>
      </c>
    </row>
    <row r="586" spans="1:30" hidden="1" x14ac:dyDescent="0.3">
      <c r="A586" s="1">
        <v>45456</v>
      </c>
      <c r="B586" t="s">
        <v>66</v>
      </c>
      <c r="C586" t="s">
        <v>30</v>
      </c>
      <c r="D586" t="s">
        <v>31</v>
      </c>
      <c r="E586" t="s">
        <v>43</v>
      </c>
      <c r="F586" t="s">
        <v>32</v>
      </c>
      <c r="G586" t="s">
        <v>33</v>
      </c>
      <c r="H586" t="s">
        <v>57</v>
      </c>
      <c r="I586" t="s">
        <v>213</v>
      </c>
      <c r="J586" t="s">
        <v>34</v>
      </c>
      <c r="K586" t="s">
        <v>31</v>
      </c>
      <c r="L586" t="s">
        <v>35</v>
      </c>
      <c r="M586" t="s">
        <v>36</v>
      </c>
      <c r="N586" t="s">
        <v>42</v>
      </c>
      <c r="O586" t="s">
        <v>58</v>
      </c>
      <c r="P586">
        <v>258771</v>
      </c>
      <c r="Q586" t="s">
        <v>59</v>
      </c>
      <c r="R586" t="s">
        <v>37</v>
      </c>
      <c r="S586" t="s">
        <v>38</v>
      </c>
      <c r="T586">
        <v>90</v>
      </c>
      <c r="U586">
        <v>1</v>
      </c>
      <c r="V586" s="2">
        <v>4.1666666666666664E-2</v>
      </c>
      <c r="W586">
        <v>90</v>
      </c>
      <c r="X586">
        <v>120</v>
      </c>
      <c r="Y586">
        <v>30</v>
      </c>
      <c r="Z586" t="s">
        <v>303</v>
      </c>
      <c r="AA586" t="s">
        <v>39</v>
      </c>
      <c r="AB586" t="s">
        <v>40</v>
      </c>
      <c r="AC586" t="s">
        <v>68</v>
      </c>
      <c r="AD586" t="s">
        <v>41</v>
      </c>
    </row>
    <row r="587" spans="1:30" hidden="1" x14ac:dyDescent="0.3">
      <c r="A587" s="1">
        <v>45456</v>
      </c>
      <c r="B587" t="s">
        <v>66</v>
      </c>
      <c r="C587" t="s">
        <v>30</v>
      </c>
      <c r="D587" t="s">
        <v>31</v>
      </c>
      <c r="E587" t="s">
        <v>43</v>
      </c>
      <c r="F587" t="s">
        <v>32</v>
      </c>
      <c r="G587" t="s">
        <v>33</v>
      </c>
      <c r="H587" t="s">
        <v>57</v>
      </c>
      <c r="I587" t="s">
        <v>213</v>
      </c>
      <c r="J587" t="s">
        <v>34</v>
      </c>
      <c r="K587" t="s">
        <v>31</v>
      </c>
      <c r="L587" t="s">
        <v>35</v>
      </c>
      <c r="M587" t="s">
        <v>36</v>
      </c>
      <c r="N587" t="s">
        <v>42</v>
      </c>
      <c r="O587" t="s">
        <v>58</v>
      </c>
      <c r="P587">
        <v>258770</v>
      </c>
      <c r="Q587" t="s">
        <v>75</v>
      </c>
      <c r="R587" t="s">
        <v>76</v>
      </c>
      <c r="S587" t="s">
        <v>38</v>
      </c>
      <c r="T587">
        <v>0</v>
      </c>
      <c r="U587">
        <v>4.25</v>
      </c>
      <c r="V587" s="2">
        <v>0.17708333333333334</v>
      </c>
      <c r="W587">
        <v>0</v>
      </c>
      <c r="AA587" t="s">
        <v>39</v>
      </c>
      <c r="AB587" t="s">
        <v>40</v>
      </c>
      <c r="AC587" t="s">
        <v>296</v>
      </c>
      <c r="AD587" t="s">
        <v>41</v>
      </c>
    </row>
    <row r="588" spans="1:30" hidden="1" x14ac:dyDescent="0.3">
      <c r="A588" s="1">
        <v>45457</v>
      </c>
      <c r="B588" t="s">
        <v>66</v>
      </c>
      <c r="C588" t="s">
        <v>30</v>
      </c>
      <c r="D588" t="s">
        <v>31</v>
      </c>
      <c r="E588" t="s">
        <v>43</v>
      </c>
      <c r="F588" t="s">
        <v>32</v>
      </c>
      <c r="G588" t="s">
        <v>33</v>
      </c>
      <c r="H588" t="s">
        <v>57</v>
      </c>
      <c r="I588" t="s">
        <v>213</v>
      </c>
      <c r="J588" t="s">
        <v>34</v>
      </c>
      <c r="K588" t="s">
        <v>31</v>
      </c>
      <c r="L588" t="s">
        <v>35</v>
      </c>
      <c r="M588" t="s">
        <v>36</v>
      </c>
      <c r="N588" t="s">
        <v>42</v>
      </c>
      <c r="O588" t="s">
        <v>58</v>
      </c>
      <c r="P588">
        <v>259989</v>
      </c>
      <c r="Q588" t="s">
        <v>75</v>
      </c>
      <c r="R588" t="s">
        <v>76</v>
      </c>
      <c r="S588" t="s">
        <v>38</v>
      </c>
      <c r="T588">
        <v>0</v>
      </c>
      <c r="U588">
        <v>2</v>
      </c>
      <c r="V588" s="2">
        <v>8.3333333333333329E-2</v>
      </c>
      <c r="W588">
        <v>0</v>
      </c>
      <c r="AA588" t="s">
        <v>39</v>
      </c>
      <c r="AB588" t="s">
        <v>40</v>
      </c>
      <c r="AC588" t="s">
        <v>297</v>
      </c>
      <c r="AD588" t="s">
        <v>41</v>
      </c>
    </row>
    <row r="589" spans="1:30" hidden="1" x14ac:dyDescent="0.3">
      <c r="A589" s="1">
        <v>45460</v>
      </c>
      <c r="B589" t="s">
        <v>66</v>
      </c>
      <c r="C589" t="s">
        <v>30</v>
      </c>
      <c r="D589" t="s">
        <v>31</v>
      </c>
      <c r="E589" t="s">
        <v>43</v>
      </c>
      <c r="F589" t="s">
        <v>32</v>
      </c>
      <c r="G589" t="s">
        <v>33</v>
      </c>
      <c r="H589" t="s">
        <v>57</v>
      </c>
      <c r="I589" t="s">
        <v>213</v>
      </c>
      <c r="J589" t="s">
        <v>34</v>
      </c>
      <c r="K589" t="s">
        <v>31</v>
      </c>
      <c r="L589" t="s">
        <v>35</v>
      </c>
      <c r="M589" t="s">
        <v>36</v>
      </c>
      <c r="N589" t="s">
        <v>42</v>
      </c>
      <c r="O589" t="s">
        <v>58</v>
      </c>
      <c r="P589">
        <v>260006</v>
      </c>
      <c r="Q589" t="s">
        <v>75</v>
      </c>
      <c r="R589" t="s">
        <v>76</v>
      </c>
      <c r="S589" t="s">
        <v>38</v>
      </c>
      <c r="T589">
        <v>0</v>
      </c>
      <c r="U589">
        <v>0.25</v>
      </c>
      <c r="V589" s="2">
        <v>1.0416666666666666E-2</v>
      </c>
      <c r="W589">
        <v>0</v>
      </c>
      <c r="AA589" t="s">
        <v>39</v>
      </c>
      <c r="AB589" t="s">
        <v>40</v>
      </c>
      <c r="AC589" t="s">
        <v>68</v>
      </c>
      <c r="AD589" t="s">
        <v>41</v>
      </c>
    </row>
    <row r="590" spans="1:30" hidden="1" x14ac:dyDescent="0.3">
      <c r="A590" s="1">
        <v>45461</v>
      </c>
      <c r="B590" t="s">
        <v>66</v>
      </c>
      <c r="C590" t="s">
        <v>30</v>
      </c>
      <c r="D590" t="s">
        <v>31</v>
      </c>
      <c r="E590" t="s">
        <v>43</v>
      </c>
      <c r="F590" t="s">
        <v>32</v>
      </c>
      <c r="G590" t="s">
        <v>33</v>
      </c>
      <c r="H590" t="s">
        <v>57</v>
      </c>
      <c r="I590" t="s">
        <v>213</v>
      </c>
      <c r="J590" t="s">
        <v>34</v>
      </c>
      <c r="K590" t="s">
        <v>31</v>
      </c>
      <c r="L590" t="s">
        <v>35</v>
      </c>
      <c r="M590" t="s">
        <v>36</v>
      </c>
      <c r="N590" t="s">
        <v>42</v>
      </c>
      <c r="O590" t="s">
        <v>58</v>
      </c>
      <c r="P590">
        <v>262579</v>
      </c>
      <c r="Q590" t="s">
        <v>75</v>
      </c>
      <c r="R590" t="s">
        <v>76</v>
      </c>
      <c r="S590" t="s">
        <v>38</v>
      </c>
      <c r="T590">
        <v>0</v>
      </c>
      <c r="U590">
        <v>0.25</v>
      </c>
      <c r="V590" s="2">
        <v>1.0416666666666666E-2</v>
      </c>
      <c r="W590">
        <v>0</v>
      </c>
      <c r="AA590" t="s">
        <v>39</v>
      </c>
      <c r="AB590" t="s">
        <v>40</v>
      </c>
      <c r="AC590" t="s">
        <v>68</v>
      </c>
      <c r="AD590" t="s">
        <v>41</v>
      </c>
    </row>
    <row r="591" spans="1:30" hidden="1" x14ac:dyDescent="0.3">
      <c r="A591" s="1">
        <v>45462</v>
      </c>
      <c r="B591" t="s">
        <v>66</v>
      </c>
      <c r="C591" t="s">
        <v>30</v>
      </c>
      <c r="D591" t="s">
        <v>31</v>
      </c>
      <c r="E591" t="s">
        <v>43</v>
      </c>
      <c r="F591" t="s">
        <v>32</v>
      </c>
      <c r="G591" t="s">
        <v>33</v>
      </c>
      <c r="H591" t="s">
        <v>57</v>
      </c>
      <c r="I591" t="s">
        <v>213</v>
      </c>
      <c r="J591" t="s">
        <v>34</v>
      </c>
      <c r="K591" t="s">
        <v>31</v>
      </c>
      <c r="L591" t="s">
        <v>35</v>
      </c>
      <c r="M591" t="s">
        <v>36</v>
      </c>
      <c r="N591" t="s">
        <v>42</v>
      </c>
      <c r="O591" t="s">
        <v>58</v>
      </c>
      <c r="P591">
        <v>262613</v>
      </c>
      <c r="Q591" t="s">
        <v>59</v>
      </c>
      <c r="R591" t="s">
        <v>37</v>
      </c>
      <c r="S591" t="s">
        <v>38</v>
      </c>
      <c r="T591">
        <v>90</v>
      </c>
      <c r="U591">
        <v>2</v>
      </c>
      <c r="V591" s="2">
        <v>8.3333333333333329E-2</v>
      </c>
      <c r="W591">
        <v>180</v>
      </c>
      <c r="X591">
        <v>240</v>
      </c>
      <c r="Y591">
        <v>60</v>
      </c>
      <c r="Z591" t="s">
        <v>303</v>
      </c>
      <c r="AA591" t="s">
        <v>39</v>
      </c>
      <c r="AB591" t="s">
        <v>40</v>
      </c>
      <c r="AC591" t="s">
        <v>68</v>
      </c>
      <c r="AD591" t="s">
        <v>41</v>
      </c>
    </row>
    <row r="592" spans="1:30" hidden="1" x14ac:dyDescent="0.3">
      <c r="A592" s="1">
        <v>45462</v>
      </c>
      <c r="B592" t="s">
        <v>66</v>
      </c>
      <c r="C592" t="s">
        <v>30</v>
      </c>
      <c r="D592" t="s">
        <v>31</v>
      </c>
      <c r="E592" t="s">
        <v>43</v>
      </c>
      <c r="F592" t="s">
        <v>32</v>
      </c>
      <c r="G592" t="s">
        <v>33</v>
      </c>
      <c r="H592" t="s">
        <v>57</v>
      </c>
      <c r="I592" t="s">
        <v>213</v>
      </c>
      <c r="J592" t="s">
        <v>34</v>
      </c>
      <c r="K592" t="s">
        <v>31</v>
      </c>
      <c r="L592" t="s">
        <v>35</v>
      </c>
      <c r="M592" t="s">
        <v>36</v>
      </c>
      <c r="N592" t="s">
        <v>42</v>
      </c>
      <c r="O592" t="s">
        <v>58</v>
      </c>
      <c r="P592">
        <v>262581</v>
      </c>
      <c r="Q592" t="s">
        <v>75</v>
      </c>
      <c r="R592" t="s">
        <v>76</v>
      </c>
      <c r="S592" t="s">
        <v>38</v>
      </c>
      <c r="T592">
        <v>0</v>
      </c>
      <c r="U592">
        <v>1.25</v>
      </c>
      <c r="V592" s="2">
        <v>5.2083333333333336E-2</v>
      </c>
      <c r="W592">
        <v>0</v>
      </c>
      <c r="AA592" t="s">
        <v>39</v>
      </c>
      <c r="AB592" t="s">
        <v>40</v>
      </c>
      <c r="AC592" t="s">
        <v>68</v>
      </c>
      <c r="AD592" t="s">
        <v>41</v>
      </c>
    </row>
    <row r="593" spans="1:30" hidden="1" x14ac:dyDescent="0.3">
      <c r="A593" s="1">
        <v>45463</v>
      </c>
      <c r="B593" t="s">
        <v>66</v>
      </c>
      <c r="C593" t="s">
        <v>30</v>
      </c>
      <c r="D593" t="s">
        <v>31</v>
      </c>
      <c r="E593" t="s">
        <v>43</v>
      </c>
      <c r="F593" t="s">
        <v>32</v>
      </c>
      <c r="G593" t="s">
        <v>33</v>
      </c>
      <c r="H593" t="s">
        <v>57</v>
      </c>
      <c r="I593" t="s">
        <v>213</v>
      </c>
      <c r="J593" t="s">
        <v>34</v>
      </c>
      <c r="K593" t="s">
        <v>31</v>
      </c>
      <c r="L593" t="s">
        <v>35</v>
      </c>
      <c r="M593" t="s">
        <v>36</v>
      </c>
      <c r="N593" t="s">
        <v>42</v>
      </c>
      <c r="O593" t="s">
        <v>58</v>
      </c>
      <c r="P593">
        <v>262614</v>
      </c>
      <c r="Q593" t="s">
        <v>59</v>
      </c>
      <c r="R593" t="s">
        <v>37</v>
      </c>
      <c r="S593" t="s">
        <v>38</v>
      </c>
      <c r="T593">
        <v>90</v>
      </c>
      <c r="U593">
        <v>1.5</v>
      </c>
      <c r="V593" s="2">
        <v>6.25E-2</v>
      </c>
      <c r="W593">
        <v>135</v>
      </c>
      <c r="X593">
        <v>180</v>
      </c>
      <c r="Y593">
        <v>45</v>
      </c>
      <c r="Z593" t="s">
        <v>303</v>
      </c>
      <c r="AA593" t="s">
        <v>39</v>
      </c>
      <c r="AB593" t="s">
        <v>40</v>
      </c>
      <c r="AC593" t="s">
        <v>68</v>
      </c>
      <c r="AD593" t="s">
        <v>41</v>
      </c>
    </row>
    <row r="594" spans="1:30" hidden="1" x14ac:dyDescent="0.3">
      <c r="A594" s="1">
        <v>45463</v>
      </c>
      <c r="B594" t="s">
        <v>66</v>
      </c>
      <c r="C594" t="s">
        <v>30</v>
      </c>
      <c r="D594" t="s">
        <v>31</v>
      </c>
      <c r="E594" t="s">
        <v>43</v>
      </c>
      <c r="F594" t="s">
        <v>32</v>
      </c>
      <c r="G594" t="s">
        <v>33</v>
      </c>
      <c r="H594" t="s">
        <v>57</v>
      </c>
      <c r="I594" t="s">
        <v>213</v>
      </c>
      <c r="J594" t="s">
        <v>34</v>
      </c>
      <c r="K594" t="s">
        <v>31</v>
      </c>
      <c r="L594" t="s">
        <v>35</v>
      </c>
      <c r="M594" t="s">
        <v>36</v>
      </c>
      <c r="N594" t="s">
        <v>42</v>
      </c>
      <c r="O594" t="s">
        <v>58</v>
      </c>
      <c r="P594">
        <v>262583</v>
      </c>
      <c r="Q594" t="s">
        <v>75</v>
      </c>
      <c r="R594" t="s">
        <v>76</v>
      </c>
      <c r="S594" t="s">
        <v>38</v>
      </c>
      <c r="T594">
        <v>0</v>
      </c>
      <c r="U594">
        <v>1.75</v>
      </c>
      <c r="V594" s="2">
        <v>7.2916666666666671E-2</v>
      </c>
      <c r="W594">
        <v>0</v>
      </c>
      <c r="AA594" t="s">
        <v>39</v>
      </c>
      <c r="AB594" t="s">
        <v>40</v>
      </c>
      <c r="AC594" t="s">
        <v>302</v>
      </c>
      <c r="AD594" t="s">
        <v>41</v>
      </c>
    </row>
    <row r="595" spans="1:30" hidden="1" x14ac:dyDescent="0.3">
      <c r="A595" s="1">
        <v>45468</v>
      </c>
      <c r="B595" t="s">
        <v>66</v>
      </c>
      <c r="C595" t="s">
        <v>30</v>
      </c>
      <c r="D595" t="s">
        <v>31</v>
      </c>
      <c r="E595" t="s">
        <v>43</v>
      </c>
      <c r="F595" t="s">
        <v>32</v>
      </c>
      <c r="G595" t="s">
        <v>33</v>
      </c>
      <c r="H595" t="s">
        <v>57</v>
      </c>
      <c r="I595" t="s">
        <v>213</v>
      </c>
      <c r="J595" t="s">
        <v>34</v>
      </c>
      <c r="K595" t="s">
        <v>31</v>
      </c>
      <c r="L595" t="s">
        <v>35</v>
      </c>
      <c r="M595" t="s">
        <v>36</v>
      </c>
      <c r="N595" t="s">
        <v>42</v>
      </c>
      <c r="O595" t="s">
        <v>58</v>
      </c>
      <c r="P595">
        <v>263365</v>
      </c>
      <c r="Q595" t="s">
        <v>75</v>
      </c>
      <c r="R595" t="s">
        <v>76</v>
      </c>
      <c r="S595" t="s">
        <v>38</v>
      </c>
      <c r="T595">
        <v>0</v>
      </c>
      <c r="U595">
        <v>4.75</v>
      </c>
      <c r="V595" s="2">
        <v>0.19791666666666666</v>
      </c>
      <c r="W595">
        <v>0</v>
      </c>
      <c r="AA595" t="s">
        <v>39</v>
      </c>
      <c r="AB595" t="s">
        <v>40</v>
      </c>
      <c r="AC595" t="s">
        <v>317</v>
      </c>
      <c r="AD595" t="s">
        <v>41</v>
      </c>
    </row>
    <row r="596" spans="1:30" hidden="1" x14ac:dyDescent="0.3">
      <c r="A596" s="1">
        <v>45469</v>
      </c>
      <c r="B596" t="s">
        <v>66</v>
      </c>
      <c r="C596" t="s">
        <v>30</v>
      </c>
      <c r="D596" t="s">
        <v>31</v>
      </c>
      <c r="E596" t="s">
        <v>43</v>
      </c>
      <c r="F596" t="s">
        <v>32</v>
      </c>
      <c r="G596" t="s">
        <v>33</v>
      </c>
      <c r="H596" t="s">
        <v>57</v>
      </c>
      <c r="I596" t="s">
        <v>213</v>
      </c>
      <c r="J596" t="s">
        <v>34</v>
      </c>
      <c r="K596" t="s">
        <v>31</v>
      </c>
      <c r="L596" t="s">
        <v>35</v>
      </c>
      <c r="M596" t="s">
        <v>36</v>
      </c>
      <c r="N596" t="s">
        <v>42</v>
      </c>
      <c r="O596" t="s">
        <v>58</v>
      </c>
      <c r="P596">
        <v>263643</v>
      </c>
      <c r="Q596" t="s">
        <v>75</v>
      </c>
      <c r="R596" t="s">
        <v>76</v>
      </c>
      <c r="S596" t="s">
        <v>38</v>
      </c>
      <c r="T596">
        <v>0</v>
      </c>
      <c r="U596">
        <v>2.25</v>
      </c>
      <c r="V596" s="2">
        <v>9.375E-2</v>
      </c>
      <c r="W596">
        <v>0</v>
      </c>
      <c r="AA596" t="s">
        <v>39</v>
      </c>
      <c r="AB596" t="s">
        <v>40</v>
      </c>
      <c r="AC596" t="s">
        <v>68</v>
      </c>
      <c r="AD596" t="s">
        <v>41</v>
      </c>
    </row>
    <row r="597" spans="1:30" hidden="1" x14ac:dyDescent="0.3">
      <c r="A597" s="1">
        <v>45470</v>
      </c>
      <c r="B597" t="s">
        <v>66</v>
      </c>
      <c r="C597" t="s">
        <v>30</v>
      </c>
      <c r="D597" t="s">
        <v>31</v>
      </c>
      <c r="E597" t="s">
        <v>43</v>
      </c>
      <c r="F597" t="s">
        <v>32</v>
      </c>
      <c r="G597" t="s">
        <v>33</v>
      </c>
      <c r="H597" t="s">
        <v>57</v>
      </c>
      <c r="I597" t="s">
        <v>213</v>
      </c>
      <c r="J597" t="s">
        <v>34</v>
      </c>
      <c r="K597" t="s">
        <v>31</v>
      </c>
      <c r="L597" t="s">
        <v>35</v>
      </c>
      <c r="M597" t="s">
        <v>36</v>
      </c>
      <c r="N597" t="s">
        <v>42</v>
      </c>
      <c r="O597" t="s">
        <v>58</v>
      </c>
      <c r="P597">
        <v>264349</v>
      </c>
      <c r="Q597" t="s">
        <v>75</v>
      </c>
      <c r="R597" t="s">
        <v>76</v>
      </c>
      <c r="S597" t="s">
        <v>38</v>
      </c>
      <c r="T597">
        <v>0</v>
      </c>
      <c r="U597">
        <v>0.25</v>
      </c>
      <c r="V597" s="2">
        <v>1.0416666666666666E-2</v>
      </c>
      <c r="W597">
        <v>0</v>
      </c>
      <c r="AA597" t="s">
        <v>39</v>
      </c>
      <c r="AB597" t="s">
        <v>40</v>
      </c>
      <c r="AC597" t="s">
        <v>68</v>
      </c>
      <c r="AD597" t="s">
        <v>41</v>
      </c>
    </row>
    <row r="598" spans="1:30" hidden="1" x14ac:dyDescent="0.3">
      <c r="A598" s="1">
        <v>45471</v>
      </c>
      <c r="B598" t="s">
        <v>66</v>
      </c>
      <c r="C598" t="s">
        <v>30</v>
      </c>
      <c r="D598" t="s">
        <v>31</v>
      </c>
      <c r="E598" t="s">
        <v>43</v>
      </c>
      <c r="F598" t="s">
        <v>32</v>
      </c>
      <c r="G598" t="s">
        <v>33</v>
      </c>
      <c r="H598" t="s">
        <v>57</v>
      </c>
      <c r="I598" t="s">
        <v>213</v>
      </c>
      <c r="J598" t="s">
        <v>34</v>
      </c>
      <c r="K598" t="s">
        <v>31</v>
      </c>
      <c r="L598" t="s">
        <v>35</v>
      </c>
      <c r="M598" t="s">
        <v>36</v>
      </c>
      <c r="N598" t="s">
        <v>42</v>
      </c>
      <c r="O598" t="s">
        <v>58</v>
      </c>
      <c r="P598">
        <v>265399</v>
      </c>
      <c r="Q598" t="s">
        <v>75</v>
      </c>
      <c r="R598" t="s">
        <v>76</v>
      </c>
      <c r="S598" t="s">
        <v>38</v>
      </c>
      <c r="T598">
        <v>0</v>
      </c>
      <c r="U598">
        <v>0.75</v>
      </c>
      <c r="V598" s="2">
        <v>3.125E-2</v>
      </c>
      <c r="W598">
        <v>0</v>
      </c>
      <c r="AA598" t="s">
        <v>39</v>
      </c>
      <c r="AB598" t="s">
        <v>40</v>
      </c>
      <c r="AC598" t="s">
        <v>318</v>
      </c>
      <c r="AD598" t="s">
        <v>41</v>
      </c>
    </row>
    <row r="599" spans="1:30" hidden="1" x14ac:dyDescent="0.3">
      <c r="A599" s="1">
        <v>45474</v>
      </c>
      <c r="B599" t="s">
        <v>66</v>
      </c>
      <c r="C599" t="s">
        <v>30</v>
      </c>
      <c r="D599" t="s">
        <v>31</v>
      </c>
      <c r="E599" t="s">
        <v>43</v>
      </c>
      <c r="F599" t="s">
        <v>32</v>
      </c>
      <c r="G599" t="s">
        <v>33</v>
      </c>
      <c r="H599" t="s">
        <v>57</v>
      </c>
      <c r="I599" t="s">
        <v>213</v>
      </c>
      <c r="J599" t="s">
        <v>34</v>
      </c>
      <c r="K599" t="s">
        <v>31</v>
      </c>
      <c r="L599" t="s">
        <v>35</v>
      </c>
      <c r="M599" t="s">
        <v>36</v>
      </c>
      <c r="N599" t="s">
        <v>42</v>
      </c>
      <c r="O599" t="s">
        <v>58</v>
      </c>
      <c r="P599">
        <v>265917</v>
      </c>
      <c r="Q599" t="s">
        <v>75</v>
      </c>
      <c r="R599" t="s">
        <v>76</v>
      </c>
      <c r="S599" t="s">
        <v>38</v>
      </c>
      <c r="T599">
        <v>0</v>
      </c>
      <c r="U599">
        <v>5.25</v>
      </c>
      <c r="V599" s="2">
        <v>0.21875</v>
      </c>
      <c r="W599">
        <v>0</v>
      </c>
      <c r="AA599" t="s">
        <v>39</v>
      </c>
      <c r="AB599" t="s">
        <v>40</v>
      </c>
      <c r="AC599" t="s">
        <v>319</v>
      </c>
      <c r="AD599" t="s">
        <v>41</v>
      </c>
    </row>
    <row r="600" spans="1:30" hidden="1" x14ac:dyDescent="0.3">
      <c r="A600" s="1">
        <v>45475</v>
      </c>
      <c r="B600" t="s">
        <v>66</v>
      </c>
      <c r="C600" t="s">
        <v>30</v>
      </c>
      <c r="D600" t="s">
        <v>31</v>
      </c>
      <c r="E600" t="s">
        <v>43</v>
      </c>
      <c r="F600" t="s">
        <v>32</v>
      </c>
      <c r="G600" t="s">
        <v>33</v>
      </c>
      <c r="H600" t="s">
        <v>57</v>
      </c>
      <c r="I600" t="s">
        <v>213</v>
      </c>
      <c r="J600" t="s">
        <v>34</v>
      </c>
      <c r="K600" t="s">
        <v>31</v>
      </c>
      <c r="L600" t="s">
        <v>35</v>
      </c>
      <c r="M600" t="s">
        <v>36</v>
      </c>
      <c r="N600" t="s">
        <v>42</v>
      </c>
      <c r="O600" t="s">
        <v>58</v>
      </c>
      <c r="P600">
        <v>267065</v>
      </c>
      <c r="Q600" t="s">
        <v>75</v>
      </c>
      <c r="R600" t="s">
        <v>76</v>
      </c>
      <c r="S600" t="s">
        <v>38</v>
      </c>
      <c r="T600">
        <v>0</v>
      </c>
      <c r="U600">
        <v>0.25</v>
      </c>
      <c r="V600" s="2">
        <v>1.0416666666666666E-2</v>
      </c>
      <c r="W600">
        <v>0</v>
      </c>
      <c r="AA600" t="s">
        <v>39</v>
      </c>
      <c r="AB600" t="s">
        <v>40</v>
      </c>
      <c r="AC600" t="s">
        <v>68</v>
      </c>
      <c r="AD600" t="s">
        <v>41</v>
      </c>
    </row>
    <row r="601" spans="1:30" hidden="1" x14ac:dyDescent="0.3">
      <c r="A601" s="1">
        <v>45476</v>
      </c>
      <c r="B601" t="s">
        <v>66</v>
      </c>
      <c r="C601" t="s">
        <v>30</v>
      </c>
      <c r="D601" t="s">
        <v>31</v>
      </c>
      <c r="E601" t="s">
        <v>43</v>
      </c>
      <c r="F601" t="s">
        <v>32</v>
      </c>
      <c r="G601" t="s">
        <v>33</v>
      </c>
      <c r="H601" t="s">
        <v>57</v>
      </c>
      <c r="I601" t="s">
        <v>213</v>
      </c>
      <c r="J601" t="s">
        <v>34</v>
      </c>
      <c r="K601" t="s">
        <v>31</v>
      </c>
      <c r="L601" t="s">
        <v>35</v>
      </c>
      <c r="M601" t="s">
        <v>36</v>
      </c>
      <c r="N601" t="s">
        <v>42</v>
      </c>
      <c r="O601" t="s">
        <v>58</v>
      </c>
      <c r="P601">
        <v>267066</v>
      </c>
      <c r="Q601" t="s">
        <v>75</v>
      </c>
      <c r="R601" t="s">
        <v>76</v>
      </c>
      <c r="S601" t="s">
        <v>38</v>
      </c>
      <c r="T601">
        <v>0</v>
      </c>
      <c r="U601">
        <v>0.25</v>
      </c>
      <c r="V601" s="2">
        <v>1.0416666666666666E-2</v>
      </c>
      <c r="W601">
        <v>0</v>
      </c>
      <c r="AA601" t="s">
        <v>39</v>
      </c>
      <c r="AB601" t="s">
        <v>40</v>
      </c>
      <c r="AC601" t="s">
        <v>68</v>
      </c>
      <c r="AD601" t="s">
        <v>41</v>
      </c>
    </row>
    <row r="602" spans="1:30" hidden="1" x14ac:dyDescent="0.3">
      <c r="A602" s="1">
        <v>45477</v>
      </c>
      <c r="B602" t="s">
        <v>66</v>
      </c>
      <c r="C602" t="s">
        <v>30</v>
      </c>
      <c r="D602" t="s">
        <v>31</v>
      </c>
      <c r="E602" t="s">
        <v>43</v>
      </c>
      <c r="F602" t="s">
        <v>32</v>
      </c>
      <c r="G602" t="s">
        <v>33</v>
      </c>
      <c r="H602" t="s">
        <v>57</v>
      </c>
      <c r="I602" t="s">
        <v>213</v>
      </c>
      <c r="J602" t="s">
        <v>34</v>
      </c>
      <c r="K602" t="s">
        <v>31</v>
      </c>
      <c r="L602" t="s">
        <v>35</v>
      </c>
      <c r="M602" t="s">
        <v>36</v>
      </c>
      <c r="N602" t="s">
        <v>42</v>
      </c>
      <c r="O602" t="s">
        <v>58</v>
      </c>
      <c r="P602">
        <v>267068</v>
      </c>
      <c r="Q602" t="s">
        <v>75</v>
      </c>
      <c r="R602" t="s">
        <v>76</v>
      </c>
      <c r="S602" t="s">
        <v>38</v>
      </c>
      <c r="T602">
        <v>0</v>
      </c>
      <c r="U602">
        <v>0.25</v>
      </c>
      <c r="V602" s="2">
        <v>1.0416666666666666E-2</v>
      </c>
      <c r="W602">
        <v>0</v>
      </c>
      <c r="AA602" t="s">
        <v>39</v>
      </c>
      <c r="AB602" t="s">
        <v>40</v>
      </c>
      <c r="AC602" t="s">
        <v>68</v>
      </c>
      <c r="AD602" t="s">
        <v>41</v>
      </c>
    </row>
    <row r="603" spans="1:30" hidden="1" x14ac:dyDescent="0.3">
      <c r="A603" s="1">
        <v>45478</v>
      </c>
      <c r="B603" t="s">
        <v>66</v>
      </c>
      <c r="C603" t="s">
        <v>30</v>
      </c>
      <c r="D603" t="s">
        <v>31</v>
      </c>
      <c r="E603" t="s">
        <v>43</v>
      </c>
      <c r="F603" t="s">
        <v>32</v>
      </c>
      <c r="G603" t="s">
        <v>33</v>
      </c>
      <c r="H603" t="s">
        <v>57</v>
      </c>
      <c r="I603" t="s">
        <v>213</v>
      </c>
      <c r="J603" t="s">
        <v>34</v>
      </c>
      <c r="K603" t="s">
        <v>31</v>
      </c>
      <c r="L603" t="s">
        <v>35</v>
      </c>
      <c r="M603" t="s">
        <v>36</v>
      </c>
      <c r="N603" t="s">
        <v>42</v>
      </c>
      <c r="O603" t="s">
        <v>58</v>
      </c>
      <c r="P603">
        <v>268119</v>
      </c>
      <c r="Q603" t="s">
        <v>75</v>
      </c>
      <c r="R603" t="s">
        <v>76</v>
      </c>
      <c r="S603" t="s">
        <v>38</v>
      </c>
      <c r="T603">
        <v>0</v>
      </c>
      <c r="U603">
        <v>0.75</v>
      </c>
      <c r="V603" s="2">
        <v>3.125E-2</v>
      </c>
      <c r="W603">
        <v>0</v>
      </c>
      <c r="AA603" t="s">
        <v>39</v>
      </c>
      <c r="AB603" t="s">
        <v>40</v>
      </c>
      <c r="AC603" t="s">
        <v>320</v>
      </c>
      <c r="AD603" t="s">
        <v>41</v>
      </c>
    </row>
    <row r="604" spans="1:30" hidden="1" x14ac:dyDescent="0.3">
      <c r="A604" s="1">
        <v>45481</v>
      </c>
      <c r="B604" t="s">
        <v>66</v>
      </c>
      <c r="C604" t="s">
        <v>30</v>
      </c>
      <c r="D604" t="s">
        <v>31</v>
      </c>
      <c r="E604" t="s">
        <v>43</v>
      </c>
      <c r="F604" t="s">
        <v>32</v>
      </c>
      <c r="G604" t="s">
        <v>33</v>
      </c>
      <c r="H604" t="s">
        <v>57</v>
      </c>
      <c r="I604" t="s">
        <v>213</v>
      </c>
      <c r="J604" t="s">
        <v>34</v>
      </c>
      <c r="K604" t="s">
        <v>31</v>
      </c>
      <c r="L604" t="s">
        <v>35</v>
      </c>
      <c r="M604" t="s">
        <v>36</v>
      </c>
      <c r="N604" t="s">
        <v>42</v>
      </c>
      <c r="O604" t="s">
        <v>58</v>
      </c>
      <c r="P604">
        <v>269624</v>
      </c>
      <c r="Q604" t="s">
        <v>75</v>
      </c>
      <c r="R604" t="s">
        <v>76</v>
      </c>
      <c r="S604" t="s">
        <v>38</v>
      </c>
      <c r="T604">
        <v>0</v>
      </c>
      <c r="U604">
        <v>0.25</v>
      </c>
      <c r="V604" s="2">
        <v>1.0416666666666666E-2</v>
      </c>
      <c r="W604">
        <v>0</v>
      </c>
      <c r="AA604" t="s">
        <v>39</v>
      </c>
      <c r="AB604" t="s">
        <v>40</v>
      </c>
      <c r="AC604" t="s">
        <v>68</v>
      </c>
      <c r="AD604" t="s">
        <v>41</v>
      </c>
    </row>
    <row r="605" spans="1:30" hidden="1" x14ac:dyDescent="0.3">
      <c r="A605" s="1">
        <v>45482</v>
      </c>
      <c r="B605" t="s">
        <v>66</v>
      </c>
      <c r="C605" t="s">
        <v>30</v>
      </c>
      <c r="D605" t="s">
        <v>31</v>
      </c>
      <c r="E605" t="s">
        <v>43</v>
      </c>
      <c r="F605" t="s">
        <v>32</v>
      </c>
      <c r="G605" t="s">
        <v>33</v>
      </c>
      <c r="H605" t="s">
        <v>57</v>
      </c>
      <c r="I605" t="s">
        <v>213</v>
      </c>
      <c r="J605" t="s">
        <v>34</v>
      </c>
      <c r="K605" t="s">
        <v>31</v>
      </c>
      <c r="L605" t="s">
        <v>35</v>
      </c>
      <c r="M605" t="s">
        <v>36</v>
      </c>
      <c r="N605" t="s">
        <v>42</v>
      </c>
      <c r="O605" t="s">
        <v>58</v>
      </c>
      <c r="P605">
        <v>269627</v>
      </c>
      <c r="Q605" t="s">
        <v>75</v>
      </c>
      <c r="R605" t="s">
        <v>76</v>
      </c>
      <c r="S605" t="s">
        <v>38</v>
      </c>
      <c r="T605">
        <v>0</v>
      </c>
      <c r="U605">
        <v>0.25</v>
      </c>
      <c r="V605" s="2">
        <v>1.0416666666666666E-2</v>
      </c>
      <c r="W605">
        <v>0</v>
      </c>
      <c r="AA605" t="s">
        <v>39</v>
      </c>
      <c r="AB605" t="s">
        <v>40</v>
      </c>
      <c r="AC605" t="s">
        <v>68</v>
      </c>
      <c r="AD605" t="s">
        <v>41</v>
      </c>
    </row>
    <row r="606" spans="1:30" hidden="1" x14ac:dyDescent="0.3">
      <c r="A606" s="1">
        <v>45483</v>
      </c>
      <c r="B606" t="s">
        <v>66</v>
      </c>
      <c r="C606" t="s">
        <v>30</v>
      </c>
      <c r="D606" t="s">
        <v>31</v>
      </c>
      <c r="E606" t="s">
        <v>43</v>
      </c>
      <c r="F606" t="s">
        <v>32</v>
      </c>
      <c r="G606" t="s">
        <v>33</v>
      </c>
      <c r="H606" t="s">
        <v>57</v>
      </c>
      <c r="I606" t="s">
        <v>213</v>
      </c>
      <c r="J606" t="s">
        <v>34</v>
      </c>
      <c r="K606" t="s">
        <v>31</v>
      </c>
      <c r="L606" t="s">
        <v>35</v>
      </c>
      <c r="M606" t="s">
        <v>36</v>
      </c>
      <c r="N606" t="s">
        <v>42</v>
      </c>
      <c r="O606" t="s">
        <v>58</v>
      </c>
      <c r="P606">
        <v>269628</v>
      </c>
      <c r="Q606" t="s">
        <v>75</v>
      </c>
      <c r="R606" t="s">
        <v>76</v>
      </c>
      <c r="S606" t="s">
        <v>38</v>
      </c>
      <c r="T606">
        <v>0</v>
      </c>
      <c r="U606">
        <v>0.25</v>
      </c>
      <c r="V606" s="2">
        <v>1.0416666666666666E-2</v>
      </c>
      <c r="W606">
        <v>0</v>
      </c>
      <c r="AA606" t="s">
        <v>39</v>
      </c>
      <c r="AB606" t="s">
        <v>40</v>
      </c>
      <c r="AC606" t="s">
        <v>68</v>
      </c>
      <c r="AD606" t="s">
        <v>41</v>
      </c>
    </row>
    <row r="607" spans="1:30" hidden="1" x14ac:dyDescent="0.3">
      <c r="A607" s="1">
        <v>45484</v>
      </c>
      <c r="B607" t="s">
        <v>66</v>
      </c>
      <c r="C607" t="s">
        <v>30</v>
      </c>
      <c r="D607" t="s">
        <v>31</v>
      </c>
      <c r="E607" t="s">
        <v>43</v>
      </c>
      <c r="F607" t="s">
        <v>32</v>
      </c>
      <c r="G607" t="s">
        <v>33</v>
      </c>
      <c r="H607" t="s">
        <v>57</v>
      </c>
      <c r="I607" t="s">
        <v>213</v>
      </c>
      <c r="J607" t="s">
        <v>34</v>
      </c>
      <c r="K607" t="s">
        <v>31</v>
      </c>
      <c r="L607" t="s">
        <v>35</v>
      </c>
      <c r="M607" t="s">
        <v>36</v>
      </c>
      <c r="N607" t="s">
        <v>42</v>
      </c>
      <c r="O607" t="s">
        <v>58</v>
      </c>
      <c r="P607">
        <v>269629</v>
      </c>
      <c r="Q607" t="s">
        <v>75</v>
      </c>
      <c r="R607" t="s">
        <v>76</v>
      </c>
      <c r="S607" t="s">
        <v>38</v>
      </c>
      <c r="T607">
        <v>0</v>
      </c>
      <c r="U607">
        <v>0.25</v>
      </c>
      <c r="V607" s="2">
        <v>1.0416666666666666E-2</v>
      </c>
      <c r="W607">
        <v>0</v>
      </c>
      <c r="AA607" t="s">
        <v>39</v>
      </c>
      <c r="AB607" t="s">
        <v>40</v>
      </c>
      <c r="AC607" t="s">
        <v>68</v>
      </c>
      <c r="AD607" t="s">
        <v>41</v>
      </c>
    </row>
    <row r="608" spans="1:30" hidden="1" x14ac:dyDescent="0.3">
      <c r="A608" s="1">
        <v>45485</v>
      </c>
      <c r="B608" t="s">
        <v>66</v>
      </c>
      <c r="C608" t="s">
        <v>30</v>
      </c>
      <c r="D608" t="s">
        <v>31</v>
      </c>
      <c r="E608" t="s">
        <v>43</v>
      </c>
      <c r="F608" t="s">
        <v>32</v>
      </c>
      <c r="G608" t="s">
        <v>33</v>
      </c>
      <c r="H608" t="s">
        <v>57</v>
      </c>
      <c r="I608" t="s">
        <v>213</v>
      </c>
      <c r="J608" t="s">
        <v>34</v>
      </c>
      <c r="K608" t="s">
        <v>31</v>
      </c>
      <c r="L608" t="s">
        <v>35</v>
      </c>
      <c r="M608" t="s">
        <v>36</v>
      </c>
      <c r="N608" t="s">
        <v>42</v>
      </c>
      <c r="O608" t="s">
        <v>58</v>
      </c>
      <c r="P608">
        <v>270851</v>
      </c>
      <c r="Q608" t="s">
        <v>75</v>
      </c>
      <c r="R608" t="s">
        <v>76</v>
      </c>
      <c r="S608" t="s">
        <v>38</v>
      </c>
      <c r="T608">
        <v>0</v>
      </c>
      <c r="U608">
        <v>0.25</v>
      </c>
      <c r="V608" s="2">
        <v>1.0416666666666666E-2</v>
      </c>
      <c r="W608">
        <v>0</v>
      </c>
      <c r="AA608" t="s">
        <v>39</v>
      </c>
      <c r="AB608" t="s">
        <v>40</v>
      </c>
      <c r="AC608" t="s">
        <v>68</v>
      </c>
      <c r="AD608" t="s">
        <v>41</v>
      </c>
    </row>
    <row r="609" spans="1:30" hidden="1" x14ac:dyDescent="0.3">
      <c r="A609" s="1">
        <v>45488</v>
      </c>
      <c r="B609" t="s">
        <v>66</v>
      </c>
      <c r="C609" t="s">
        <v>30</v>
      </c>
      <c r="D609" t="s">
        <v>31</v>
      </c>
      <c r="E609" t="s">
        <v>43</v>
      </c>
      <c r="F609" t="s">
        <v>32</v>
      </c>
      <c r="G609" t="s">
        <v>33</v>
      </c>
      <c r="H609" t="s">
        <v>57</v>
      </c>
      <c r="I609" t="s">
        <v>213</v>
      </c>
      <c r="J609" t="s">
        <v>34</v>
      </c>
      <c r="K609" t="s">
        <v>31</v>
      </c>
      <c r="L609" t="s">
        <v>35</v>
      </c>
      <c r="M609" t="s">
        <v>36</v>
      </c>
      <c r="N609" t="s">
        <v>42</v>
      </c>
      <c r="O609" t="s">
        <v>58</v>
      </c>
      <c r="P609">
        <v>271635</v>
      </c>
      <c r="Q609" t="s">
        <v>75</v>
      </c>
      <c r="R609" t="s">
        <v>76</v>
      </c>
      <c r="S609" t="s">
        <v>38</v>
      </c>
      <c r="T609">
        <v>0</v>
      </c>
      <c r="U609">
        <v>0.25</v>
      </c>
      <c r="V609" s="2">
        <v>1.0416666666666666E-2</v>
      </c>
      <c r="W609">
        <v>0</v>
      </c>
      <c r="AA609" t="s">
        <v>39</v>
      </c>
      <c r="AB609" t="s">
        <v>40</v>
      </c>
      <c r="AC609" t="s">
        <v>68</v>
      </c>
      <c r="AD609" t="s">
        <v>41</v>
      </c>
    </row>
    <row r="610" spans="1:30" hidden="1" x14ac:dyDescent="0.3">
      <c r="A610" s="1">
        <v>45489</v>
      </c>
      <c r="B610" t="s">
        <v>66</v>
      </c>
      <c r="C610" t="s">
        <v>30</v>
      </c>
      <c r="D610" t="s">
        <v>31</v>
      </c>
      <c r="E610" t="s">
        <v>43</v>
      </c>
      <c r="F610" t="s">
        <v>32</v>
      </c>
      <c r="G610" t="s">
        <v>33</v>
      </c>
      <c r="H610" t="s">
        <v>57</v>
      </c>
      <c r="I610" t="s">
        <v>213</v>
      </c>
      <c r="J610" t="s">
        <v>34</v>
      </c>
      <c r="K610" t="s">
        <v>31</v>
      </c>
      <c r="L610" t="s">
        <v>35</v>
      </c>
      <c r="M610" t="s">
        <v>36</v>
      </c>
      <c r="N610" t="s">
        <v>42</v>
      </c>
      <c r="O610" t="s">
        <v>58</v>
      </c>
      <c r="P610">
        <v>272014</v>
      </c>
      <c r="Q610" t="s">
        <v>75</v>
      </c>
      <c r="R610" t="s">
        <v>76</v>
      </c>
      <c r="S610" t="s">
        <v>38</v>
      </c>
      <c r="T610">
        <v>0</v>
      </c>
      <c r="U610">
        <v>0.25</v>
      </c>
      <c r="V610" s="2">
        <v>1.0416666666666666E-2</v>
      </c>
      <c r="W610">
        <v>0</v>
      </c>
      <c r="AA610" t="s">
        <v>39</v>
      </c>
      <c r="AB610" t="s">
        <v>40</v>
      </c>
      <c r="AC610" t="s">
        <v>68</v>
      </c>
      <c r="AD610" t="s">
        <v>41</v>
      </c>
    </row>
    <row r="611" spans="1:30" hidden="1" x14ac:dyDescent="0.3">
      <c r="A611" s="1">
        <v>45490</v>
      </c>
      <c r="B611" t="s">
        <v>66</v>
      </c>
      <c r="C611" t="s">
        <v>30</v>
      </c>
      <c r="D611" t="s">
        <v>31</v>
      </c>
      <c r="E611" t="s">
        <v>43</v>
      </c>
      <c r="F611" t="s">
        <v>32</v>
      </c>
      <c r="G611" t="s">
        <v>33</v>
      </c>
      <c r="H611" t="s">
        <v>57</v>
      </c>
      <c r="I611" t="s">
        <v>213</v>
      </c>
      <c r="J611" t="s">
        <v>34</v>
      </c>
      <c r="K611" t="s">
        <v>31</v>
      </c>
      <c r="L611" t="s">
        <v>35</v>
      </c>
      <c r="M611" t="s">
        <v>36</v>
      </c>
      <c r="N611" t="s">
        <v>42</v>
      </c>
      <c r="O611" t="s">
        <v>58</v>
      </c>
      <c r="P611">
        <v>273019</v>
      </c>
      <c r="Q611" t="s">
        <v>75</v>
      </c>
      <c r="R611" t="s">
        <v>76</v>
      </c>
      <c r="S611" t="s">
        <v>38</v>
      </c>
      <c r="T611">
        <v>0</v>
      </c>
      <c r="U611">
        <v>0.25</v>
      </c>
      <c r="V611" s="2">
        <v>1.0416666666666666E-2</v>
      </c>
      <c r="W611">
        <v>0</v>
      </c>
      <c r="AA611" t="s">
        <v>39</v>
      </c>
      <c r="AB611" t="s">
        <v>40</v>
      </c>
      <c r="AC611" t="s">
        <v>68</v>
      </c>
      <c r="AD611" t="s">
        <v>41</v>
      </c>
    </row>
    <row r="612" spans="1:30" hidden="1" x14ac:dyDescent="0.3">
      <c r="A612" s="1">
        <v>45491</v>
      </c>
      <c r="B612" t="s">
        <v>66</v>
      </c>
      <c r="C612" t="s">
        <v>30</v>
      </c>
      <c r="D612" t="s">
        <v>31</v>
      </c>
      <c r="E612" t="s">
        <v>43</v>
      </c>
      <c r="F612" t="s">
        <v>32</v>
      </c>
      <c r="G612" t="s">
        <v>33</v>
      </c>
      <c r="H612" t="s">
        <v>57</v>
      </c>
      <c r="I612" t="s">
        <v>213</v>
      </c>
      <c r="J612" t="s">
        <v>34</v>
      </c>
      <c r="K612" t="s">
        <v>31</v>
      </c>
      <c r="L612" t="s">
        <v>35</v>
      </c>
      <c r="M612" t="s">
        <v>36</v>
      </c>
      <c r="N612" t="s">
        <v>42</v>
      </c>
      <c r="O612" t="s">
        <v>58</v>
      </c>
      <c r="P612">
        <v>273021</v>
      </c>
      <c r="Q612" t="s">
        <v>75</v>
      </c>
      <c r="R612" t="s">
        <v>76</v>
      </c>
      <c r="S612" t="s">
        <v>38</v>
      </c>
      <c r="T612">
        <v>0</v>
      </c>
      <c r="U612">
        <v>0.25</v>
      </c>
      <c r="V612" s="2">
        <v>1.0416666666666666E-2</v>
      </c>
      <c r="W612">
        <v>0</v>
      </c>
      <c r="AA612" t="s">
        <v>39</v>
      </c>
      <c r="AB612" t="s">
        <v>40</v>
      </c>
      <c r="AC612" t="s">
        <v>68</v>
      </c>
      <c r="AD612" t="s">
        <v>41</v>
      </c>
    </row>
    <row r="613" spans="1:30" hidden="1" x14ac:dyDescent="0.3">
      <c r="A613" s="1">
        <v>45492</v>
      </c>
      <c r="B613" t="s">
        <v>66</v>
      </c>
      <c r="C613" t="s">
        <v>30</v>
      </c>
      <c r="D613" t="s">
        <v>31</v>
      </c>
      <c r="E613" t="s">
        <v>43</v>
      </c>
      <c r="F613" t="s">
        <v>32</v>
      </c>
      <c r="G613" t="s">
        <v>33</v>
      </c>
      <c r="H613" t="s">
        <v>57</v>
      </c>
      <c r="I613" t="s">
        <v>213</v>
      </c>
      <c r="J613" t="s">
        <v>34</v>
      </c>
      <c r="K613" t="s">
        <v>31</v>
      </c>
      <c r="L613" t="s">
        <v>35</v>
      </c>
      <c r="M613" t="s">
        <v>36</v>
      </c>
      <c r="N613" t="s">
        <v>42</v>
      </c>
      <c r="O613" t="s">
        <v>58</v>
      </c>
      <c r="P613">
        <v>273804</v>
      </c>
      <c r="Q613" t="s">
        <v>75</v>
      </c>
      <c r="R613" t="s">
        <v>76</v>
      </c>
      <c r="S613" t="s">
        <v>38</v>
      </c>
      <c r="T613">
        <v>0</v>
      </c>
      <c r="U613">
        <v>0.25</v>
      </c>
      <c r="V613" s="2">
        <v>1.0416666666666666E-2</v>
      </c>
      <c r="W613">
        <v>0</v>
      </c>
      <c r="AA613" t="s">
        <v>39</v>
      </c>
      <c r="AB613" t="s">
        <v>40</v>
      </c>
      <c r="AC613" t="s">
        <v>68</v>
      </c>
      <c r="AD613" t="s">
        <v>41</v>
      </c>
    </row>
    <row r="614" spans="1:30" hidden="1" x14ac:dyDescent="0.3">
      <c r="A614" s="1">
        <v>45495</v>
      </c>
      <c r="B614" t="s">
        <v>66</v>
      </c>
      <c r="C614" t="s">
        <v>30</v>
      </c>
      <c r="D614" t="s">
        <v>31</v>
      </c>
      <c r="E614" t="s">
        <v>43</v>
      </c>
      <c r="F614" t="s">
        <v>32</v>
      </c>
      <c r="G614" t="s">
        <v>33</v>
      </c>
      <c r="H614" t="s">
        <v>57</v>
      </c>
      <c r="I614" t="s">
        <v>213</v>
      </c>
      <c r="J614" t="s">
        <v>34</v>
      </c>
      <c r="K614" t="s">
        <v>31</v>
      </c>
      <c r="L614" t="s">
        <v>35</v>
      </c>
      <c r="M614" t="s">
        <v>36</v>
      </c>
      <c r="N614" t="s">
        <v>42</v>
      </c>
      <c r="O614" t="s">
        <v>58</v>
      </c>
      <c r="P614">
        <v>275176</v>
      </c>
      <c r="Q614" t="s">
        <v>75</v>
      </c>
      <c r="R614" t="s">
        <v>76</v>
      </c>
      <c r="S614" t="s">
        <v>38</v>
      </c>
      <c r="T614">
        <v>0</v>
      </c>
      <c r="U614">
        <v>0.25</v>
      </c>
      <c r="V614" s="2">
        <v>1.0416666666666666E-2</v>
      </c>
      <c r="W614">
        <v>0</v>
      </c>
      <c r="AA614" t="s">
        <v>39</v>
      </c>
      <c r="AB614" t="s">
        <v>40</v>
      </c>
      <c r="AC614" t="s">
        <v>68</v>
      </c>
      <c r="AD614" t="s">
        <v>41</v>
      </c>
    </row>
    <row r="615" spans="1:30" hidden="1" x14ac:dyDescent="0.3">
      <c r="A615" s="1">
        <v>45496</v>
      </c>
      <c r="B615" t="s">
        <v>66</v>
      </c>
      <c r="C615" t="s">
        <v>30</v>
      </c>
      <c r="D615" t="s">
        <v>31</v>
      </c>
      <c r="E615" t="s">
        <v>43</v>
      </c>
      <c r="F615" t="s">
        <v>32</v>
      </c>
      <c r="G615" t="s">
        <v>33</v>
      </c>
      <c r="H615" t="s">
        <v>57</v>
      </c>
      <c r="I615" t="s">
        <v>213</v>
      </c>
      <c r="J615" t="s">
        <v>34</v>
      </c>
      <c r="K615" t="s">
        <v>31</v>
      </c>
      <c r="L615" t="s">
        <v>35</v>
      </c>
      <c r="M615" t="s">
        <v>36</v>
      </c>
      <c r="N615" t="s">
        <v>42</v>
      </c>
      <c r="O615" t="s">
        <v>58</v>
      </c>
      <c r="P615">
        <v>275178</v>
      </c>
      <c r="Q615" t="s">
        <v>75</v>
      </c>
      <c r="R615" t="s">
        <v>76</v>
      </c>
      <c r="S615" t="s">
        <v>38</v>
      </c>
      <c r="T615">
        <v>0</v>
      </c>
      <c r="U615">
        <v>0.25</v>
      </c>
      <c r="V615" s="2">
        <v>1.0416666666666666E-2</v>
      </c>
      <c r="W615">
        <v>0</v>
      </c>
      <c r="AA615" t="s">
        <v>39</v>
      </c>
      <c r="AB615" t="s">
        <v>40</v>
      </c>
      <c r="AC615" t="s">
        <v>68</v>
      </c>
      <c r="AD615" t="s">
        <v>41</v>
      </c>
    </row>
    <row r="616" spans="1:30" hidden="1" x14ac:dyDescent="0.3">
      <c r="A616" s="1">
        <v>45497</v>
      </c>
      <c r="B616" t="s">
        <v>66</v>
      </c>
      <c r="C616" t="s">
        <v>30</v>
      </c>
      <c r="D616" t="s">
        <v>31</v>
      </c>
      <c r="E616" t="s">
        <v>43</v>
      </c>
      <c r="F616" t="s">
        <v>32</v>
      </c>
      <c r="G616" t="s">
        <v>33</v>
      </c>
      <c r="H616" t="s">
        <v>57</v>
      </c>
      <c r="I616" t="s">
        <v>213</v>
      </c>
      <c r="J616" t="s">
        <v>34</v>
      </c>
      <c r="K616" t="s">
        <v>31</v>
      </c>
      <c r="L616" t="s">
        <v>35</v>
      </c>
      <c r="M616" t="s">
        <v>36</v>
      </c>
      <c r="N616" t="s">
        <v>42</v>
      </c>
      <c r="O616" t="s">
        <v>58</v>
      </c>
      <c r="P616">
        <v>275815</v>
      </c>
      <c r="Q616" t="s">
        <v>75</v>
      </c>
      <c r="R616" t="s">
        <v>76</v>
      </c>
      <c r="S616" t="s">
        <v>38</v>
      </c>
      <c r="T616">
        <v>0</v>
      </c>
      <c r="U616">
        <v>0.25</v>
      </c>
      <c r="V616" s="2">
        <v>1.0416666666666666E-2</v>
      </c>
      <c r="W616">
        <v>0</v>
      </c>
      <c r="AA616" t="s">
        <v>39</v>
      </c>
      <c r="AB616" t="s">
        <v>40</v>
      </c>
      <c r="AC616" t="s">
        <v>68</v>
      </c>
      <c r="AD616" t="s">
        <v>41</v>
      </c>
    </row>
    <row r="617" spans="1:30" hidden="1" x14ac:dyDescent="0.3">
      <c r="A617" s="1">
        <v>45498</v>
      </c>
      <c r="B617" t="s">
        <v>66</v>
      </c>
      <c r="C617" t="s">
        <v>30</v>
      </c>
      <c r="D617" t="s">
        <v>31</v>
      </c>
      <c r="E617" t="s">
        <v>43</v>
      </c>
      <c r="F617" t="s">
        <v>32</v>
      </c>
      <c r="G617" t="s">
        <v>33</v>
      </c>
      <c r="H617" t="s">
        <v>57</v>
      </c>
      <c r="I617" t="s">
        <v>213</v>
      </c>
      <c r="J617" t="s">
        <v>34</v>
      </c>
      <c r="K617" t="s">
        <v>31</v>
      </c>
      <c r="L617" t="s">
        <v>35</v>
      </c>
      <c r="M617" t="s">
        <v>36</v>
      </c>
      <c r="N617" t="s">
        <v>42</v>
      </c>
      <c r="O617" t="s">
        <v>58</v>
      </c>
      <c r="P617">
        <v>277261</v>
      </c>
      <c r="Q617" t="s">
        <v>75</v>
      </c>
      <c r="R617" t="s">
        <v>76</v>
      </c>
      <c r="S617" t="s">
        <v>38</v>
      </c>
      <c r="T617">
        <v>0</v>
      </c>
      <c r="U617">
        <v>0.25</v>
      </c>
      <c r="V617" s="2">
        <v>1.0416666666666666E-2</v>
      </c>
      <c r="W617">
        <v>0</v>
      </c>
      <c r="AA617" t="s">
        <v>39</v>
      </c>
      <c r="AB617" t="s">
        <v>40</v>
      </c>
      <c r="AC617" t="s">
        <v>68</v>
      </c>
      <c r="AD617" t="s">
        <v>41</v>
      </c>
    </row>
    <row r="618" spans="1:30" hidden="1" x14ac:dyDescent="0.3">
      <c r="A618" s="1">
        <v>45499</v>
      </c>
      <c r="B618" t="s">
        <v>66</v>
      </c>
      <c r="C618" t="s">
        <v>30</v>
      </c>
      <c r="D618" t="s">
        <v>31</v>
      </c>
      <c r="E618" t="s">
        <v>43</v>
      </c>
      <c r="F618" t="s">
        <v>32</v>
      </c>
      <c r="G618" t="s">
        <v>33</v>
      </c>
      <c r="H618" t="s">
        <v>57</v>
      </c>
      <c r="I618" t="s">
        <v>213</v>
      </c>
      <c r="J618" t="s">
        <v>34</v>
      </c>
      <c r="K618" t="s">
        <v>31</v>
      </c>
      <c r="L618" t="s">
        <v>35</v>
      </c>
      <c r="M618" t="s">
        <v>36</v>
      </c>
      <c r="N618" t="s">
        <v>42</v>
      </c>
      <c r="O618" t="s">
        <v>58</v>
      </c>
      <c r="P618">
        <v>277262</v>
      </c>
      <c r="Q618" t="s">
        <v>75</v>
      </c>
      <c r="R618" t="s">
        <v>76</v>
      </c>
      <c r="S618" t="s">
        <v>38</v>
      </c>
      <c r="T618">
        <v>0</v>
      </c>
      <c r="U618">
        <v>0.25</v>
      </c>
      <c r="V618" s="2">
        <v>1.0416666666666666E-2</v>
      </c>
      <c r="W618">
        <v>0</v>
      </c>
      <c r="AA618" t="s">
        <v>39</v>
      </c>
      <c r="AB618" t="s">
        <v>40</v>
      </c>
      <c r="AC618" t="s">
        <v>68</v>
      </c>
      <c r="AD618" t="s">
        <v>41</v>
      </c>
    </row>
    <row r="619" spans="1:30" hidden="1" x14ac:dyDescent="0.3">
      <c r="A619" s="1">
        <v>45502</v>
      </c>
      <c r="B619" t="s">
        <v>66</v>
      </c>
      <c r="C619" t="s">
        <v>30</v>
      </c>
      <c r="D619" t="s">
        <v>31</v>
      </c>
      <c r="E619" t="s">
        <v>43</v>
      </c>
      <c r="F619" t="s">
        <v>32</v>
      </c>
      <c r="G619" t="s">
        <v>33</v>
      </c>
      <c r="H619" t="s">
        <v>57</v>
      </c>
      <c r="I619" t="s">
        <v>213</v>
      </c>
      <c r="J619" t="s">
        <v>34</v>
      </c>
      <c r="K619" t="s">
        <v>31</v>
      </c>
      <c r="L619" t="s">
        <v>35</v>
      </c>
      <c r="M619" t="s">
        <v>36</v>
      </c>
      <c r="N619" t="s">
        <v>42</v>
      </c>
      <c r="O619" t="s">
        <v>58</v>
      </c>
      <c r="P619">
        <v>278550</v>
      </c>
      <c r="Q619" t="s">
        <v>75</v>
      </c>
      <c r="R619" t="s">
        <v>76</v>
      </c>
      <c r="S619" t="s">
        <v>38</v>
      </c>
      <c r="T619">
        <v>0</v>
      </c>
      <c r="U619">
        <v>0.25</v>
      </c>
      <c r="V619" s="2">
        <v>1.0416666666666666E-2</v>
      </c>
      <c r="W619">
        <v>0</v>
      </c>
      <c r="AA619" t="s">
        <v>39</v>
      </c>
      <c r="AB619" t="s">
        <v>40</v>
      </c>
      <c r="AC619" t="s">
        <v>68</v>
      </c>
      <c r="AD619" t="s">
        <v>41</v>
      </c>
    </row>
    <row r="620" spans="1:30" hidden="1" x14ac:dyDescent="0.3">
      <c r="A620" s="1">
        <v>45503</v>
      </c>
      <c r="B620" t="s">
        <v>66</v>
      </c>
      <c r="C620" t="s">
        <v>30</v>
      </c>
      <c r="D620" t="s">
        <v>31</v>
      </c>
      <c r="E620" t="s">
        <v>43</v>
      </c>
      <c r="F620" t="s">
        <v>32</v>
      </c>
      <c r="G620" t="s">
        <v>33</v>
      </c>
      <c r="H620" t="s">
        <v>57</v>
      </c>
      <c r="I620" t="s">
        <v>213</v>
      </c>
      <c r="J620" t="s">
        <v>34</v>
      </c>
      <c r="K620" t="s">
        <v>31</v>
      </c>
      <c r="L620" t="s">
        <v>35</v>
      </c>
      <c r="M620" t="s">
        <v>36</v>
      </c>
      <c r="N620" t="s">
        <v>42</v>
      </c>
      <c r="O620" t="s">
        <v>58</v>
      </c>
      <c r="P620">
        <v>278556</v>
      </c>
      <c r="Q620" t="s">
        <v>75</v>
      </c>
      <c r="R620" t="s">
        <v>76</v>
      </c>
      <c r="S620" t="s">
        <v>38</v>
      </c>
      <c r="T620">
        <v>0</v>
      </c>
      <c r="U620">
        <v>0.25</v>
      </c>
      <c r="V620" s="2">
        <v>1.0416666666666666E-2</v>
      </c>
      <c r="W620">
        <v>0</v>
      </c>
      <c r="AA620" t="s">
        <v>39</v>
      </c>
      <c r="AB620" t="s">
        <v>40</v>
      </c>
      <c r="AC620" t="s">
        <v>68</v>
      </c>
      <c r="AD620" t="s">
        <v>41</v>
      </c>
    </row>
    <row r="621" spans="1:30" hidden="1" x14ac:dyDescent="0.3">
      <c r="A621" s="1">
        <v>45504</v>
      </c>
      <c r="B621" t="s">
        <v>66</v>
      </c>
      <c r="C621" t="s">
        <v>30</v>
      </c>
      <c r="D621" t="s">
        <v>31</v>
      </c>
      <c r="E621" t="s">
        <v>43</v>
      </c>
      <c r="F621" t="s">
        <v>32</v>
      </c>
      <c r="G621" t="s">
        <v>33</v>
      </c>
      <c r="H621" t="s">
        <v>57</v>
      </c>
      <c r="I621" t="s">
        <v>213</v>
      </c>
      <c r="J621" t="s">
        <v>34</v>
      </c>
      <c r="K621" t="s">
        <v>31</v>
      </c>
      <c r="L621" t="s">
        <v>35</v>
      </c>
      <c r="M621" t="s">
        <v>36</v>
      </c>
      <c r="N621" t="s">
        <v>42</v>
      </c>
      <c r="O621" t="s">
        <v>58</v>
      </c>
      <c r="P621">
        <v>278690</v>
      </c>
      <c r="Q621" t="s">
        <v>75</v>
      </c>
      <c r="R621" t="s">
        <v>76</v>
      </c>
      <c r="S621" t="s">
        <v>38</v>
      </c>
      <c r="T621">
        <v>0</v>
      </c>
      <c r="U621">
        <v>0.25</v>
      </c>
      <c r="V621" s="2">
        <v>1.0416666666666666E-2</v>
      </c>
      <c r="W621">
        <v>0</v>
      </c>
      <c r="AA621" t="s">
        <v>39</v>
      </c>
      <c r="AB621" t="s">
        <v>40</v>
      </c>
      <c r="AC621" t="s">
        <v>68</v>
      </c>
      <c r="AD621" t="s">
        <v>41</v>
      </c>
    </row>
    <row r="622" spans="1:30" hidden="1" x14ac:dyDescent="0.3">
      <c r="A622" s="1">
        <v>45505</v>
      </c>
      <c r="B622" t="s">
        <v>66</v>
      </c>
      <c r="C622" t="s">
        <v>30</v>
      </c>
      <c r="D622" t="s">
        <v>31</v>
      </c>
      <c r="E622" t="s">
        <v>43</v>
      </c>
      <c r="F622" t="s">
        <v>32</v>
      </c>
      <c r="G622" t="s">
        <v>33</v>
      </c>
      <c r="H622" t="s">
        <v>57</v>
      </c>
      <c r="I622" t="s">
        <v>213</v>
      </c>
      <c r="J622" t="s">
        <v>34</v>
      </c>
      <c r="K622" t="s">
        <v>31</v>
      </c>
      <c r="L622" t="s">
        <v>35</v>
      </c>
      <c r="M622" t="s">
        <v>36</v>
      </c>
      <c r="N622" t="s">
        <v>42</v>
      </c>
      <c r="O622" t="s">
        <v>58</v>
      </c>
      <c r="P622">
        <v>280631</v>
      </c>
      <c r="Q622" t="s">
        <v>75</v>
      </c>
      <c r="R622" t="s">
        <v>76</v>
      </c>
      <c r="S622" t="s">
        <v>38</v>
      </c>
      <c r="T622">
        <v>0</v>
      </c>
      <c r="U622">
        <v>0.25</v>
      </c>
      <c r="V622" s="2">
        <v>1.0416666666666666E-2</v>
      </c>
      <c r="W622">
        <v>0</v>
      </c>
      <c r="AA622" t="s">
        <v>39</v>
      </c>
      <c r="AB622" t="s">
        <v>40</v>
      </c>
      <c r="AC622" t="s">
        <v>68</v>
      </c>
      <c r="AD622" t="s">
        <v>41</v>
      </c>
    </row>
    <row r="623" spans="1:30" hidden="1" x14ac:dyDescent="0.3">
      <c r="A623" s="1">
        <v>45506</v>
      </c>
      <c r="B623" t="s">
        <v>66</v>
      </c>
      <c r="C623" t="s">
        <v>30</v>
      </c>
      <c r="D623" t="s">
        <v>31</v>
      </c>
      <c r="E623" t="s">
        <v>43</v>
      </c>
      <c r="F623" t="s">
        <v>32</v>
      </c>
      <c r="G623" t="s">
        <v>33</v>
      </c>
      <c r="H623" t="s">
        <v>57</v>
      </c>
      <c r="I623" t="s">
        <v>213</v>
      </c>
      <c r="J623" t="s">
        <v>34</v>
      </c>
      <c r="K623" t="s">
        <v>31</v>
      </c>
      <c r="L623" t="s">
        <v>35</v>
      </c>
      <c r="M623" t="s">
        <v>36</v>
      </c>
      <c r="N623" t="s">
        <v>42</v>
      </c>
      <c r="O623" t="s">
        <v>58</v>
      </c>
      <c r="P623">
        <v>280634</v>
      </c>
      <c r="Q623" t="s">
        <v>75</v>
      </c>
      <c r="R623" t="s">
        <v>76</v>
      </c>
      <c r="S623" t="s">
        <v>38</v>
      </c>
      <c r="T623">
        <v>0</v>
      </c>
      <c r="U623">
        <v>0.25</v>
      </c>
      <c r="V623" s="2">
        <v>1.0416666666666666E-2</v>
      </c>
      <c r="W623">
        <v>0</v>
      </c>
      <c r="AA623" t="s">
        <v>39</v>
      </c>
      <c r="AB623" t="s">
        <v>40</v>
      </c>
      <c r="AC623" t="s">
        <v>68</v>
      </c>
      <c r="AD623" t="s">
        <v>41</v>
      </c>
    </row>
    <row r="624" spans="1:30" hidden="1" x14ac:dyDescent="0.3">
      <c r="A624" s="1">
        <v>45509</v>
      </c>
      <c r="B624" t="s">
        <v>66</v>
      </c>
      <c r="C624" t="s">
        <v>30</v>
      </c>
      <c r="D624" t="s">
        <v>31</v>
      </c>
      <c r="E624" t="s">
        <v>43</v>
      </c>
      <c r="F624" t="s">
        <v>32</v>
      </c>
      <c r="G624" t="s">
        <v>33</v>
      </c>
      <c r="H624" t="s">
        <v>57</v>
      </c>
      <c r="I624" t="s">
        <v>213</v>
      </c>
      <c r="J624" t="s">
        <v>34</v>
      </c>
      <c r="K624" t="s">
        <v>31</v>
      </c>
      <c r="L624" t="s">
        <v>35</v>
      </c>
      <c r="M624" t="s">
        <v>36</v>
      </c>
      <c r="N624" t="s">
        <v>42</v>
      </c>
      <c r="O624" t="s">
        <v>58</v>
      </c>
      <c r="P624">
        <v>282244</v>
      </c>
      <c r="Q624" t="s">
        <v>75</v>
      </c>
      <c r="R624" t="s">
        <v>76</v>
      </c>
      <c r="S624" t="s">
        <v>38</v>
      </c>
      <c r="T624">
        <v>0</v>
      </c>
      <c r="U624">
        <v>0.25</v>
      </c>
      <c r="V624" s="2">
        <v>1.0416666666666666E-2</v>
      </c>
      <c r="W624">
        <v>0</v>
      </c>
      <c r="AA624" t="s">
        <v>39</v>
      </c>
      <c r="AB624" t="s">
        <v>40</v>
      </c>
      <c r="AC624" t="s">
        <v>68</v>
      </c>
      <c r="AD624" t="s">
        <v>41</v>
      </c>
    </row>
    <row r="625" spans="1:30" hidden="1" x14ac:dyDescent="0.3">
      <c r="A625" s="1">
        <v>45510</v>
      </c>
      <c r="B625" t="s">
        <v>66</v>
      </c>
      <c r="C625" t="s">
        <v>30</v>
      </c>
      <c r="D625" t="s">
        <v>31</v>
      </c>
      <c r="E625" t="s">
        <v>43</v>
      </c>
      <c r="F625" t="s">
        <v>32</v>
      </c>
      <c r="G625" t="s">
        <v>33</v>
      </c>
      <c r="H625" t="s">
        <v>57</v>
      </c>
      <c r="I625" t="s">
        <v>213</v>
      </c>
      <c r="J625" t="s">
        <v>34</v>
      </c>
      <c r="K625" t="s">
        <v>31</v>
      </c>
      <c r="L625" t="s">
        <v>35</v>
      </c>
      <c r="M625" t="s">
        <v>36</v>
      </c>
      <c r="N625" t="s">
        <v>42</v>
      </c>
      <c r="O625" t="s">
        <v>58</v>
      </c>
      <c r="P625">
        <v>282245</v>
      </c>
      <c r="Q625" t="s">
        <v>75</v>
      </c>
      <c r="R625" t="s">
        <v>76</v>
      </c>
      <c r="S625" t="s">
        <v>38</v>
      </c>
      <c r="T625">
        <v>0</v>
      </c>
      <c r="U625">
        <v>0.25</v>
      </c>
      <c r="V625" s="2">
        <v>1.0416666666666666E-2</v>
      </c>
      <c r="W625">
        <v>0</v>
      </c>
      <c r="AA625" t="s">
        <v>39</v>
      </c>
      <c r="AB625" t="s">
        <v>40</v>
      </c>
      <c r="AC625" t="s">
        <v>68</v>
      </c>
      <c r="AD625" t="s">
        <v>41</v>
      </c>
    </row>
    <row r="626" spans="1:30" hidden="1" x14ac:dyDescent="0.3">
      <c r="A626" s="1">
        <v>45511</v>
      </c>
      <c r="B626" t="s">
        <v>66</v>
      </c>
      <c r="C626" t="s">
        <v>30</v>
      </c>
      <c r="D626" t="s">
        <v>31</v>
      </c>
      <c r="E626" t="s">
        <v>43</v>
      </c>
      <c r="F626" t="s">
        <v>32</v>
      </c>
      <c r="G626" t="s">
        <v>33</v>
      </c>
      <c r="H626" t="s">
        <v>57</v>
      </c>
      <c r="I626" t="s">
        <v>213</v>
      </c>
      <c r="J626" t="s">
        <v>34</v>
      </c>
      <c r="K626" t="s">
        <v>31</v>
      </c>
      <c r="L626" t="s">
        <v>35</v>
      </c>
      <c r="M626" t="s">
        <v>36</v>
      </c>
      <c r="N626" t="s">
        <v>42</v>
      </c>
      <c r="O626" t="s">
        <v>58</v>
      </c>
      <c r="P626">
        <v>282246</v>
      </c>
      <c r="Q626" t="s">
        <v>75</v>
      </c>
      <c r="R626" t="s">
        <v>76</v>
      </c>
      <c r="S626" t="s">
        <v>38</v>
      </c>
      <c r="T626">
        <v>0</v>
      </c>
      <c r="U626">
        <v>0.25</v>
      </c>
      <c r="V626" s="2">
        <v>1.0416666666666666E-2</v>
      </c>
      <c r="W626">
        <v>0</v>
      </c>
      <c r="AA626" t="s">
        <v>39</v>
      </c>
      <c r="AB626" t="s">
        <v>40</v>
      </c>
      <c r="AC626" t="s">
        <v>68</v>
      </c>
      <c r="AD626" t="s">
        <v>41</v>
      </c>
    </row>
    <row r="627" spans="1:30" hidden="1" x14ac:dyDescent="0.3">
      <c r="A627" s="1">
        <v>45512</v>
      </c>
      <c r="B627" t="s">
        <v>66</v>
      </c>
      <c r="C627" t="s">
        <v>30</v>
      </c>
      <c r="D627" t="s">
        <v>31</v>
      </c>
      <c r="E627" t="s">
        <v>43</v>
      </c>
      <c r="F627" t="s">
        <v>32</v>
      </c>
      <c r="G627" t="s">
        <v>33</v>
      </c>
      <c r="H627" t="s">
        <v>57</v>
      </c>
      <c r="I627" t="s">
        <v>213</v>
      </c>
      <c r="J627" t="s">
        <v>34</v>
      </c>
      <c r="K627" t="s">
        <v>31</v>
      </c>
      <c r="L627" t="s">
        <v>35</v>
      </c>
      <c r="M627" t="s">
        <v>36</v>
      </c>
      <c r="N627" t="s">
        <v>42</v>
      </c>
      <c r="O627" t="s">
        <v>58</v>
      </c>
      <c r="P627">
        <v>283281</v>
      </c>
      <c r="Q627" t="s">
        <v>75</v>
      </c>
      <c r="R627" t="s">
        <v>76</v>
      </c>
      <c r="S627" t="s">
        <v>38</v>
      </c>
      <c r="T627">
        <v>0</v>
      </c>
      <c r="U627">
        <v>0.25</v>
      </c>
      <c r="V627" s="2">
        <v>1.0416666666666666E-2</v>
      </c>
      <c r="W627">
        <v>0</v>
      </c>
      <c r="AA627" t="s">
        <v>39</v>
      </c>
      <c r="AB627" t="s">
        <v>40</v>
      </c>
      <c r="AC627" t="s">
        <v>68</v>
      </c>
      <c r="AD627" t="s">
        <v>41</v>
      </c>
    </row>
    <row r="628" spans="1:30" hidden="1" x14ac:dyDescent="0.3">
      <c r="A628" s="1">
        <v>45516</v>
      </c>
      <c r="B628" t="s">
        <v>66</v>
      </c>
      <c r="C628" t="s">
        <v>30</v>
      </c>
      <c r="D628" t="s">
        <v>31</v>
      </c>
      <c r="E628" t="s">
        <v>43</v>
      </c>
      <c r="F628" t="s">
        <v>32</v>
      </c>
      <c r="G628" t="s">
        <v>33</v>
      </c>
      <c r="H628" t="s">
        <v>57</v>
      </c>
      <c r="I628" t="s">
        <v>213</v>
      </c>
      <c r="J628" t="s">
        <v>34</v>
      </c>
      <c r="K628" t="s">
        <v>31</v>
      </c>
      <c r="L628" t="s">
        <v>35</v>
      </c>
      <c r="M628" t="s">
        <v>36</v>
      </c>
      <c r="N628" t="s">
        <v>42</v>
      </c>
      <c r="O628" t="s">
        <v>58</v>
      </c>
      <c r="P628">
        <v>284725</v>
      </c>
      <c r="Q628" t="s">
        <v>75</v>
      </c>
      <c r="R628" t="s">
        <v>76</v>
      </c>
      <c r="S628" t="s">
        <v>38</v>
      </c>
      <c r="T628">
        <v>0</v>
      </c>
      <c r="U628">
        <v>0.25</v>
      </c>
      <c r="V628" s="2">
        <v>1.0416666666666666E-2</v>
      </c>
      <c r="W628">
        <v>0</v>
      </c>
      <c r="AA628" t="s">
        <v>39</v>
      </c>
      <c r="AB628" t="s">
        <v>40</v>
      </c>
      <c r="AC628" t="s">
        <v>68</v>
      </c>
      <c r="AD628" t="s">
        <v>41</v>
      </c>
    </row>
    <row r="629" spans="1:30" hidden="1" x14ac:dyDescent="0.3">
      <c r="A629" s="1">
        <v>45517</v>
      </c>
      <c r="B629" t="s">
        <v>66</v>
      </c>
      <c r="C629" t="s">
        <v>30</v>
      </c>
      <c r="D629" t="s">
        <v>31</v>
      </c>
      <c r="E629" t="s">
        <v>43</v>
      </c>
      <c r="F629" t="s">
        <v>32</v>
      </c>
      <c r="G629" t="s">
        <v>33</v>
      </c>
      <c r="H629" t="s">
        <v>57</v>
      </c>
      <c r="I629" t="s">
        <v>213</v>
      </c>
      <c r="J629" t="s">
        <v>34</v>
      </c>
      <c r="K629" t="s">
        <v>31</v>
      </c>
      <c r="L629" t="s">
        <v>35</v>
      </c>
      <c r="M629" t="s">
        <v>36</v>
      </c>
      <c r="N629" t="s">
        <v>42</v>
      </c>
      <c r="O629" t="s">
        <v>58</v>
      </c>
      <c r="P629">
        <v>284726</v>
      </c>
      <c r="Q629" t="s">
        <v>75</v>
      </c>
      <c r="R629" t="s">
        <v>76</v>
      </c>
      <c r="S629" t="s">
        <v>38</v>
      </c>
      <c r="T629">
        <v>0</v>
      </c>
      <c r="U629">
        <v>0.25</v>
      </c>
      <c r="V629" s="2">
        <v>1.0416666666666666E-2</v>
      </c>
      <c r="W629">
        <v>0</v>
      </c>
      <c r="AA629" t="s">
        <v>39</v>
      </c>
      <c r="AB629" t="s">
        <v>40</v>
      </c>
      <c r="AC629" t="s">
        <v>68</v>
      </c>
      <c r="AD629" t="s">
        <v>41</v>
      </c>
    </row>
    <row r="630" spans="1:30" hidden="1" x14ac:dyDescent="0.3">
      <c r="A630" s="1">
        <v>45518</v>
      </c>
      <c r="B630" t="s">
        <v>66</v>
      </c>
      <c r="C630" t="s">
        <v>30</v>
      </c>
      <c r="D630" t="s">
        <v>31</v>
      </c>
      <c r="E630" t="s">
        <v>43</v>
      </c>
      <c r="F630" t="s">
        <v>32</v>
      </c>
      <c r="G630" t="s">
        <v>33</v>
      </c>
      <c r="H630" t="s">
        <v>57</v>
      </c>
      <c r="I630" t="s">
        <v>213</v>
      </c>
      <c r="J630" t="s">
        <v>34</v>
      </c>
      <c r="K630" t="s">
        <v>31</v>
      </c>
      <c r="L630" t="s">
        <v>35</v>
      </c>
      <c r="M630" t="s">
        <v>36</v>
      </c>
      <c r="N630" t="s">
        <v>42</v>
      </c>
      <c r="O630" t="s">
        <v>58</v>
      </c>
      <c r="P630">
        <v>284727</v>
      </c>
      <c r="Q630" t="s">
        <v>75</v>
      </c>
      <c r="R630" t="s">
        <v>76</v>
      </c>
      <c r="S630" t="s">
        <v>38</v>
      </c>
      <c r="T630">
        <v>0</v>
      </c>
      <c r="U630">
        <v>0.25</v>
      </c>
      <c r="V630" s="2">
        <v>1.0416666666666666E-2</v>
      </c>
      <c r="W630">
        <v>0</v>
      </c>
      <c r="AA630" t="s">
        <v>39</v>
      </c>
      <c r="AB630" t="s">
        <v>40</v>
      </c>
      <c r="AC630" t="s">
        <v>68</v>
      </c>
      <c r="AD630" t="s">
        <v>41</v>
      </c>
    </row>
    <row r="631" spans="1:30" hidden="1" x14ac:dyDescent="0.3">
      <c r="A631" s="1">
        <v>45519</v>
      </c>
      <c r="B631" t="s">
        <v>66</v>
      </c>
      <c r="C631" t="s">
        <v>30</v>
      </c>
      <c r="D631" t="s">
        <v>31</v>
      </c>
      <c r="E631" t="s">
        <v>43</v>
      </c>
      <c r="F631" t="s">
        <v>32</v>
      </c>
      <c r="G631" t="s">
        <v>33</v>
      </c>
      <c r="H631" t="s">
        <v>57</v>
      </c>
      <c r="I631" t="s">
        <v>213</v>
      </c>
      <c r="J631" t="s">
        <v>34</v>
      </c>
      <c r="K631" t="s">
        <v>31</v>
      </c>
      <c r="L631" t="s">
        <v>35</v>
      </c>
      <c r="M631" t="s">
        <v>36</v>
      </c>
      <c r="N631" t="s">
        <v>42</v>
      </c>
      <c r="O631" t="s">
        <v>58</v>
      </c>
      <c r="P631">
        <v>285052</v>
      </c>
      <c r="Q631" t="s">
        <v>75</v>
      </c>
      <c r="R631" t="s">
        <v>76</v>
      </c>
      <c r="S631" t="s">
        <v>38</v>
      </c>
      <c r="T631">
        <v>0</v>
      </c>
      <c r="U631">
        <v>2.25</v>
      </c>
      <c r="V631" s="2">
        <v>9.375E-2</v>
      </c>
      <c r="W631">
        <v>0</v>
      </c>
      <c r="AA631" t="s">
        <v>39</v>
      </c>
      <c r="AB631" t="s">
        <v>40</v>
      </c>
      <c r="AC631" t="s">
        <v>362</v>
      </c>
      <c r="AD631" t="s">
        <v>41</v>
      </c>
    </row>
    <row r="632" spans="1:30" hidden="1" x14ac:dyDescent="0.3">
      <c r="A632" s="1">
        <v>45523</v>
      </c>
      <c r="B632" t="s">
        <v>66</v>
      </c>
      <c r="C632" t="s">
        <v>30</v>
      </c>
      <c r="D632" t="s">
        <v>31</v>
      </c>
      <c r="E632" t="s">
        <v>43</v>
      </c>
      <c r="F632" t="s">
        <v>32</v>
      </c>
      <c r="G632" t="s">
        <v>33</v>
      </c>
      <c r="H632" t="s">
        <v>57</v>
      </c>
      <c r="I632" t="s">
        <v>213</v>
      </c>
      <c r="J632" t="s">
        <v>34</v>
      </c>
      <c r="K632" t="s">
        <v>31</v>
      </c>
      <c r="L632" t="s">
        <v>35</v>
      </c>
      <c r="M632" t="s">
        <v>36</v>
      </c>
      <c r="N632" t="s">
        <v>42</v>
      </c>
      <c r="O632" t="s">
        <v>58</v>
      </c>
      <c r="P632">
        <v>288308</v>
      </c>
      <c r="Q632" t="s">
        <v>75</v>
      </c>
      <c r="R632" t="s">
        <v>76</v>
      </c>
      <c r="S632" t="s">
        <v>38</v>
      </c>
      <c r="T632">
        <v>0</v>
      </c>
      <c r="U632">
        <v>0.25</v>
      </c>
      <c r="V632" s="2">
        <v>1.0416666666666666E-2</v>
      </c>
      <c r="W632">
        <v>0</v>
      </c>
      <c r="AA632" t="s">
        <v>39</v>
      </c>
      <c r="AB632" t="s">
        <v>40</v>
      </c>
      <c r="AC632" t="s">
        <v>68</v>
      </c>
      <c r="AD632" t="s">
        <v>41</v>
      </c>
    </row>
    <row r="633" spans="1:30" hidden="1" x14ac:dyDescent="0.3">
      <c r="A633" s="1">
        <v>45524</v>
      </c>
      <c r="B633" t="s">
        <v>66</v>
      </c>
      <c r="C633" t="s">
        <v>30</v>
      </c>
      <c r="D633" t="s">
        <v>31</v>
      </c>
      <c r="E633" t="s">
        <v>43</v>
      </c>
      <c r="F633" t="s">
        <v>32</v>
      </c>
      <c r="G633" t="s">
        <v>33</v>
      </c>
      <c r="H633" t="s">
        <v>57</v>
      </c>
      <c r="I633" t="s">
        <v>213</v>
      </c>
      <c r="J633" t="s">
        <v>34</v>
      </c>
      <c r="K633" t="s">
        <v>31</v>
      </c>
      <c r="L633" t="s">
        <v>35</v>
      </c>
      <c r="M633" t="s">
        <v>36</v>
      </c>
      <c r="N633" t="s">
        <v>42</v>
      </c>
      <c r="O633" t="s">
        <v>58</v>
      </c>
      <c r="P633">
        <v>288309</v>
      </c>
      <c r="Q633" t="s">
        <v>75</v>
      </c>
      <c r="R633" t="s">
        <v>76</v>
      </c>
      <c r="S633" t="s">
        <v>38</v>
      </c>
      <c r="T633">
        <v>0</v>
      </c>
      <c r="U633">
        <v>0.25</v>
      </c>
      <c r="V633" s="2">
        <v>1.0416666666666666E-2</v>
      </c>
      <c r="W633">
        <v>0</v>
      </c>
      <c r="AA633" t="s">
        <v>39</v>
      </c>
      <c r="AB633" t="s">
        <v>40</v>
      </c>
      <c r="AC633" t="s">
        <v>68</v>
      </c>
      <c r="AD633" t="s">
        <v>41</v>
      </c>
    </row>
    <row r="634" spans="1:30" hidden="1" x14ac:dyDescent="0.3">
      <c r="A634" s="1">
        <v>45525</v>
      </c>
      <c r="B634" t="s">
        <v>66</v>
      </c>
      <c r="C634" t="s">
        <v>30</v>
      </c>
      <c r="D634" t="s">
        <v>31</v>
      </c>
      <c r="E634" t="s">
        <v>43</v>
      </c>
      <c r="F634" t="s">
        <v>32</v>
      </c>
      <c r="G634" t="s">
        <v>33</v>
      </c>
      <c r="H634" t="s">
        <v>57</v>
      </c>
      <c r="I634" t="s">
        <v>213</v>
      </c>
      <c r="J634" t="s">
        <v>34</v>
      </c>
      <c r="K634" t="s">
        <v>31</v>
      </c>
      <c r="L634" t="s">
        <v>35</v>
      </c>
      <c r="M634" t="s">
        <v>36</v>
      </c>
      <c r="N634" t="s">
        <v>42</v>
      </c>
      <c r="O634" t="s">
        <v>58</v>
      </c>
      <c r="P634">
        <v>288310</v>
      </c>
      <c r="Q634" t="s">
        <v>75</v>
      </c>
      <c r="R634" t="s">
        <v>76</v>
      </c>
      <c r="S634" t="s">
        <v>38</v>
      </c>
      <c r="T634">
        <v>0</v>
      </c>
      <c r="U634">
        <v>0.25</v>
      </c>
      <c r="V634" s="2">
        <v>1.0416666666666666E-2</v>
      </c>
      <c r="W634">
        <v>0</v>
      </c>
      <c r="AA634" t="s">
        <v>39</v>
      </c>
      <c r="AB634" t="s">
        <v>40</v>
      </c>
      <c r="AC634" t="s">
        <v>68</v>
      </c>
      <c r="AD634" t="s">
        <v>41</v>
      </c>
    </row>
    <row r="635" spans="1:30" hidden="1" x14ac:dyDescent="0.3">
      <c r="A635" s="1">
        <v>45526</v>
      </c>
      <c r="B635" t="s">
        <v>66</v>
      </c>
      <c r="C635" t="s">
        <v>30</v>
      </c>
      <c r="D635" t="s">
        <v>31</v>
      </c>
      <c r="E635" t="s">
        <v>43</v>
      </c>
      <c r="F635" t="s">
        <v>32</v>
      </c>
      <c r="G635" t="s">
        <v>33</v>
      </c>
      <c r="H635" t="s">
        <v>57</v>
      </c>
      <c r="I635" t="s">
        <v>213</v>
      </c>
      <c r="J635" t="s">
        <v>34</v>
      </c>
      <c r="K635" t="s">
        <v>31</v>
      </c>
      <c r="L635" t="s">
        <v>35</v>
      </c>
      <c r="M635" t="s">
        <v>36</v>
      </c>
      <c r="N635" t="s">
        <v>42</v>
      </c>
      <c r="O635" t="s">
        <v>58</v>
      </c>
      <c r="P635">
        <v>288311</v>
      </c>
      <c r="Q635" t="s">
        <v>75</v>
      </c>
      <c r="R635" t="s">
        <v>76</v>
      </c>
      <c r="S635" t="s">
        <v>38</v>
      </c>
      <c r="T635">
        <v>0</v>
      </c>
      <c r="U635">
        <v>0.25</v>
      </c>
      <c r="V635" s="2">
        <v>1.0416666666666666E-2</v>
      </c>
      <c r="W635">
        <v>0</v>
      </c>
      <c r="AA635" t="s">
        <v>39</v>
      </c>
      <c r="AB635" t="s">
        <v>40</v>
      </c>
      <c r="AC635" t="s">
        <v>68</v>
      </c>
      <c r="AD635" t="s">
        <v>41</v>
      </c>
    </row>
    <row r="636" spans="1:30" hidden="1" x14ac:dyDescent="0.3">
      <c r="A636" s="1">
        <v>45527</v>
      </c>
      <c r="B636" t="s">
        <v>66</v>
      </c>
      <c r="C636" t="s">
        <v>30</v>
      </c>
      <c r="D636" t="s">
        <v>31</v>
      </c>
      <c r="E636" t="s">
        <v>43</v>
      </c>
      <c r="F636" t="s">
        <v>32</v>
      </c>
      <c r="G636" t="s">
        <v>33</v>
      </c>
      <c r="H636" t="s">
        <v>57</v>
      </c>
      <c r="I636" t="s">
        <v>213</v>
      </c>
      <c r="J636" t="s">
        <v>34</v>
      </c>
      <c r="K636" t="s">
        <v>31</v>
      </c>
      <c r="L636" t="s">
        <v>35</v>
      </c>
      <c r="M636" t="s">
        <v>36</v>
      </c>
      <c r="N636" t="s">
        <v>42</v>
      </c>
      <c r="O636" t="s">
        <v>58</v>
      </c>
      <c r="P636">
        <v>288354</v>
      </c>
      <c r="Q636" t="s">
        <v>75</v>
      </c>
      <c r="R636" t="s">
        <v>76</v>
      </c>
      <c r="S636" t="s">
        <v>38</v>
      </c>
      <c r="T636">
        <v>0</v>
      </c>
      <c r="U636">
        <v>0.25</v>
      </c>
      <c r="V636" s="2">
        <v>1.0416666666666666E-2</v>
      </c>
      <c r="W636">
        <v>0</v>
      </c>
      <c r="AA636" t="s">
        <v>39</v>
      </c>
      <c r="AB636" t="s">
        <v>40</v>
      </c>
      <c r="AC636" t="s">
        <v>68</v>
      </c>
      <c r="AD636" t="s">
        <v>41</v>
      </c>
    </row>
    <row r="637" spans="1:30" hidden="1" x14ac:dyDescent="0.3">
      <c r="A637" s="1">
        <v>45530</v>
      </c>
      <c r="B637" t="s">
        <v>66</v>
      </c>
      <c r="C637" t="s">
        <v>30</v>
      </c>
      <c r="D637" t="s">
        <v>31</v>
      </c>
      <c r="E637" t="s">
        <v>43</v>
      </c>
      <c r="F637" t="s">
        <v>32</v>
      </c>
      <c r="G637" t="s">
        <v>33</v>
      </c>
      <c r="H637" t="s">
        <v>57</v>
      </c>
      <c r="I637" t="s">
        <v>213</v>
      </c>
      <c r="J637" t="s">
        <v>34</v>
      </c>
      <c r="K637" t="s">
        <v>31</v>
      </c>
      <c r="L637" t="s">
        <v>35</v>
      </c>
      <c r="M637" t="s">
        <v>36</v>
      </c>
      <c r="N637" t="s">
        <v>42</v>
      </c>
      <c r="O637" t="s">
        <v>58</v>
      </c>
      <c r="P637">
        <v>289297</v>
      </c>
      <c r="Q637" t="s">
        <v>75</v>
      </c>
      <c r="R637" t="s">
        <v>76</v>
      </c>
      <c r="S637" t="s">
        <v>38</v>
      </c>
      <c r="T637">
        <v>0</v>
      </c>
      <c r="U637">
        <v>0.25</v>
      </c>
      <c r="V637" s="2">
        <v>1.0416666666666666E-2</v>
      </c>
      <c r="W637">
        <v>0</v>
      </c>
      <c r="AA637" t="s">
        <v>39</v>
      </c>
      <c r="AB637" t="s">
        <v>40</v>
      </c>
      <c r="AC637" t="s">
        <v>68</v>
      </c>
      <c r="AD637" t="s">
        <v>41</v>
      </c>
    </row>
    <row r="638" spans="1:30" hidden="1" x14ac:dyDescent="0.3">
      <c r="A638" s="1">
        <v>45531</v>
      </c>
      <c r="B638" t="s">
        <v>66</v>
      </c>
      <c r="C638" t="s">
        <v>30</v>
      </c>
      <c r="D638" t="s">
        <v>31</v>
      </c>
      <c r="E638" t="s">
        <v>43</v>
      </c>
      <c r="F638" t="s">
        <v>32</v>
      </c>
      <c r="G638" t="s">
        <v>33</v>
      </c>
      <c r="H638" t="s">
        <v>57</v>
      </c>
      <c r="I638" t="s">
        <v>213</v>
      </c>
      <c r="J638" t="s">
        <v>34</v>
      </c>
      <c r="K638" t="s">
        <v>31</v>
      </c>
      <c r="L638" t="s">
        <v>35</v>
      </c>
      <c r="M638" t="s">
        <v>36</v>
      </c>
      <c r="N638" t="s">
        <v>42</v>
      </c>
      <c r="O638" t="s">
        <v>58</v>
      </c>
      <c r="P638">
        <v>290094</v>
      </c>
      <c r="Q638" t="s">
        <v>75</v>
      </c>
      <c r="R638" t="s">
        <v>76</v>
      </c>
      <c r="S638" t="s">
        <v>38</v>
      </c>
      <c r="T638">
        <v>0</v>
      </c>
      <c r="U638">
        <v>0.25</v>
      </c>
      <c r="V638" s="2">
        <v>1.0416666666666666E-2</v>
      </c>
      <c r="W638">
        <v>0</v>
      </c>
      <c r="AA638" t="s">
        <v>39</v>
      </c>
      <c r="AB638" t="s">
        <v>40</v>
      </c>
      <c r="AC638" t="s">
        <v>68</v>
      </c>
      <c r="AD638" t="s">
        <v>41</v>
      </c>
    </row>
    <row r="639" spans="1:30" hidden="1" x14ac:dyDescent="0.3">
      <c r="A639" s="1">
        <v>45532</v>
      </c>
      <c r="B639" t="s">
        <v>66</v>
      </c>
      <c r="C639" t="s">
        <v>30</v>
      </c>
      <c r="D639" t="s">
        <v>31</v>
      </c>
      <c r="E639" t="s">
        <v>43</v>
      </c>
      <c r="F639" t="s">
        <v>32</v>
      </c>
      <c r="G639" t="s">
        <v>33</v>
      </c>
      <c r="H639" t="s">
        <v>57</v>
      </c>
      <c r="I639" t="s">
        <v>213</v>
      </c>
      <c r="J639" t="s">
        <v>34</v>
      </c>
      <c r="K639" t="s">
        <v>31</v>
      </c>
      <c r="L639" t="s">
        <v>35</v>
      </c>
      <c r="M639" t="s">
        <v>36</v>
      </c>
      <c r="N639" t="s">
        <v>42</v>
      </c>
      <c r="O639" t="s">
        <v>58</v>
      </c>
      <c r="P639">
        <v>290812</v>
      </c>
      <c r="Q639" t="s">
        <v>75</v>
      </c>
      <c r="R639" t="s">
        <v>76</v>
      </c>
      <c r="S639" t="s">
        <v>38</v>
      </c>
      <c r="T639">
        <v>0</v>
      </c>
      <c r="U639">
        <v>0.25</v>
      </c>
      <c r="V639" s="2">
        <v>1.0416666666666666E-2</v>
      </c>
      <c r="W639">
        <v>0</v>
      </c>
      <c r="AA639" t="s">
        <v>39</v>
      </c>
      <c r="AB639" t="s">
        <v>40</v>
      </c>
      <c r="AC639" t="s">
        <v>68</v>
      </c>
      <c r="AD639" t="s">
        <v>41</v>
      </c>
    </row>
    <row r="640" spans="1:30" hidden="1" x14ac:dyDescent="0.3">
      <c r="A640" s="1">
        <v>45533</v>
      </c>
      <c r="B640" t="s">
        <v>66</v>
      </c>
      <c r="C640" t="s">
        <v>30</v>
      </c>
      <c r="D640" t="s">
        <v>31</v>
      </c>
      <c r="E640" t="s">
        <v>43</v>
      </c>
      <c r="F640" t="s">
        <v>32</v>
      </c>
      <c r="G640" t="s">
        <v>33</v>
      </c>
      <c r="H640" t="s">
        <v>57</v>
      </c>
      <c r="I640" t="s">
        <v>213</v>
      </c>
      <c r="J640" t="s">
        <v>34</v>
      </c>
      <c r="K640" t="s">
        <v>31</v>
      </c>
      <c r="L640" t="s">
        <v>35</v>
      </c>
      <c r="M640" t="s">
        <v>36</v>
      </c>
      <c r="N640" t="s">
        <v>42</v>
      </c>
      <c r="O640" t="s">
        <v>58</v>
      </c>
      <c r="P640">
        <v>291516</v>
      </c>
      <c r="Q640" t="s">
        <v>75</v>
      </c>
      <c r="R640" t="s">
        <v>76</v>
      </c>
      <c r="S640" t="s">
        <v>38</v>
      </c>
      <c r="T640">
        <v>0</v>
      </c>
      <c r="U640">
        <v>0.25</v>
      </c>
      <c r="V640" s="2">
        <v>1.0416666666666666E-2</v>
      </c>
      <c r="W640">
        <v>0</v>
      </c>
      <c r="AA640" t="s">
        <v>39</v>
      </c>
      <c r="AB640" t="s">
        <v>40</v>
      </c>
      <c r="AC640" t="s">
        <v>68</v>
      </c>
      <c r="AD640" t="s">
        <v>41</v>
      </c>
    </row>
    <row r="641" spans="1:30" hidden="1" x14ac:dyDescent="0.3">
      <c r="A641" s="1">
        <v>45539</v>
      </c>
      <c r="B641" t="s">
        <v>66</v>
      </c>
      <c r="C641" t="s">
        <v>30</v>
      </c>
      <c r="D641" t="s">
        <v>31</v>
      </c>
      <c r="E641" t="s">
        <v>43</v>
      </c>
      <c r="F641" t="s">
        <v>32</v>
      </c>
      <c r="G641" t="s">
        <v>33</v>
      </c>
      <c r="H641" t="s">
        <v>57</v>
      </c>
      <c r="I641" t="s">
        <v>213</v>
      </c>
      <c r="J641" t="s">
        <v>34</v>
      </c>
      <c r="K641" t="s">
        <v>31</v>
      </c>
      <c r="L641" t="s">
        <v>35</v>
      </c>
      <c r="M641" t="s">
        <v>36</v>
      </c>
      <c r="N641" t="s">
        <v>42</v>
      </c>
      <c r="O641" t="s">
        <v>58</v>
      </c>
      <c r="P641">
        <v>295161</v>
      </c>
      <c r="Q641" t="s">
        <v>59</v>
      </c>
      <c r="R641" t="s">
        <v>37</v>
      </c>
      <c r="S641" t="s">
        <v>38</v>
      </c>
      <c r="T641">
        <v>90</v>
      </c>
      <c r="U641">
        <v>1</v>
      </c>
      <c r="V641" s="2">
        <v>4.1666666666666664E-2</v>
      </c>
      <c r="W641">
        <v>90</v>
      </c>
      <c r="X641">
        <v>120</v>
      </c>
      <c r="Y641">
        <v>30</v>
      </c>
      <c r="Z641" t="s">
        <v>386</v>
      </c>
      <c r="AA641" t="s">
        <v>39</v>
      </c>
      <c r="AB641" t="s">
        <v>40</v>
      </c>
      <c r="AC641" t="s">
        <v>374</v>
      </c>
      <c r="AD641" t="s">
        <v>41</v>
      </c>
    </row>
    <row r="642" spans="1:30" hidden="1" x14ac:dyDescent="0.3">
      <c r="A642" s="1">
        <v>45539</v>
      </c>
      <c r="B642" t="s">
        <v>66</v>
      </c>
      <c r="C642" t="s">
        <v>30</v>
      </c>
      <c r="D642" t="s">
        <v>31</v>
      </c>
      <c r="E642" t="s">
        <v>43</v>
      </c>
      <c r="F642" t="s">
        <v>32</v>
      </c>
      <c r="G642" t="s">
        <v>33</v>
      </c>
      <c r="H642" t="s">
        <v>57</v>
      </c>
      <c r="I642" t="s">
        <v>213</v>
      </c>
      <c r="J642" t="s">
        <v>34</v>
      </c>
      <c r="K642" t="s">
        <v>31</v>
      </c>
      <c r="L642" t="s">
        <v>35</v>
      </c>
      <c r="M642" t="s">
        <v>36</v>
      </c>
      <c r="N642" t="s">
        <v>42</v>
      </c>
      <c r="O642" t="s">
        <v>58</v>
      </c>
      <c r="P642">
        <v>295152</v>
      </c>
      <c r="Q642" t="s">
        <v>75</v>
      </c>
      <c r="R642" t="s">
        <v>76</v>
      </c>
      <c r="S642" t="s">
        <v>38</v>
      </c>
      <c r="T642">
        <v>0</v>
      </c>
      <c r="U642">
        <v>4.25</v>
      </c>
      <c r="V642" s="2">
        <v>0.17708333333333334</v>
      </c>
      <c r="W642">
        <v>0</v>
      </c>
      <c r="AA642" t="s">
        <v>39</v>
      </c>
      <c r="AB642" t="s">
        <v>40</v>
      </c>
      <c r="AC642" t="s">
        <v>374</v>
      </c>
      <c r="AD642" t="s">
        <v>41</v>
      </c>
    </row>
    <row r="643" spans="1:30" hidden="1" x14ac:dyDescent="0.3">
      <c r="A643" s="1">
        <v>45540</v>
      </c>
      <c r="B643" t="s">
        <v>66</v>
      </c>
      <c r="C643" t="s">
        <v>30</v>
      </c>
      <c r="D643" t="s">
        <v>31</v>
      </c>
      <c r="E643" t="s">
        <v>43</v>
      </c>
      <c r="F643" t="s">
        <v>32</v>
      </c>
      <c r="G643" t="s">
        <v>33</v>
      </c>
      <c r="H643" t="s">
        <v>57</v>
      </c>
      <c r="I643" t="s">
        <v>213</v>
      </c>
      <c r="J643" t="s">
        <v>34</v>
      </c>
      <c r="K643" t="s">
        <v>31</v>
      </c>
      <c r="L643" t="s">
        <v>35</v>
      </c>
      <c r="M643" t="s">
        <v>36</v>
      </c>
      <c r="N643" t="s">
        <v>42</v>
      </c>
      <c r="O643" t="s">
        <v>58</v>
      </c>
      <c r="P643">
        <v>295153</v>
      </c>
      <c r="Q643" t="s">
        <v>75</v>
      </c>
      <c r="R643" t="s">
        <v>76</v>
      </c>
      <c r="S643" t="s">
        <v>38</v>
      </c>
      <c r="T643">
        <v>0</v>
      </c>
      <c r="U643">
        <v>0.25</v>
      </c>
      <c r="V643" s="2">
        <v>1.0416666666666666E-2</v>
      </c>
      <c r="W643">
        <v>0</v>
      </c>
      <c r="AA643" t="s">
        <v>39</v>
      </c>
      <c r="AB643" t="s">
        <v>40</v>
      </c>
      <c r="AC643" t="s">
        <v>68</v>
      </c>
      <c r="AD643" t="s">
        <v>41</v>
      </c>
    </row>
    <row r="644" spans="1:30" hidden="1" x14ac:dyDescent="0.3">
      <c r="A644" s="1">
        <v>45541</v>
      </c>
      <c r="B644" t="s">
        <v>66</v>
      </c>
      <c r="C644" t="s">
        <v>30</v>
      </c>
      <c r="D644" t="s">
        <v>31</v>
      </c>
      <c r="E644" t="s">
        <v>43</v>
      </c>
      <c r="F644" t="s">
        <v>32</v>
      </c>
      <c r="G644" t="s">
        <v>33</v>
      </c>
      <c r="H644" t="s">
        <v>57</v>
      </c>
      <c r="I644" t="s">
        <v>213</v>
      </c>
      <c r="J644" t="s">
        <v>34</v>
      </c>
      <c r="K644" t="s">
        <v>31</v>
      </c>
      <c r="L644" t="s">
        <v>35</v>
      </c>
      <c r="M644" t="s">
        <v>36</v>
      </c>
      <c r="N644" t="s">
        <v>42</v>
      </c>
      <c r="O644" t="s">
        <v>58</v>
      </c>
      <c r="P644">
        <v>295155</v>
      </c>
      <c r="Q644" t="s">
        <v>75</v>
      </c>
      <c r="R644" t="s">
        <v>76</v>
      </c>
      <c r="S644" t="s">
        <v>38</v>
      </c>
      <c r="T644">
        <v>0</v>
      </c>
      <c r="U644">
        <v>0.25</v>
      </c>
      <c r="V644" s="2">
        <v>1.0416666666666666E-2</v>
      </c>
      <c r="W644">
        <v>0</v>
      </c>
      <c r="AA644" t="s">
        <v>39</v>
      </c>
      <c r="AB644" t="s">
        <v>40</v>
      </c>
      <c r="AC644" t="s">
        <v>68</v>
      </c>
      <c r="AD644" t="s">
        <v>41</v>
      </c>
    </row>
    <row r="645" spans="1:30" x14ac:dyDescent="0.3">
      <c r="A645" s="1">
        <v>45569</v>
      </c>
      <c r="B645" t="s">
        <v>66</v>
      </c>
      <c r="C645" t="s">
        <v>30</v>
      </c>
      <c r="D645" t="s">
        <v>31</v>
      </c>
      <c r="E645" t="s">
        <v>43</v>
      </c>
      <c r="F645" t="s">
        <v>32</v>
      </c>
      <c r="G645" t="s">
        <v>33</v>
      </c>
      <c r="H645" t="s">
        <v>57</v>
      </c>
      <c r="I645" t="s">
        <v>213</v>
      </c>
      <c r="J645" t="s">
        <v>34</v>
      </c>
      <c r="K645" t="s">
        <v>31</v>
      </c>
      <c r="L645" t="s">
        <v>35</v>
      </c>
      <c r="M645" t="s">
        <v>36</v>
      </c>
      <c r="N645" t="s">
        <v>42</v>
      </c>
      <c r="O645" t="s">
        <v>58</v>
      </c>
      <c r="P645">
        <v>308971</v>
      </c>
      <c r="Q645" t="s">
        <v>75</v>
      </c>
      <c r="R645" t="s">
        <v>76</v>
      </c>
      <c r="S645" t="s">
        <v>38</v>
      </c>
      <c r="T645">
        <v>0</v>
      </c>
      <c r="U645">
        <v>0.5</v>
      </c>
      <c r="V645" s="2">
        <v>2.0833333333333332E-2</v>
      </c>
      <c r="W645">
        <v>0</v>
      </c>
      <c r="AA645" t="s">
        <v>39</v>
      </c>
      <c r="AB645" t="s">
        <v>40</v>
      </c>
      <c r="AC645" t="s">
        <v>398</v>
      </c>
      <c r="AD645" t="s">
        <v>41</v>
      </c>
    </row>
    <row r="646" spans="1:30" x14ac:dyDescent="0.3">
      <c r="A646" s="1">
        <v>45574</v>
      </c>
      <c r="B646" t="s">
        <v>66</v>
      </c>
      <c r="C646" t="s">
        <v>30</v>
      </c>
      <c r="D646" t="s">
        <v>31</v>
      </c>
      <c r="E646" t="s">
        <v>43</v>
      </c>
      <c r="F646" t="s">
        <v>32</v>
      </c>
      <c r="G646" t="s">
        <v>33</v>
      </c>
      <c r="H646" t="s">
        <v>57</v>
      </c>
      <c r="I646" t="s">
        <v>213</v>
      </c>
      <c r="J646" t="s">
        <v>34</v>
      </c>
      <c r="K646" t="s">
        <v>31</v>
      </c>
      <c r="L646" t="s">
        <v>35</v>
      </c>
      <c r="M646" t="s">
        <v>36</v>
      </c>
      <c r="N646" t="s">
        <v>42</v>
      </c>
      <c r="O646" t="s">
        <v>58</v>
      </c>
      <c r="P646">
        <v>309061</v>
      </c>
      <c r="Q646" t="s">
        <v>75</v>
      </c>
      <c r="R646" t="s">
        <v>76</v>
      </c>
      <c r="S646" t="s">
        <v>38</v>
      </c>
      <c r="T646">
        <v>0</v>
      </c>
      <c r="U646">
        <v>0.25</v>
      </c>
      <c r="V646" s="2">
        <v>1.0416666666666666E-2</v>
      </c>
      <c r="W646">
        <v>0</v>
      </c>
      <c r="AA646" t="s">
        <v>39</v>
      </c>
      <c r="AB646" t="s">
        <v>40</v>
      </c>
      <c r="AC646" t="s">
        <v>68</v>
      </c>
      <c r="AD646" t="s">
        <v>41</v>
      </c>
    </row>
    <row r="647" spans="1:30" x14ac:dyDescent="0.3">
      <c r="A647" s="1">
        <v>45575</v>
      </c>
      <c r="B647" t="s">
        <v>66</v>
      </c>
      <c r="C647" t="s">
        <v>30</v>
      </c>
      <c r="D647" t="s">
        <v>31</v>
      </c>
      <c r="E647" t="s">
        <v>43</v>
      </c>
      <c r="F647" t="s">
        <v>32</v>
      </c>
      <c r="G647" t="s">
        <v>33</v>
      </c>
      <c r="H647" t="s">
        <v>57</v>
      </c>
      <c r="I647" t="s">
        <v>213</v>
      </c>
      <c r="J647" t="s">
        <v>34</v>
      </c>
      <c r="K647" t="s">
        <v>31</v>
      </c>
      <c r="L647" t="s">
        <v>35</v>
      </c>
      <c r="M647" t="s">
        <v>36</v>
      </c>
      <c r="N647" t="s">
        <v>42</v>
      </c>
      <c r="O647" t="s">
        <v>58</v>
      </c>
      <c r="P647">
        <v>309120</v>
      </c>
      <c r="Q647" t="s">
        <v>59</v>
      </c>
      <c r="R647" t="s">
        <v>37</v>
      </c>
      <c r="S647" t="s">
        <v>38</v>
      </c>
      <c r="T647">
        <v>90</v>
      </c>
      <c r="U647">
        <v>2</v>
      </c>
      <c r="V647" s="2">
        <v>8.3333333333333329E-2</v>
      </c>
      <c r="W647">
        <v>180</v>
      </c>
      <c r="AA647" t="s">
        <v>39</v>
      </c>
      <c r="AB647" t="s">
        <v>40</v>
      </c>
      <c r="AC647" t="s">
        <v>399</v>
      </c>
      <c r="AD647" t="s">
        <v>41</v>
      </c>
    </row>
    <row r="648" spans="1:30" x14ac:dyDescent="0.3">
      <c r="A648" s="1">
        <v>45575</v>
      </c>
      <c r="B648" t="s">
        <v>66</v>
      </c>
      <c r="C648" t="s">
        <v>30</v>
      </c>
      <c r="D648" t="s">
        <v>31</v>
      </c>
      <c r="E648" t="s">
        <v>43</v>
      </c>
      <c r="F648" t="s">
        <v>32</v>
      </c>
      <c r="G648" t="s">
        <v>33</v>
      </c>
      <c r="H648" t="s">
        <v>57</v>
      </c>
      <c r="I648" t="s">
        <v>213</v>
      </c>
      <c r="J648" t="s">
        <v>34</v>
      </c>
      <c r="K648" t="s">
        <v>31</v>
      </c>
      <c r="L648" t="s">
        <v>35</v>
      </c>
      <c r="M648" t="s">
        <v>36</v>
      </c>
      <c r="N648" t="s">
        <v>42</v>
      </c>
      <c r="O648" t="s">
        <v>58</v>
      </c>
      <c r="P648">
        <v>309114</v>
      </c>
      <c r="Q648" t="s">
        <v>75</v>
      </c>
      <c r="R648" t="s">
        <v>76</v>
      </c>
      <c r="S648" t="s">
        <v>38</v>
      </c>
      <c r="T648">
        <v>0</v>
      </c>
      <c r="U648">
        <v>0.25</v>
      </c>
      <c r="V648" s="2">
        <v>1.0416666666666666E-2</v>
      </c>
      <c r="W648">
        <v>0</v>
      </c>
      <c r="AA648" t="s">
        <v>39</v>
      </c>
      <c r="AB648" t="s">
        <v>40</v>
      </c>
      <c r="AC648" t="s">
        <v>400</v>
      </c>
      <c r="AD648" t="s">
        <v>41</v>
      </c>
    </row>
    <row r="649" spans="1:30" x14ac:dyDescent="0.3">
      <c r="A649" s="1">
        <v>45579</v>
      </c>
      <c r="B649" t="s">
        <v>66</v>
      </c>
      <c r="C649" t="s">
        <v>30</v>
      </c>
      <c r="D649" t="s">
        <v>31</v>
      </c>
      <c r="E649" t="s">
        <v>43</v>
      </c>
      <c r="F649" t="s">
        <v>32</v>
      </c>
      <c r="G649" t="s">
        <v>33</v>
      </c>
      <c r="H649" t="s">
        <v>57</v>
      </c>
      <c r="I649" t="s">
        <v>213</v>
      </c>
      <c r="J649" t="s">
        <v>34</v>
      </c>
      <c r="K649" t="s">
        <v>31</v>
      </c>
      <c r="L649" t="s">
        <v>35</v>
      </c>
      <c r="M649" t="s">
        <v>36</v>
      </c>
      <c r="N649" t="s">
        <v>42</v>
      </c>
      <c r="O649" t="s">
        <v>58</v>
      </c>
      <c r="P649">
        <v>310444</v>
      </c>
      <c r="Q649" t="s">
        <v>59</v>
      </c>
      <c r="R649" t="s">
        <v>37</v>
      </c>
      <c r="S649" t="s">
        <v>38</v>
      </c>
      <c r="T649">
        <v>90</v>
      </c>
      <c r="U649">
        <v>2</v>
      </c>
      <c r="V649" s="2">
        <v>8.3333333333333329E-2</v>
      </c>
      <c r="W649">
        <v>180</v>
      </c>
      <c r="AA649" t="s">
        <v>39</v>
      </c>
      <c r="AC649" t="s">
        <v>68</v>
      </c>
      <c r="AD649" t="s">
        <v>41</v>
      </c>
    </row>
    <row r="650" spans="1:30" x14ac:dyDescent="0.3">
      <c r="A650" s="1">
        <v>45579</v>
      </c>
      <c r="B650" t="s">
        <v>66</v>
      </c>
      <c r="C650" t="s">
        <v>30</v>
      </c>
      <c r="D650" t="s">
        <v>31</v>
      </c>
      <c r="E650" t="s">
        <v>43</v>
      </c>
      <c r="F650" t="s">
        <v>32</v>
      </c>
      <c r="G650" t="s">
        <v>33</v>
      </c>
      <c r="H650" t="s">
        <v>57</v>
      </c>
      <c r="I650" t="s">
        <v>213</v>
      </c>
      <c r="J650" t="s">
        <v>34</v>
      </c>
      <c r="K650" t="s">
        <v>31</v>
      </c>
      <c r="L650" t="s">
        <v>35</v>
      </c>
      <c r="M650" t="s">
        <v>36</v>
      </c>
      <c r="N650" t="s">
        <v>42</v>
      </c>
      <c r="O650" t="s">
        <v>58</v>
      </c>
      <c r="P650">
        <v>310446</v>
      </c>
      <c r="Q650" t="s">
        <v>75</v>
      </c>
      <c r="R650" t="s">
        <v>76</v>
      </c>
      <c r="S650" t="s">
        <v>38</v>
      </c>
      <c r="T650">
        <v>0</v>
      </c>
      <c r="U650">
        <v>4</v>
      </c>
      <c r="V650" s="2">
        <v>0.16666666666666666</v>
      </c>
      <c r="W650">
        <v>0</v>
      </c>
      <c r="AA650" t="s">
        <v>39</v>
      </c>
      <c r="AC650" t="s">
        <v>441</v>
      </c>
      <c r="AD650" t="s">
        <v>41</v>
      </c>
    </row>
    <row r="651" spans="1:30" x14ac:dyDescent="0.3">
      <c r="A651" s="1">
        <v>45580</v>
      </c>
      <c r="B651" t="s">
        <v>66</v>
      </c>
      <c r="C651" t="s">
        <v>30</v>
      </c>
      <c r="D651" t="s">
        <v>31</v>
      </c>
      <c r="E651" t="s">
        <v>43</v>
      </c>
      <c r="F651" t="s">
        <v>32</v>
      </c>
      <c r="G651" t="s">
        <v>33</v>
      </c>
      <c r="H651" t="s">
        <v>57</v>
      </c>
      <c r="I651" t="s">
        <v>213</v>
      </c>
      <c r="J651" t="s">
        <v>34</v>
      </c>
      <c r="K651" t="s">
        <v>31</v>
      </c>
      <c r="L651" t="s">
        <v>35</v>
      </c>
      <c r="M651" t="s">
        <v>36</v>
      </c>
      <c r="N651" t="s">
        <v>42</v>
      </c>
      <c r="O651" t="s">
        <v>58</v>
      </c>
      <c r="P651">
        <v>310445</v>
      </c>
      <c r="Q651" t="s">
        <v>59</v>
      </c>
      <c r="R651" t="s">
        <v>37</v>
      </c>
      <c r="S651" t="s">
        <v>38</v>
      </c>
      <c r="T651">
        <v>90</v>
      </c>
      <c r="U651">
        <v>1</v>
      </c>
      <c r="V651" s="2">
        <v>4.1666666666666664E-2</v>
      </c>
      <c r="W651">
        <v>90</v>
      </c>
      <c r="AA651" t="s">
        <v>39</v>
      </c>
      <c r="AC651" t="s">
        <v>68</v>
      </c>
      <c r="AD651" t="s">
        <v>41</v>
      </c>
    </row>
    <row r="652" spans="1:30" x14ac:dyDescent="0.3">
      <c r="A652" s="1">
        <v>45580</v>
      </c>
      <c r="B652" t="s">
        <v>66</v>
      </c>
      <c r="C652" t="s">
        <v>30</v>
      </c>
      <c r="D652" t="s">
        <v>31</v>
      </c>
      <c r="E652" t="s">
        <v>43</v>
      </c>
      <c r="F652" t="s">
        <v>32</v>
      </c>
      <c r="G652" t="s">
        <v>33</v>
      </c>
      <c r="H652" t="s">
        <v>57</v>
      </c>
      <c r="I652" t="s">
        <v>213</v>
      </c>
      <c r="J652" t="s">
        <v>34</v>
      </c>
      <c r="K652" t="s">
        <v>31</v>
      </c>
      <c r="L652" t="s">
        <v>35</v>
      </c>
      <c r="M652" t="s">
        <v>36</v>
      </c>
      <c r="N652" t="s">
        <v>42</v>
      </c>
      <c r="O652" t="s">
        <v>58</v>
      </c>
      <c r="P652">
        <v>310447</v>
      </c>
      <c r="Q652" t="s">
        <v>75</v>
      </c>
      <c r="R652" t="s">
        <v>76</v>
      </c>
      <c r="S652" t="s">
        <v>38</v>
      </c>
      <c r="T652">
        <v>0</v>
      </c>
      <c r="U652">
        <v>3.25</v>
      </c>
      <c r="V652" s="2">
        <v>0.13541666666666666</v>
      </c>
      <c r="W652">
        <v>0</v>
      </c>
      <c r="AA652" t="s">
        <v>39</v>
      </c>
      <c r="AC652" t="s">
        <v>442</v>
      </c>
      <c r="AD652" t="s">
        <v>41</v>
      </c>
    </row>
    <row r="653" spans="1:30" x14ac:dyDescent="0.3">
      <c r="A653" s="1">
        <v>45581</v>
      </c>
      <c r="B653" t="s">
        <v>66</v>
      </c>
      <c r="C653" t="s">
        <v>30</v>
      </c>
      <c r="D653" t="s">
        <v>31</v>
      </c>
      <c r="E653" t="s">
        <v>43</v>
      </c>
      <c r="F653" t="s">
        <v>32</v>
      </c>
      <c r="G653" t="s">
        <v>33</v>
      </c>
      <c r="H653" t="s">
        <v>57</v>
      </c>
      <c r="I653" t="s">
        <v>213</v>
      </c>
      <c r="J653" t="s">
        <v>34</v>
      </c>
      <c r="K653" t="s">
        <v>31</v>
      </c>
      <c r="L653" t="s">
        <v>35</v>
      </c>
      <c r="M653" t="s">
        <v>36</v>
      </c>
      <c r="N653" t="s">
        <v>42</v>
      </c>
      <c r="O653" t="s">
        <v>58</v>
      </c>
      <c r="P653">
        <v>310655</v>
      </c>
      <c r="Q653" t="s">
        <v>59</v>
      </c>
      <c r="R653" t="s">
        <v>37</v>
      </c>
      <c r="S653" t="s">
        <v>38</v>
      </c>
      <c r="T653">
        <v>90</v>
      </c>
      <c r="U653">
        <v>2.5</v>
      </c>
      <c r="V653" s="2">
        <v>0.10416666666666667</v>
      </c>
      <c r="W653">
        <v>225</v>
      </c>
      <c r="AA653" t="s">
        <v>39</v>
      </c>
      <c r="AC653" t="s">
        <v>443</v>
      </c>
      <c r="AD653" t="s">
        <v>41</v>
      </c>
    </row>
    <row r="654" spans="1:30" x14ac:dyDescent="0.3">
      <c r="A654" s="1">
        <v>45581</v>
      </c>
      <c r="B654" t="s">
        <v>66</v>
      </c>
      <c r="C654" t="s">
        <v>30</v>
      </c>
      <c r="D654" t="s">
        <v>31</v>
      </c>
      <c r="E654" t="s">
        <v>43</v>
      </c>
      <c r="F654" t="s">
        <v>32</v>
      </c>
      <c r="G654" t="s">
        <v>33</v>
      </c>
      <c r="H654" t="s">
        <v>57</v>
      </c>
      <c r="I654" t="s">
        <v>213</v>
      </c>
      <c r="J654" t="s">
        <v>34</v>
      </c>
      <c r="K654" t="s">
        <v>31</v>
      </c>
      <c r="L654" t="s">
        <v>35</v>
      </c>
      <c r="M654" t="s">
        <v>36</v>
      </c>
      <c r="N654" t="s">
        <v>42</v>
      </c>
      <c r="O654" t="s">
        <v>58</v>
      </c>
      <c r="P654">
        <v>310656</v>
      </c>
      <c r="Q654" t="s">
        <v>75</v>
      </c>
      <c r="R654" t="s">
        <v>76</v>
      </c>
      <c r="S654" t="s">
        <v>38</v>
      </c>
      <c r="T654">
        <v>0</v>
      </c>
      <c r="U654">
        <v>1.25</v>
      </c>
      <c r="V654" s="2">
        <v>5.2083333333333336E-2</v>
      </c>
      <c r="W654">
        <v>0</v>
      </c>
      <c r="AA654" t="s">
        <v>39</v>
      </c>
      <c r="AC654" t="s">
        <v>444</v>
      </c>
      <c r="AD654" t="s">
        <v>41</v>
      </c>
    </row>
    <row r="655" spans="1:30" x14ac:dyDescent="0.3">
      <c r="A655" s="1">
        <v>45586</v>
      </c>
      <c r="B655" t="s">
        <v>66</v>
      </c>
      <c r="C655" t="s">
        <v>30</v>
      </c>
      <c r="D655" t="s">
        <v>31</v>
      </c>
      <c r="E655" t="s">
        <v>43</v>
      </c>
      <c r="F655" t="s">
        <v>32</v>
      </c>
      <c r="G655" t="s">
        <v>33</v>
      </c>
      <c r="H655" t="s">
        <v>57</v>
      </c>
      <c r="I655" t="s">
        <v>213</v>
      </c>
      <c r="J655" t="s">
        <v>34</v>
      </c>
      <c r="K655" t="s">
        <v>31</v>
      </c>
      <c r="L655" t="s">
        <v>35</v>
      </c>
      <c r="M655" t="s">
        <v>36</v>
      </c>
      <c r="N655" t="s">
        <v>42</v>
      </c>
      <c r="O655" t="s">
        <v>58</v>
      </c>
      <c r="P655">
        <v>312144</v>
      </c>
      <c r="Q655" t="s">
        <v>75</v>
      </c>
      <c r="R655" t="s">
        <v>76</v>
      </c>
      <c r="S655" t="s">
        <v>38</v>
      </c>
      <c r="T655">
        <v>0</v>
      </c>
      <c r="U655" s="20" t="s">
        <v>445</v>
      </c>
      <c r="V655" s="2">
        <v>5.5555555555555552E-2</v>
      </c>
      <c r="W655">
        <v>0</v>
      </c>
      <c r="AA655" t="s">
        <v>39</v>
      </c>
      <c r="AC655" t="s">
        <v>446</v>
      </c>
      <c r="AD655" t="s">
        <v>41</v>
      </c>
    </row>
  </sheetData>
  <autoFilter ref="A1:AD655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170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212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191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191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212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212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212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212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212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212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191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191</v>
      </c>
    </row>
    <row r="12" spans="1:12" x14ac:dyDescent="0.3">
      <c r="A12" t="s">
        <v>171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154</v>
      </c>
      <c r="L14" t="s">
        <v>212</v>
      </c>
    </row>
    <row r="15" spans="1:12" x14ac:dyDescent="0.3">
      <c r="A15" t="s">
        <v>105</v>
      </c>
      <c r="B15" s="7" t="s">
        <v>155</v>
      </c>
      <c r="C15" t="s">
        <v>156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157</v>
      </c>
      <c r="K15" t="s">
        <v>157</v>
      </c>
      <c r="L15" t="s">
        <v>212</v>
      </c>
    </row>
    <row r="16" spans="1:12" x14ac:dyDescent="0.3">
      <c r="A16" t="s">
        <v>105</v>
      </c>
      <c r="B16" s="7" t="s">
        <v>158</v>
      </c>
      <c r="C16" t="s">
        <v>159</v>
      </c>
      <c r="D16" t="str">
        <f t="shared" si="1"/>
        <v xml:space="preserve"> BSS-16  Unable to send to Homelet</v>
      </c>
      <c r="E16" s="7" t="s">
        <v>160</v>
      </c>
      <c r="F16" t="s">
        <v>212</v>
      </c>
      <c r="G16" t="s">
        <v>110</v>
      </c>
      <c r="H16" t="s">
        <v>111</v>
      </c>
      <c r="I16" t="s">
        <v>110</v>
      </c>
      <c r="J16" t="s">
        <v>154</v>
      </c>
      <c r="K16" t="s">
        <v>161</v>
      </c>
      <c r="L16" t="s">
        <v>191</v>
      </c>
    </row>
    <row r="17" spans="1:12" x14ac:dyDescent="0.3">
      <c r="A17" t="s">
        <v>105</v>
      </c>
      <c r="B17" s="7" t="s">
        <v>162</v>
      </c>
      <c r="C17" t="s">
        <v>163</v>
      </c>
      <c r="D17" t="str">
        <f t="shared" si="1"/>
        <v xml:space="preserve"> BSS-15  Trim the spaces before sending to HomeLet</v>
      </c>
      <c r="E17" s="7" t="s">
        <v>160</v>
      </c>
      <c r="F17" t="s">
        <v>191</v>
      </c>
      <c r="G17" t="s">
        <v>110</v>
      </c>
      <c r="H17" t="s">
        <v>111</v>
      </c>
      <c r="I17" t="s">
        <v>110</v>
      </c>
      <c r="J17" t="s">
        <v>154</v>
      </c>
      <c r="K17" t="s">
        <v>164</v>
      </c>
      <c r="L17" t="s">
        <v>191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160</v>
      </c>
      <c r="F18" t="s">
        <v>191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191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160</v>
      </c>
      <c r="F19" t="s">
        <v>212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212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212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212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191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191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212</v>
      </c>
      <c r="G24" t="s">
        <v>110</v>
      </c>
      <c r="H24" t="s">
        <v>111</v>
      </c>
      <c r="I24" t="s">
        <v>120</v>
      </c>
      <c r="J24" t="s">
        <v>121</v>
      </c>
      <c r="K24" t="s">
        <v>161</v>
      </c>
      <c r="L24" t="s">
        <v>212</v>
      </c>
    </row>
    <row r="25" spans="1:12" x14ac:dyDescent="0.3">
      <c r="A25" t="s">
        <v>165</v>
      </c>
      <c r="B25" s="7" t="s">
        <v>166</v>
      </c>
      <c r="C25" t="s">
        <v>167</v>
      </c>
      <c r="D25" t="str">
        <f t="shared" si="1"/>
        <v xml:space="preserve"> BSS-13  Flow error message improvement</v>
      </c>
      <c r="E25" s="7" t="s">
        <v>168</v>
      </c>
      <c r="F25" t="s">
        <v>109</v>
      </c>
      <c r="G25" t="s">
        <v>110</v>
      </c>
      <c r="H25" t="s">
        <v>111</v>
      </c>
      <c r="I25" t="s">
        <v>169</v>
      </c>
      <c r="J25" t="s">
        <v>113</v>
      </c>
      <c r="K25" t="s">
        <v>113</v>
      </c>
      <c r="L25" t="s">
        <v>109</v>
      </c>
    </row>
    <row r="27" spans="1:12" x14ac:dyDescent="0.3">
      <c r="A27" t="s">
        <v>178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158</v>
      </c>
      <c r="C29" t="s">
        <v>159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179</v>
      </c>
      <c r="G29" t="s">
        <v>110</v>
      </c>
      <c r="H29" t="s">
        <v>111</v>
      </c>
      <c r="I29" t="s">
        <v>110</v>
      </c>
      <c r="J29" t="s">
        <v>154</v>
      </c>
      <c r="K29" t="s">
        <v>180</v>
      </c>
      <c r="L29" t="s">
        <v>191</v>
      </c>
    </row>
    <row r="30" spans="1:12" x14ac:dyDescent="0.3">
      <c r="A30" t="s">
        <v>105</v>
      </c>
      <c r="B30" s="9" t="s">
        <v>181</v>
      </c>
      <c r="C30" t="s">
        <v>182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180</v>
      </c>
      <c r="K30" t="s">
        <v>180</v>
      </c>
      <c r="L30" t="s">
        <v>191</v>
      </c>
    </row>
    <row r="31" spans="1:12" x14ac:dyDescent="0.3">
      <c r="A31" t="s">
        <v>105</v>
      </c>
      <c r="B31" s="9" t="s">
        <v>155</v>
      </c>
      <c r="C31" t="s">
        <v>156</v>
      </c>
      <c r="D31" t="str">
        <f t="shared" si="2"/>
        <v xml:space="preserve"> BSS-14  An unhandled fault occurred in this flow</v>
      </c>
      <c r="E31" s="9" t="s">
        <v>160</v>
      </c>
      <c r="F31" t="s">
        <v>212</v>
      </c>
      <c r="G31" t="s">
        <v>110</v>
      </c>
      <c r="H31" t="s">
        <v>111</v>
      </c>
      <c r="I31" t="s">
        <v>110</v>
      </c>
      <c r="J31" t="s">
        <v>157</v>
      </c>
      <c r="K31" t="s">
        <v>180</v>
      </c>
      <c r="L31" t="s">
        <v>212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160</v>
      </c>
      <c r="F32" t="s">
        <v>212</v>
      </c>
      <c r="G32" t="s">
        <v>110</v>
      </c>
      <c r="H32" t="s">
        <v>111</v>
      </c>
      <c r="I32" t="s">
        <v>110</v>
      </c>
      <c r="J32" t="s">
        <v>112</v>
      </c>
      <c r="K32" t="s">
        <v>180</v>
      </c>
      <c r="L32" t="s">
        <v>212</v>
      </c>
    </row>
    <row r="33" spans="1:12" x14ac:dyDescent="0.3">
      <c r="A33" t="s">
        <v>105</v>
      </c>
      <c r="B33" s="9" t="s">
        <v>183</v>
      </c>
      <c r="C33" t="s">
        <v>184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191</v>
      </c>
      <c r="G33" t="s">
        <v>110</v>
      </c>
      <c r="H33" t="s">
        <v>111</v>
      </c>
      <c r="I33" t="s">
        <v>110</v>
      </c>
      <c r="J33" t="s">
        <v>185</v>
      </c>
      <c r="K33" t="s">
        <v>186</v>
      </c>
      <c r="L33" t="s">
        <v>191</v>
      </c>
    </row>
    <row r="34" spans="1:12" x14ac:dyDescent="0.3">
      <c r="A34" t="s">
        <v>105</v>
      </c>
      <c r="B34" s="9" t="s">
        <v>188</v>
      </c>
      <c r="C34" t="s">
        <v>189</v>
      </c>
      <c r="D34" t="str">
        <f t="shared" si="2"/>
        <v xml:space="preserve"> BSS-17  Guarantor not being sent for referencing</v>
      </c>
      <c r="E34" s="9" t="s">
        <v>190</v>
      </c>
      <c r="F34" t="s">
        <v>133</v>
      </c>
      <c r="G34" t="s">
        <v>110</v>
      </c>
      <c r="H34" t="s">
        <v>111</v>
      </c>
      <c r="I34" t="s">
        <v>110</v>
      </c>
      <c r="J34" t="s">
        <v>187</v>
      </c>
      <c r="K34" t="s">
        <v>186</v>
      </c>
      <c r="L34" t="s">
        <v>133</v>
      </c>
    </row>
    <row r="35" spans="1:12" x14ac:dyDescent="0.3">
      <c r="A35" t="s">
        <v>105</v>
      </c>
      <c r="B35" s="8" t="s">
        <v>162</v>
      </c>
      <c r="C35" t="s">
        <v>163</v>
      </c>
      <c r="D35" t="str">
        <f t="shared" ref="D35:D43" si="3">CONCATENATE(B35," ",C35)</f>
        <v xml:space="preserve"> BSS-15  Trim the spaces before sending to HomeLet</v>
      </c>
      <c r="E35" s="8" t="s">
        <v>160</v>
      </c>
      <c r="F35" t="s">
        <v>191</v>
      </c>
      <c r="G35" t="s">
        <v>110</v>
      </c>
      <c r="H35" t="s">
        <v>111</v>
      </c>
      <c r="I35" t="s">
        <v>110</v>
      </c>
      <c r="J35" t="s">
        <v>154</v>
      </c>
      <c r="K35" t="s">
        <v>164</v>
      </c>
      <c r="L35" t="s">
        <v>191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160</v>
      </c>
      <c r="F36" t="s">
        <v>191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191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160</v>
      </c>
      <c r="F37" t="s">
        <v>212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212</v>
      </c>
    </row>
    <row r="38" spans="1:12" x14ac:dyDescent="0.3">
      <c r="A38" t="s">
        <v>165</v>
      </c>
      <c r="B38" s="8" t="s">
        <v>166</v>
      </c>
      <c r="C38" t="s">
        <v>167</v>
      </c>
      <c r="D38" t="str">
        <f t="shared" si="3"/>
        <v xml:space="preserve"> BSS-13  Flow error message improvement</v>
      </c>
      <c r="E38" s="8" t="s">
        <v>168</v>
      </c>
      <c r="F38" t="s">
        <v>109</v>
      </c>
      <c r="G38" t="s">
        <v>110</v>
      </c>
      <c r="H38" t="s">
        <v>111</v>
      </c>
      <c r="I38" t="s">
        <v>169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212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212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191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187</v>
      </c>
      <c r="L42" t="s">
        <v>191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212</v>
      </c>
      <c r="G43" t="s">
        <v>110</v>
      </c>
      <c r="H43" t="s">
        <v>111</v>
      </c>
      <c r="I43" t="s">
        <v>120</v>
      </c>
      <c r="J43" t="s">
        <v>121</v>
      </c>
      <c r="K43" t="s">
        <v>161</v>
      </c>
      <c r="L43" t="s">
        <v>212</v>
      </c>
    </row>
    <row r="45" spans="1:12" x14ac:dyDescent="0.3">
      <c r="A45" t="s">
        <v>198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202</v>
      </c>
      <c r="C47" t="s">
        <v>203</v>
      </c>
      <c r="D47" t="str">
        <f>CONCATENATE(B47," ",C47)</f>
        <v xml:space="preserve"> BSS-22  An Error Occurred with Your "Opportunity Contact Role PB Handler" Flow</v>
      </c>
      <c r="E47" s="9" t="s">
        <v>168</v>
      </c>
      <c r="F47" t="s">
        <v>109</v>
      </c>
      <c r="G47" t="s">
        <v>110</v>
      </c>
      <c r="H47" t="s">
        <v>111</v>
      </c>
      <c r="I47" t="s">
        <v>204</v>
      </c>
      <c r="J47" t="s">
        <v>201</v>
      </c>
      <c r="K47" t="s">
        <v>201</v>
      </c>
      <c r="L47" t="s">
        <v>109</v>
      </c>
    </row>
    <row r="48" spans="1:12" x14ac:dyDescent="0.3">
      <c r="A48" t="s">
        <v>105</v>
      </c>
      <c r="B48" s="9" t="s">
        <v>205</v>
      </c>
      <c r="C48" t="s">
        <v>206</v>
      </c>
      <c r="D48" t="str">
        <f>CONCATENATE(B48," ",C48)</f>
        <v xml:space="preserve"> BSS-23  An Error Occurred with Your "Renewals - Send email to OCRs" Flow</v>
      </c>
      <c r="E48" s="9" t="s">
        <v>168</v>
      </c>
      <c r="F48" t="s">
        <v>109</v>
      </c>
      <c r="G48" t="s">
        <v>110</v>
      </c>
      <c r="H48" t="s">
        <v>111</v>
      </c>
      <c r="I48" t="s">
        <v>204</v>
      </c>
      <c r="J48" t="s">
        <v>201</v>
      </c>
      <c r="K48" t="s">
        <v>201</v>
      </c>
      <c r="L48" t="s">
        <v>109</v>
      </c>
    </row>
    <row r="49" spans="1:12" x14ac:dyDescent="0.3">
      <c r="A49" t="s">
        <v>165</v>
      </c>
      <c r="B49" s="8" t="s">
        <v>166</v>
      </c>
      <c r="C49" t="s">
        <v>167</v>
      </c>
      <c r="D49" t="str">
        <f>CONCATENATE(B49," ",C49)</f>
        <v xml:space="preserve"> BSS-13  Flow error message improvement</v>
      </c>
      <c r="E49" s="8" t="s">
        <v>168</v>
      </c>
      <c r="F49" t="s">
        <v>109</v>
      </c>
      <c r="G49" t="s">
        <v>110</v>
      </c>
      <c r="H49" t="s">
        <v>111</v>
      </c>
      <c r="I49" t="s">
        <v>169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162</v>
      </c>
      <c r="C50" t="s">
        <v>163</v>
      </c>
      <c r="D50" t="str">
        <f t="shared" ref="D50:D59" si="4">CONCATENATE(B50," ",C50)</f>
        <v xml:space="preserve"> BSS-15  Trim the spaces before sending to HomeLet</v>
      </c>
      <c r="E50" s="8" t="s">
        <v>160</v>
      </c>
      <c r="F50" t="s">
        <v>191</v>
      </c>
      <c r="G50" t="s">
        <v>110</v>
      </c>
      <c r="H50" t="s">
        <v>111</v>
      </c>
      <c r="I50" t="s">
        <v>110</v>
      </c>
      <c r="J50" t="s">
        <v>154</v>
      </c>
      <c r="K50" t="s">
        <v>186</v>
      </c>
      <c r="L50" t="s">
        <v>191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160</v>
      </c>
      <c r="F51" t="s">
        <v>191</v>
      </c>
      <c r="G51" t="s">
        <v>110</v>
      </c>
      <c r="H51" t="s">
        <v>111</v>
      </c>
      <c r="I51" t="s">
        <v>110</v>
      </c>
      <c r="J51" t="s">
        <v>117</v>
      </c>
      <c r="K51" t="s">
        <v>186</v>
      </c>
      <c r="L51" t="s">
        <v>191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160</v>
      </c>
      <c r="F52" t="s">
        <v>212</v>
      </c>
      <c r="G52" t="s">
        <v>110</v>
      </c>
      <c r="H52" t="s">
        <v>111</v>
      </c>
      <c r="I52" t="s">
        <v>120</v>
      </c>
      <c r="J52" t="s">
        <v>124</v>
      </c>
      <c r="K52" t="s">
        <v>186</v>
      </c>
      <c r="L52" t="s">
        <v>212</v>
      </c>
    </row>
    <row r="53" spans="1:12" x14ac:dyDescent="0.3">
      <c r="A53" t="s">
        <v>105</v>
      </c>
      <c r="B53" s="9" t="s">
        <v>199</v>
      </c>
      <c r="C53" t="s">
        <v>200</v>
      </c>
      <c r="D53" t="str">
        <f>CONCATENATE(B53," ",C53)</f>
        <v xml:space="preserve"> BSS-20  Lead Tenant being sent twice to HomeLet</v>
      </c>
      <c r="E53" s="9" t="s">
        <v>190</v>
      </c>
      <c r="F53" t="s">
        <v>191</v>
      </c>
      <c r="G53" t="s">
        <v>110</v>
      </c>
      <c r="H53" t="s">
        <v>111</v>
      </c>
      <c r="I53" t="s">
        <v>110</v>
      </c>
      <c r="J53" t="s">
        <v>186</v>
      </c>
      <c r="K53" t="s">
        <v>201</v>
      </c>
      <c r="L53" t="s">
        <v>133</v>
      </c>
    </row>
    <row r="54" spans="1:12" x14ac:dyDescent="0.3">
      <c r="A54" t="s">
        <v>105</v>
      </c>
      <c r="B54" s="9" t="s">
        <v>181</v>
      </c>
      <c r="C54" t="s">
        <v>182</v>
      </c>
      <c r="D54" t="str">
        <f t="shared" si="4"/>
        <v xml:space="preserve"> BSS-19  The Units  with status “On the market – no access” are not able to be posted onto Rightmove</v>
      </c>
      <c r="E54" s="9" t="s">
        <v>190</v>
      </c>
      <c r="F54" t="s">
        <v>207</v>
      </c>
      <c r="G54" t="s">
        <v>110</v>
      </c>
      <c r="H54" t="s">
        <v>111</v>
      </c>
      <c r="I54" t="s">
        <v>110</v>
      </c>
      <c r="J54" t="s">
        <v>180</v>
      </c>
      <c r="K54" t="s">
        <v>201</v>
      </c>
      <c r="L54" t="s">
        <v>191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190</v>
      </c>
      <c r="F55" t="s">
        <v>212</v>
      </c>
      <c r="G55" t="s">
        <v>110</v>
      </c>
      <c r="H55" t="s">
        <v>111</v>
      </c>
      <c r="I55" t="s">
        <v>110</v>
      </c>
      <c r="J55" t="s">
        <v>112</v>
      </c>
      <c r="K55" t="s">
        <v>201</v>
      </c>
      <c r="L55" t="s">
        <v>212</v>
      </c>
    </row>
    <row r="56" spans="1:12" x14ac:dyDescent="0.3">
      <c r="A56" t="s">
        <v>105</v>
      </c>
      <c r="B56" s="9" t="s">
        <v>155</v>
      </c>
      <c r="C56" t="s">
        <v>156</v>
      </c>
      <c r="D56" t="str">
        <f t="shared" si="4"/>
        <v xml:space="preserve"> BSS-14  An unhandled fault occurred in this flow</v>
      </c>
      <c r="E56" s="9" t="s">
        <v>190</v>
      </c>
      <c r="F56" t="s">
        <v>212</v>
      </c>
      <c r="G56" t="s">
        <v>110</v>
      </c>
      <c r="H56" t="s">
        <v>111</v>
      </c>
      <c r="I56" t="s">
        <v>110</v>
      </c>
      <c r="J56" t="s">
        <v>157</v>
      </c>
      <c r="K56" t="s">
        <v>186</v>
      </c>
      <c r="L56" t="s">
        <v>212</v>
      </c>
    </row>
    <row r="57" spans="1:12" x14ac:dyDescent="0.3">
      <c r="A57" t="s">
        <v>105</v>
      </c>
      <c r="B57" s="9" t="s">
        <v>158</v>
      </c>
      <c r="C57" t="s">
        <v>159</v>
      </c>
      <c r="D57" t="str">
        <f t="shared" si="4"/>
        <v xml:space="preserve"> BSS-16  Unable to send to Homelet</v>
      </c>
      <c r="E57" s="9" t="s">
        <v>190</v>
      </c>
      <c r="F57" t="s">
        <v>191</v>
      </c>
      <c r="G57" t="s">
        <v>110</v>
      </c>
      <c r="H57" t="s">
        <v>111</v>
      </c>
      <c r="I57" t="s">
        <v>110</v>
      </c>
      <c r="J57" t="s">
        <v>154</v>
      </c>
      <c r="K57" t="s">
        <v>201</v>
      </c>
      <c r="L57" t="s">
        <v>191</v>
      </c>
    </row>
    <row r="58" spans="1:12" x14ac:dyDescent="0.3">
      <c r="A58" t="s">
        <v>105</v>
      </c>
      <c r="B58" s="9" t="s">
        <v>188</v>
      </c>
      <c r="C58" t="s">
        <v>189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187</v>
      </c>
      <c r="K58" t="s">
        <v>208</v>
      </c>
      <c r="L58" t="s">
        <v>133</v>
      </c>
    </row>
    <row r="59" spans="1:12" x14ac:dyDescent="0.3">
      <c r="A59" t="s">
        <v>105</v>
      </c>
      <c r="B59" s="9" t="s">
        <v>209</v>
      </c>
      <c r="C59" t="s">
        <v>210</v>
      </c>
      <c r="D59" t="str">
        <f t="shared" si="4"/>
        <v xml:space="preserve"> BSS-21  Re-send guarantor to HomeLet</v>
      </c>
      <c r="E59" s="9" t="s">
        <v>127</v>
      </c>
      <c r="F59" t="s">
        <v>191</v>
      </c>
      <c r="G59" t="s">
        <v>110</v>
      </c>
      <c r="H59" t="s">
        <v>111</v>
      </c>
      <c r="I59" t="s">
        <v>110</v>
      </c>
      <c r="J59" t="s">
        <v>211</v>
      </c>
      <c r="K59" t="s">
        <v>201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212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212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191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187</v>
      </c>
      <c r="L63" s="10" t="s">
        <v>191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212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161</v>
      </c>
      <c r="L64" s="10" t="s">
        <v>212</v>
      </c>
    </row>
    <row r="65" spans="1:12" s="10" customFormat="1" x14ac:dyDescent="0.3">
      <c r="A65" s="10" t="s">
        <v>105</v>
      </c>
      <c r="B65" s="10" t="s">
        <v>183</v>
      </c>
      <c r="C65" s="10" t="s">
        <v>184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191</v>
      </c>
      <c r="G65" s="10" t="s">
        <v>110</v>
      </c>
      <c r="H65" s="10" t="s">
        <v>111</v>
      </c>
      <c r="I65" s="10" t="s">
        <v>110</v>
      </c>
      <c r="J65" s="10" t="s">
        <v>185</v>
      </c>
      <c r="K65" s="10" t="s">
        <v>186</v>
      </c>
      <c r="L65" s="10" t="s">
        <v>191</v>
      </c>
    </row>
    <row r="67" spans="1:12" x14ac:dyDescent="0.3">
      <c r="A67" t="s">
        <v>224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165</v>
      </c>
      <c r="B69" s="8" t="s">
        <v>166</v>
      </c>
      <c r="C69" t="s">
        <v>167</v>
      </c>
      <c r="D69" t="str">
        <f t="shared" ref="D69:D85" si="6">CONCATENATE(B69," ",C69)</f>
        <v xml:space="preserve"> BSS-13  Flow error message improvement</v>
      </c>
      <c r="E69" s="8" t="s">
        <v>168</v>
      </c>
      <c r="F69" t="s">
        <v>191</v>
      </c>
      <c r="G69" t="s">
        <v>110</v>
      </c>
      <c r="H69" t="s">
        <v>111</v>
      </c>
      <c r="I69" t="s">
        <v>169</v>
      </c>
      <c r="J69" t="s">
        <v>113</v>
      </c>
      <c r="K69" t="s">
        <v>226</v>
      </c>
      <c r="L69" t="s">
        <v>109</v>
      </c>
    </row>
    <row r="70" spans="1:12" x14ac:dyDescent="0.3">
      <c r="A70" t="s">
        <v>105</v>
      </c>
      <c r="B70" s="9" t="s">
        <v>231</v>
      </c>
      <c r="C70" t="s">
        <v>232</v>
      </c>
      <c r="D70" t="str">
        <f t="shared" si="6"/>
        <v xml:space="preserve"> BSS-27  Lead tenant validation preventing creation of renewal opps</v>
      </c>
      <c r="E70" s="9" t="s">
        <v>168</v>
      </c>
      <c r="F70" t="s">
        <v>191</v>
      </c>
      <c r="G70" t="s">
        <v>110</v>
      </c>
      <c r="H70" t="s">
        <v>228</v>
      </c>
      <c r="I70" t="s">
        <v>110</v>
      </c>
      <c r="J70" t="s">
        <v>233</v>
      </c>
      <c r="K70" t="s">
        <v>229</v>
      </c>
      <c r="L70" t="s">
        <v>133</v>
      </c>
    </row>
    <row r="71" spans="1:12" x14ac:dyDescent="0.3">
      <c r="A71" t="s">
        <v>105</v>
      </c>
      <c r="B71" s="9" t="s">
        <v>162</v>
      </c>
      <c r="C71" t="s">
        <v>163</v>
      </c>
      <c r="D71" t="str">
        <f t="shared" si="6"/>
        <v xml:space="preserve"> BSS-15  Trim the spaces before sending to HomeLet</v>
      </c>
      <c r="E71" s="9" t="s">
        <v>168</v>
      </c>
      <c r="F71" t="s">
        <v>191</v>
      </c>
      <c r="G71" t="s">
        <v>110</v>
      </c>
      <c r="H71" t="s">
        <v>111</v>
      </c>
      <c r="I71" t="s">
        <v>110</v>
      </c>
      <c r="J71" t="s">
        <v>154</v>
      </c>
      <c r="K71" t="s">
        <v>226</v>
      </c>
      <c r="L71" t="s">
        <v>225</v>
      </c>
    </row>
    <row r="72" spans="1:12" x14ac:dyDescent="0.3">
      <c r="A72" t="s">
        <v>165</v>
      </c>
      <c r="B72" s="9" t="s">
        <v>234</v>
      </c>
      <c r="C72" t="s">
        <v>235</v>
      </c>
      <c r="D72" t="str">
        <f t="shared" si="6"/>
        <v xml:space="preserve"> BSS-24  Update recipients for Process Automation Settings</v>
      </c>
      <c r="E72" s="9" t="s">
        <v>168</v>
      </c>
      <c r="F72" t="s">
        <v>191</v>
      </c>
      <c r="G72" t="s">
        <v>110</v>
      </c>
      <c r="H72" t="s">
        <v>111</v>
      </c>
      <c r="I72" t="s">
        <v>110</v>
      </c>
      <c r="J72" t="s">
        <v>201</v>
      </c>
      <c r="K72" t="s">
        <v>226</v>
      </c>
      <c r="L72" t="s">
        <v>109</v>
      </c>
    </row>
    <row r="73" spans="1:12" x14ac:dyDescent="0.3">
      <c r="A73" t="s">
        <v>105</v>
      </c>
      <c r="B73" s="8" t="s">
        <v>205</v>
      </c>
      <c r="C73" t="s">
        <v>206</v>
      </c>
      <c r="D73" t="str">
        <f t="shared" si="6"/>
        <v xml:space="preserve"> BSS-23  An Error Occurred with Your "Renewals - Send email to OCRs" Flow</v>
      </c>
      <c r="E73" s="8" t="s">
        <v>168</v>
      </c>
      <c r="F73" t="s">
        <v>191</v>
      </c>
      <c r="G73" t="s">
        <v>110</v>
      </c>
      <c r="H73" t="s">
        <v>236</v>
      </c>
      <c r="I73" t="s">
        <v>204</v>
      </c>
      <c r="J73" t="s">
        <v>201</v>
      </c>
      <c r="K73" t="s">
        <v>226</v>
      </c>
      <c r="L73" t="s">
        <v>109</v>
      </c>
    </row>
    <row r="74" spans="1:12" x14ac:dyDescent="0.3">
      <c r="A74" t="s">
        <v>105</v>
      </c>
      <c r="B74" s="9" t="s">
        <v>202</v>
      </c>
      <c r="C74" t="s">
        <v>227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228</v>
      </c>
      <c r="I74" t="s">
        <v>204</v>
      </c>
      <c r="J74" t="s">
        <v>201</v>
      </c>
      <c r="K74" t="s">
        <v>229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226</v>
      </c>
      <c r="L75" t="s">
        <v>230</v>
      </c>
    </row>
    <row r="76" spans="1:12" x14ac:dyDescent="0.3">
      <c r="A76" t="s">
        <v>105</v>
      </c>
      <c r="B76" s="8" t="s">
        <v>199</v>
      </c>
      <c r="C76" t="s">
        <v>200</v>
      </c>
      <c r="D76" t="str">
        <f t="shared" si="6"/>
        <v xml:space="preserve"> BSS-20  Lead Tenant being sent twice to HomeLet</v>
      </c>
      <c r="E76" s="8" t="s">
        <v>190</v>
      </c>
      <c r="F76" t="s">
        <v>191</v>
      </c>
      <c r="G76" t="s">
        <v>110</v>
      </c>
      <c r="H76" t="s">
        <v>111</v>
      </c>
      <c r="I76" t="s">
        <v>110</v>
      </c>
      <c r="J76" t="s">
        <v>186</v>
      </c>
      <c r="K76" t="s">
        <v>226</v>
      </c>
      <c r="L76" t="s">
        <v>133</v>
      </c>
    </row>
    <row r="77" spans="1:12" x14ac:dyDescent="0.3">
      <c r="A77" t="s">
        <v>105</v>
      </c>
      <c r="B77" s="8" t="s">
        <v>155</v>
      </c>
      <c r="C77" t="s">
        <v>156</v>
      </c>
      <c r="D77" t="str">
        <f t="shared" si="6"/>
        <v xml:space="preserve"> BSS-14  An unhandled fault occurred in this flow</v>
      </c>
      <c r="E77" s="8" t="s">
        <v>190</v>
      </c>
      <c r="F77" t="s">
        <v>212</v>
      </c>
      <c r="G77" t="s">
        <v>110</v>
      </c>
      <c r="H77" t="s">
        <v>111</v>
      </c>
      <c r="I77" t="s">
        <v>110</v>
      </c>
      <c r="J77" t="s">
        <v>157</v>
      </c>
      <c r="K77" t="s">
        <v>186</v>
      </c>
      <c r="L77" t="s">
        <v>230</v>
      </c>
    </row>
    <row r="78" spans="1:12" x14ac:dyDescent="0.3">
      <c r="A78" t="s">
        <v>105</v>
      </c>
      <c r="B78" s="8" t="s">
        <v>158</v>
      </c>
      <c r="C78" t="s">
        <v>159</v>
      </c>
      <c r="D78" t="str">
        <f t="shared" si="6"/>
        <v xml:space="preserve"> BSS-16  Unable to send to Homelet</v>
      </c>
      <c r="E78" s="8" t="s">
        <v>190</v>
      </c>
      <c r="F78" t="s">
        <v>191</v>
      </c>
      <c r="G78" t="s">
        <v>110</v>
      </c>
      <c r="H78" t="s">
        <v>111</v>
      </c>
      <c r="I78" t="s">
        <v>110</v>
      </c>
      <c r="J78" t="s">
        <v>154</v>
      </c>
      <c r="K78" t="s">
        <v>201</v>
      </c>
      <c r="L78" t="s">
        <v>225</v>
      </c>
    </row>
    <row r="79" spans="1:12" x14ac:dyDescent="0.3">
      <c r="A79" t="s">
        <v>105</v>
      </c>
      <c r="B79" s="9" t="s">
        <v>237</v>
      </c>
      <c r="C79" t="s">
        <v>238</v>
      </c>
      <c r="D79" t="str">
        <f t="shared" si="6"/>
        <v xml:space="preserve"> BSS-28  Contract Sign Date not displaying</v>
      </c>
      <c r="E79" s="9" t="s">
        <v>190</v>
      </c>
      <c r="F79" t="s">
        <v>191</v>
      </c>
      <c r="G79" t="s">
        <v>110</v>
      </c>
      <c r="H79" t="s">
        <v>228</v>
      </c>
      <c r="I79" t="s">
        <v>110</v>
      </c>
      <c r="J79" t="s">
        <v>233</v>
      </c>
      <c r="K79" t="s">
        <v>226</v>
      </c>
      <c r="L79" t="s">
        <v>225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190</v>
      </c>
      <c r="F80" t="s">
        <v>191</v>
      </c>
      <c r="G80" t="s">
        <v>110</v>
      </c>
      <c r="H80" t="s">
        <v>111</v>
      </c>
      <c r="I80" t="s">
        <v>110</v>
      </c>
      <c r="J80" t="s">
        <v>117</v>
      </c>
      <c r="K80" t="s">
        <v>226</v>
      </c>
      <c r="L80" t="s">
        <v>225</v>
      </c>
    </row>
    <row r="81" spans="1:12" x14ac:dyDescent="0.3">
      <c r="A81" t="s">
        <v>105</v>
      </c>
      <c r="B81" s="8" t="s">
        <v>188</v>
      </c>
      <c r="C81" t="s">
        <v>189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187</v>
      </c>
      <c r="K81" t="s">
        <v>208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212</v>
      </c>
      <c r="G82" t="s">
        <v>110</v>
      </c>
      <c r="H82" t="s">
        <v>111</v>
      </c>
      <c r="I82" t="s">
        <v>110</v>
      </c>
      <c r="J82" t="s">
        <v>112</v>
      </c>
      <c r="K82" t="s">
        <v>226</v>
      </c>
      <c r="L82" t="s">
        <v>230</v>
      </c>
    </row>
    <row r="83" spans="1:12" x14ac:dyDescent="0.3">
      <c r="A83" t="s">
        <v>105</v>
      </c>
      <c r="B83" s="8" t="s">
        <v>209</v>
      </c>
      <c r="C83" t="s">
        <v>210</v>
      </c>
      <c r="D83" t="str">
        <f t="shared" si="6"/>
        <v xml:space="preserve"> BSS-21  Re-send guarantor to HomeLet</v>
      </c>
      <c r="E83" s="8" t="s">
        <v>127</v>
      </c>
      <c r="F83" t="s">
        <v>191</v>
      </c>
      <c r="G83" t="s">
        <v>110</v>
      </c>
      <c r="H83" t="s">
        <v>111</v>
      </c>
      <c r="I83" t="s">
        <v>110</v>
      </c>
      <c r="J83" t="s">
        <v>211</v>
      </c>
      <c r="K83" t="s">
        <v>201</v>
      </c>
      <c r="L83" t="s">
        <v>133</v>
      </c>
    </row>
    <row r="84" spans="1:12" x14ac:dyDescent="0.3">
      <c r="A84" t="s">
        <v>105</v>
      </c>
      <c r="B84" s="9" t="s">
        <v>181</v>
      </c>
      <c r="C84" t="s">
        <v>182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180</v>
      </c>
      <c r="K84" t="s">
        <v>239</v>
      </c>
      <c r="L84" t="s">
        <v>225</v>
      </c>
    </row>
    <row r="85" spans="1:12" x14ac:dyDescent="0.3">
      <c r="A85" t="s">
        <v>165</v>
      </c>
      <c r="B85" s="9" t="s">
        <v>240</v>
      </c>
      <c r="C85" t="s">
        <v>241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201</v>
      </c>
      <c r="K85" t="s">
        <v>239</v>
      </c>
      <c r="L85" t="s">
        <v>109</v>
      </c>
    </row>
    <row r="87" spans="1:12" x14ac:dyDescent="0.3">
      <c r="A87" t="s">
        <v>248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202</v>
      </c>
      <c r="C89" t="s">
        <v>227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249</v>
      </c>
      <c r="F89" t="s">
        <v>109</v>
      </c>
      <c r="G89" t="s">
        <v>110</v>
      </c>
      <c r="H89" t="s">
        <v>228</v>
      </c>
      <c r="I89" t="s">
        <v>204</v>
      </c>
      <c r="J89" t="s">
        <v>201</v>
      </c>
      <c r="K89" t="s">
        <v>250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256</v>
      </c>
      <c r="J90" t="s">
        <v>124</v>
      </c>
      <c r="K90" t="s">
        <v>251</v>
      </c>
      <c r="L90" t="s">
        <v>212</v>
      </c>
    </row>
    <row r="91" spans="1:12" x14ac:dyDescent="0.3">
      <c r="A91" t="s">
        <v>165</v>
      </c>
      <c r="B91" t="s">
        <v>166</v>
      </c>
      <c r="C91" t="s">
        <v>167</v>
      </c>
      <c r="D91" t="str">
        <f t="shared" si="7"/>
        <v xml:space="preserve"> BSS-13  Flow error message improvement</v>
      </c>
      <c r="E91" t="s">
        <v>168</v>
      </c>
      <c r="F91" t="s">
        <v>225</v>
      </c>
      <c r="G91" t="s">
        <v>110</v>
      </c>
      <c r="H91" t="s">
        <v>111</v>
      </c>
      <c r="I91" t="s">
        <v>169</v>
      </c>
      <c r="J91" t="s">
        <v>113</v>
      </c>
      <c r="K91" t="s">
        <v>226</v>
      </c>
      <c r="L91" t="s">
        <v>85</v>
      </c>
    </row>
    <row r="92" spans="1:12" x14ac:dyDescent="0.3">
      <c r="A92" t="s">
        <v>105</v>
      </c>
      <c r="B92" t="s">
        <v>231</v>
      </c>
      <c r="C92" t="s">
        <v>232</v>
      </c>
      <c r="D92" t="str">
        <f t="shared" si="7"/>
        <v xml:space="preserve"> BSS-27  Lead tenant validation preventing creation of renewal opps</v>
      </c>
      <c r="E92" t="s">
        <v>168</v>
      </c>
      <c r="F92" t="s">
        <v>225</v>
      </c>
      <c r="G92" t="s">
        <v>110</v>
      </c>
      <c r="H92" t="s">
        <v>228</v>
      </c>
      <c r="I92" t="s">
        <v>110</v>
      </c>
      <c r="J92" t="s">
        <v>233</v>
      </c>
      <c r="K92" t="s">
        <v>229</v>
      </c>
      <c r="L92" t="s">
        <v>42</v>
      </c>
    </row>
    <row r="93" spans="1:12" x14ac:dyDescent="0.3">
      <c r="A93" t="s">
        <v>105</v>
      </c>
      <c r="B93" t="s">
        <v>162</v>
      </c>
      <c r="C93" t="s">
        <v>163</v>
      </c>
      <c r="D93" t="str">
        <f t="shared" si="7"/>
        <v xml:space="preserve"> BSS-15  Trim the spaces before sending to HomeLet</v>
      </c>
      <c r="E93" t="s">
        <v>168</v>
      </c>
      <c r="F93" t="s">
        <v>225</v>
      </c>
      <c r="G93" t="s">
        <v>110</v>
      </c>
      <c r="H93" t="s">
        <v>111</v>
      </c>
      <c r="I93" t="s">
        <v>110</v>
      </c>
      <c r="J93" t="s">
        <v>154</v>
      </c>
      <c r="K93" t="s">
        <v>226</v>
      </c>
      <c r="L93" t="s">
        <v>257</v>
      </c>
    </row>
    <row r="94" spans="1:12" x14ac:dyDescent="0.3">
      <c r="A94" t="s">
        <v>165</v>
      </c>
      <c r="B94" t="s">
        <v>234</v>
      </c>
      <c r="C94" t="s">
        <v>235</v>
      </c>
      <c r="D94" t="str">
        <f t="shared" si="7"/>
        <v xml:space="preserve"> BSS-24  Update recipients for Process Automation Settings</v>
      </c>
      <c r="E94" t="s">
        <v>168</v>
      </c>
      <c r="F94" t="s">
        <v>225</v>
      </c>
      <c r="G94" t="s">
        <v>110</v>
      </c>
      <c r="H94" t="s">
        <v>111</v>
      </c>
      <c r="I94" t="s">
        <v>110</v>
      </c>
      <c r="J94" t="s">
        <v>201</v>
      </c>
      <c r="K94" t="s">
        <v>251</v>
      </c>
      <c r="L94" t="s">
        <v>85</v>
      </c>
    </row>
    <row r="95" spans="1:12" x14ac:dyDescent="0.3">
      <c r="A95" t="s">
        <v>105</v>
      </c>
      <c r="B95" t="s">
        <v>205</v>
      </c>
      <c r="C95" t="s">
        <v>206</v>
      </c>
      <c r="D95" t="str">
        <f t="shared" si="7"/>
        <v xml:space="preserve"> BSS-23  An Error Occurred with Your "Renewals - Send email to OCRs" Flow</v>
      </c>
      <c r="E95" t="s">
        <v>168</v>
      </c>
      <c r="F95" t="s">
        <v>225</v>
      </c>
      <c r="G95" t="s">
        <v>110</v>
      </c>
      <c r="H95" t="s">
        <v>236</v>
      </c>
      <c r="I95" t="s">
        <v>204</v>
      </c>
      <c r="J95" t="s">
        <v>201</v>
      </c>
      <c r="K95" t="s">
        <v>226</v>
      </c>
      <c r="L95" t="s">
        <v>85</v>
      </c>
    </row>
    <row r="96" spans="1:12" x14ac:dyDescent="0.3">
      <c r="A96" t="s">
        <v>105</v>
      </c>
      <c r="B96" t="s">
        <v>155</v>
      </c>
      <c r="C96" t="s">
        <v>156</v>
      </c>
      <c r="D96" t="str">
        <f t="shared" si="7"/>
        <v xml:space="preserve"> BSS-14  An unhandled fault occurred in this flow</v>
      </c>
      <c r="E96" t="s">
        <v>190</v>
      </c>
      <c r="F96" t="s">
        <v>230</v>
      </c>
      <c r="G96" t="s">
        <v>110</v>
      </c>
      <c r="H96" t="s">
        <v>111</v>
      </c>
      <c r="I96" t="s">
        <v>110</v>
      </c>
      <c r="J96" t="s">
        <v>157</v>
      </c>
      <c r="K96" t="s">
        <v>251</v>
      </c>
      <c r="L96" t="s">
        <v>212</v>
      </c>
    </row>
    <row r="97" spans="1:12" x14ac:dyDescent="0.3">
      <c r="A97" t="s">
        <v>105</v>
      </c>
      <c r="B97" t="s">
        <v>252</v>
      </c>
      <c r="C97" t="s">
        <v>253</v>
      </c>
      <c r="D97" t="str">
        <f t="shared" si="7"/>
        <v xml:space="preserve"> BSS-29  Event PB Handler Error: Missing required: whoId </v>
      </c>
      <c r="E97" t="s">
        <v>168</v>
      </c>
      <c r="F97" t="s">
        <v>225</v>
      </c>
      <c r="G97" t="s">
        <v>110</v>
      </c>
      <c r="H97" t="s">
        <v>111</v>
      </c>
      <c r="I97" t="s">
        <v>204</v>
      </c>
      <c r="J97" t="s">
        <v>226</v>
      </c>
      <c r="K97" t="s">
        <v>251</v>
      </c>
      <c r="L97" t="s">
        <v>85</v>
      </c>
    </row>
    <row r="98" spans="1:12" x14ac:dyDescent="0.3">
      <c r="A98" t="s">
        <v>105</v>
      </c>
      <c r="B98" t="s">
        <v>254</v>
      </c>
      <c r="C98" t="s">
        <v>255</v>
      </c>
      <c r="D98" t="str">
        <f t="shared" si="7"/>
        <v xml:space="preserve"> BSS-31  Apex error during CancelOrder callout to HomeLet API</v>
      </c>
      <c r="E98" t="s">
        <v>168</v>
      </c>
      <c r="F98" t="s">
        <v>225</v>
      </c>
      <c r="G98" t="s">
        <v>110</v>
      </c>
      <c r="H98" t="s">
        <v>111</v>
      </c>
      <c r="I98" t="s">
        <v>110</v>
      </c>
      <c r="J98" t="s">
        <v>251</v>
      </c>
      <c r="K98" t="s">
        <v>251</v>
      </c>
      <c r="L98" t="s">
        <v>42</v>
      </c>
    </row>
    <row r="99" spans="1:12" x14ac:dyDescent="0.3">
      <c r="A99" t="s">
        <v>105</v>
      </c>
      <c r="B99" t="s">
        <v>199</v>
      </c>
      <c r="C99" t="s">
        <v>200</v>
      </c>
      <c r="D99" t="str">
        <f t="shared" si="7"/>
        <v xml:space="preserve"> BSS-20  Lead Tenant being sent twice to HomeLet</v>
      </c>
      <c r="E99" t="s">
        <v>127</v>
      </c>
      <c r="F99" t="s">
        <v>179</v>
      </c>
      <c r="G99" t="s">
        <v>110</v>
      </c>
      <c r="H99" t="s">
        <v>111</v>
      </c>
      <c r="I99" t="s">
        <v>110</v>
      </c>
      <c r="J99" t="s">
        <v>186</v>
      </c>
      <c r="K99" t="s">
        <v>251</v>
      </c>
      <c r="L99" t="s">
        <v>42</v>
      </c>
    </row>
    <row r="100" spans="1:12" x14ac:dyDescent="0.3">
      <c r="A100" t="s">
        <v>105</v>
      </c>
      <c r="B100" t="s">
        <v>237</v>
      </c>
      <c r="C100" t="s">
        <v>238</v>
      </c>
      <c r="D100" t="str">
        <f t="shared" si="7"/>
        <v xml:space="preserve"> BSS-28  Contract Sign Date not displaying</v>
      </c>
      <c r="E100" t="s">
        <v>127</v>
      </c>
      <c r="F100" t="s">
        <v>225</v>
      </c>
      <c r="G100" t="s">
        <v>110</v>
      </c>
      <c r="H100" t="s">
        <v>228</v>
      </c>
      <c r="I100" t="s">
        <v>110</v>
      </c>
      <c r="J100" t="s">
        <v>233</v>
      </c>
      <c r="K100" t="s">
        <v>251</v>
      </c>
      <c r="L100" t="s">
        <v>257</v>
      </c>
    </row>
    <row r="101" spans="1:12" x14ac:dyDescent="0.3">
      <c r="A101" t="s">
        <v>105</v>
      </c>
      <c r="B101" t="s">
        <v>188</v>
      </c>
      <c r="C101" t="s">
        <v>189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187</v>
      </c>
      <c r="K101" t="s">
        <v>208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225</v>
      </c>
      <c r="G102" t="s">
        <v>110</v>
      </c>
      <c r="H102" t="s">
        <v>111</v>
      </c>
      <c r="I102" t="s">
        <v>110</v>
      </c>
      <c r="J102" t="s">
        <v>117</v>
      </c>
      <c r="K102" t="s">
        <v>226</v>
      </c>
      <c r="L102" t="s">
        <v>257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230</v>
      </c>
      <c r="G103" t="s">
        <v>110</v>
      </c>
      <c r="H103" t="s">
        <v>111</v>
      </c>
      <c r="I103" t="s">
        <v>110</v>
      </c>
      <c r="J103" t="s">
        <v>112</v>
      </c>
      <c r="K103" t="s">
        <v>226</v>
      </c>
      <c r="L103" t="s">
        <v>212</v>
      </c>
    </row>
    <row r="104" spans="1:12" x14ac:dyDescent="0.3">
      <c r="A104" t="s">
        <v>105</v>
      </c>
      <c r="B104" t="s">
        <v>158</v>
      </c>
      <c r="C104" t="s">
        <v>159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154</v>
      </c>
      <c r="K104" t="s">
        <v>251</v>
      </c>
      <c r="L104" t="s">
        <v>257</v>
      </c>
    </row>
    <row r="105" spans="1:12" x14ac:dyDescent="0.3">
      <c r="A105" t="s">
        <v>105</v>
      </c>
      <c r="B105" t="s">
        <v>209</v>
      </c>
      <c r="C105" t="s">
        <v>210</v>
      </c>
      <c r="D105" t="str">
        <f t="shared" si="7"/>
        <v xml:space="preserve"> BSS-21  Re-send guarantor to HomeLet</v>
      </c>
      <c r="E105" t="s">
        <v>127</v>
      </c>
      <c r="F105" t="s">
        <v>225</v>
      </c>
      <c r="G105" t="s">
        <v>110</v>
      </c>
      <c r="H105" t="s">
        <v>111</v>
      </c>
      <c r="I105" t="s">
        <v>110</v>
      </c>
      <c r="J105" t="s">
        <v>211</v>
      </c>
      <c r="K105" t="s">
        <v>201</v>
      </c>
      <c r="L105" t="s">
        <v>42</v>
      </c>
    </row>
    <row r="106" spans="1:12" x14ac:dyDescent="0.3">
      <c r="A106" t="s">
        <v>105</v>
      </c>
      <c r="B106" t="s">
        <v>181</v>
      </c>
      <c r="C106" t="s">
        <v>182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180</v>
      </c>
      <c r="K106" t="s">
        <v>239</v>
      </c>
      <c r="L106" t="s">
        <v>257</v>
      </c>
    </row>
    <row r="107" spans="1:12" x14ac:dyDescent="0.3">
      <c r="A107" t="s">
        <v>165</v>
      </c>
      <c r="B107" t="s">
        <v>240</v>
      </c>
      <c r="C107" t="s">
        <v>241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201</v>
      </c>
      <c r="K107" t="s">
        <v>239</v>
      </c>
      <c r="L107" t="s">
        <v>85</v>
      </c>
    </row>
    <row r="109" spans="1:12" x14ac:dyDescent="0.3">
      <c r="A109" t="s">
        <v>265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168</v>
      </c>
      <c r="F111" t="s">
        <v>109</v>
      </c>
      <c r="G111" t="s">
        <v>110</v>
      </c>
      <c r="H111" t="s">
        <v>111</v>
      </c>
      <c r="I111" t="s">
        <v>256</v>
      </c>
      <c r="J111" t="s">
        <v>124</v>
      </c>
      <c r="K111" t="s">
        <v>250</v>
      </c>
      <c r="L111" t="s">
        <v>212</v>
      </c>
    </row>
    <row r="112" spans="1:12" x14ac:dyDescent="0.3">
      <c r="A112" t="s">
        <v>165</v>
      </c>
      <c r="B112" t="s">
        <v>166</v>
      </c>
      <c r="C112" t="s">
        <v>167</v>
      </c>
      <c r="D112" t="str">
        <f t="shared" si="8"/>
        <v xml:space="preserve"> BSS-13  Flow error message improvement</v>
      </c>
      <c r="E112" t="s">
        <v>168</v>
      </c>
      <c r="F112" t="s">
        <v>225</v>
      </c>
      <c r="G112" t="s">
        <v>110</v>
      </c>
      <c r="H112" t="s">
        <v>111</v>
      </c>
      <c r="I112" t="s">
        <v>169</v>
      </c>
      <c r="J112" t="s">
        <v>113</v>
      </c>
      <c r="K112" t="s">
        <v>226</v>
      </c>
      <c r="L112" t="s">
        <v>85</v>
      </c>
    </row>
    <row r="113" spans="1:12" x14ac:dyDescent="0.3">
      <c r="A113" t="s">
        <v>105</v>
      </c>
      <c r="B113" t="s">
        <v>231</v>
      </c>
      <c r="C113" t="s">
        <v>232</v>
      </c>
      <c r="D113" t="str">
        <f t="shared" si="8"/>
        <v xml:space="preserve"> BSS-27  Lead tenant validation preventing creation of renewal opps</v>
      </c>
      <c r="E113" t="s">
        <v>168</v>
      </c>
      <c r="F113" t="s">
        <v>225</v>
      </c>
      <c r="G113" t="s">
        <v>110</v>
      </c>
      <c r="H113" t="s">
        <v>228</v>
      </c>
      <c r="I113" t="s">
        <v>110</v>
      </c>
      <c r="J113" t="s">
        <v>233</v>
      </c>
      <c r="K113" t="s">
        <v>229</v>
      </c>
      <c r="L113" t="s">
        <v>42</v>
      </c>
    </row>
    <row r="114" spans="1:12" x14ac:dyDescent="0.3">
      <c r="A114" t="s">
        <v>105</v>
      </c>
      <c r="B114" t="s">
        <v>162</v>
      </c>
      <c r="C114" t="s">
        <v>163</v>
      </c>
      <c r="D114" t="str">
        <f t="shared" si="8"/>
        <v xml:space="preserve"> BSS-15  Trim the spaces before sending to HomeLet</v>
      </c>
      <c r="E114" t="s">
        <v>168</v>
      </c>
      <c r="F114" t="s">
        <v>225</v>
      </c>
      <c r="G114" t="s">
        <v>110</v>
      </c>
      <c r="H114" t="s">
        <v>111</v>
      </c>
      <c r="I114" t="s">
        <v>110</v>
      </c>
      <c r="J114" t="s">
        <v>154</v>
      </c>
      <c r="K114" t="s">
        <v>226</v>
      </c>
      <c r="L114" t="s">
        <v>257</v>
      </c>
    </row>
    <row r="115" spans="1:12" x14ac:dyDescent="0.3">
      <c r="A115" t="s">
        <v>165</v>
      </c>
      <c r="B115" t="s">
        <v>234</v>
      </c>
      <c r="C115" t="s">
        <v>235</v>
      </c>
      <c r="D115" t="str">
        <f t="shared" si="8"/>
        <v xml:space="preserve"> BSS-24  Update recipients for Process Automation Settings</v>
      </c>
      <c r="E115" t="s">
        <v>168</v>
      </c>
      <c r="F115" t="s">
        <v>225</v>
      </c>
      <c r="G115" t="s">
        <v>110</v>
      </c>
      <c r="H115" t="s">
        <v>111</v>
      </c>
      <c r="I115" t="s">
        <v>110</v>
      </c>
      <c r="J115" t="s">
        <v>201</v>
      </c>
      <c r="K115" t="s">
        <v>251</v>
      </c>
      <c r="L115" t="s">
        <v>85</v>
      </c>
    </row>
    <row r="116" spans="1:12" x14ac:dyDescent="0.3">
      <c r="A116" t="s">
        <v>105</v>
      </c>
      <c r="B116" t="s">
        <v>205</v>
      </c>
      <c r="C116" t="s">
        <v>206</v>
      </c>
      <c r="D116" t="str">
        <f t="shared" si="8"/>
        <v xml:space="preserve"> BSS-23  An Error Occurred with Your "Renewals - Send email to OCRs" Flow</v>
      </c>
      <c r="E116" t="s">
        <v>168</v>
      </c>
      <c r="F116" t="s">
        <v>225</v>
      </c>
      <c r="G116" t="s">
        <v>110</v>
      </c>
      <c r="H116" t="s">
        <v>236</v>
      </c>
      <c r="I116" t="s">
        <v>204</v>
      </c>
      <c r="J116" t="s">
        <v>201</v>
      </c>
      <c r="K116" t="s">
        <v>226</v>
      </c>
      <c r="L116" t="s">
        <v>85</v>
      </c>
    </row>
    <row r="117" spans="1:12" x14ac:dyDescent="0.3">
      <c r="A117" t="s">
        <v>105</v>
      </c>
      <c r="B117" t="s">
        <v>202</v>
      </c>
      <c r="C117" t="s">
        <v>227</v>
      </c>
      <c r="D117" t="str">
        <f t="shared" si="8"/>
        <v xml:space="preserve"> BSS-22  Welsh Occupation Contract validation blocking opportunities for Parking Garages in Cardiff</v>
      </c>
      <c r="E117" t="s">
        <v>190</v>
      </c>
      <c r="F117" t="s">
        <v>207</v>
      </c>
      <c r="G117" t="s">
        <v>110</v>
      </c>
      <c r="H117" t="s">
        <v>228</v>
      </c>
      <c r="I117" t="s">
        <v>204</v>
      </c>
      <c r="J117" t="s">
        <v>201</v>
      </c>
      <c r="K117" t="s">
        <v>266</v>
      </c>
      <c r="L117" t="s">
        <v>85</v>
      </c>
    </row>
    <row r="118" spans="1:12" x14ac:dyDescent="0.3">
      <c r="A118" t="s">
        <v>105</v>
      </c>
      <c r="B118" t="s">
        <v>252</v>
      </c>
      <c r="C118" t="s">
        <v>253</v>
      </c>
      <c r="D118" t="str">
        <f t="shared" si="8"/>
        <v xml:space="preserve"> BSS-29  Event PB Handler Error: Missing required: whoId </v>
      </c>
      <c r="E118" t="s">
        <v>168</v>
      </c>
      <c r="F118" t="s">
        <v>225</v>
      </c>
      <c r="G118" t="s">
        <v>110</v>
      </c>
      <c r="H118" t="s">
        <v>111</v>
      </c>
      <c r="I118" t="s">
        <v>204</v>
      </c>
      <c r="J118" t="s">
        <v>226</v>
      </c>
      <c r="K118" t="s">
        <v>251</v>
      </c>
      <c r="L118" t="s">
        <v>85</v>
      </c>
    </row>
    <row r="119" spans="1:12" x14ac:dyDescent="0.3">
      <c r="A119" t="s">
        <v>105</v>
      </c>
      <c r="B119" t="s">
        <v>254</v>
      </c>
      <c r="C119" t="s">
        <v>255</v>
      </c>
      <c r="D119" t="str">
        <f t="shared" si="8"/>
        <v xml:space="preserve"> BSS-31  Apex error during CancelOrder callout to HomeLet API</v>
      </c>
      <c r="E119" t="s">
        <v>168</v>
      </c>
      <c r="F119" t="s">
        <v>225</v>
      </c>
      <c r="G119" t="s">
        <v>110</v>
      </c>
      <c r="H119" t="s">
        <v>111</v>
      </c>
      <c r="I119" t="s">
        <v>110</v>
      </c>
      <c r="J119" t="s">
        <v>251</v>
      </c>
      <c r="K119" t="s">
        <v>251</v>
      </c>
      <c r="L119" t="s">
        <v>133</v>
      </c>
    </row>
    <row r="120" spans="1:12" x14ac:dyDescent="0.3">
      <c r="A120" t="s">
        <v>105</v>
      </c>
      <c r="B120" t="s">
        <v>267</v>
      </c>
      <c r="C120" t="s">
        <v>268</v>
      </c>
      <c r="D120" t="str">
        <f t="shared" si="8"/>
        <v xml:space="preserve"> BSS-35  The occupational date and signature box are not populated as expected </v>
      </c>
      <c r="E120" t="s">
        <v>168</v>
      </c>
      <c r="F120" t="s">
        <v>225</v>
      </c>
      <c r="G120" t="s">
        <v>110</v>
      </c>
      <c r="H120" t="s">
        <v>111</v>
      </c>
      <c r="I120" t="s">
        <v>110</v>
      </c>
      <c r="J120" t="s">
        <v>269</v>
      </c>
      <c r="K120" t="s">
        <v>269</v>
      </c>
      <c r="L120" t="s">
        <v>212</v>
      </c>
    </row>
    <row r="121" spans="1:12" x14ac:dyDescent="0.3">
      <c r="A121" t="s">
        <v>105</v>
      </c>
      <c r="B121" t="s">
        <v>270</v>
      </c>
      <c r="C121" t="s">
        <v>271</v>
      </c>
      <c r="D121" t="str">
        <f t="shared" si="8"/>
        <v xml:space="preserve"> BSS-36  Payment Periodicity not applicable for the selected Primary Offer</v>
      </c>
      <c r="E121" t="s">
        <v>168</v>
      </c>
      <c r="F121" t="s">
        <v>225</v>
      </c>
      <c r="G121" t="s">
        <v>110</v>
      </c>
      <c r="H121" t="s">
        <v>111</v>
      </c>
      <c r="I121" t="s">
        <v>204</v>
      </c>
      <c r="J121" t="s">
        <v>269</v>
      </c>
      <c r="K121" t="s">
        <v>269</v>
      </c>
      <c r="L121" t="s">
        <v>85</v>
      </c>
    </row>
    <row r="122" spans="1:12" x14ac:dyDescent="0.3">
      <c r="A122" t="s">
        <v>105</v>
      </c>
      <c r="B122" t="s">
        <v>272</v>
      </c>
      <c r="C122" t="s">
        <v>273</v>
      </c>
      <c r="D122" t="str">
        <f t="shared" si="8"/>
        <v xml:space="preserve"> BSS-37  Read/write access for 'Key Location Check in'</v>
      </c>
      <c r="E122" t="s">
        <v>168</v>
      </c>
      <c r="F122" t="s">
        <v>225</v>
      </c>
      <c r="G122" t="s">
        <v>110</v>
      </c>
      <c r="H122" t="s">
        <v>111</v>
      </c>
      <c r="I122" t="s">
        <v>204</v>
      </c>
      <c r="J122" t="s">
        <v>266</v>
      </c>
      <c r="K122" t="s">
        <v>266</v>
      </c>
      <c r="L122" t="s">
        <v>85</v>
      </c>
    </row>
    <row r="123" spans="1:12" x14ac:dyDescent="0.3">
      <c r="A123" t="s">
        <v>105</v>
      </c>
      <c r="B123" t="s">
        <v>199</v>
      </c>
      <c r="C123" t="s">
        <v>200</v>
      </c>
      <c r="D123" t="str">
        <f t="shared" si="8"/>
        <v xml:space="preserve"> BSS-20  Lead Tenant being sent twice to HomeLet</v>
      </c>
      <c r="E123" t="s">
        <v>127</v>
      </c>
      <c r="F123" t="s">
        <v>179</v>
      </c>
      <c r="G123" t="s">
        <v>110</v>
      </c>
      <c r="H123" t="s">
        <v>111</v>
      </c>
      <c r="I123" t="s">
        <v>110</v>
      </c>
      <c r="J123" t="s">
        <v>186</v>
      </c>
      <c r="K123" t="s">
        <v>251</v>
      </c>
      <c r="L123" t="s">
        <v>42</v>
      </c>
    </row>
    <row r="124" spans="1:12" x14ac:dyDescent="0.3">
      <c r="A124" t="s">
        <v>105</v>
      </c>
      <c r="B124" t="s">
        <v>237</v>
      </c>
      <c r="C124" t="s">
        <v>238</v>
      </c>
      <c r="D124" t="str">
        <f t="shared" si="8"/>
        <v xml:space="preserve"> BSS-28  Contract Sign Date not displaying</v>
      </c>
      <c r="E124" t="s">
        <v>127</v>
      </c>
      <c r="F124" t="s">
        <v>225</v>
      </c>
      <c r="G124" t="s">
        <v>110</v>
      </c>
      <c r="H124" t="s">
        <v>228</v>
      </c>
      <c r="I124" t="s">
        <v>110</v>
      </c>
      <c r="J124" t="s">
        <v>233</v>
      </c>
      <c r="K124" t="s">
        <v>251</v>
      </c>
      <c r="L124" t="s">
        <v>257</v>
      </c>
    </row>
    <row r="125" spans="1:12" x14ac:dyDescent="0.3">
      <c r="A125" t="s">
        <v>105</v>
      </c>
      <c r="B125" t="s">
        <v>188</v>
      </c>
      <c r="C125" t="s">
        <v>189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187</v>
      </c>
      <c r="K125" t="s">
        <v>208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225</v>
      </c>
      <c r="G126" t="s">
        <v>110</v>
      </c>
      <c r="H126" t="s">
        <v>111</v>
      </c>
      <c r="I126" t="s">
        <v>110</v>
      </c>
      <c r="J126" t="s">
        <v>117</v>
      </c>
      <c r="K126" t="s">
        <v>226</v>
      </c>
      <c r="L126" t="s">
        <v>257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230</v>
      </c>
      <c r="G127" t="s">
        <v>110</v>
      </c>
      <c r="H127" t="s">
        <v>111</v>
      </c>
      <c r="I127" t="s">
        <v>110</v>
      </c>
      <c r="J127" t="s">
        <v>112</v>
      </c>
      <c r="K127" t="s">
        <v>226</v>
      </c>
      <c r="L127" t="s">
        <v>212</v>
      </c>
    </row>
    <row r="128" spans="1:12" x14ac:dyDescent="0.3">
      <c r="A128" t="s">
        <v>105</v>
      </c>
      <c r="B128" t="s">
        <v>155</v>
      </c>
      <c r="C128" t="s">
        <v>156</v>
      </c>
      <c r="D128" t="str">
        <f t="shared" si="8"/>
        <v xml:space="preserve"> BSS-14  An unhandled fault occurred in this flow</v>
      </c>
      <c r="E128" t="s">
        <v>127</v>
      </c>
      <c r="F128" t="s">
        <v>230</v>
      </c>
      <c r="G128" t="s">
        <v>110</v>
      </c>
      <c r="H128" t="s">
        <v>111</v>
      </c>
      <c r="I128" t="s">
        <v>110</v>
      </c>
      <c r="J128" t="s">
        <v>157</v>
      </c>
      <c r="K128" t="s">
        <v>269</v>
      </c>
      <c r="L128" t="s">
        <v>212</v>
      </c>
    </row>
    <row r="129" spans="1:12" x14ac:dyDescent="0.3">
      <c r="A129" t="s">
        <v>105</v>
      </c>
      <c r="B129" t="s">
        <v>158</v>
      </c>
      <c r="C129" t="s">
        <v>159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154</v>
      </c>
      <c r="K129" t="s">
        <v>251</v>
      </c>
      <c r="L129" t="s">
        <v>257</v>
      </c>
    </row>
    <row r="131" spans="1:12" x14ac:dyDescent="0.3">
      <c r="A131" t="s">
        <v>287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256</v>
      </c>
      <c r="J133" t="s">
        <v>124</v>
      </c>
      <c r="K133" t="s">
        <v>288</v>
      </c>
      <c r="L133" t="s">
        <v>212</v>
      </c>
    </row>
    <row r="134" spans="1:12" x14ac:dyDescent="0.3">
      <c r="A134" t="s">
        <v>105</v>
      </c>
      <c r="B134" t="s">
        <v>231</v>
      </c>
      <c r="C134" t="s">
        <v>232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257</v>
      </c>
      <c r="G134" t="s">
        <v>110</v>
      </c>
      <c r="H134" t="s">
        <v>228</v>
      </c>
      <c r="I134" t="s">
        <v>110</v>
      </c>
      <c r="J134" t="s">
        <v>233</v>
      </c>
      <c r="K134" t="s">
        <v>288</v>
      </c>
      <c r="L134" t="s">
        <v>133</v>
      </c>
    </row>
    <row r="135" spans="1:12" x14ac:dyDescent="0.3">
      <c r="A135" t="s">
        <v>165</v>
      </c>
      <c r="B135" t="s">
        <v>234</v>
      </c>
      <c r="C135" t="s">
        <v>235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201</v>
      </c>
      <c r="K135" t="s">
        <v>288</v>
      </c>
      <c r="L135" t="s">
        <v>85</v>
      </c>
    </row>
    <row r="136" spans="1:12" x14ac:dyDescent="0.3">
      <c r="A136" t="s">
        <v>105</v>
      </c>
      <c r="B136" t="s">
        <v>272</v>
      </c>
      <c r="C136" t="s">
        <v>289</v>
      </c>
      <c r="D136" t="str">
        <f t="shared" si="9"/>
        <v xml:space="preserve"> BSS-37  EoT errors for users with "read only" profile</v>
      </c>
      <c r="E136" t="s">
        <v>190</v>
      </c>
      <c r="F136" t="s">
        <v>212</v>
      </c>
      <c r="G136" t="s">
        <v>110</v>
      </c>
      <c r="H136" t="s">
        <v>111</v>
      </c>
      <c r="I136" t="s">
        <v>204</v>
      </c>
      <c r="J136" t="s">
        <v>266</v>
      </c>
      <c r="K136" t="s">
        <v>290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648C24B-AF51-44ED-9387-00AF43C59D12}"/>
</file>

<file path=customXml/itemProps2.xml><?xml version="1.0" encoding="utf-8"?>
<ds:datastoreItem xmlns:ds="http://schemas.openxmlformats.org/officeDocument/2006/customXml" ds:itemID="{F3FB3FDB-A354-4D26-91F3-379945374AE8}"/>
</file>

<file path=customXml/itemProps3.xml><?xml version="1.0" encoding="utf-8"?>
<ds:datastoreItem xmlns:ds="http://schemas.openxmlformats.org/officeDocument/2006/customXml" ds:itemID="{8D589453-FD62-4B19-8FFA-2A9EA117AFCE}"/>
</file>

<file path=customXml/itemProps4.xml><?xml version="1.0" encoding="utf-8"?>
<ds:datastoreItem xmlns:ds="http://schemas.openxmlformats.org/officeDocument/2006/customXml" ds:itemID="{67329CEF-9BB0-45FA-983B-D903F66DE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2024-10-22T09:29:16Z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