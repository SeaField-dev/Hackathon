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12"/>
  <workbookPr/>
  <mc:AlternateContent xmlns:mc="http://schemas.openxmlformats.org/markup-compatibility/2006">
    <mc:Choice Requires="x15">
      <x15ac:absPath xmlns:x15ac="http://schemas.microsoft.com/office/spreadsheetml/2010/11/ac" url="https://openboxsoftwareweb.sharepoint.com/sites/GraingerPLC/Client Documents/PM Reports/04. Salesforce Support/"/>
    </mc:Choice>
  </mc:AlternateContent>
  <xr:revisionPtr revIDLastSave="501" documentId="8_{907A65C0-8665-4C64-8956-4C088BDBDF21}" xr6:coauthVersionLast="47" xr6:coauthVersionMax="47" xr10:uidLastSave="{0D9A003A-93C7-494B-87BC-3CC035D9FF1C}"/>
  <bookViews>
    <workbookView xWindow="28680" yWindow="-2040" windowWidth="29040" windowHeight="15720" xr2:uid="{00000000-000D-0000-FFFF-FFFF00000000}"/>
  </bookViews>
  <sheets>
    <sheet name="Pivot" sheetId="2" r:id="rId1"/>
    <sheet name="Current" sheetId="4" r:id="rId2"/>
    <sheet name="All Timesheets" sheetId="1" r:id="rId3"/>
    <sheet name="Jira List" sheetId="3" r:id="rId4"/>
  </sheets>
  <definedNames>
    <definedName name="_xlnm._FilterDatabase" localSheetId="2" hidden="1">'All Timesheets'!$A$1:$AD$750</definedName>
    <definedName name="_xlnm._FilterDatabase" localSheetId="1" hidden="1">Current!$A$1:$AE$62</definedName>
  </definedNames>
  <calcPr calcId="191028"/>
  <pivotCaches>
    <pivotCache cacheId="3494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127" i="1" l="1"/>
  <c r="AC121" i="1"/>
  <c r="AC96" i="1"/>
  <c r="AC42" i="1"/>
  <c r="D136" i="3"/>
  <c r="D135" i="3"/>
  <c r="D134" i="3"/>
  <c r="D133" i="3"/>
  <c r="D129" i="3"/>
  <c r="D128" i="3"/>
  <c r="D127" i="3"/>
  <c r="D126" i="3"/>
  <c r="D125" i="3"/>
  <c r="D124" i="3"/>
  <c r="D123" i="3"/>
  <c r="D122" i="3"/>
  <c r="D121" i="3"/>
  <c r="D120" i="3"/>
  <c r="D119" i="3"/>
  <c r="D118" i="3"/>
  <c r="D117" i="3"/>
  <c r="D116" i="3"/>
  <c r="D115" i="3"/>
  <c r="D114" i="3"/>
  <c r="D113" i="3"/>
  <c r="D112" i="3"/>
  <c r="D111" i="3"/>
  <c r="D89" i="3"/>
  <c r="D107" i="3"/>
  <c r="D106" i="3"/>
  <c r="D105" i="3"/>
  <c r="D104" i="3"/>
  <c r="D103" i="3"/>
  <c r="D102" i="3"/>
  <c r="D101" i="3"/>
  <c r="D100" i="3"/>
  <c r="D99" i="3"/>
  <c r="D98" i="3"/>
  <c r="D97" i="3"/>
  <c r="D96" i="3"/>
  <c r="D95" i="3"/>
  <c r="D94" i="3"/>
  <c r="D93" i="3"/>
  <c r="D92" i="3"/>
  <c r="D91" i="3"/>
  <c r="D90" i="3"/>
  <c r="D74" i="3"/>
  <c r="D75" i="3"/>
  <c r="D69" i="3"/>
  <c r="D70" i="3"/>
  <c r="D71" i="3"/>
  <c r="D72" i="3"/>
  <c r="D73" i="3"/>
  <c r="D77" i="3"/>
  <c r="D78" i="3"/>
  <c r="D79" i="3"/>
  <c r="D80" i="3"/>
  <c r="D81" i="3"/>
  <c r="D82" i="3"/>
  <c r="D83" i="3"/>
  <c r="D84" i="3"/>
  <c r="D85" i="3"/>
  <c r="D76" i="3"/>
  <c r="D59" i="3"/>
  <c r="D64" i="3"/>
  <c r="D63" i="3"/>
  <c r="D62" i="3"/>
  <c r="D61" i="3"/>
  <c r="D60" i="3"/>
  <c r="D65" i="3"/>
  <c r="D58" i="3"/>
  <c r="D57" i="3"/>
  <c r="D56" i="3"/>
  <c r="D55" i="3"/>
  <c r="D54" i="3"/>
  <c r="D49" i="3"/>
  <c r="D48" i="3"/>
  <c r="D47" i="3"/>
  <c r="D52" i="3"/>
  <c r="D51" i="3"/>
  <c r="D50" i="3"/>
  <c r="D53" i="3"/>
  <c r="D34" i="3"/>
  <c r="D38" i="3"/>
  <c r="D43" i="3"/>
  <c r="D42" i="3"/>
  <c r="D41" i="3"/>
  <c r="D40" i="3"/>
  <c r="D39" i="3"/>
  <c r="D33" i="3"/>
  <c r="D37" i="3"/>
  <c r="D36" i="3"/>
  <c r="D35" i="3"/>
  <c r="D32" i="3"/>
  <c r="D31" i="3"/>
  <c r="D30" i="3"/>
  <c r="D29" i="3"/>
  <c r="D25" i="3"/>
  <c r="D24" i="3"/>
  <c r="D23" i="3"/>
  <c r="D22" i="3"/>
  <c r="D21" i="3"/>
  <c r="D20" i="3"/>
  <c r="D19" i="3"/>
  <c r="D18" i="3"/>
  <c r="D17" i="3"/>
  <c r="D16" i="3"/>
  <c r="D15" i="3"/>
  <c r="D14" i="3"/>
  <c r="D4" i="3"/>
  <c r="D5" i="3"/>
  <c r="D6" i="3"/>
  <c r="D7" i="3"/>
  <c r="D8" i="3"/>
  <c r="D9" i="3"/>
  <c r="D10" i="3"/>
  <c r="D3" i="3"/>
</calcChain>
</file>

<file path=xl/sharedStrings.xml><?xml version="1.0" encoding="utf-8"?>
<sst xmlns="http://schemas.openxmlformats.org/spreadsheetml/2006/main" count="17633" uniqueCount="482">
  <si>
    <t>Sum of Hours</t>
  </si>
  <si>
    <t>Column Labels</t>
  </si>
  <si>
    <t>2.1 COST</t>
  </si>
  <si>
    <t>Row Labels</t>
  </si>
  <si>
    <t>General Support (Billable)</t>
  </si>
  <si>
    <t>General Support (Non-Billable)</t>
  </si>
  <si>
    <t>Grand Total</t>
  </si>
  <si>
    <t>The cost for the services detailed in this document are as follows:</t>
  </si>
  <si>
    <t>Shaun Barrett</t>
  </si>
  <si>
    <t xml:space="preserve">1. Support services will be provided on a Time and Materials (T&amp;M) basis at a rate of </t>
  </si>
  <si>
    <t>Anjali Salecha</t>
  </si>
  <si>
    <t xml:space="preserve">£120 per hour. </t>
  </si>
  <si>
    <t>Khonani Davhana</t>
  </si>
  <si>
    <t xml:space="preserve">a. A minimum amount of £3600 / month will be billed, entitling Grainger PLC </t>
  </si>
  <si>
    <t>Carami Viljoen</t>
  </si>
  <si>
    <t>to 30 hours of work</t>
  </si>
  <si>
    <t>Jacob Smycz</t>
  </si>
  <si>
    <t>The contract will begin on 1 April 2024 and end on 30 September 2024</t>
  </si>
  <si>
    <t>Jira Ticket</t>
  </si>
  <si>
    <t>Status</t>
  </si>
  <si>
    <t>Assigned To</t>
  </si>
  <si>
    <t>Jira Epic</t>
  </si>
  <si>
    <t>BSS-79 Peer Review of the validation changes</t>
  </si>
  <si>
    <t>To Do</t>
  </si>
  <si>
    <t>BSS-77 Closed Won opportunities with Anonymised Accounts</t>
  </si>
  <si>
    <t>Unassigned</t>
  </si>
  <si>
    <t>BSS-76 Disable publishing units to live Rightmove environment when a sandbox is refreshed or newly created</t>
  </si>
  <si>
    <t>BSS-65 Add fault path to "EoT - Clean Unit (Task Subflow)" Flow</t>
  </si>
  <si>
    <t xml:space="preserve"> BSS-13 Flow error message improvement</t>
  </si>
  <si>
    <t>BSS-66 Add fault path to "EoT- Deposit Release (Task Subflow)" Flow</t>
  </si>
  <si>
    <t>BSS-67 Add fault path to "EoT- PVI (Task Subflow)" Flow</t>
  </si>
  <si>
    <t>BSS-68 Add fault path to "EoT - Reopen Amend Direct Debit" Flow</t>
  </si>
  <si>
    <t>BSS-69 Add fault path to "An Error Occurred with Your "EoT- Check Out (Task Subflow)" Flow "</t>
  </si>
  <si>
    <t>BSS-70 Add fault path to "UpdateOffers" Flow</t>
  </si>
  <si>
    <t>BSS-71 Add fault path to "RTF_Account_UpdateRTRFields_OBS" flow</t>
  </si>
  <si>
    <t>BSS-78 Make Homelet API request timeout Configurable</t>
  </si>
  <si>
    <t>In Progress</t>
  </si>
  <si>
    <t>BSS-80 Can we please get the lead source 'Home Made' added to the salesforce pick list.</t>
  </si>
  <si>
    <t>Saji Gunasekaran</t>
  </si>
  <si>
    <t>BSS-81 GREP Integration User missing Building Queue access</t>
  </si>
  <si>
    <t>Awaiting Feedback (Grainger)</t>
  </si>
  <si>
    <t>In Review (Open Box)</t>
  </si>
  <si>
    <t>Client Confirmation (Grainger)</t>
  </si>
  <si>
    <t>UAT Approved</t>
  </si>
  <si>
    <t>Done</t>
  </si>
  <si>
    <t>Date</t>
  </si>
  <si>
    <t>Person</t>
  </si>
  <si>
    <t>Agreement Type</t>
  </si>
  <si>
    <t>Person Organisation</t>
  </si>
  <si>
    <t>Person Team</t>
  </si>
  <si>
    <t>Person Location</t>
  </si>
  <si>
    <t>Company Name</t>
  </si>
  <si>
    <t>Project Number</t>
  </si>
  <si>
    <t>Project Name</t>
  </si>
  <si>
    <t>Project Type</t>
  </si>
  <si>
    <t>Project Organisation</t>
  </si>
  <si>
    <t>Project Manager</t>
  </si>
  <si>
    <t>Account Manager</t>
  </si>
  <si>
    <t>Line Manager</t>
  </si>
  <si>
    <t>Budget Name</t>
  </si>
  <si>
    <t>Time Entry ID</t>
  </si>
  <si>
    <t>Timecode Name</t>
  </si>
  <si>
    <t>Billable Timecode</t>
  </si>
  <si>
    <t>Timecode Type</t>
  </si>
  <si>
    <t>Timecode Rate</t>
  </si>
  <si>
    <t>Hours</t>
  </si>
  <si>
    <t>Time</t>
  </si>
  <si>
    <t>Worked Amount</t>
  </si>
  <si>
    <t>Invoiced Amount</t>
  </si>
  <si>
    <t>Invoiced Delta</t>
  </si>
  <si>
    <t>Invoice #</t>
  </si>
  <si>
    <t>Currency</t>
  </si>
  <si>
    <t>Reviewed Status</t>
  </si>
  <si>
    <t>Comment</t>
  </si>
  <si>
    <t>Timesheet Status</t>
  </si>
  <si>
    <t>Salaried / Fixed</t>
  </si>
  <si>
    <t>Open Box Software (Pty) Ltd (Open Box SA)</t>
  </si>
  <si>
    <t>Custom Software</t>
  </si>
  <si>
    <t>SA</t>
  </si>
  <si>
    <t>Grainger PLC</t>
  </si>
  <si>
    <t>OB-000493</t>
  </si>
  <si>
    <t>Salesforce Support (T&amp;M)</t>
  </si>
  <si>
    <t>Billable</t>
  </si>
  <si>
    <t>Brendan Canny</t>
  </si>
  <si>
    <t xml:space="preserve"> </t>
  </si>
  <si>
    <t>Support</t>
  </si>
  <si>
    <t>Non-billable timecode</t>
  </si>
  <si>
    <t>Standard Timecode</t>
  </si>
  <si>
    <t>GBP</t>
  </si>
  <si>
    <t>time report</t>
  </si>
  <si>
    <t>Not submitted</t>
  </si>
  <si>
    <t>Salesforce</t>
  </si>
  <si>
    <t>Hourly</t>
  </si>
  <si>
    <t>Sam Duncan</t>
  </si>
  <si>
    <t>Billable timecode</t>
  </si>
  <si>
    <t>Worked on weekly deployment. Worked on  LRWFA-13</t>
  </si>
  <si>
    <t>Time Report</t>
  </si>
  <si>
    <t>Worked on LRWFA-13 and LRWFA-8</t>
  </si>
  <si>
    <t xml:space="preserve">Sachin  Deshmukh </t>
  </si>
  <si>
    <t>IN08074</t>
  </si>
  <si>
    <t>Reviewed</t>
  </si>
  <si>
    <t>-- Investigated FVVP 417 and Production bugs</t>
  </si>
  <si>
    <t>Discussion with Sam related to RJ-30 root cause. Likely relationship with fix of RJ-26. Fixed RJ-30 in staging and testing.</t>
  </si>
  <si>
    <t>Worked on FVVP-416</t>
  </si>
  <si>
    <t>checked if sandbox openbox can be deleted. worked on fixing test class - Renewals_OpportunityCloneTest for RJ-30 in staging</t>
  </si>
  <si>
    <t>kick-off &amp; admin</t>
  </si>
  <si>
    <t>Fixed the production bug FVVP 416 in Staging</t>
  </si>
  <si>
    <t>pre project prep</t>
  </si>
  <si>
    <t>Tafadzwa Toro</t>
  </si>
  <si>
    <t>Troubleshooting RSW ticket: https://graingerplc.atlassian.net/browse/RSW-62</t>
  </si>
  <si>
    <t>Time Reports</t>
  </si>
  <si>
    <t>Support Process Planning</t>
  </si>
  <si>
    <t>BSS-6 Making change in UAT and deploying to PROD</t>
  </si>
  <si>
    <t>Meeting with Helpdesk</t>
  </si>
  <si>
    <t>Dillan Landsberg</t>
  </si>
  <si>
    <t>Homelet demo to Dillan Landsberg in uat.</t>
  </si>
  <si>
    <t>Process Refinement &amp; Flow diagram drafting</t>
  </si>
  <si>
    <t>BSS-8: Investigating ticket and providing feedback to Saji</t>
  </si>
  <si>
    <t>HomeLet overview with Anjali</t>
  </si>
  <si>
    <t>Updating historical opps for HomeLet go-live https://graingerplc.atlassian.net/browse/BSS-7</t>
  </si>
  <si>
    <t>Jira changes</t>
  </si>
  <si>
    <t>BSS-8</t>
  </si>
  <si>
    <t>BSS-9 Investigating and responding to Jaic</t>
  </si>
  <si>
    <t>BSS-11 and BSS-12 investigation and feedback</t>
  </si>
  <si>
    <t>Jira issue type changes</t>
  </si>
  <si>
    <t>BSS-8 Investigation and feedback to Saji</t>
  </si>
  <si>
    <t>Chat with Anjali regarding BSS-8</t>
  </si>
  <si>
    <t>Diagram run through with Melissa</t>
  </si>
  <si>
    <t>BSS-8 BSS-3</t>
  </si>
  <si>
    <t>Signl4 integration</t>
  </si>
  <si>
    <t>BSS-14 investigation &amp; error replication BSS-3: Close ticket</t>
  </si>
  <si>
    <t>Flow diagram workings &amp; standup</t>
  </si>
  <si>
    <t>Grainger EOT issue Meeting with Sam &amp; Avi</t>
  </si>
  <si>
    <t>Discussion with Dillan about HomeLet Bug - removing spaces from phone number before sending to Homelet.</t>
  </si>
  <si>
    <t>BSS-15 Call with Anjali, Investigation   &amp; feedback</t>
  </si>
  <si>
    <t>Discussion with Dillan about 'ApplicantExistsWithSameEmail' error.</t>
  </si>
  <si>
    <t>Diagram changes</t>
  </si>
  <si>
    <t>AVM-16</t>
  </si>
  <si>
    <t>Checked the root cause for BSS-16 and discussion with Dillan.</t>
  </si>
  <si>
    <t>BSS-16 call with Anjali</t>
  </si>
  <si>
    <t>AVM-14 Test Case</t>
  </si>
  <si>
    <t>BSS-16</t>
  </si>
  <si>
    <t>BSS-18</t>
  </si>
  <si>
    <t>Discussion with Sam about BSS-16.</t>
  </si>
  <si>
    <t>BSS8 call with Sam BSS-19</t>
  </si>
  <si>
    <t>HomeLet issue - https://graingerplc.atlassian.net/browse/BSS-16</t>
  </si>
  <si>
    <t>Chat with Jaic about Homelet opps issues. BSS-21</t>
  </si>
  <si>
    <t>IN08104</t>
  </si>
  <si>
    <t>1. Discussion with Sam and Dillan - HomeLet issue - https://graingerplc.atlassian.net/browse/BSS-16 2. Analysis and debug logs for issue BSS-16 3. Discussion with client - BSS-16 catchup.</t>
  </si>
  <si>
    <t>BSS-19</t>
  </si>
  <si>
    <t>1. Discussion with Sam 2. Worked on BSS-20 in sit environment. 3. Manual deployment of fixes from uat to sit 4. Testing in uat because of 403 forbidden error.</t>
  </si>
  <si>
    <t>BSS-19 BSS - 8</t>
  </si>
  <si>
    <t>BSS-22, BSS-23, BSS-25</t>
  </si>
  <si>
    <t>Grainger catchup with Sam and Anjali</t>
  </si>
  <si>
    <t>1. Discussion with Sam. 2. Worked on BSS-20. 3. Prepared data for opps already cloned and Opps not already cloned.  4. Root cause analysis.</t>
  </si>
  <si>
    <t>BSS-21 and BSS-22 investigation and updates in JIRA</t>
  </si>
  <si>
    <t>BSS-28 Investigation</t>
  </si>
  <si>
    <t>Worked on analysing debug logs for BSS-27</t>
  </si>
  <si>
    <t>Process discussion</t>
  </si>
  <si>
    <t>Worked on BSS-27. Daily standup . Discussion with Sam.</t>
  </si>
  <si>
    <t>FTE Hours Sync Up</t>
  </si>
  <si>
    <t>BSS-19 review and deployment with Sam</t>
  </si>
  <si>
    <t>BSS-28</t>
  </si>
  <si>
    <t>Support hours internal alignment &amp; Time Report</t>
  </si>
  <si>
    <t>Stand Up BSS-28 Investigation and review</t>
  </si>
  <si>
    <t>BSS-20 prod deployment package preparation. Daily standup.</t>
  </si>
  <si>
    <t>Standup</t>
  </si>
  <si>
    <t>- BSS-22 review and QA - Support case review</t>
  </si>
  <si>
    <t>Testing BSS-22</t>
  </si>
  <si>
    <t>Stand Up BSS-22 Assistance with investigation BSS-28 Catch Up</t>
  </si>
  <si>
    <t>Discussion with Khonani about testing AVM-68 in uat.</t>
  </si>
  <si>
    <t>Time Report &amp; Standup</t>
  </si>
  <si>
    <t>- BSS-22 updated validation rules, deploy and smoke testing - Stand up</t>
  </si>
  <si>
    <t>Testing BSS-22 in UAT</t>
  </si>
  <si>
    <t>Sandbox refresh articles. Worked on setting up task sheet. Daily standup.</t>
  </si>
  <si>
    <t>Discussion with Sachin related to task sheet. Updated sheet. Discussion with Dillan about grainger website integration new fields.</t>
  </si>
  <si>
    <t>- BSS-22 new issue investigation</t>
  </si>
  <si>
    <t>1. Worked on BSS-27 script to send mail about opportunities not successfully cloned. 2. Daily standup. 3. Discussion with Khonani about SAWI-70</t>
  </si>
  <si>
    <t>Standup &amp; Time Report</t>
  </si>
  <si>
    <t>Stand up</t>
  </si>
  <si>
    <t>Matthew Pitcairn</t>
  </si>
  <si>
    <t>Meeting with team over Grainger refresh</t>
  </si>
  <si>
    <t>Meeting over UAT refresh planning</t>
  </si>
  <si>
    <t>Standup, Time Report &amp; Support comms to confirm June POA</t>
  </si>
  <si>
    <t>Grainger UAT refresh meeting</t>
  </si>
  <si>
    <t>Standup &amp; regroup</t>
  </si>
  <si>
    <t>Grainger refresh meeting</t>
  </si>
  <si>
    <t>BSS-4 review</t>
  </si>
  <si>
    <t>IN08264</t>
  </si>
  <si>
    <t>BSS-27 investigation / updates to Jaic</t>
  </si>
  <si>
    <t>BSS-4</t>
  </si>
  <si>
    <t>Worked on analysing root cause for BSS-31</t>
  </si>
  <si>
    <t>Investigation around the Grainger org Stand Up</t>
  </si>
  <si>
    <t>Worked on reproducing BSS-31 in uat sandbox. Issue fix in dev. Deployment and testing in UAT sandbox.</t>
  </si>
  <si>
    <t>BSS-44 review</t>
  </si>
  <si>
    <t>BSS-27 working on analysis, pulling duplicate OCR's</t>
  </si>
  <si>
    <t>Review With Sam Document completion</t>
  </si>
  <si>
    <t>BSS-27 ongoing work and feedback to Jaic</t>
  </si>
  <si>
    <t>standup &amp; support ticket confirmations</t>
  </si>
  <si>
    <t>Daily standup. Worked on BSS-45 and  BSS-15. Testing of BSS-31 in UAT environment.</t>
  </si>
  <si>
    <t>standup</t>
  </si>
  <si>
    <t>BSS-44 show me</t>
  </si>
  <si>
    <t>BSS-44 Show me</t>
  </si>
  <si>
    <t>Worked on BSS-15 and BSS27. Daily standup. Fix, deploymnent and testing in UAT.</t>
  </si>
  <si>
    <t>QA BSS-44</t>
  </si>
  <si>
    <t>BSS-27 deleting dupes in UAT and PROD, liaising with Jaic</t>
  </si>
  <si>
    <t>Worked on BSS-27. Deployment and testing in uat environment. BSS-15 testing in uat sandbox.</t>
  </si>
  <si>
    <t>Worked on replying to Jaic's query for BSS-27. Updated apex script to find out number of contact roles with Lead Tenant role. Daily standup.</t>
  </si>
  <si>
    <t>standup &amp; Time Report</t>
  </si>
  <si>
    <t>BSS-42 Investigation</t>
  </si>
  <si>
    <t>Daily standup. Deployed BSS-15 to production environment.</t>
  </si>
  <si>
    <t>Daniel Edwards</t>
  </si>
  <si>
    <t>billing prep</t>
  </si>
  <si>
    <t>Stand Up</t>
  </si>
  <si>
    <t>Meeting. with Jacob</t>
  </si>
  <si>
    <t>Standup &amp; time report</t>
  </si>
  <si>
    <t>Investigating Conga Queries and Query IDs Comparisons in different environments</t>
  </si>
  <si>
    <t>IN08380</t>
  </si>
  <si>
    <t>Worked on BSS-27. Root cause analysis for error 'FIELD_CUSTOM_VALIDATION_EXCEPTION: The selected Contact has already been assigned a Contact Role. '</t>
  </si>
  <si>
    <t>Nikki Papenfus</t>
  </si>
  <si>
    <t>Andrew Pollock</t>
  </si>
  <si>
    <t>Answering Jaic's questions about website API</t>
  </si>
  <si>
    <t>Deployment and Post- Deployment Steps</t>
  </si>
  <si>
    <t>Standup &amp; Time report</t>
  </si>
  <si>
    <t>Daily standup. Discussion with Sam about BSS 27 catch up. Worked on BSS-27</t>
  </si>
  <si>
    <t>0.4166666666666666667</t>
  </si>
  <si>
    <t>Working on BSS-27 (1 hour)</t>
  </si>
  <si>
    <t>Daily standup. Discussion with Sam about BSS 27 catch up. Worked on BSS-27 - production logs check.</t>
  </si>
  <si>
    <t>Session with Dan Snelling to verify email for Automated Process user in PROD</t>
  </si>
  <si>
    <t>Time report</t>
  </si>
  <si>
    <t>Part of planning session  Stand up</t>
  </si>
  <si>
    <t>Worked on BSS-27 root cause - multiple OCRs with Lead Tenant role causing issue. Daily standup. Disucussion with Sam and Jacob about BSS-27. Worked on fix as per comment from sam - https://graingerplc.atlassian.net/browse/BSS-27?focusedCommentId52812</t>
  </si>
  <si>
    <t>Org Review Plan - meeting with Shaun, Dan and others.</t>
  </si>
  <si>
    <t>Grainger support standup, Org review reading - 1.5 Discussion with Sachin for installation issue of Org Check package - 0.5 Installed Org check in Grainger Dev - 0.5 Discussion with Toro for installation issue of Org Check package - 0.5 Support Catch - BSS-27 discussion with Grainger team - 0.5</t>
  </si>
  <si>
    <t>Call with Jaic on BSS-27</t>
  </si>
  <si>
    <t>Worked on BSS-48. Discussion with Jaic.</t>
  </si>
  <si>
    <t>Org Review - user licenses</t>
  </si>
  <si>
    <t>Standup, Template chat with Jacob, Template refinement</t>
  </si>
  <si>
    <t>Discussion with Sam about GDPR tesitng. Discussion with Jacob about apex batch vs flow. Org review</t>
  </si>
  <si>
    <t>Standup, deployment template refinement</t>
  </si>
  <si>
    <t>Org review. Daily standup.</t>
  </si>
  <si>
    <t>Org review documentation work.</t>
  </si>
  <si>
    <t>Production deployment of BSS-27. Preparation, review and testing of fix.</t>
  </si>
  <si>
    <t>Org review. Installed, configured and ran PMD analyser.</t>
  </si>
  <si>
    <t>time report &amp; standup</t>
  </si>
  <si>
    <t>Daily standup. Worked on Org review - Optimize run, profiles, permission sets, workflow rules, process builder etc.</t>
  </si>
  <si>
    <t>Time report &amp; standup</t>
  </si>
  <si>
    <t>Daily standup. Worked on Org Review. Documentation of all tools used.</t>
  </si>
  <si>
    <t>Discussion with Toro about installing Org Check. Daily stanup. BSS-35</t>
  </si>
  <si>
    <t>Standup, Changes checks</t>
  </si>
  <si>
    <t>Mailbox change, Jira change, Signl4 change</t>
  </si>
  <si>
    <t>IN08476</t>
  </si>
  <si>
    <t>Wroked on BSS-46, BSS-47, BSS-39. Deployment from Dev to QA</t>
  </si>
  <si>
    <t>Daily standup. Discussion with Toro. Discussion with Sam.</t>
  </si>
  <si>
    <t>Sarah Jessiman</t>
  </si>
  <si>
    <t>Worked on BSS-36. Finding the root cause.</t>
  </si>
  <si>
    <t>Discussion wtih Toro.</t>
  </si>
  <si>
    <t>Worked on BSS-50. Discussion with Sam.</t>
  </si>
  <si>
    <t>Discussion with Avi. Worked on finding possible ways to show user friendly error message using $Flow,faultMessage.</t>
  </si>
  <si>
    <t>standup &amp; regroup</t>
  </si>
  <si>
    <t>Working session with HomeLet for BSS-49</t>
  </si>
  <si>
    <t>Worked on developing Error Message Screen flow for BSS-13 and BSS-50</t>
  </si>
  <si>
    <t>Discussion with Sam about BSS-50. Explored ways for showing error message screen in most efficient manner.</t>
  </si>
  <si>
    <t>BSS-50 review (30 mins)</t>
  </si>
  <si>
    <t>Worked on BSS-50. Testing and deployment. Logged BSS-51. Worked on it. Testing and deployment.</t>
  </si>
  <si>
    <t>2.0333333333333333333</t>
  </si>
  <si>
    <t>Worked on PMD report generation for Hines org for Toro</t>
  </si>
  <si>
    <t>Daily standup. Created tickets BSS-52 and BSS-53. Discussion with Sam about BSS-50. Updated BSS-50 with feedback from Sam. Deployment to QA environment and UAT</t>
  </si>
  <si>
    <t>Daily standup. Discussion with Sarah and Khonani about BSS-50 and BSS-51</t>
  </si>
  <si>
    <t>Investigating if I can fix the error that I have asked Saji to fix.</t>
  </si>
  <si>
    <t>Worked on BSS-60. Discussion with Khonani, Jacob. Checked sandbox for implementation. Bug fix in sit and deployment to uat.</t>
  </si>
  <si>
    <t>Matthew Cornfield</t>
  </si>
  <si>
    <t>Standup, support process comms to Jaic</t>
  </si>
  <si>
    <t>Daily standup. Deployments of BSS-50 and BSS-51 to uat org. Discussion with Jacob - EoT Flows</t>
  </si>
  <si>
    <t>Time Report &amp; BSS-60 release comms</t>
  </si>
  <si>
    <t>Checked release updates for org review as suggested by Dan. Nothing much for recommendation.</t>
  </si>
  <si>
    <t>Daily standup. Validation of BSS-60 against production and deployment scheduling.</t>
  </si>
  <si>
    <t>Backlog prioritization, Standup</t>
  </si>
  <si>
    <t>BSS-54 Investigation</t>
  </si>
  <si>
    <t>IN08609</t>
  </si>
  <si>
    <t>Worked on BSS-58. Deployment to qa environment. Discussion with Sarah.</t>
  </si>
  <si>
    <t>Bomb squad meeting and Daily standup.</t>
  </si>
  <si>
    <t>GDPR Time report</t>
  </si>
  <si>
    <t>Discussion with Toro about BSS-35 - Conga composer</t>
  </si>
  <si>
    <t>BSS-35 &amp; BSS-44</t>
  </si>
  <si>
    <t>Worked on BSS-52, BSS-53, BSS-59. Deployment to qa. Reverse deployment.</t>
  </si>
  <si>
    <t>Daily standup and discussions.</t>
  </si>
  <si>
    <t>Deployment package preparation for BSS-46 and BSS-50. Worked on moving BSS-52, 53, 58 and 59 to uat. Finding root cause for BSS-23. Worked on BSS-51 and BSS-23.</t>
  </si>
  <si>
    <t>Daily standup. Checking Assigned issues on support baord.</t>
  </si>
  <si>
    <t>Worked on BSS-23 and BSS-29</t>
  </si>
  <si>
    <t>DAily standup</t>
  </si>
  <si>
    <t>Worked on BSS-29. Finding root cause. Error reproducing steps. Daily stanup.</t>
  </si>
  <si>
    <t>BSS-29 tried reproducing flow error on Payment record without Contact.</t>
  </si>
  <si>
    <t>Daily standp</t>
  </si>
  <si>
    <t>Daily standup. BSS-59 discussion with Khonani - Grainger Support Bug.</t>
  </si>
  <si>
    <t>IN08701</t>
  </si>
  <si>
    <t>Created ticket BSS-61. Analysed the existing code and setup. One pending questions about how asperato payment schedule records are created.</t>
  </si>
  <si>
    <t>Daily standup</t>
  </si>
  <si>
    <t>Worked on BSS-38, deployment to qa.</t>
  </si>
  <si>
    <t>Daily Standup.</t>
  </si>
  <si>
    <t>Worked on reproducing BSS-61. As suggested by Jaic and Jacob.</t>
  </si>
  <si>
    <t>Grainger org review permission set list for Dan. Daily standup. Discussion with Sam about BSS-61 and 29</t>
  </si>
  <si>
    <t>Meeting with Jaic - Disccuss - BSS-61. Deployment of BSS-38 to UAT. Closing BSS-36. Tried reproducing BSS-61</t>
  </si>
  <si>
    <t>Daily standup.</t>
  </si>
  <si>
    <t>BSS-42 Review</t>
  </si>
  <si>
    <t>Deployment prep of BSS-51,52,53 &amp; 58. Deployment review and deployment. Checked BSS-38 for error publishing unit. Discussion with Jaic about BSS-61</t>
  </si>
  <si>
    <t>Worked on BSS-61 and BSS-29</t>
  </si>
  <si>
    <t>Prep for logging BSS-62,63,64,65,66,67,68. Checked error emails.</t>
  </si>
  <si>
    <t>BSS 44</t>
  </si>
  <si>
    <t>Welsh Contract Chat</t>
  </si>
  <si>
    <t>Worked on adding details to BSS-62,63,64,65,66,67,68,69,70,71. Discussion with Khonani about BSS-61 and 29. Production deployment package prep for Hotfix deployment. Package review with Jacob.</t>
  </si>
  <si>
    <t>Adobe templates and where they are used. Document selection Stamped investigation Stand Up</t>
  </si>
  <si>
    <t>Deployment of BSS-29 and BSS-61 to uat</t>
  </si>
  <si>
    <t>Daily standup. Discussion with Jacob - Org-Wide emails in Flows.</t>
  </si>
  <si>
    <t>Dev Testing and edge cases. Stand Up</t>
  </si>
  <si>
    <t>UAT Deployment BSS-35, BSS-42 and BSS-44 Post Deployment Steps</t>
  </si>
  <si>
    <t>Show Me with Jacob  and Dev Review Adobe ID investigation</t>
  </si>
  <si>
    <t>1.3333333333333333333</t>
  </si>
  <si>
    <t>QA Deployement of BSS-42 Update of BSS-44 in QA environment. Show-Me with Khonani</t>
  </si>
  <si>
    <t>Created issue BSS-73. Worked on finding reproducing steps. Root cause analysis. Fixed the issue in dev sandbox, testing. Deployment to QA sandbox and to UAT sandbox.</t>
  </si>
  <si>
    <t>Daily stand up</t>
  </si>
  <si>
    <t>Formula Field Investigation  Execution of Tenancy Logic</t>
  </si>
  <si>
    <t>Deployment review. Hotfix deployment to production for BSS-38 and BSS-73. Daily standup.</t>
  </si>
  <si>
    <t>Sandbox seeding meeting</t>
  </si>
  <si>
    <t>Prod data backup for GDPR anonymization batch run.</t>
  </si>
  <si>
    <t>Jira priorities</t>
  </si>
  <si>
    <t>IN08892</t>
  </si>
  <si>
    <t>Hot fix deployment preparation and deployment to prod and review meeting with Jacob. Worked on BSS-54 investigation and posted comments.</t>
  </si>
  <si>
    <t>Daily standup and worked on finishing org review document.</t>
  </si>
  <si>
    <t>Worked on BSS-54. Prepared excel file of OCR records to be deleted.</t>
  </si>
  <si>
    <t>Worked on BSS-54, prepared list of OCR records to be delete. Meeting with Khonani. Analysed BSS-75</t>
  </si>
  <si>
    <t>Daily standup. Grainger org review document.</t>
  </si>
  <si>
    <t>Worked on BSS-54. Backup of OCR records. Adjusted config to be able to delete OCR records. Deleted OCR records. Worked on reproducing BSS-75.</t>
  </si>
  <si>
    <t>worked on formatting org review document.</t>
  </si>
  <si>
    <t>Discussion with Saji and Jaic - catchup on https://graingerplc.atlassian.net/browse/BSS-75. Tried reproducing BSS-75.</t>
  </si>
  <si>
    <t>Worked on org review document feedback items. Unit data setup for BSS-75 in dev environment. Discussion with Shaun.</t>
  </si>
  <si>
    <t>Worked on fixing apex classes and test classes for BSS-75. Deployed BSS-38 to sit. Fix deployment to sit and testing.</t>
  </si>
  <si>
    <t>Daily standup. Worked on configuration in dev sandbox to make the callout working and updated unit data for BSS-75</t>
  </si>
  <si>
    <t>BSS-75 review with Sam.</t>
  </si>
  <si>
    <t>Daily standup. Investigated units being published to live Rightmove portal from sandboxes. Pinpointed reason. Researched about potential automation for sandbox refresh and updating settings and effort level.</t>
  </si>
  <si>
    <t>Discussion with Jacob about setting up Rightmove integration in dev sandbox for BSS-75</t>
  </si>
  <si>
    <t>Khonani testing help</t>
  </si>
  <si>
    <t>BSS-75 deployment to uat from sit. Created BSS-76</t>
  </si>
  <si>
    <t>Discussion with Jacob - EoT Template Apex Script</t>
  </si>
  <si>
    <t>Worked on BSS-62, 63 and 64. Testing and deployment to QA environment.</t>
  </si>
  <si>
    <t>Daily standup. Deployment with Jacob for BSS-75 to prod.</t>
  </si>
  <si>
    <t>Worked on BSS-78. Deployment to QA environment.</t>
  </si>
  <si>
    <t>Daily standup. Discussion with Jacob for Form Assembly secure url. Discussion with Sam. Worked on Form Assembly secure url. - LRWFA-8</t>
  </si>
  <si>
    <t>15-04-2024</t>
  </si>
  <si>
    <t>Issue Type</t>
  </si>
  <si>
    <t xml:space="preserve"> Key</t>
  </si>
  <si>
    <t xml:space="preserve"> Summary</t>
  </si>
  <si>
    <t xml:space="preserve"> Status</t>
  </si>
  <si>
    <t xml:space="preserve"> Assignee</t>
  </si>
  <si>
    <t xml:space="preserve"> Due date</t>
  </si>
  <si>
    <t xml:space="preserve"> Priority</t>
  </si>
  <si>
    <t xml:space="preserve"> Labels</t>
  </si>
  <si>
    <t xml:space="preserve"> Created</t>
  </si>
  <si>
    <t xml:space="preserve"> Updated</t>
  </si>
  <si>
    <t xml:space="preserve"> Reporter</t>
  </si>
  <si>
    <t>Bug</t>
  </si>
  <si>
    <t xml:space="preserve"> BSS-8</t>
  </si>
  <si>
    <t xml:space="preserve"> Unable to complete task on EOT</t>
  </si>
  <si>
    <t xml:space="preserve"> In Progress</t>
  </si>
  <si>
    <t xml:space="preserve"> Dillan Landsberg</t>
  </si>
  <si>
    <t xml:space="preserve">   </t>
  </si>
  <si>
    <t xml:space="preserve"> Priority 3</t>
  </si>
  <si>
    <t xml:space="preserve"> 2024-04-08</t>
  </si>
  <si>
    <t xml:space="preserve"> 2024-04-15</t>
  </si>
  <si>
    <t xml:space="preserve"> BSS-9</t>
  </si>
  <si>
    <t xml:space="preserve"> HomeLet referencing error showing in this opportunity</t>
  </si>
  <si>
    <t xml:space="preserve"> Awaiting Feedback</t>
  </si>
  <si>
    <t xml:space="preserve"> Jaic George</t>
  </si>
  <si>
    <t xml:space="preserve"> 2024-04-09</t>
  </si>
  <si>
    <t xml:space="preserve"> BSS-3</t>
  </si>
  <si>
    <t xml:space="preserve"> EOT task- Couldn't  be cancelled through approver ( record owner)</t>
  </si>
  <si>
    <t xml:space="preserve"> BAU_SUPPORT</t>
  </si>
  <si>
    <t xml:space="preserve"> 2024-03-11</t>
  </si>
  <si>
    <t xml:space="preserve"> BSS-4</t>
  </si>
  <si>
    <t xml:space="preserve"> Agreement not pulling the template with 1 tenant and 2 guarantors </t>
  </si>
  <si>
    <t xml:space="preserve"> 2024-02-28</t>
  </si>
  <si>
    <t xml:space="preserve"> BSS-2</t>
  </si>
  <si>
    <t xml:space="preserve">  Receiving an error on every task I try and complete </t>
  </si>
  <si>
    <t xml:space="preserve"> Done</t>
  </si>
  <si>
    <t xml:space="preserve"> 2024-03-21</t>
  </si>
  <si>
    <t xml:space="preserve"> 2024-04-02</t>
  </si>
  <si>
    <t xml:space="preserve"> BSS-5</t>
  </si>
  <si>
    <t xml:space="preserve"> Security deposit not populated for renewals</t>
  </si>
  <si>
    <t xml:space="preserve"> 2024-03-15</t>
  </si>
  <si>
    <t xml:space="preserve"> Sam Duncan</t>
  </si>
  <si>
    <t>Task</t>
  </si>
  <si>
    <t xml:space="preserve"> BSS-6</t>
  </si>
  <si>
    <t xml:space="preserve"> Update the noOfAdultOccupants calculation</t>
  </si>
  <si>
    <t xml:space="preserve"> 2024-04-04</t>
  </si>
  <si>
    <t xml:space="preserve"> 2024-04-11</t>
  </si>
  <si>
    <t xml:space="preserve"> BSS-7</t>
  </si>
  <si>
    <t xml:space="preserve"> Update the referencing Provider to HomeLet</t>
  </si>
  <si>
    <t>22-04-2024</t>
  </si>
  <si>
    <t xml:space="preserve"> 2024-04-18</t>
  </si>
  <si>
    <t xml:space="preserve"> BSS-14</t>
  </si>
  <si>
    <t xml:space="preserve"> An unhandled fault occurred in this flow</t>
  </si>
  <si>
    <t xml:space="preserve"> 2024-04-16</t>
  </si>
  <si>
    <t xml:space="preserve"> BSS-16</t>
  </si>
  <si>
    <t xml:space="preserve"> Unable to send to Homelet</t>
  </si>
  <si>
    <t xml:space="preserve"> Awaiting Feedback (Grainger)</t>
  </si>
  <si>
    <t xml:space="preserve"> 2024-04-22</t>
  </si>
  <si>
    <t xml:space="preserve"> BSS-15</t>
  </si>
  <si>
    <t xml:space="preserve"> Trim the spaces before sending to HomeLet</t>
  </si>
  <si>
    <t xml:space="preserve"> 2024-04-19</t>
  </si>
  <si>
    <t>Story</t>
  </si>
  <si>
    <t xml:space="preserve"> BSS-13</t>
  </si>
  <si>
    <t xml:space="preserve"> Flow error message improvement</t>
  </si>
  <si>
    <t xml:space="preserve"> To Do</t>
  </si>
  <si>
    <t xml:space="preserve"> Technical</t>
  </si>
  <si>
    <t>29-04-2024</t>
  </si>
  <si>
    <t xml:space="preserve"> Anjali Salecha</t>
  </si>
  <si>
    <t xml:space="preserve"> 2024-04-26</t>
  </si>
  <si>
    <t xml:space="preserve"> BSS-19</t>
  </si>
  <si>
    <t xml:space="preserve"> The Units  with status “On the market – no access” are not able to be posted onto Rightmove</t>
  </si>
  <si>
    <t xml:space="preserve"> BSS-18</t>
  </si>
  <si>
    <t xml:space="preserve"> Limit Exceeded Error while trying to update a Unit via Salesforce connector</t>
  </si>
  <si>
    <t xml:space="preserve"> 2024-04-24</t>
  </si>
  <si>
    <t xml:space="preserve"> 2024-04-29</t>
  </si>
  <si>
    <t xml:space="preserve"> BSS-17</t>
  </si>
  <si>
    <t xml:space="preserve"> Guarantor not being sent for referencing</t>
  </si>
  <si>
    <t xml:space="preserve"> Client Confirmation (Grainger)</t>
  </si>
  <si>
    <t xml:space="preserve"> 2024-04-23</t>
  </si>
  <si>
    <t>06-05-2024</t>
  </si>
  <si>
    <t xml:space="preserve"> BSS-22</t>
  </si>
  <si>
    <t xml:space="preserve"> An Error Occurred with Your "Opportunity Contact Role PB Handler" Flow</t>
  </si>
  <si>
    <t xml:space="preserve"> Bug</t>
  </si>
  <si>
    <t xml:space="preserve"> 2024-05-06</t>
  </si>
  <si>
    <t xml:space="preserve"> BSS-23</t>
  </si>
  <si>
    <t xml:space="preserve"> An Error Occurred with Your "Renewals - Send email to OCRs" Flow</t>
  </si>
  <si>
    <t xml:space="preserve"> BSS-20</t>
  </si>
  <si>
    <t xml:space="preserve"> Lead Tenant being sent twice to HomeLet</t>
  </si>
  <si>
    <t xml:space="preserve"> Jacob Smycz</t>
  </si>
  <si>
    <t xml:space="preserve"> 2024-04-30</t>
  </si>
  <si>
    <t xml:space="preserve"> BSS-21</t>
  </si>
  <si>
    <t xml:space="preserve"> Re-send guarantor to HomeLet</t>
  </si>
  <si>
    <t xml:space="preserve"> 2024-05-01</t>
  </si>
  <si>
    <t>13-05-2024</t>
  </si>
  <si>
    <t xml:space="preserve"> 2024-05-13</t>
  </si>
  <si>
    <t xml:space="preserve"> BSS-27</t>
  </si>
  <si>
    <t xml:space="preserve"> Lead tenant validation preventing creation of renewal opps</t>
  </si>
  <si>
    <t xml:space="preserve"> Priority 1</t>
  </si>
  <si>
    <t xml:space="preserve"> 2024-05-07</t>
  </si>
  <si>
    <t xml:space="preserve"> 2024-05-10</t>
  </si>
  <si>
    <t xml:space="preserve"> Jaic george</t>
  </si>
  <si>
    <t xml:space="preserve"> BSS-24</t>
  </si>
  <si>
    <t xml:space="preserve"> Update recipients for Process Automation Settings</t>
  </si>
  <si>
    <t xml:space="preserve"> Holding Place</t>
  </si>
  <si>
    <t xml:space="preserve"> Welsh Occupation Contract validation blocking opportunities for Parking Garages in Cardiff</t>
  </si>
  <si>
    <t xml:space="preserve"> SAJI GUNASEKARAN</t>
  </si>
  <si>
    <t xml:space="preserve"> BSS-28</t>
  </si>
  <si>
    <t xml:space="preserve"> Contract Sign Date not displaying</t>
  </si>
  <si>
    <t xml:space="preserve"> 2024-05-09</t>
  </si>
  <si>
    <t xml:space="preserve"> BSS-25</t>
  </si>
  <si>
    <t xml:space="preserve"> Update UAT Organization-Wide Addresses</t>
  </si>
  <si>
    <t>15-05-2024</t>
  </si>
  <si>
    <t xml:space="preserve"> In Review (Open Box)</t>
  </si>
  <si>
    <t xml:space="preserve"> 2024-05-15</t>
  </si>
  <si>
    <t xml:space="preserve"> BAU_SUPPORT,  BLOCKED_BY_HOURS_CAP</t>
  </si>
  <si>
    <t xml:space="preserve"> 2024-05-14</t>
  </si>
  <si>
    <t>Jaic George</t>
  </si>
  <si>
    <t xml:space="preserve"> BSS-29</t>
  </si>
  <si>
    <t xml:space="preserve"> Event PB Handler Error: Missing required: whoId </t>
  </si>
  <si>
    <t xml:space="preserve"> BSS-31</t>
  </si>
  <si>
    <t xml:space="preserve"> Apex error during CancelOrder callout to HomeLet API</t>
  </si>
  <si>
    <t>20-05-2024</t>
  </si>
  <si>
    <t xml:space="preserve"> 2024-05-20</t>
  </si>
  <si>
    <t xml:space="preserve"> BSS-35</t>
  </si>
  <si>
    <t xml:space="preserve"> The occupational date and signature box are not populated as expected </t>
  </si>
  <si>
    <t xml:space="preserve"> 2024-05-16</t>
  </si>
  <si>
    <t xml:space="preserve"> BSS-36</t>
  </si>
  <si>
    <t xml:space="preserve"> Payment Periodicity not applicable for the selected Primary Offer</t>
  </si>
  <si>
    <t xml:space="preserve"> BSS-37</t>
  </si>
  <si>
    <t xml:space="preserve"> Read/write access for 'Key Location Check in'</t>
  </si>
  <si>
    <t>10-06-2024</t>
  </si>
  <si>
    <t xml:space="preserve"> 2024-06-10</t>
  </si>
  <si>
    <t xml:space="preserve"> EoT errors for users with "read only" profile</t>
  </si>
  <si>
    <t xml:space="preserve"> 2024-06-03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</si>
</sst>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"/>
  </numFmts>
  <fonts count="2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trike/>
      <sz val="11"/>
      <color theme="1"/>
      <name val="Aptos Narrow"/>
      <family val="2"/>
      <scheme val="minor"/>
    </font>
    <font>
      <b/>
      <sz val="9"/>
      <color theme="1"/>
      <name val="Verdana"/>
      <family val="2"/>
    </font>
    <font>
      <sz val="9"/>
      <color theme="1"/>
      <name val="Verdana"/>
      <family val="2"/>
    </font>
    <font>
      <sz val="8"/>
      <name val="Aptos Narrow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1">
    <xf numFmtId="0" fontId="0" fillId="0" borderId="0" xfId="0"/>
    <xf numFmtId="15" fontId="0" fillId="0" borderId="0" xfId="0" applyNumberFormat="1"/>
    <xf numFmtId="2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4" fillId="0" borderId="0" xfId="0" applyFont="1"/>
    <xf numFmtId="0" fontId="0" fillId="33" borderId="0" xfId="0" applyFill="1"/>
    <xf numFmtId="0" fontId="0" fillId="36" borderId="0" xfId="0" applyFill="1"/>
    <xf numFmtId="0" fontId="0" fillId="37" borderId="0" xfId="0" applyFill="1"/>
    <xf numFmtId="0" fontId="0" fillId="35" borderId="0" xfId="0" applyFill="1"/>
    <xf numFmtId="0" fontId="19" fillId="0" borderId="0" xfId="0" applyFont="1"/>
    <xf numFmtId="0" fontId="20" fillId="34" borderId="10" xfId="0" applyFont="1" applyFill="1" applyBorder="1" applyAlignment="1">
      <alignment wrapText="1"/>
    </xf>
    <xf numFmtId="0" fontId="18" fillId="0" borderId="10" xfId="42" applyFill="1" applyBorder="1"/>
    <xf numFmtId="164" fontId="0" fillId="0" borderId="0" xfId="0" applyNumberFormat="1"/>
    <xf numFmtId="17" fontId="16" fillId="0" borderId="0" xfId="0" applyNumberFormat="1" applyFont="1"/>
    <xf numFmtId="0" fontId="21" fillId="37" borderId="10" xfId="0" applyFont="1" applyFill="1" applyBorder="1" applyAlignment="1">
      <alignment wrapText="1"/>
    </xf>
    <xf numFmtId="0" fontId="21" fillId="35" borderId="10" xfId="0" applyFont="1" applyFill="1" applyBorder="1" applyAlignment="1">
      <alignment wrapText="1"/>
    </xf>
    <xf numFmtId="0" fontId="21" fillId="38" borderId="10" xfId="0" applyFont="1" applyFill="1" applyBorder="1" applyAlignment="1">
      <alignment wrapText="1"/>
    </xf>
    <xf numFmtId="0" fontId="0" fillId="35" borderId="10" xfId="0" applyFill="1" applyBorder="1"/>
    <xf numFmtId="0" fontId="0" fillId="0" borderId="0" xfId="0" quotePrefix="1"/>
    <xf numFmtId="0" fontId="21" fillId="0" borderId="10" xfId="0" applyFont="1" applyBorder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ami Viljoen" refreshedDate="45643.436393055556" createdVersion="8" refreshedVersion="8" minRefreshableVersion="3" recordCount="15" xr:uid="{ED2E7B72-CA52-49B5-A8B7-18E87C1FD2E0}">
  <cacheSource type="worksheet">
    <worksheetSource ref="A1:AD16" sheet="Current"/>
  </cacheSource>
  <cacheFields count="30">
    <cacheField name="Date" numFmtId="15">
      <sharedItems containsSemiMixedTypes="0" containsNonDate="0" containsDate="1" containsString="0" minDate="2024-12-02T00:00:00" maxDate="2024-12-18T00:00:00"/>
    </cacheField>
    <cacheField name="Person" numFmtId="0">
      <sharedItems count="5">
        <s v="Carami Viljoen"/>
        <s v="Khonani Davhana"/>
        <s v="Shaun Barrett"/>
        <s v="Anjali Salecha"/>
        <s v="Jacob Smycz"/>
      </sharedItems>
    </cacheField>
    <cacheField name="Agreement Type" numFmtId="0">
      <sharedItems/>
    </cacheField>
    <cacheField name="Person Organisation" numFmtId="0">
      <sharedItems/>
    </cacheField>
    <cacheField name="Person Team" numFmtId="0">
      <sharedItems/>
    </cacheField>
    <cacheField name="Person Location" numFmtId="0">
      <sharedItems/>
    </cacheField>
    <cacheField name="Company Name" numFmtId="0">
      <sharedItems/>
    </cacheField>
    <cacheField name="Project Number" numFmtId="0">
      <sharedItems/>
    </cacheField>
    <cacheField name="Project Name" numFmtId="0">
      <sharedItems/>
    </cacheField>
    <cacheField name="Project Type" numFmtId="0">
      <sharedItems/>
    </cacheField>
    <cacheField name="Project Organisation" numFmtId="0">
      <sharedItems/>
    </cacheField>
    <cacheField name="Project Manager" numFmtId="0">
      <sharedItems/>
    </cacheField>
    <cacheField name="Account Manager" numFmtId="0">
      <sharedItems/>
    </cacheField>
    <cacheField name="Line Manager" numFmtId="0">
      <sharedItems/>
    </cacheField>
    <cacheField name="Budget Name" numFmtId="0">
      <sharedItems/>
    </cacheField>
    <cacheField name="Time Entry ID" numFmtId="0">
      <sharedItems containsSemiMixedTypes="0" containsString="0" containsNumber="1" containsInteger="1" minValue="330793" maxValue="335663"/>
    </cacheField>
    <cacheField name="Timecode Name" numFmtId="0">
      <sharedItems count="2">
        <s v="General Support (Non-Billable)"/>
        <s v="General Support (Billable)"/>
      </sharedItems>
    </cacheField>
    <cacheField name="Billable Timecode" numFmtId="0">
      <sharedItems/>
    </cacheField>
    <cacheField name="Timecode Type" numFmtId="0">
      <sharedItems/>
    </cacheField>
    <cacheField name="Timecode Rate" numFmtId="0">
      <sharedItems containsSemiMixedTypes="0" containsString="0" containsNumber="1" containsInteger="1" minValue="0" maxValue="90"/>
    </cacheField>
    <cacheField name="Hours" numFmtId="0">
      <sharedItems containsSemiMixedTypes="0" containsString="0" containsNumber="1" minValue="0.25" maxValue="3"/>
    </cacheField>
    <cacheField name="Time" numFmtId="20">
      <sharedItems containsSemiMixedTypes="0" containsNonDate="0" containsDate="1" containsString="0" minDate="1899-12-30T00:15:00" maxDate="1899-12-30T03:00:00"/>
    </cacheField>
    <cacheField name="Worked Amount" numFmtId="0">
      <sharedItems containsSemiMixedTypes="0" containsString="0" containsNumber="1" minValue="0" maxValue="67.5"/>
    </cacheField>
    <cacheField name="Invoiced Amount" numFmtId="0">
      <sharedItems containsNonDate="0" containsString="0" containsBlank="1"/>
    </cacheField>
    <cacheField name="Invoiced Delta" numFmtId="0">
      <sharedItems containsNonDate="0" containsString="0" containsBlank="1"/>
    </cacheField>
    <cacheField name="Invoice #" numFmtId="0">
      <sharedItems containsNonDate="0" containsString="0" containsBlank="1"/>
    </cacheField>
    <cacheField name="Currency" numFmtId="0">
      <sharedItems/>
    </cacheField>
    <cacheField name="Reviewed Status" numFmtId="0">
      <sharedItems containsNonDate="0" containsString="0" containsBlank="1"/>
    </cacheField>
    <cacheField name="Comment" numFmtId="0">
      <sharedItems/>
    </cacheField>
    <cacheField name="Timesheet Statu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d v="2024-12-02T00:00:00"/>
    <x v="0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30793"/>
    <x v="0"/>
    <s v="Non-billable timecode"/>
    <s v="Standard Timecode"/>
    <n v="0"/>
    <n v="0.25"/>
    <d v="1899-12-30T00:15:00"/>
    <n v="0"/>
    <m/>
    <m/>
    <m/>
    <s v="GBP"/>
    <m/>
    <s v="time report"/>
    <s v="Not submitted"/>
  </r>
  <r>
    <d v="2024-12-02T00:00:00"/>
    <x v="1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31468"/>
    <x v="0"/>
    <s v="Non-billable timecode"/>
    <s v="Standard Timecode"/>
    <n v="0"/>
    <n v="0.25"/>
    <d v="1899-12-30T00:15:00"/>
    <n v="0"/>
    <m/>
    <m/>
    <m/>
    <s v="GBP"/>
    <m/>
    <s v=" "/>
    <s v="Not submitted"/>
  </r>
  <r>
    <d v="2024-12-02T00:00:00"/>
    <x v="2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31082"/>
    <x v="0"/>
    <s v="Non-billable timecode"/>
    <s v="Standard Timecode"/>
    <n v="0"/>
    <n v="0.25"/>
    <d v="1899-12-30T00:15:00"/>
    <n v="0"/>
    <m/>
    <m/>
    <m/>
    <s v="GBP"/>
    <m/>
    <s v=" "/>
    <s v="Not submitted"/>
  </r>
  <r>
    <d v="2024-12-03T00:00:00"/>
    <x v="2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31094"/>
    <x v="0"/>
    <s v="Non-billable timecode"/>
    <s v="Standard Timecode"/>
    <n v="0"/>
    <n v="0.25"/>
    <d v="1899-12-30T00:15:00"/>
    <n v="0"/>
    <m/>
    <m/>
    <m/>
    <s v="GBP"/>
    <m/>
    <s v=" "/>
    <s v="Not submitted"/>
  </r>
  <r>
    <d v="2024-12-04T00:00:00"/>
    <x v="1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31476"/>
    <x v="0"/>
    <s v="Non-billable timecode"/>
    <s v="Standard Timecode"/>
    <n v="0"/>
    <n v="0.25"/>
    <d v="1899-12-30T00:15:00"/>
    <n v="0"/>
    <m/>
    <m/>
    <m/>
    <s v="GBP"/>
    <m/>
    <s v=" "/>
    <s v="Not submitted"/>
  </r>
  <r>
    <d v="2024-12-04T00:00:00"/>
    <x v="2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31748"/>
    <x v="0"/>
    <s v="Non-billable timecode"/>
    <s v="Standard Timecode"/>
    <n v="0"/>
    <n v="0.25"/>
    <d v="1899-12-30T00:15:00"/>
    <n v="0"/>
    <m/>
    <m/>
    <m/>
    <s v="GBP"/>
    <m/>
    <s v=" "/>
    <s v="Not submitted"/>
  </r>
  <r>
    <d v="2024-12-05T00:00:00"/>
    <x v="2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32085"/>
    <x v="0"/>
    <s v="Non-billable timecode"/>
    <s v="Standard Timecode"/>
    <n v="0"/>
    <n v="0.5"/>
    <d v="1899-12-30T00:30:00"/>
    <n v="0"/>
    <m/>
    <m/>
    <m/>
    <s v="GBP"/>
    <m/>
    <s v=" "/>
    <s v="Not submitted"/>
  </r>
  <r>
    <d v="2024-12-09T00:00:00"/>
    <x v="3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33048"/>
    <x v="1"/>
    <s v="Billable timecode"/>
    <s v="Standard Timecode"/>
    <n v="90"/>
    <n v="0.75"/>
    <d v="1899-12-30T00:45:00"/>
    <n v="67.5"/>
    <m/>
    <m/>
    <m/>
    <s v="GBP"/>
    <m/>
    <s v="Worked on weekly deployment. Worked on  LRWFA-13"/>
    <s v="Not submitted"/>
  </r>
  <r>
    <d v="2024-12-09T00:00:00"/>
    <x v="2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34075"/>
    <x v="0"/>
    <s v="Non-billable timecode"/>
    <s v="Standard Timecode"/>
    <n v="0"/>
    <n v="0.25"/>
    <d v="1899-12-30T00:15:00"/>
    <n v="0"/>
    <m/>
    <m/>
    <m/>
    <s v="GBP"/>
    <m/>
    <s v=" "/>
    <s v="Not submitted"/>
  </r>
  <r>
    <d v="2024-12-10T00:00:00"/>
    <x v="0"/>
    <s v="Salaried / Fixed"/>
    <s v="Open Box Software (Pty) Ltd (Open Box SA)"/>
    <s v="Custom Softwar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33712"/>
    <x v="0"/>
    <s v="Non-billable timecode"/>
    <s v="Standard Timecode"/>
    <n v="0"/>
    <n v="0.25"/>
    <d v="1899-12-30T00:15:00"/>
    <n v="0"/>
    <m/>
    <m/>
    <m/>
    <s v="GBP"/>
    <m/>
    <s v="time report"/>
    <s v="Not submitted"/>
  </r>
  <r>
    <d v="2024-12-11T00:00:00"/>
    <x v="3"/>
    <s v="Hourly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34048"/>
    <x v="0"/>
    <s v="Non-billable timecode"/>
    <s v="Standard Timecode"/>
    <n v="0"/>
    <n v="3"/>
    <d v="1899-12-30T03:00:00"/>
    <n v="0"/>
    <m/>
    <m/>
    <m/>
    <s v="GBP"/>
    <m/>
    <s v="Worked on LRWFA-13 and LRWFA-8"/>
    <s v="Not submitted"/>
  </r>
  <r>
    <d v="2024-12-11T00:00:00"/>
    <x v="1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34809"/>
    <x v="0"/>
    <s v="Non-billable timecode"/>
    <s v="Standard Timecode"/>
    <n v="0"/>
    <n v="0.25"/>
    <d v="1899-12-30T00:15:00"/>
    <n v="0"/>
    <m/>
    <m/>
    <m/>
    <s v="GBP"/>
    <m/>
    <s v=" "/>
    <s v="Not submitted"/>
  </r>
  <r>
    <d v="2024-12-12T00:00:00"/>
    <x v="2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35032"/>
    <x v="0"/>
    <s v="Non-billable timecode"/>
    <s v="Standard Timecode"/>
    <n v="0"/>
    <n v="0.25"/>
    <d v="1899-12-30T00:15:00"/>
    <n v="0"/>
    <m/>
    <m/>
    <m/>
    <s v="GBP"/>
    <m/>
    <s v=" "/>
    <s v="Not submitted"/>
  </r>
  <r>
    <d v="2024-12-13T00:00:00"/>
    <x v="2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 "/>
    <s v="Support"/>
    <n v="335386"/>
    <x v="0"/>
    <s v="Non-billable timecode"/>
    <s v="Standard Timecode"/>
    <n v="0"/>
    <n v="0.25"/>
    <d v="1899-12-30T00:15:00"/>
    <n v="0"/>
    <m/>
    <m/>
    <m/>
    <s v="GBP"/>
    <m/>
    <s v=" "/>
    <s v="Not submitted"/>
  </r>
  <r>
    <d v="2024-12-17T00:00:00"/>
    <x v="4"/>
    <s v="Salaried / Fixed"/>
    <s v="Open Box Software (Pty) Ltd (Open Box SA)"/>
    <s v="Salesforce"/>
    <s v="SA"/>
    <s v="Grainger PLC"/>
    <s v="OB-000493"/>
    <s v="Salesforce Support (T&amp;M)"/>
    <s v="Billable"/>
    <s v="Open Box Software (Pty) Ltd (Open Box SA)"/>
    <s v="Shaun Barrett"/>
    <s v="Brendan Canny"/>
    <s v="Sam Duncan"/>
    <s v="Support"/>
    <n v="335663"/>
    <x v="1"/>
    <s v="Billable timecode"/>
    <s v="Standard Timecode"/>
    <n v="90"/>
    <n v="0.25"/>
    <d v="1899-12-30T00:15:00"/>
    <n v="22.5"/>
    <m/>
    <m/>
    <m/>
    <s v="GBP"/>
    <m/>
    <s v=" "/>
    <s v="Not submitte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FEAC26-1C04-4C04-8D7D-2587040DE09F}" name="PivotTable1" cacheId="349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:D9" firstHeaderRow="1" firstDataRow="2" firstDataCol="1"/>
  <pivotFields count="30">
    <pivotField numFmtId="15" showAll="0"/>
    <pivotField axis="axisRow" showAll="0" defaultSubtotal="0">
      <items count="5">
        <item x="2"/>
        <item x="3"/>
        <item x="1"/>
        <item x="0"/>
        <item x="4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dataField="1" showAll="0"/>
    <pivotField numFmtId="20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6"/>
  </colFields>
  <colItems count="3">
    <i>
      <x/>
    </i>
    <i>
      <x v="1"/>
    </i>
    <i t="grand">
      <x/>
    </i>
  </colItems>
  <dataFields count="1">
    <dataField name="Sum of Hours" fld="20" baseField="0" baseItem="0"/>
  </dataFields>
  <formats count="3">
    <format dxfId="0">
      <pivotArea outline="0" collapsedLevelsAreSubtotals="1" fieldPosition="0">
        <references count="1">
          <reference field="16" count="1" selected="0">
            <x v="1"/>
          </reference>
        </references>
      </pivotArea>
    </format>
    <format dxfId="1">
      <pivotArea type="topRight" dataOnly="0" labelOnly="1" outline="0" fieldPosition="0"/>
    </format>
    <format dxfId="2">
      <pivotArea dataOnly="0" labelOnly="1" fieldPosition="0">
        <references count="1">
          <reference field="16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raingerplc.atlassian.net/browse/BSS-71" TargetMode="External"/><Relationship Id="rId13" Type="http://schemas.openxmlformats.org/officeDocument/2006/relationships/hyperlink" Target="https://graingerplc.atlassian.net/browse/BSS-77" TargetMode="External"/><Relationship Id="rId3" Type="http://schemas.openxmlformats.org/officeDocument/2006/relationships/hyperlink" Target="https://graingerplc.atlassian.net/browse/BSS-66" TargetMode="External"/><Relationship Id="rId7" Type="http://schemas.openxmlformats.org/officeDocument/2006/relationships/hyperlink" Target="https://graingerplc.atlassian.net/browse/BSS-70" TargetMode="External"/><Relationship Id="rId12" Type="http://schemas.openxmlformats.org/officeDocument/2006/relationships/hyperlink" Target="https://graingerplc.atlassian.net/browse/BSS-79" TargetMode="External"/><Relationship Id="rId2" Type="http://schemas.openxmlformats.org/officeDocument/2006/relationships/hyperlink" Target="https://graingerplc.atlassian.net/browse/BSS-65" TargetMode="External"/><Relationship Id="rId1" Type="http://schemas.openxmlformats.org/officeDocument/2006/relationships/pivotTable" Target="../pivotTables/pivotTable1.xml"/><Relationship Id="rId6" Type="http://schemas.openxmlformats.org/officeDocument/2006/relationships/hyperlink" Target="https://graingerplc.atlassian.net/browse/BSS-69" TargetMode="External"/><Relationship Id="rId11" Type="http://schemas.openxmlformats.org/officeDocument/2006/relationships/hyperlink" Target="https://graingerplc.atlassian.net/browse/BSS-78" TargetMode="External"/><Relationship Id="rId5" Type="http://schemas.openxmlformats.org/officeDocument/2006/relationships/hyperlink" Target="https://graingerplc.atlassian.net/browse/BSS-68" TargetMode="External"/><Relationship Id="rId15" Type="http://schemas.openxmlformats.org/officeDocument/2006/relationships/hyperlink" Target="https://graingerplc.atlassian.net/browse/BSS-81" TargetMode="External"/><Relationship Id="rId10" Type="http://schemas.openxmlformats.org/officeDocument/2006/relationships/hyperlink" Target="https://graingerplc.atlassian.net/browse/BSS-76" TargetMode="External"/><Relationship Id="rId4" Type="http://schemas.openxmlformats.org/officeDocument/2006/relationships/hyperlink" Target="https://graingerplc.atlassian.net/browse/BSS-67" TargetMode="External"/><Relationship Id="rId9" Type="http://schemas.openxmlformats.org/officeDocument/2006/relationships/hyperlink" Target="https://graingerplc.atlassian.net/browse/BSS-13" TargetMode="External"/><Relationship Id="rId14" Type="http://schemas.openxmlformats.org/officeDocument/2006/relationships/hyperlink" Target="https://graingerplc.atlassian.net/browse/BSS-8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7"/>
  <sheetViews>
    <sheetView tabSelected="1" zoomScaleNormal="100" workbookViewId="0"/>
  </sheetViews>
  <sheetFormatPr defaultRowHeight="14.45"/>
  <cols>
    <col min="1" max="1" width="95.7109375" bestFit="1" customWidth="1"/>
    <col min="2" max="2" width="24" bestFit="1" customWidth="1"/>
    <col min="3" max="3" width="28.42578125" bestFit="1" customWidth="1"/>
    <col min="4" max="4" width="36.7109375" bestFit="1" customWidth="1"/>
    <col min="7" max="7" width="40.140625" customWidth="1"/>
  </cols>
  <sheetData>
    <row r="1" spans="1:6">
      <c r="A1" s="14">
        <v>45627</v>
      </c>
      <c r="C1" s="5"/>
    </row>
    <row r="2" spans="1:6">
      <c r="A2" s="3" t="s">
        <v>0</v>
      </c>
      <c r="B2" s="3" t="s">
        <v>1</v>
      </c>
      <c r="C2" s="5"/>
      <c r="D2" s="5"/>
      <c r="F2" t="s">
        <v>2</v>
      </c>
    </row>
    <row r="3" spans="1:6">
      <c r="A3" s="3" t="s">
        <v>3</v>
      </c>
      <c r="B3" t="s">
        <v>4</v>
      </c>
      <c r="C3" s="5" t="s">
        <v>5</v>
      </c>
      <c r="D3" t="s">
        <v>6</v>
      </c>
      <c r="F3" t="s">
        <v>7</v>
      </c>
    </row>
    <row r="4" spans="1:6">
      <c r="A4" s="4" t="s">
        <v>8</v>
      </c>
      <c r="C4" s="5">
        <v>2</v>
      </c>
      <c r="D4">
        <v>2</v>
      </c>
      <c r="F4" t="s">
        <v>9</v>
      </c>
    </row>
    <row r="5" spans="1:6">
      <c r="A5" s="4" t="s">
        <v>10</v>
      </c>
      <c r="B5">
        <v>0.75</v>
      </c>
      <c r="C5" s="5">
        <v>3</v>
      </c>
      <c r="D5">
        <v>3.75</v>
      </c>
      <c r="F5" t="s">
        <v>11</v>
      </c>
    </row>
    <row r="6" spans="1:6">
      <c r="A6" s="4" t="s">
        <v>12</v>
      </c>
      <c r="C6" s="5">
        <v>0.75</v>
      </c>
      <c r="D6">
        <v>0.75</v>
      </c>
      <c r="F6" t="s">
        <v>13</v>
      </c>
    </row>
    <row r="7" spans="1:6">
      <c r="A7" s="4" t="s">
        <v>14</v>
      </c>
      <c r="C7" s="5">
        <v>0.5</v>
      </c>
      <c r="D7">
        <v>0.5</v>
      </c>
      <c r="F7" t="s">
        <v>15</v>
      </c>
    </row>
    <row r="8" spans="1:6">
      <c r="A8" s="4" t="s">
        <v>16</v>
      </c>
      <c r="B8">
        <v>0.25</v>
      </c>
      <c r="C8" s="5"/>
      <c r="D8">
        <v>0.25</v>
      </c>
    </row>
    <row r="9" spans="1:6">
      <c r="A9" s="4" t="s">
        <v>6</v>
      </c>
      <c r="B9">
        <v>1</v>
      </c>
      <c r="C9" s="5">
        <v>6.25</v>
      </c>
      <c r="D9">
        <v>7.25</v>
      </c>
      <c r="F9" t="s">
        <v>17</v>
      </c>
    </row>
    <row r="14" spans="1:6" ht="15.6" customHeight="1"/>
    <row r="15" spans="1:6" ht="15.6" customHeight="1"/>
    <row r="16" spans="1:6" ht="15.6" customHeight="1">
      <c r="A16" s="4"/>
      <c r="C16" s="5"/>
    </row>
    <row r="17" spans="1:7">
      <c r="A17" s="11" t="s">
        <v>18</v>
      </c>
      <c r="B17" s="11" t="s">
        <v>19</v>
      </c>
      <c r="C17" s="11" t="s">
        <v>20</v>
      </c>
      <c r="D17" s="11" t="s">
        <v>21</v>
      </c>
    </row>
    <row r="18" spans="1:7">
      <c r="A18" s="12" t="s">
        <v>22</v>
      </c>
      <c r="B18" s="15" t="s">
        <v>23</v>
      </c>
      <c r="C18" s="20" t="s">
        <v>10</v>
      </c>
      <c r="D18" s="12"/>
    </row>
    <row r="19" spans="1:7">
      <c r="A19" s="12" t="s">
        <v>24</v>
      </c>
      <c r="B19" s="15" t="s">
        <v>23</v>
      </c>
      <c r="C19" s="20" t="s">
        <v>25</v>
      </c>
      <c r="D19" s="12"/>
    </row>
    <row r="20" spans="1:7">
      <c r="A20" s="12" t="s">
        <v>26</v>
      </c>
      <c r="B20" s="15" t="s">
        <v>23</v>
      </c>
      <c r="C20" s="20" t="s">
        <v>10</v>
      </c>
      <c r="D20" s="12"/>
    </row>
    <row r="21" spans="1:7">
      <c r="A21" s="12" t="s">
        <v>27</v>
      </c>
      <c r="B21" s="15" t="s">
        <v>23</v>
      </c>
      <c r="C21" s="20" t="s">
        <v>10</v>
      </c>
      <c r="D21" s="12" t="s">
        <v>28</v>
      </c>
    </row>
    <row r="22" spans="1:7">
      <c r="A22" s="12" t="s">
        <v>29</v>
      </c>
      <c r="B22" s="15" t="s">
        <v>23</v>
      </c>
      <c r="C22" s="20" t="s">
        <v>25</v>
      </c>
      <c r="D22" s="12" t="s">
        <v>28</v>
      </c>
    </row>
    <row r="23" spans="1:7">
      <c r="A23" s="12" t="s">
        <v>30</v>
      </c>
      <c r="B23" s="15" t="s">
        <v>23</v>
      </c>
      <c r="C23" s="20" t="s">
        <v>25</v>
      </c>
      <c r="D23" s="12" t="s">
        <v>28</v>
      </c>
    </row>
    <row r="24" spans="1:7">
      <c r="A24" s="12" t="s">
        <v>31</v>
      </c>
      <c r="B24" s="15" t="s">
        <v>23</v>
      </c>
      <c r="C24" s="20" t="s">
        <v>25</v>
      </c>
      <c r="D24" s="12" t="s">
        <v>28</v>
      </c>
    </row>
    <row r="25" spans="1:7">
      <c r="A25" s="12" t="s">
        <v>32</v>
      </c>
      <c r="B25" s="15" t="s">
        <v>23</v>
      </c>
      <c r="C25" s="20" t="s">
        <v>25</v>
      </c>
      <c r="D25" s="12" t="s">
        <v>28</v>
      </c>
    </row>
    <row r="26" spans="1:7">
      <c r="A26" s="12" t="s">
        <v>33</v>
      </c>
      <c r="B26" s="15" t="s">
        <v>23</v>
      </c>
      <c r="C26" s="20" t="s">
        <v>25</v>
      </c>
      <c r="D26" s="12" t="s">
        <v>28</v>
      </c>
    </row>
    <row r="27" spans="1:7">
      <c r="A27" s="12" t="s">
        <v>34</v>
      </c>
      <c r="B27" s="15" t="s">
        <v>23</v>
      </c>
      <c r="C27" s="20" t="s">
        <v>25</v>
      </c>
      <c r="D27" s="12" t="s">
        <v>28</v>
      </c>
    </row>
    <row r="28" spans="1:7">
      <c r="A28" s="12" t="s">
        <v>35</v>
      </c>
      <c r="B28" s="18" t="s">
        <v>36</v>
      </c>
      <c r="C28" s="20" t="s">
        <v>10</v>
      </c>
      <c r="D28" s="12"/>
    </row>
    <row r="29" spans="1:7">
      <c r="A29" s="12" t="s">
        <v>37</v>
      </c>
      <c r="B29" s="18" t="s">
        <v>36</v>
      </c>
      <c r="C29" s="20" t="s">
        <v>38</v>
      </c>
      <c r="D29" s="12"/>
    </row>
    <row r="30" spans="1:7">
      <c r="A30" s="12" t="s">
        <v>39</v>
      </c>
      <c r="B30" s="18" t="s">
        <v>36</v>
      </c>
      <c r="C30" s="20" t="s">
        <v>16</v>
      </c>
      <c r="D30" s="12"/>
    </row>
    <row r="31" spans="1:7">
      <c r="G31" s="15" t="s">
        <v>23</v>
      </c>
    </row>
    <row r="32" spans="1:7">
      <c r="G32" s="18" t="s">
        <v>36</v>
      </c>
    </row>
    <row r="33" spans="7:7">
      <c r="G33" s="17" t="s">
        <v>40</v>
      </c>
    </row>
    <row r="34" spans="7:7">
      <c r="G34" s="18" t="s">
        <v>41</v>
      </c>
    </row>
    <row r="35" spans="7:7">
      <c r="G35" s="17" t="s">
        <v>42</v>
      </c>
    </row>
    <row r="36" spans="7:7">
      <c r="G36" s="15" t="s">
        <v>43</v>
      </c>
    </row>
    <row r="37" spans="7:7">
      <c r="G37" s="16" t="s">
        <v>44</v>
      </c>
    </row>
  </sheetData>
  <hyperlinks>
    <hyperlink ref="A21" r:id="rId2" xr:uid="{F502BDAB-A65E-4F83-923C-E0931B12CCBA}"/>
    <hyperlink ref="A22" r:id="rId3" xr:uid="{C16B6299-6173-4B9F-955A-DA286E577130}"/>
    <hyperlink ref="A23" r:id="rId4" xr:uid="{1229B77A-4446-4615-9779-A43A3611CED8}"/>
    <hyperlink ref="A24" r:id="rId5" xr:uid="{9DAE631B-9F8C-46A1-B53A-49A8826996F4}"/>
    <hyperlink ref="A25" r:id="rId6" xr:uid="{ABB29952-7E8C-43E0-9C52-F3E4BCF881A0}"/>
    <hyperlink ref="A26" r:id="rId7" xr:uid="{9919B6E2-64A4-4539-9C46-D06A4B474C23}"/>
    <hyperlink ref="A27" r:id="rId8" xr:uid="{D27200DB-6C13-4B4B-9FEE-15EC4D4224CF}"/>
    <hyperlink ref="D21:D27" r:id="rId9" display=" BSS-13 Flow error message improvement" xr:uid="{55CDC89D-5BA7-4DDA-9599-9BBDADDB27B4}"/>
    <hyperlink ref="A20" r:id="rId10" xr:uid="{18E443AE-7A63-4AD1-BDCD-FC133BC8A170}"/>
    <hyperlink ref="A28" r:id="rId11" xr:uid="{9FFC8EB0-7AD9-4602-9701-0095B2523F88}"/>
    <hyperlink ref="A18" r:id="rId12" xr:uid="{D4478DBB-8E1B-406E-872A-F83EB16DF908}"/>
    <hyperlink ref="A19" r:id="rId13" xr:uid="{F7744E8F-AE0A-4098-B753-25B22DCF0E5F}"/>
    <hyperlink ref="A29" r:id="rId14" xr:uid="{3983373B-42FE-4B7B-A5BE-38461242FC6D}"/>
    <hyperlink ref="A30" r:id="rId15" xr:uid="{B1805AB4-4808-4A4E-90EA-7B6D5CC3AA5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5B335-8980-4863-9164-CA75668C1147}">
  <dimension ref="A1:AE129"/>
  <sheetViews>
    <sheetView topLeftCell="T1" workbookViewId="0"/>
  </sheetViews>
  <sheetFormatPr defaultRowHeight="14.45"/>
  <cols>
    <col min="1" max="1" width="9.5703125" bestFit="1" customWidth="1"/>
    <col min="2" max="2" width="17.42578125" bestFit="1" customWidth="1"/>
    <col min="3" max="3" width="16.85546875" bestFit="1" customWidth="1"/>
    <col min="4" max="4" width="36.5703125" bestFit="1" customWidth="1"/>
    <col min="5" max="5" width="15.5703125" bestFit="1" customWidth="1"/>
    <col min="6" max="7" width="16.85546875" bestFit="1" customWidth="1"/>
    <col min="8" max="8" width="16.5703125" bestFit="1" customWidth="1"/>
    <col min="9" max="9" width="22.5703125" bestFit="1" customWidth="1"/>
    <col min="10" max="10" width="13.5703125" bestFit="1" customWidth="1"/>
    <col min="11" max="11" width="36.5703125" bestFit="1" customWidth="1"/>
    <col min="12" max="12" width="17" bestFit="1" customWidth="1"/>
    <col min="13" max="13" width="18" bestFit="1" customWidth="1"/>
    <col min="14" max="14" width="14.5703125" bestFit="1" customWidth="1"/>
    <col min="15" max="15" width="14.7109375" bestFit="1" customWidth="1"/>
    <col min="16" max="16" width="14.28515625" bestFit="1" customWidth="1"/>
    <col min="17" max="17" width="27.140625" bestFit="1" customWidth="1"/>
    <col min="18" max="18" width="19.85546875" bestFit="1" customWidth="1"/>
    <col min="19" max="19" width="17.42578125" bestFit="1" customWidth="1"/>
    <col min="20" max="20" width="15.85546875" bestFit="1" customWidth="1"/>
    <col min="23" max="23" width="16.85546875" bestFit="1" customWidth="1"/>
    <col min="24" max="24" width="17.42578125" bestFit="1" customWidth="1"/>
    <col min="25" max="25" width="15.28515625" bestFit="1" customWidth="1"/>
    <col min="26" max="26" width="10.7109375" bestFit="1" customWidth="1"/>
    <col min="27" max="27" width="11" bestFit="1" customWidth="1"/>
    <col min="28" max="28" width="17.140625" bestFit="1" customWidth="1"/>
    <col min="29" max="29" width="110.140625" bestFit="1" customWidth="1"/>
    <col min="30" max="30" width="17.85546875" bestFit="1" customWidth="1"/>
    <col min="31" max="31" width="8.85546875" style="13"/>
  </cols>
  <sheetData>
    <row r="1" spans="1:31">
      <c r="A1" t="s">
        <v>45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  <c r="J1" t="s">
        <v>54</v>
      </c>
      <c r="K1" t="s">
        <v>55</v>
      </c>
      <c r="L1" t="s">
        <v>56</v>
      </c>
      <c r="M1" t="s">
        <v>57</v>
      </c>
      <c r="N1" t="s">
        <v>58</v>
      </c>
      <c r="O1" t="s">
        <v>59</v>
      </c>
      <c r="P1" t="s">
        <v>60</v>
      </c>
      <c r="Q1" t="s">
        <v>61</v>
      </c>
      <c r="R1" t="s">
        <v>62</v>
      </c>
      <c r="S1" t="s">
        <v>63</v>
      </c>
      <c r="T1" t="s">
        <v>64</v>
      </c>
      <c r="U1" t="s">
        <v>65</v>
      </c>
      <c r="V1" t="s">
        <v>66</v>
      </c>
      <c r="W1" t="s">
        <v>67</v>
      </c>
      <c r="X1" t="s">
        <v>68</v>
      </c>
      <c r="Y1" t="s">
        <v>69</v>
      </c>
      <c r="Z1" t="s">
        <v>70</v>
      </c>
      <c r="AA1" t="s">
        <v>71</v>
      </c>
      <c r="AB1" t="s">
        <v>72</v>
      </c>
      <c r="AC1" t="s">
        <v>73</v>
      </c>
      <c r="AD1" t="s">
        <v>74</v>
      </c>
      <c r="AE1"/>
    </row>
    <row r="2" spans="1:31">
      <c r="A2" s="1">
        <v>45628</v>
      </c>
      <c r="B2" t="s">
        <v>14</v>
      </c>
      <c r="C2" t="s">
        <v>75</v>
      </c>
      <c r="D2" t="s">
        <v>76</v>
      </c>
      <c r="E2" t="s">
        <v>77</v>
      </c>
      <c r="F2" t="s">
        <v>78</v>
      </c>
      <c r="G2" t="s">
        <v>79</v>
      </c>
      <c r="H2" t="s">
        <v>80</v>
      </c>
      <c r="I2" t="s">
        <v>81</v>
      </c>
      <c r="J2" t="s">
        <v>82</v>
      </c>
      <c r="K2" t="s">
        <v>76</v>
      </c>
      <c r="L2" t="s">
        <v>8</v>
      </c>
      <c r="M2" t="s">
        <v>83</v>
      </c>
      <c r="N2" t="s">
        <v>84</v>
      </c>
      <c r="O2" t="s">
        <v>85</v>
      </c>
      <c r="P2">
        <v>330793</v>
      </c>
      <c r="Q2" t="s">
        <v>5</v>
      </c>
      <c r="R2" t="s">
        <v>86</v>
      </c>
      <c r="S2" t="s">
        <v>87</v>
      </c>
      <c r="T2">
        <v>0</v>
      </c>
      <c r="U2">
        <v>0.25</v>
      </c>
      <c r="V2" s="2">
        <v>1.0416666666666666E-2</v>
      </c>
      <c r="W2">
        <v>0</v>
      </c>
      <c r="AA2" t="s">
        <v>88</v>
      </c>
      <c r="AC2" t="s">
        <v>89</v>
      </c>
      <c r="AD2" t="s">
        <v>90</v>
      </c>
    </row>
    <row r="3" spans="1:31">
      <c r="A3" s="1">
        <v>45628</v>
      </c>
      <c r="B3" t="s">
        <v>12</v>
      </c>
      <c r="C3" t="s">
        <v>75</v>
      </c>
      <c r="D3" t="s">
        <v>76</v>
      </c>
      <c r="E3" t="s">
        <v>91</v>
      </c>
      <c r="F3" t="s">
        <v>78</v>
      </c>
      <c r="G3" t="s">
        <v>79</v>
      </c>
      <c r="H3" t="s">
        <v>80</v>
      </c>
      <c r="I3" t="s">
        <v>81</v>
      </c>
      <c r="J3" t="s">
        <v>82</v>
      </c>
      <c r="K3" t="s">
        <v>76</v>
      </c>
      <c r="L3" t="s">
        <v>8</v>
      </c>
      <c r="M3" t="s">
        <v>83</v>
      </c>
      <c r="N3" t="s">
        <v>84</v>
      </c>
      <c r="O3" t="s">
        <v>85</v>
      </c>
      <c r="P3">
        <v>331468</v>
      </c>
      <c r="Q3" t="s">
        <v>5</v>
      </c>
      <c r="R3" t="s">
        <v>86</v>
      </c>
      <c r="S3" t="s">
        <v>87</v>
      </c>
      <c r="T3">
        <v>0</v>
      </c>
      <c r="U3">
        <v>0.25</v>
      </c>
      <c r="V3" s="2">
        <v>1.0416666666666666E-2</v>
      </c>
      <c r="W3">
        <v>0</v>
      </c>
      <c r="AA3" t="s">
        <v>88</v>
      </c>
      <c r="AC3" t="s">
        <v>84</v>
      </c>
      <c r="AD3" t="s">
        <v>90</v>
      </c>
    </row>
    <row r="4" spans="1:31">
      <c r="A4" s="1">
        <v>45628</v>
      </c>
      <c r="B4" t="s">
        <v>8</v>
      </c>
      <c r="C4" t="s">
        <v>75</v>
      </c>
      <c r="D4" t="s">
        <v>76</v>
      </c>
      <c r="E4" t="s">
        <v>91</v>
      </c>
      <c r="F4" t="s">
        <v>78</v>
      </c>
      <c r="G4" t="s">
        <v>79</v>
      </c>
      <c r="H4" t="s">
        <v>80</v>
      </c>
      <c r="I4" t="s">
        <v>81</v>
      </c>
      <c r="J4" t="s">
        <v>82</v>
      </c>
      <c r="K4" t="s">
        <v>76</v>
      </c>
      <c r="L4" t="s">
        <v>8</v>
      </c>
      <c r="M4" t="s">
        <v>83</v>
      </c>
      <c r="N4" t="s">
        <v>84</v>
      </c>
      <c r="O4" t="s">
        <v>85</v>
      </c>
      <c r="P4">
        <v>331082</v>
      </c>
      <c r="Q4" t="s">
        <v>5</v>
      </c>
      <c r="R4" t="s">
        <v>86</v>
      </c>
      <c r="S4" t="s">
        <v>87</v>
      </c>
      <c r="T4">
        <v>0</v>
      </c>
      <c r="U4">
        <v>0.25</v>
      </c>
      <c r="V4" s="2">
        <v>1.0416666666666666E-2</v>
      </c>
      <c r="W4">
        <v>0</v>
      </c>
      <c r="AA4" t="s">
        <v>88</v>
      </c>
      <c r="AC4" t="s">
        <v>84</v>
      </c>
      <c r="AD4" t="s">
        <v>90</v>
      </c>
    </row>
    <row r="5" spans="1:31">
      <c r="A5" s="1">
        <v>45629</v>
      </c>
      <c r="B5" t="s">
        <v>8</v>
      </c>
      <c r="C5" t="s">
        <v>75</v>
      </c>
      <c r="D5" t="s">
        <v>76</v>
      </c>
      <c r="E5" t="s">
        <v>91</v>
      </c>
      <c r="F5" t="s">
        <v>78</v>
      </c>
      <c r="G5" t="s">
        <v>79</v>
      </c>
      <c r="H5" t="s">
        <v>80</v>
      </c>
      <c r="I5" t="s">
        <v>81</v>
      </c>
      <c r="J5" t="s">
        <v>82</v>
      </c>
      <c r="K5" t="s">
        <v>76</v>
      </c>
      <c r="L5" t="s">
        <v>8</v>
      </c>
      <c r="M5" t="s">
        <v>83</v>
      </c>
      <c r="N5" t="s">
        <v>84</v>
      </c>
      <c r="O5" t="s">
        <v>85</v>
      </c>
      <c r="P5">
        <v>331094</v>
      </c>
      <c r="Q5" t="s">
        <v>5</v>
      </c>
      <c r="R5" t="s">
        <v>86</v>
      </c>
      <c r="S5" t="s">
        <v>87</v>
      </c>
      <c r="T5">
        <v>0</v>
      </c>
      <c r="U5">
        <v>0.25</v>
      </c>
      <c r="V5" s="2">
        <v>1.0416666666666666E-2</v>
      </c>
      <c r="W5">
        <v>0</v>
      </c>
      <c r="AA5" t="s">
        <v>88</v>
      </c>
      <c r="AC5" t="s">
        <v>84</v>
      </c>
      <c r="AD5" t="s">
        <v>90</v>
      </c>
    </row>
    <row r="6" spans="1:31">
      <c r="A6" s="1">
        <v>45630</v>
      </c>
      <c r="B6" t="s">
        <v>12</v>
      </c>
      <c r="C6" t="s">
        <v>75</v>
      </c>
      <c r="D6" t="s">
        <v>76</v>
      </c>
      <c r="E6" t="s">
        <v>91</v>
      </c>
      <c r="F6" t="s">
        <v>78</v>
      </c>
      <c r="G6" t="s">
        <v>79</v>
      </c>
      <c r="H6" t="s">
        <v>80</v>
      </c>
      <c r="I6" t="s">
        <v>81</v>
      </c>
      <c r="J6" t="s">
        <v>82</v>
      </c>
      <c r="K6" t="s">
        <v>76</v>
      </c>
      <c r="L6" t="s">
        <v>8</v>
      </c>
      <c r="M6" t="s">
        <v>83</v>
      </c>
      <c r="N6" t="s">
        <v>84</v>
      </c>
      <c r="O6" t="s">
        <v>85</v>
      </c>
      <c r="P6">
        <v>331476</v>
      </c>
      <c r="Q6" t="s">
        <v>5</v>
      </c>
      <c r="R6" t="s">
        <v>86</v>
      </c>
      <c r="S6" t="s">
        <v>87</v>
      </c>
      <c r="T6">
        <v>0</v>
      </c>
      <c r="U6">
        <v>0.25</v>
      </c>
      <c r="V6" s="2">
        <v>1.0416666666666666E-2</v>
      </c>
      <c r="W6">
        <v>0</v>
      </c>
      <c r="AA6" t="s">
        <v>88</v>
      </c>
      <c r="AC6" t="s">
        <v>84</v>
      </c>
      <c r="AD6" t="s">
        <v>90</v>
      </c>
    </row>
    <row r="7" spans="1:31">
      <c r="A7" s="1">
        <v>45630</v>
      </c>
      <c r="B7" t="s">
        <v>8</v>
      </c>
      <c r="C7" t="s">
        <v>75</v>
      </c>
      <c r="D7" t="s">
        <v>76</v>
      </c>
      <c r="E7" t="s">
        <v>91</v>
      </c>
      <c r="F7" t="s">
        <v>78</v>
      </c>
      <c r="G7" t="s">
        <v>79</v>
      </c>
      <c r="H7" t="s">
        <v>80</v>
      </c>
      <c r="I7" t="s">
        <v>81</v>
      </c>
      <c r="J7" t="s">
        <v>82</v>
      </c>
      <c r="K7" t="s">
        <v>76</v>
      </c>
      <c r="L7" t="s">
        <v>8</v>
      </c>
      <c r="M7" t="s">
        <v>83</v>
      </c>
      <c r="N7" t="s">
        <v>84</v>
      </c>
      <c r="O7" t="s">
        <v>85</v>
      </c>
      <c r="P7">
        <v>331748</v>
      </c>
      <c r="Q7" t="s">
        <v>5</v>
      </c>
      <c r="R7" t="s">
        <v>86</v>
      </c>
      <c r="S7" t="s">
        <v>87</v>
      </c>
      <c r="T7">
        <v>0</v>
      </c>
      <c r="U7">
        <v>0.25</v>
      </c>
      <c r="V7" s="2">
        <v>1.0416666666666666E-2</v>
      </c>
      <c r="W7">
        <v>0</v>
      </c>
      <c r="AA7" t="s">
        <v>88</v>
      </c>
      <c r="AC7" t="s">
        <v>84</v>
      </c>
      <c r="AD7" t="s">
        <v>90</v>
      </c>
    </row>
    <row r="8" spans="1:31">
      <c r="A8" s="1">
        <v>45631</v>
      </c>
      <c r="B8" t="s">
        <v>8</v>
      </c>
      <c r="C8" t="s">
        <v>75</v>
      </c>
      <c r="D8" t="s">
        <v>76</v>
      </c>
      <c r="E8" t="s">
        <v>91</v>
      </c>
      <c r="F8" t="s">
        <v>78</v>
      </c>
      <c r="G8" t="s">
        <v>79</v>
      </c>
      <c r="H8" t="s">
        <v>80</v>
      </c>
      <c r="I8" t="s">
        <v>81</v>
      </c>
      <c r="J8" t="s">
        <v>82</v>
      </c>
      <c r="K8" t="s">
        <v>76</v>
      </c>
      <c r="L8" t="s">
        <v>8</v>
      </c>
      <c r="M8" t="s">
        <v>83</v>
      </c>
      <c r="N8" t="s">
        <v>84</v>
      </c>
      <c r="O8" t="s">
        <v>85</v>
      </c>
      <c r="P8">
        <v>332085</v>
      </c>
      <c r="Q8" t="s">
        <v>5</v>
      </c>
      <c r="R8" t="s">
        <v>86</v>
      </c>
      <c r="S8" t="s">
        <v>87</v>
      </c>
      <c r="T8">
        <v>0</v>
      </c>
      <c r="U8">
        <v>0.5</v>
      </c>
      <c r="V8" s="2">
        <v>2.0833333333333332E-2</v>
      </c>
      <c r="W8">
        <v>0</v>
      </c>
      <c r="AA8" t="s">
        <v>88</v>
      </c>
      <c r="AC8" t="s">
        <v>84</v>
      </c>
      <c r="AD8" t="s">
        <v>90</v>
      </c>
    </row>
    <row r="9" spans="1:31">
      <c r="A9" s="1">
        <v>45635</v>
      </c>
      <c r="B9" t="s">
        <v>10</v>
      </c>
      <c r="C9" t="s">
        <v>92</v>
      </c>
      <c r="D9" t="s">
        <v>76</v>
      </c>
      <c r="E9" t="s">
        <v>91</v>
      </c>
      <c r="F9" t="s">
        <v>78</v>
      </c>
      <c r="G9" t="s">
        <v>79</v>
      </c>
      <c r="H9" t="s">
        <v>80</v>
      </c>
      <c r="I9" t="s">
        <v>81</v>
      </c>
      <c r="J9" t="s">
        <v>82</v>
      </c>
      <c r="K9" t="s">
        <v>76</v>
      </c>
      <c r="L9" t="s">
        <v>8</v>
      </c>
      <c r="M9" t="s">
        <v>83</v>
      </c>
      <c r="N9" t="s">
        <v>93</v>
      </c>
      <c r="O9" t="s">
        <v>85</v>
      </c>
      <c r="P9">
        <v>333048</v>
      </c>
      <c r="Q9" t="s">
        <v>4</v>
      </c>
      <c r="R9" t="s">
        <v>94</v>
      </c>
      <c r="S9" t="s">
        <v>87</v>
      </c>
      <c r="T9">
        <v>90</v>
      </c>
      <c r="U9">
        <v>0.75</v>
      </c>
      <c r="V9" s="2">
        <v>3.125E-2</v>
      </c>
      <c r="W9">
        <v>67.5</v>
      </c>
      <c r="AA9" t="s">
        <v>88</v>
      </c>
      <c r="AC9" t="s">
        <v>95</v>
      </c>
      <c r="AD9" t="s">
        <v>90</v>
      </c>
    </row>
    <row r="10" spans="1:31">
      <c r="A10" s="1">
        <v>45635</v>
      </c>
      <c r="B10" t="s">
        <v>8</v>
      </c>
      <c r="C10" t="s">
        <v>75</v>
      </c>
      <c r="D10" t="s">
        <v>76</v>
      </c>
      <c r="E10" t="s">
        <v>91</v>
      </c>
      <c r="F10" t="s">
        <v>78</v>
      </c>
      <c r="G10" t="s">
        <v>79</v>
      </c>
      <c r="H10" t="s">
        <v>80</v>
      </c>
      <c r="I10" t="s">
        <v>81</v>
      </c>
      <c r="J10" t="s">
        <v>82</v>
      </c>
      <c r="K10" t="s">
        <v>76</v>
      </c>
      <c r="L10" t="s">
        <v>8</v>
      </c>
      <c r="M10" t="s">
        <v>83</v>
      </c>
      <c r="N10" t="s">
        <v>84</v>
      </c>
      <c r="O10" t="s">
        <v>85</v>
      </c>
      <c r="P10">
        <v>334075</v>
      </c>
      <c r="Q10" t="s">
        <v>5</v>
      </c>
      <c r="R10" t="s">
        <v>86</v>
      </c>
      <c r="S10" t="s">
        <v>87</v>
      </c>
      <c r="T10">
        <v>0</v>
      </c>
      <c r="U10">
        <v>0.25</v>
      </c>
      <c r="V10" s="2">
        <v>1.0416666666666666E-2</v>
      </c>
      <c r="W10">
        <v>0</v>
      </c>
      <c r="AA10" t="s">
        <v>88</v>
      </c>
      <c r="AC10" t="s">
        <v>84</v>
      </c>
      <c r="AD10" t="s">
        <v>90</v>
      </c>
    </row>
    <row r="11" spans="1:31">
      <c r="A11" s="1">
        <v>45636</v>
      </c>
      <c r="B11" t="s">
        <v>14</v>
      </c>
      <c r="C11" t="s">
        <v>75</v>
      </c>
      <c r="D11" t="s">
        <v>76</v>
      </c>
      <c r="E11" t="s">
        <v>77</v>
      </c>
      <c r="F11" t="s">
        <v>78</v>
      </c>
      <c r="G11" t="s">
        <v>79</v>
      </c>
      <c r="H11" t="s">
        <v>80</v>
      </c>
      <c r="I11" t="s">
        <v>81</v>
      </c>
      <c r="J11" t="s">
        <v>82</v>
      </c>
      <c r="K11" t="s">
        <v>76</v>
      </c>
      <c r="L11" t="s">
        <v>8</v>
      </c>
      <c r="M11" t="s">
        <v>83</v>
      </c>
      <c r="N11" t="s">
        <v>84</v>
      </c>
      <c r="O11" t="s">
        <v>85</v>
      </c>
      <c r="P11">
        <v>333712</v>
      </c>
      <c r="Q11" t="s">
        <v>5</v>
      </c>
      <c r="R11" t="s">
        <v>86</v>
      </c>
      <c r="S11" t="s">
        <v>87</v>
      </c>
      <c r="T11">
        <v>0</v>
      </c>
      <c r="U11">
        <v>0.25</v>
      </c>
      <c r="V11" s="2">
        <v>1.0416666666666666E-2</v>
      </c>
      <c r="W11">
        <v>0</v>
      </c>
      <c r="AA11" t="s">
        <v>88</v>
      </c>
      <c r="AC11" t="s">
        <v>96</v>
      </c>
      <c r="AD11" t="s">
        <v>90</v>
      </c>
    </row>
    <row r="12" spans="1:31">
      <c r="A12" s="1">
        <v>45637</v>
      </c>
      <c r="B12" t="s">
        <v>10</v>
      </c>
      <c r="C12" t="s">
        <v>92</v>
      </c>
      <c r="D12" t="s">
        <v>76</v>
      </c>
      <c r="E12" t="s">
        <v>91</v>
      </c>
      <c r="F12" t="s">
        <v>78</v>
      </c>
      <c r="G12" t="s">
        <v>79</v>
      </c>
      <c r="H12" t="s">
        <v>80</v>
      </c>
      <c r="I12" t="s">
        <v>81</v>
      </c>
      <c r="J12" t="s">
        <v>82</v>
      </c>
      <c r="K12" t="s">
        <v>76</v>
      </c>
      <c r="L12" t="s">
        <v>8</v>
      </c>
      <c r="M12" t="s">
        <v>83</v>
      </c>
      <c r="N12" t="s">
        <v>93</v>
      </c>
      <c r="O12" t="s">
        <v>85</v>
      </c>
      <c r="P12">
        <v>334048</v>
      </c>
      <c r="Q12" t="s">
        <v>5</v>
      </c>
      <c r="R12" t="s">
        <v>86</v>
      </c>
      <c r="S12" t="s">
        <v>87</v>
      </c>
      <c r="T12">
        <v>0</v>
      </c>
      <c r="U12">
        <v>3</v>
      </c>
      <c r="V12" s="2">
        <v>0.125</v>
      </c>
      <c r="W12">
        <v>0</v>
      </c>
      <c r="AA12" t="s">
        <v>88</v>
      </c>
      <c r="AC12" t="s">
        <v>97</v>
      </c>
      <c r="AD12" t="s">
        <v>90</v>
      </c>
    </row>
    <row r="13" spans="1:31">
      <c r="A13" s="1">
        <v>45637</v>
      </c>
      <c r="B13" t="s">
        <v>12</v>
      </c>
      <c r="C13" t="s">
        <v>75</v>
      </c>
      <c r="D13" t="s">
        <v>76</v>
      </c>
      <c r="E13" t="s">
        <v>91</v>
      </c>
      <c r="F13" t="s">
        <v>78</v>
      </c>
      <c r="G13" t="s">
        <v>79</v>
      </c>
      <c r="H13" t="s">
        <v>80</v>
      </c>
      <c r="I13" t="s">
        <v>81</v>
      </c>
      <c r="J13" t="s">
        <v>82</v>
      </c>
      <c r="K13" t="s">
        <v>76</v>
      </c>
      <c r="L13" t="s">
        <v>8</v>
      </c>
      <c r="M13" t="s">
        <v>83</v>
      </c>
      <c r="N13" t="s">
        <v>84</v>
      </c>
      <c r="O13" t="s">
        <v>85</v>
      </c>
      <c r="P13">
        <v>334809</v>
      </c>
      <c r="Q13" t="s">
        <v>5</v>
      </c>
      <c r="R13" t="s">
        <v>86</v>
      </c>
      <c r="S13" t="s">
        <v>87</v>
      </c>
      <c r="T13">
        <v>0</v>
      </c>
      <c r="U13">
        <v>0.25</v>
      </c>
      <c r="V13" s="2">
        <v>1.0416666666666666E-2</v>
      </c>
      <c r="W13">
        <v>0</v>
      </c>
      <c r="AA13" t="s">
        <v>88</v>
      </c>
      <c r="AC13" t="s">
        <v>84</v>
      </c>
      <c r="AD13" t="s">
        <v>90</v>
      </c>
    </row>
    <row r="14" spans="1:31">
      <c r="A14" s="1">
        <v>45638</v>
      </c>
      <c r="B14" t="s">
        <v>8</v>
      </c>
      <c r="C14" t="s">
        <v>75</v>
      </c>
      <c r="D14" t="s">
        <v>76</v>
      </c>
      <c r="E14" t="s">
        <v>91</v>
      </c>
      <c r="F14" t="s">
        <v>78</v>
      </c>
      <c r="G14" t="s">
        <v>79</v>
      </c>
      <c r="H14" t="s">
        <v>80</v>
      </c>
      <c r="I14" t="s">
        <v>81</v>
      </c>
      <c r="J14" t="s">
        <v>82</v>
      </c>
      <c r="K14" t="s">
        <v>76</v>
      </c>
      <c r="L14" t="s">
        <v>8</v>
      </c>
      <c r="M14" t="s">
        <v>83</v>
      </c>
      <c r="N14" t="s">
        <v>84</v>
      </c>
      <c r="O14" t="s">
        <v>85</v>
      </c>
      <c r="P14">
        <v>335032</v>
      </c>
      <c r="Q14" t="s">
        <v>5</v>
      </c>
      <c r="R14" t="s">
        <v>86</v>
      </c>
      <c r="S14" t="s">
        <v>87</v>
      </c>
      <c r="T14">
        <v>0</v>
      </c>
      <c r="U14">
        <v>0.25</v>
      </c>
      <c r="V14" s="2">
        <v>1.0416666666666666E-2</v>
      </c>
      <c r="W14">
        <v>0</v>
      </c>
      <c r="AA14" t="s">
        <v>88</v>
      </c>
      <c r="AC14" t="s">
        <v>84</v>
      </c>
      <c r="AD14" t="s">
        <v>90</v>
      </c>
    </row>
    <row r="15" spans="1:31">
      <c r="A15" s="1">
        <v>45639</v>
      </c>
      <c r="B15" t="s">
        <v>8</v>
      </c>
      <c r="C15" t="s">
        <v>75</v>
      </c>
      <c r="D15" t="s">
        <v>76</v>
      </c>
      <c r="E15" t="s">
        <v>91</v>
      </c>
      <c r="F15" t="s">
        <v>78</v>
      </c>
      <c r="G15" t="s">
        <v>79</v>
      </c>
      <c r="H15" t="s">
        <v>80</v>
      </c>
      <c r="I15" t="s">
        <v>81</v>
      </c>
      <c r="J15" t="s">
        <v>82</v>
      </c>
      <c r="K15" t="s">
        <v>76</v>
      </c>
      <c r="L15" t="s">
        <v>8</v>
      </c>
      <c r="M15" t="s">
        <v>83</v>
      </c>
      <c r="N15" t="s">
        <v>84</v>
      </c>
      <c r="O15" t="s">
        <v>85</v>
      </c>
      <c r="P15">
        <v>335386</v>
      </c>
      <c r="Q15" t="s">
        <v>5</v>
      </c>
      <c r="R15" t="s">
        <v>86</v>
      </c>
      <c r="S15" t="s">
        <v>87</v>
      </c>
      <c r="T15">
        <v>0</v>
      </c>
      <c r="U15">
        <v>0.25</v>
      </c>
      <c r="V15" s="2">
        <v>1.0416666666666666E-2</v>
      </c>
      <c r="W15">
        <v>0</v>
      </c>
      <c r="AA15" t="s">
        <v>88</v>
      </c>
      <c r="AC15" t="s">
        <v>84</v>
      </c>
      <c r="AD15" t="s">
        <v>90</v>
      </c>
    </row>
    <row r="16" spans="1:31">
      <c r="A16" s="1">
        <v>45643</v>
      </c>
      <c r="B16" t="s">
        <v>16</v>
      </c>
      <c r="C16" t="s">
        <v>75</v>
      </c>
      <c r="D16" t="s">
        <v>76</v>
      </c>
      <c r="E16" t="s">
        <v>91</v>
      </c>
      <c r="F16" t="s">
        <v>78</v>
      </c>
      <c r="G16" t="s">
        <v>79</v>
      </c>
      <c r="H16" t="s">
        <v>80</v>
      </c>
      <c r="I16" t="s">
        <v>81</v>
      </c>
      <c r="J16" t="s">
        <v>82</v>
      </c>
      <c r="K16" t="s">
        <v>76</v>
      </c>
      <c r="L16" t="s">
        <v>8</v>
      </c>
      <c r="M16" t="s">
        <v>83</v>
      </c>
      <c r="N16" t="s">
        <v>93</v>
      </c>
      <c r="O16" t="s">
        <v>85</v>
      </c>
      <c r="P16">
        <v>335663</v>
      </c>
      <c r="Q16" t="s">
        <v>4</v>
      </c>
      <c r="R16" t="s">
        <v>94</v>
      </c>
      <c r="S16" t="s">
        <v>87</v>
      </c>
      <c r="T16">
        <v>90</v>
      </c>
      <c r="U16">
        <v>0.25</v>
      </c>
      <c r="V16" s="2">
        <v>1.0416666666666666E-2</v>
      </c>
      <c r="W16">
        <v>22.5</v>
      </c>
      <c r="AA16" t="s">
        <v>88</v>
      </c>
      <c r="AC16" t="s">
        <v>84</v>
      </c>
      <c r="AD16" t="s">
        <v>90</v>
      </c>
    </row>
    <row r="17" spans="1:22">
      <c r="A17" s="1"/>
      <c r="V17" s="2"/>
    </row>
    <row r="18" spans="1:22">
      <c r="A18" s="1"/>
      <c r="V18" s="2"/>
    </row>
    <row r="19" spans="1:22">
      <c r="A19" s="1"/>
      <c r="V19" s="2"/>
    </row>
    <row r="20" spans="1:22">
      <c r="A20" s="1"/>
      <c r="V20" s="2"/>
    </row>
    <row r="21" spans="1:22">
      <c r="A21" s="1"/>
      <c r="V21" s="2"/>
    </row>
    <row r="22" spans="1:22">
      <c r="A22" s="1"/>
      <c r="V22" s="2"/>
    </row>
    <row r="23" spans="1:22">
      <c r="A23" s="1"/>
      <c r="V23" s="2"/>
    </row>
    <row r="24" spans="1:22">
      <c r="A24" s="1"/>
      <c r="V24" s="2"/>
    </row>
    <row r="25" spans="1:22">
      <c r="A25" s="1"/>
      <c r="V25" s="2"/>
    </row>
    <row r="26" spans="1:22">
      <c r="A26" s="1"/>
      <c r="V26" s="2"/>
    </row>
    <row r="27" spans="1:22">
      <c r="A27" s="1"/>
      <c r="V27" s="2"/>
    </row>
    <row r="28" spans="1:22">
      <c r="A28" s="1"/>
      <c r="V28" s="2"/>
    </row>
    <row r="29" spans="1:22">
      <c r="A29" s="1"/>
      <c r="V29" s="2"/>
    </row>
    <row r="30" spans="1:22">
      <c r="A30" s="1"/>
      <c r="V30" s="2"/>
    </row>
    <row r="31" spans="1:22">
      <c r="A31" s="1"/>
      <c r="V31" s="2"/>
    </row>
    <row r="32" spans="1:22">
      <c r="A32" s="1"/>
      <c r="V32" s="2"/>
    </row>
    <row r="33" spans="1:22">
      <c r="A33" s="1"/>
      <c r="V33" s="2"/>
    </row>
    <row r="34" spans="1:22">
      <c r="A34" s="1"/>
      <c r="V34" s="2"/>
    </row>
    <row r="35" spans="1:22">
      <c r="A35" s="1"/>
      <c r="V35" s="2"/>
    </row>
    <row r="36" spans="1:22">
      <c r="A36" s="1"/>
      <c r="V36" s="2"/>
    </row>
    <row r="37" spans="1:22">
      <c r="A37" s="1"/>
      <c r="V37" s="2"/>
    </row>
    <row r="38" spans="1:22">
      <c r="A38" s="1"/>
      <c r="V38" s="2"/>
    </row>
    <row r="39" spans="1:22">
      <c r="A39" s="1"/>
      <c r="V39" s="2"/>
    </row>
    <row r="40" spans="1:22">
      <c r="A40" s="1"/>
      <c r="V40" s="2"/>
    </row>
    <row r="41" spans="1:22">
      <c r="A41" s="1"/>
      <c r="V41" s="2"/>
    </row>
    <row r="42" spans="1:22">
      <c r="A42" s="1"/>
      <c r="V42" s="2"/>
    </row>
    <row r="43" spans="1:22">
      <c r="A43" s="1"/>
      <c r="V43" s="2"/>
    </row>
    <row r="44" spans="1:22">
      <c r="A44" s="1"/>
      <c r="V44" s="2"/>
    </row>
    <row r="45" spans="1:22">
      <c r="A45" s="1"/>
      <c r="V45" s="2"/>
    </row>
    <row r="46" spans="1:22">
      <c r="A46" s="1"/>
      <c r="V46" s="2"/>
    </row>
    <row r="47" spans="1:22">
      <c r="A47" s="1"/>
      <c r="V47" s="2"/>
    </row>
    <row r="48" spans="1:22">
      <c r="A48" s="1"/>
      <c r="V48" s="2"/>
    </row>
    <row r="49" spans="1:22">
      <c r="A49" s="1"/>
      <c r="V49" s="2"/>
    </row>
    <row r="50" spans="1:22">
      <c r="A50" s="1"/>
      <c r="V50" s="2"/>
    </row>
    <row r="51" spans="1:22">
      <c r="A51" s="1"/>
      <c r="V51" s="2"/>
    </row>
    <row r="52" spans="1:22">
      <c r="A52" s="1"/>
      <c r="V52" s="2"/>
    </row>
    <row r="53" spans="1:22">
      <c r="A53" s="1"/>
      <c r="V53" s="2"/>
    </row>
    <row r="54" spans="1:22">
      <c r="A54" s="1"/>
      <c r="V54" s="2"/>
    </row>
    <row r="55" spans="1:22">
      <c r="A55" s="1"/>
      <c r="V55" s="2"/>
    </row>
    <row r="56" spans="1:22">
      <c r="A56" s="1"/>
      <c r="V56" s="2"/>
    </row>
    <row r="57" spans="1:22">
      <c r="A57" s="1"/>
      <c r="V57" s="2"/>
    </row>
    <row r="58" spans="1:22">
      <c r="A58" s="1"/>
      <c r="V58" s="2"/>
    </row>
    <row r="59" spans="1:22">
      <c r="A59" s="1"/>
      <c r="V59" s="2"/>
    </row>
    <row r="60" spans="1:22">
      <c r="A60" s="1"/>
      <c r="V60" s="2"/>
    </row>
    <row r="61" spans="1:22">
      <c r="A61" s="1"/>
      <c r="V61" s="2"/>
    </row>
    <row r="62" spans="1:22">
      <c r="A62" s="1"/>
      <c r="V62" s="2"/>
    </row>
    <row r="63" spans="1:22">
      <c r="A63" s="1"/>
      <c r="V63" s="2"/>
    </row>
    <row r="64" spans="1:22">
      <c r="A64" s="1"/>
      <c r="V64" s="2"/>
    </row>
    <row r="65" spans="1:22">
      <c r="A65" s="1"/>
      <c r="V65" s="2"/>
    </row>
    <row r="66" spans="1:22">
      <c r="A66" s="1"/>
      <c r="V66" s="2"/>
    </row>
    <row r="67" spans="1:22">
      <c r="A67" s="1"/>
      <c r="V67" s="2"/>
    </row>
    <row r="68" spans="1:22">
      <c r="A68" s="1"/>
      <c r="V68" s="2"/>
    </row>
    <row r="69" spans="1:22">
      <c r="A69" s="1"/>
      <c r="V69" s="2"/>
    </row>
    <row r="70" spans="1:22">
      <c r="A70" s="1"/>
      <c r="V70" s="2"/>
    </row>
    <row r="71" spans="1:22">
      <c r="A71" s="1"/>
      <c r="V71" s="2"/>
    </row>
    <row r="72" spans="1:22">
      <c r="A72" s="1"/>
      <c r="V72" s="2"/>
    </row>
    <row r="73" spans="1:22">
      <c r="A73" s="1"/>
      <c r="V73" s="2"/>
    </row>
    <row r="74" spans="1:22">
      <c r="A74" s="1"/>
      <c r="V74" s="2"/>
    </row>
    <row r="75" spans="1:22">
      <c r="A75" s="1"/>
      <c r="V75" s="2"/>
    </row>
    <row r="76" spans="1:22">
      <c r="A76" s="1"/>
      <c r="V76" s="2"/>
    </row>
    <row r="77" spans="1:22">
      <c r="A77" s="1"/>
      <c r="V77" s="2"/>
    </row>
    <row r="78" spans="1:22">
      <c r="A78" s="1"/>
      <c r="V78" s="2"/>
    </row>
    <row r="79" spans="1:22">
      <c r="A79" s="1"/>
      <c r="V79" s="2"/>
    </row>
    <row r="80" spans="1:22">
      <c r="A80" s="1"/>
      <c r="V80" s="2"/>
    </row>
    <row r="81" spans="1:22">
      <c r="A81" s="1"/>
      <c r="V81" s="2"/>
    </row>
    <row r="82" spans="1:22">
      <c r="A82" s="1"/>
      <c r="V82" s="2"/>
    </row>
    <row r="83" spans="1:22">
      <c r="A83" s="1"/>
      <c r="V83" s="2"/>
    </row>
    <row r="84" spans="1:22">
      <c r="A84" s="1"/>
      <c r="V84" s="2"/>
    </row>
    <row r="85" spans="1:22">
      <c r="A85" s="1"/>
      <c r="V85" s="2"/>
    </row>
    <row r="86" spans="1:22">
      <c r="A86" s="1"/>
      <c r="V86" s="2"/>
    </row>
    <row r="87" spans="1:22">
      <c r="A87" s="1"/>
      <c r="V87" s="2"/>
    </row>
    <row r="88" spans="1:22">
      <c r="A88" s="1"/>
      <c r="V88" s="2"/>
    </row>
    <row r="89" spans="1:22">
      <c r="A89" s="1"/>
      <c r="V89" s="2"/>
    </row>
    <row r="90" spans="1:22">
      <c r="A90" s="1"/>
      <c r="V90" s="2"/>
    </row>
    <row r="91" spans="1:22">
      <c r="A91" s="1"/>
      <c r="V91" s="2"/>
    </row>
    <row r="92" spans="1:22">
      <c r="A92" s="1"/>
      <c r="V92" s="2"/>
    </row>
    <row r="93" spans="1:22">
      <c r="A93" s="1"/>
      <c r="V93" s="2"/>
    </row>
    <row r="94" spans="1:22">
      <c r="A94" s="1"/>
      <c r="V94" s="2"/>
    </row>
    <row r="95" spans="1:22">
      <c r="A95" s="1"/>
      <c r="V95" s="2"/>
    </row>
    <row r="96" spans="1:22">
      <c r="A96" s="1"/>
      <c r="V96" s="2"/>
    </row>
    <row r="97" spans="1:22">
      <c r="A97" s="1"/>
      <c r="V97" s="2"/>
    </row>
    <row r="98" spans="1:22">
      <c r="A98" s="1"/>
      <c r="V98" s="2"/>
    </row>
    <row r="99" spans="1:22">
      <c r="A99" s="1"/>
      <c r="V99" s="2"/>
    </row>
    <row r="100" spans="1:22">
      <c r="A100" s="1"/>
      <c r="V100" s="2"/>
    </row>
    <row r="101" spans="1:22">
      <c r="A101" s="1"/>
      <c r="V101" s="2"/>
    </row>
    <row r="102" spans="1:22">
      <c r="A102" s="1"/>
      <c r="V102" s="2"/>
    </row>
    <row r="103" spans="1:22">
      <c r="A103" s="1"/>
      <c r="V103" s="2"/>
    </row>
    <row r="104" spans="1:22">
      <c r="A104" s="1"/>
      <c r="V104" s="2"/>
    </row>
    <row r="105" spans="1:22">
      <c r="A105" s="1"/>
      <c r="V105" s="2"/>
    </row>
    <row r="106" spans="1:22">
      <c r="A106" s="1"/>
      <c r="V106" s="2"/>
    </row>
    <row r="107" spans="1:22">
      <c r="A107" s="1"/>
      <c r="V107" s="2"/>
    </row>
    <row r="108" spans="1:22">
      <c r="A108" s="1"/>
      <c r="V108" s="2"/>
    </row>
    <row r="109" spans="1:22">
      <c r="A109" s="1"/>
      <c r="V109" s="2"/>
    </row>
    <row r="110" spans="1:22">
      <c r="A110" s="1"/>
      <c r="V110" s="2"/>
    </row>
    <row r="111" spans="1:22">
      <c r="A111" s="1"/>
      <c r="V111" s="2"/>
    </row>
    <row r="112" spans="1:22">
      <c r="A112" s="1"/>
      <c r="V112" s="2"/>
    </row>
    <row r="113" spans="1:22">
      <c r="A113" s="1"/>
      <c r="V113" s="2"/>
    </row>
    <row r="114" spans="1:22">
      <c r="A114" s="1"/>
      <c r="V114" s="2"/>
    </row>
    <row r="115" spans="1:22">
      <c r="A115" s="1"/>
      <c r="V115" s="2"/>
    </row>
    <row r="116" spans="1:22">
      <c r="A116" s="1"/>
      <c r="V116" s="2"/>
    </row>
    <row r="117" spans="1:22">
      <c r="A117" s="1"/>
      <c r="V117" s="2"/>
    </row>
    <row r="118" spans="1:22">
      <c r="A118" s="1"/>
      <c r="V118" s="2"/>
    </row>
    <row r="119" spans="1:22">
      <c r="A119" s="1"/>
      <c r="V119" s="2"/>
    </row>
    <row r="120" spans="1:22">
      <c r="A120" s="1"/>
      <c r="V120" s="2"/>
    </row>
    <row r="121" spans="1:22">
      <c r="A121" s="1"/>
      <c r="V121" s="2"/>
    </row>
    <row r="122" spans="1:22">
      <c r="A122" s="1"/>
      <c r="V122" s="2"/>
    </row>
    <row r="123" spans="1:22">
      <c r="A123" s="1"/>
      <c r="V123" s="2"/>
    </row>
    <row r="124" spans="1:22">
      <c r="A124" s="1"/>
      <c r="V124" s="2"/>
    </row>
    <row r="125" spans="1:22">
      <c r="A125" s="1"/>
      <c r="V125" s="2"/>
    </row>
    <row r="126" spans="1:22">
      <c r="A126" s="1"/>
      <c r="V126" s="2"/>
    </row>
    <row r="127" spans="1:22">
      <c r="A127" s="1"/>
      <c r="V127" s="2"/>
    </row>
    <row r="128" spans="1:22">
      <c r="A128" s="1"/>
      <c r="V128" s="2"/>
    </row>
    <row r="129" spans="1:22">
      <c r="A129" s="1"/>
      <c r="V129" s="2"/>
    </row>
  </sheetData>
  <autoFilter ref="A1:AE62" xr:uid="{00000000-0001-0000-0100-000000000000}"/>
  <phoneticPr fontId="2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AE750"/>
  <sheetViews>
    <sheetView topLeftCell="O1" workbookViewId="0">
      <selection sqref="A1:AD750"/>
    </sheetView>
  </sheetViews>
  <sheetFormatPr defaultRowHeight="14.45"/>
  <cols>
    <col min="1" max="1" width="9.5703125" bestFit="1" customWidth="1"/>
    <col min="2" max="2" width="17.42578125" bestFit="1" customWidth="1"/>
    <col min="29" max="29" width="110.140625" bestFit="1" customWidth="1"/>
    <col min="30" max="30" width="17" bestFit="1" customWidth="1"/>
    <col min="31" max="31" width="8.85546875" style="13"/>
  </cols>
  <sheetData>
    <row r="1" spans="1:31">
      <c r="A1" t="s">
        <v>45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  <c r="J1" t="s">
        <v>54</v>
      </c>
      <c r="K1" t="s">
        <v>55</v>
      </c>
      <c r="L1" t="s">
        <v>56</v>
      </c>
      <c r="M1" t="s">
        <v>57</v>
      </c>
      <c r="N1" t="s">
        <v>58</v>
      </c>
      <c r="O1" t="s">
        <v>59</v>
      </c>
      <c r="P1" t="s">
        <v>60</v>
      </c>
      <c r="Q1" t="s">
        <v>61</v>
      </c>
      <c r="R1" t="s">
        <v>62</v>
      </c>
      <c r="S1" t="s">
        <v>63</v>
      </c>
      <c r="T1" t="s">
        <v>64</v>
      </c>
      <c r="U1" t="s">
        <v>65</v>
      </c>
      <c r="V1" t="s">
        <v>66</v>
      </c>
      <c r="W1" t="s">
        <v>67</v>
      </c>
      <c r="X1" t="s">
        <v>68</v>
      </c>
      <c r="Y1" t="s">
        <v>69</v>
      </c>
      <c r="Z1" t="s">
        <v>70</v>
      </c>
      <c r="AA1" t="s">
        <v>71</v>
      </c>
      <c r="AB1" t="s">
        <v>72</v>
      </c>
      <c r="AC1" t="s">
        <v>73</v>
      </c>
      <c r="AD1" t="s">
        <v>74</v>
      </c>
      <c r="AE1"/>
    </row>
    <row r="2" spans="1:31" hidden="1">
      <c r="A2" s="1">
        <v>45373</v>
      </c>
      <c r="B2" t="s">
        <v>98</v>
      </c>
      <c r="C2" t="s">
        <v>92</v>
      </c>
      <c r="D2" t="s">
        <v>76</v>
      </c>
      <c r="E2" t="s">
        <v>91</v>
      </c>
      <c r="F2" t="s">
        <v>78</v>
      </c>
      <c r="G2" t="s">
        <v>79</v>
      </c>
      <c r="H2" t="s">
        <v>80</v>
      </c>
      <c r="I2" t="s">
        <v>81</v>
      </c>
      <c r="J2" t="s">
        <v>82</v>
      </c>
      <c r="K2" t="s">
        <v>76</v>
      </c>
      <c r="L2" t="s">
        <v>8</v>
      </c>
      <c r="M2" t="s">
        <v>83</v>
      </c>
      <c r="N2" t="s">
        <v>93</v>
      </c>
      <c r="O2" t="s">
        <v>85</v>
      </c>
      <c r="P2">
        <v>227014</v>
      </c>
      <c r="Q2" t="s">
        <v>4</v>
      </c>
      <c r="R2" t="s">
        <v>94</v>
      </c>
      <c r="S2" t="s">
        <v>87</v>
      </c>
      <c r="T2">
        <v>90</v>
      </c>
      <c r="U2">
        <v>1</v>
      </c>
      <c r="V2" s="2">
        <v>4.1666666666666664E-2</v>
      </c>
      <c r="W2">
        <v>90</v>
      </c>
      <c r="X2">
        <v>119.01</v>
      </c>
      <c r="Y2">
        <v>29.01</v>
      </c>
      <c r="Z2" t="s">
        <v>99</v>
      </c>
      <c r="AA2" t="s">
        <v>88</v>
      </c>
      <c r="AB2" t="s">
        <v>100</v>
      </c>
      <c r="AC2" t="s">
        <v>101</v>
      </c>
      <c r="AD2" t="s">
        <v>90</v>
      </c>
    </row>
    <row r="3" spans="1:31" hidden="1">
      <c r="A3" s="1">
        <v>45377</v>
      </c>
      <c r="B3" t="s">
        <v>10</v>
      </c>
      <c r="C3" t="s">
        <v>92</v>
      </c>
      <c r="D3" t="s">
        <v>76</v>
      </c>
      <c r="E3" t="s">
        <v>91</v>
      </c>
      <c r="F3" t="s">
        <v>78</v>
      </c>
      <c r="G3" t="s">
        <v>79</v>
      </c>
      <c r="H3" t="s">
        <v>80</v>
      </c>
      <c r="I3" t="s">
        <v>81</v>
      </c>
      <c r="J3" t="s">
        <v>82</v>
      </c>
      <c r="K3" t="s">
        <v>76</v>
      </c>
      <c r="L3" t="s">
        <v>8</v>
      </c>
      <c r="M3" t="s">
        <v>83</v>
      </c>
      <c r="N3" t="s">
        <v>93</v>
      </c>
      <c r="O3" t="s">
        <v>85</v>
      </c>
      <c r="P3">
        <v>229192</v>
      </c>
      <c r="Q3" t="s">
        <v>4</v>
      </c>
      <c r="R3" t="s">
        <v>94</v>
      </c>
      <c r="S3" t="s">
        <v>87</v>
      </c>
      <c r="T3">
        <v>90</v>
      </c>
      <c r="U3">
        <v>2</v>
      </c>
      <c r="V3" s="2">
        <v>8.3333333333333329E-2</v>
      </c>
      <c r="W3">
        <v>180</v>
      </c>
      <c r="X3">
        <v>238.02</v>
      </c>
      <c r="Y3">
        <v>58.02</v>
      </c>
      <c r="Z3" t="s">
        <v>99</v>
      </c>
      <c r="AA3" t="s">
        <v>88</v>
      </c>
      <c r="AB3" t="s">
        <v>100</v>
      </c>
      <c r="AC3" t="s">
        <v>102</v>
      </c>
      <c r="AD3" t="s">
        <v>90</v>
      </c>
    </row>
    <row r="4" spans="1:31" hidden="1">
      <c r="A4" s="1">
        <v>45377</v>
      </c>
      <c r="B4" t="s">
        <v>98</v>
      </c>
      <c r="C4" t="s">
        <v>92</v>
      </c>
      <c r="D4" t="s">
        <v>76</v>
      </c>
      <c r="E4" t="s">
        <v>91</v>
      </c>
      <c r="F4" t="s">
        <v>78</v>
      </c>
      <c r="G4" t="s">
        <v>79</v>
      </c>
      <c r="H4" t="s">
        <v>80</v>
      </c>
      <c r="I4" t="s">
        <v>81</v>
      </c>
      <c r="J4" t="s">
        <v>82</v>
      </c>
      <c r="K4" t="s">
        <v>76</v>
      </c>
      <c r="L4" t="s">
        <v>8</v>
      </c>
      <c r="M4" t="s">
        <v>83</v>
      </c>
      <c r="N4" t="s">
        <v>93</v>
      </c>
      <c r="O4" t="s">
        <v>85</v>
      </c>
      <c r="P4">
        <v>228560</v>
      </c>
      <c r="Q4" t="s">
        <v>4</v>
      </c>
      <c r="R4" t="s">
        <v>94</v>
      </c>
      <c r="S4" t="s">
        <v>87</v>
      </c>
      <c r="T4">
        <v>90</v>
      </c>
      <c r="U4">
        <v>1</v>
      </c>
      <c r="V4" s="2">
        <v>4.1666666666666664E-2</v>
      </c>
      <c r="W4">
        <v>90</v>
      </c>
      <c r="X4">
        <v>119.01</v>
      </c>
      <c r="Y4">
        <v>29.01</v>
      </c>
      <c r="Z4" t="s">
        <v>99</v>
      </c>
      <c r="AA4" t="s">
        <v>88</v>
      </c>
      <c r="AB4" t="s">
        <v>100</v>
      </c>
      <c r="AC4" t="s">
        <v>103</v>
      </c>
      <c r="AD4" t="s">
        <v>90</v>
      </c>
    </row>
    <row r="5" spans="1:31" hidden="1">
      <c r="A5" s="1">
        <v>45378</v>
      </c>
      <c r="B5" t="s">
        <v>10</v>
      </c>
      <c r="C5" t="s">
        <v>92</v>
      </c>
      <c r="D5" t="s">
        <v>76</v>
      </c>
      <c r="E5" t="s">
        <v>91</v>
      </c>
      <c r="F5" t="s">
        <v>78</v>
      </c>
      <c r="G5" t="s">
        <v>79</v>
      </c>
      <c r="H5" t="s">
        <v>80</v>
      </c>
      <c r="I5" t="s">
        <v>81</v>
      </c>
      <c r="J5" t="s">
        <v>82</v>
      </c>
      <c r="K5" t="s">
        <v>76</v>
      </c>
      <c r="L5" t="s">
        <v>8</v>
      </c>
      <c r="M5" t="s">
        <v>83</v>
      </c>
      <c r="N5" t="s">
        <v>93</v>
      </c>
      <c r="O5" t="s">
        <v>85</v>
      </c>
      <c r="P5">
        <v>229334</v>
      </c>
      <c r="Q5" t="s">
        <v>4</v>
      </c>
      <c r="R5" t="s">
        <v>94</v>
      </c>
      <c r="S5" t="s">
        <v>87</v>
      </c>
      <c r="T5">
        <v>90</v>
      </c>
      <c r="U5">
        <v>1</v>
      </c>
      <c r="V5" s="2">
        <v>4.1666666666666664E-2</v>
      </c>
      <c r="W5">
        <v>90</v>
      </c>
      <c r="X5">
        <v>119.01</v>
      </c>
      <c r="Y5">
        <v>29.01</v>
      </c>
      <c r="Z5" t="s">
        <v>99</v>
      </c>
      <c r="AA5" t="s">
        <v>88</v>
      </c>
      <c r="AB5" t="s">
        <v>100</v>
      </c>
      <c r="AC5" t="s">
        <v>104</v>
      </c>
      <c r="AD5" t="s">
        <v>90</v>
      </c>
    </row>
    <row r="6" spans="1:31" hidden="1">
      <c r="A6" s="1">
        <v>45378</v>
      </c>
      <c r="B6" t="s">
        <v>14</v>
      </c>
      <c r="C6" t="s">
        <v>75</v>
      </c>
      <c r="D6" t="s">
        <v>76</v>
      </c>
      <c r="E6" t="s">
        <v>77</v>
      </c>
      <c r="F6" t="s">
        <v>78</v>
      </c>
      <c r="G6" t="s">
        <v>79</v>
      </c>
      <c r="H6" t="s">
        <v>80</v>
      </c>
      <c r="I6" t="s">
        <v>81</v>
      </c>
      <c r="J6" t="s">
        <v>82</v>
      </c>
      <c r="K6" t="s">
        <v>76</v>
      </c>
      <c r="L6" t="s">
        <v>8</v>
      </c>
      <c r="M6" t="s">
        <v>83</v>
      </c>
      <c r="N6" t="s">
        <v>84</v>
      </c>
      <c r="O6" t="s">
        <v>85</v>
      </c>
      <c r="P6">
        <v>228528</v>
      </c>
      <c r="Q6" t="s">
        <v>5</v>
      </c>
      <c r="R6" t="s">
        <v>86</v>
      </c>
      <c r="S6" t="s">
        <v>87</v>
      </c>
      <c r="T6">
        <v>0</v>
      </c>
      <c r="U6">
        <v>0.5</v>
      </c>
      <c r="V6" s="2">
        <v>2.0833333333333332E-2</v>
      </c>
      <c r="W6">
        <v>0</v>
      </c>
      <c r="AA6" t="s">
        <v>88</v>
      </c>
      <c r="AB6" t="s">
        <v>100</v>
      </c>
      <c r="AC6" t="s">
        <v>105</v>
      </c>
      <c r="AD6" t="s">
        <v>90</v>
      </c>
    </row>
    <row r="7" spans="1:31" hidden="1">
      <c r="A7" s="1">
        <v>45378</v>
      </c>
      <c r="B7" t="s">
        <v>98</v>
      </c>
      <c r="C7" t="s">
        <v>92</v>
      </c>
      <c r="D7" t="s">
        <v>76</v>
      </c>
      <c r="E7" t="s">
        <v>91</v>
      </c>
      <c r="F7" t="s">
        <v>78</v>
      </c>
      <c r="G7" t="s">
        <v>79</v>
      </c>
      <c r="H7" t="s">
        <v>80</v>
      </c>
      <c r="I7" t="s">
        <v>81</v>
      </c>
      <c r="J7" t="s">
        <v>82</v>
      </c>
      <c r="K7" t="s">
        <v>76</v>
      </c>
      <c r="L7" t="s">
        <v>8</v>
      </c>
      <c r="M7" t="s">
        <v>83</v>
      </c>
      <c r="N7" t="s">
        <v>93</v>
      </c>
      <c r="O7" t="s">
        <v>85</v>
      </c>
      <c r="P7">
        <v>229177</v>
      </c>
      <c r="Q7" t="s">
        <v>4</v>
      </c>
      <c r="R7" t="s">
        <v>94</v>
      </c>
      <c r="S7" t="s">
        <v>87</v>
      </c>
      <c r="T7">
        <v>90</v>
      </c>
      <c r="U7">
        <v>0.5</v>
      </c>
      <c r="V7" s="2">
        <v>2.0833333333333332E-2</v>
      </c>
      <c r="W7">
        <v>45</v>
      </c>
      <c r="X7">
        <v>59.5</v>
      </c>
      <c r="Y7">
        <v>14.5</v>
      </c>
      <c r="Z7" t="s">
        <v>99</v>
      </c>
      <c r="AA7" t="s">
        <v>88</v>
      </c>
      <c r="AB7" t="s">
        <v>100</v>
      </c>
      <c r="AC7" t="s">
        <v>106</v>
      </c>
      <c r="AD7" t="s">
        <v>90</v>
      </c>
    </row>
    <row r="8" spans="1:31" hidden="1">
      <c r="A8" s="1">
        <v>45378</v>
      </c>
      <c r="B8" t="s">
        <v>8</v>
      </c>
      <c r="C8" t="s">
        <v>75</v>
      </c>
      <c r="D8" t="s">
        <v>76</v>
      </c>
      <c r="E8" t="s">
        <v>77</v>
      </c>
      <c r="F8" t="s">
        <v>78</v>
      </c>
      <c r="G8" t="s">
        <v>79</v>
      </c>
      <c r="H8" t="s">
        <v>80</v>
      </c>
      <c r="I8" t="s">
        <v>81</v>
      </c>
      <c r="J8" t="s">
        <v>82</v>
      </c>
      <c r="K8" t="s">
        <v>76</v>
      </c>
      <c r="L8" t="s">
        <v>8</v>
      </c>
      <c r="M8" t="s">
        <v>83</v>
      </c>
      <c r="N8" t="s">
        <v>84</v>
      </c>
      <c r="O8" t="s">
        <v>85</v>
      </c>
      <c r="P8">
        <v>228826</v>
      </c>
      <c r="Q8" t="s">
        <v>5</v>
      </c>
      <c r="R8" t="s">
        <v>86</v>
      </c>
      <c r="S8" t="s">
        <v>87</v>
      </c>
      <c r="T8">
        <v>0</v>
      </c>
      <c r="U8">
        <v>0.5</v>
      </c>
      <c r="V8" s="2">
        <v>2.0833333333333332E-2</v>
      </c>
      <c r="W8">
        <v>0</v>
      </c>
      <c r="AA8" t="s">
        <v>88</v>
      </c>
      <c r="AB8" t="s">
        <v>100</v>
      </c>
      <c r="AC8" t="s">
        <v>107</v>
      </c>
      <c r="AD8" t="s">
        <v>90</v>
      </c>
    </row>
    <row r="9" spans="1:31" hidden="1">
      <c r="A9" s="1">
        <v>45379</v>
      </c>
      <c r="B9" t="s">
        <v>108</v>
      </c>
      <c r="C9" t="s">
        <v>75</v>
      </c>
      <c r="D9" t="s">
        <v>76</v>
      </c>
      <c r="E9" t="s">
        <v>91</v>
      </c>
      <c r="F9" t="s">
        <v>78</v>
      </c>
      <c r="G9" t="s">
        <v>79</v>
      </c>
      <c r="H9" t="s">
        <v>80</v>
      </c>
      <c r="I9" t="s">
        <v>81</v>
      </c>
      <c r="J9" t="s">
        <v>82</v>
      </c>
      <c r="K9" t="s">
        <v>76</v>
      </c>
      <c r="L9" t="s">
        <v>8</v>
      </c>
      <c r="M9" t="s">
        <v>83</v>
      </c>
      <c r="N9" t="s">
        <v>93</v>
      </c>
      <c r="O9" t="s">
        <v>85</v>
      </c>
      <c r="P9">
        <v>229978</v>
      </c>
      <c r="Q9" t="s">
        <v>4</v>
      </c>
      <c r="R9" t="s">
        <v>94</v>
      </c>
      <c r="S9" t="s">
        <v>87</v>
      </c>
      <c r="T9">
        <v>90</v>
      </c>
      <c r="U9">
        <v>0.5</v>
      </c>
      <c r="V9" s="2">
        <v>2.0833333333333332E-2</v>
      </c>
      <c r="W9">
        <v>45</v>
      </c>
      <c r="X9">
        <v>59.5</v>
      </c>
      <c r="Y9">
        <v>14.5</v>
      </c>
      <c r="Z9" t="s">
        <v>99</v>
      </c>
      <c r="AA9" t="s">
        <v>88</v>
      </c>
      <c r="AB9" t="s">
        <v>100</v>
      </c>
      <c r="AC9" t="s">
        <v>109</v>
      </c>
      <c r="AD9" t="s">
        <v>90</v>
      </c>
    </row>
    <row r="10" spans="1:31" hidden="1">
      <c r="A10" s="1">
        <v>45384</v>
      </c>
      <c r="B10" t="s">
        <v>14</v>
      </c>
      <c r="C10" t="s">
        <v>75</v>
      </c>
      <c r="D10" t="s">
        <v>76</v>
      </c>
      <c r="E10" t="s">
        <v>77</v>
      </c>
      <c r="F10" t="s">
        <v>78</v>
      </c>
      <c r="G10" t="s">
        <v>79</v>
      </c>
      <c r="H10" t="s">
        <v>80</v>
      </c>
      <c r="I10" t="s">
        <v>81</v>
      </c>
      <c r="J10" t="s">
        <v>82</v>
      </c>
      <c r="K10" t="s">
        <v>76</v>
      </c>
      <c r="L10" t="s">
        <v>8</v>
      </c>
      <c r="M10" t="s">
        <v>83</v>
      </c>
      <c r="N10" t="s">
        <v>84</v>
      </c>
      <c r="O10" t="s">
        <v>85</v>
      </c>
      <c r="P10">
        <v>230412</v>
      </c>
      <c r="Q10" t="s">
        <v>5</v>
      </c>
      <c r="R10" t="s">
        <v>86</v>
      </c>
      <c r="S10" t="s">
        <v>87</v>
      </c>
      <c r="T10">
        <v>0</v>
      </c>
      <c r="U10">
        <v>0.25</v>
      </c>
      <c r="V10" s="2">
        <v>1.0416666666666666E-2</v>
      </c>
      <c r="W10">
        <v>0</v>
      </c>
      <c r="AA10" t="s">
        <v>88</v>
      </c>
      <c r="AB10" t="s">
        <v>100</v>
      </c>
      <c r="AC10" t="s">
        <v>110</v>
      </c>
      <c r="AD10" t="s">
        <v>90</v>
      </c>
    </row>
    <row r="11" spans="1:31" hidden="1">
      <c r="A11" s="1">
        <v>45385</v>
      </c>
      <c r="B11" t="s">
        <v>8</v>
      </c>
      <c r="C11" t="s">
        <v>75</v>
      </c>
      <c r="D11" t="s">
        <v>76</v>
      </c>
      <c r="E11" t="s">
        <v>77</v>
      </c>
      <c r="F11" t="s">
        <v>78</v>
      </c>
      <c r="G11" t="s">
        <v>79</v>
      </c>
      <c r="H11" t="s">
        <v>80</v>
      </c>
      <c r="I11" t="s">
        <v>81</v>
      </c>
      <c r="J11" t="s">
        <v>82</v>
      </c>
      <c r="K11" t="s">
        <v>76</v>
      </c>
      <c r="L11" t="s">
        <v>8</v>
      </c>
      <c r="M11" t="s">
        <v>83</v>
      </c>
      <c r="N11" t="s">
        <v>84</v>
      </c>
      <c r="O11" t="s">
        <v>85</v>
      </c>
      <c r="P11">
        <v>230872</v>
      </c>
      <c r="Q11" t="s">
        <v>5</v>
      </c>
      <c r="R11" t="s">
        <v>86</v>
      </c>
      <c r="S11" t="s">
        <v>87</v>
      </c>
      <c r="T11">
        <v>0</v>
      </c>
      <c r="U11">
        <v>0.75</v>
      </c>
      <c r="V11" s="2">
        <v>3.125E-2</v>
      </c>
      <c r="W11">
        <v>0</v>
      </c>
      <c r="AA11" t="s">
        <v>88</v>
      </c>
      <c r="AB11" t="s">
        <v>100</v>
      </c>
      <c r="AC11" t="s">
        <v>84</v>
      </c>
      <c r="AD11" t="s">
        <v>90</v>
      </c>
    </row>
    <row r="12" spans="1:31" hidden="1">
      <c r="A12" s="1">
        <v>45386</v>
      </c>
      <c r="B12" t="s">
        <v>14</v>
      </c>
      <c r="C12" t="s">
        <v>75</v>
      </c>
      <c r="D12" t="s">
        <v>76</v>
      </c>
      <c r="E12" t="s">
        <v>77</v>
      </c>
      <c r="F12" t="s">
        <v>78</v>
      </c>
      <c r="G12" t="s">
        <v>79</v>
      </c>
      <c r="H12" t="s">
        <v>80</v>
      </c>
      <c r="I12" t="s">
        <v>81</v>
      </c>
      <c r="J12" t="s">
        <v>82</v>
      </c>
      <c r="K12" t="s">
        <v>76</v>
      </c>
      <c r="L12" t="s">
        <v>8</v>
      </c>
      <c r="M12" t="s">
        <v>83</v>
      </c>
      <c r="N12" t="s">
        <v>84</v>
      </c>
      <c r="O12" t="s">
        <v>85</v>
      </c>
      <c r="P12">
        <v>231490</v>
      </c>
      <c r="Q12" t="s">
        <v>5</v>
      </c>
      <c r="R12" t="s">
        <v>86</v>
      </c>
      <c r="S12" t="s">
        <v>87</v>
      </c>
      <c r="T12">
        <v>0</v>
      </c>
      <c r="U12">
        <v>0.5</v>
      </c>
      <c r="V12" s="2">
        <v>2.0833333333333332E-2</v>
      </c>
      <c r="W12">
        <v>0</v>
      </c>
      <c r="AA12" t="s">
        <v>88</v>
      </c>
      <c r="AB12" t="s">
        <v>100</v>
      </c>
      <c r="AC12" t="s">
        <v>111</v>
      </c>
      <c r="AD12" t="s">
        <v>90</v>
      </c>
    </row>
    <row r="13" spans="1:31" hidden="1">
      <c r="A13" s="1">
        <v>45386</v>
      </c>
      <c r="B13" t="s">
        <v>93</v>
      </c>
      <c r="C13" t="s">
        <v>75</v>
      </c>
      <c r="D13" t="s">
        <v>76</v>
      </c>
      <c r="E13" t="s">
        <v>91</v>
      </c>
      <c r="F13" t="s">
        <v>78</v>
      </c>
      <c r="G13" t="s">
        <v>79</v>
      </c>
      <c r="H13" t="s">
        <v>80</v>
      </c>
      <c r="I13" t="s">
        <v>81</v>
      </c>
      <c r="J13" t="s">
        <v>82</v>
      </c>
      <c r="K13" t="s">
        <v>76</v>
      </c>
      <c r="L13" t="s">
        <v>8</v>
      </c>
      <c r="M13" t="s">
        <v>83</v>
      </c>
      <c r="N13" t="s">
        <v>84</v>
      </c>
      <c r="O13" t="s">
        <v>85</v>
      </c>
      <c r="P13">
        <v>231333</v>
      </c>
      <c r="Q13" t="s">
        <v>4</v>
      </c>
      <c r="R13" t="s">
        <v>94</v>
      </c>
      <c r="S13" t="s">
        <v>87</v>
      </c>
      <c r="T13">
        <v>90</v>
      </c>
      <c r="U13">
        <v>0.5</v>
      </c>
      <c r="V13" s="2">
        <v>2.0833333333333332E-2</v>
      </c>
      <c r="W13">
        <v>45</v>
      </c>
      <c r="X13">
        <v>59.5</v>
      </c>
      <c r="Y13">
        <v>14.5</v>
      </c>
      <c r="Z13" t="s">
        <v>99</v>
      </c>
      <c r="AA13" t="s">
        <v>88</v>
      </c>
      <c r="AB13" t="s">
        <v>100</v>
      </c>
      <c r="AC13" t="s">
        <v>112</v>
      </c>
      <c r="AD13" t="s">
        <v>90</v>
      </c>
    </row>
    <row r="14" spans="1:31" hidden="1">
      <c r="A14" s="1">
        <v>45386</v>
      </c>
      <c r="B14" t="s">
        <v>8</v>
      </c>
      <c r="C14" t="s">
        <v>75</v>
      </c>
      <c r="D14" t="s">
        <v>76</v>
      </c>
      <c r="E14" t="s">
        <v>77</v>
      </c>
      <c r="F14" t="s">
        <v>78</v>
      </c>
      <c r="G14" t="s">
        <v>79</v>
      </c>
      <c r="H14" t="s">
        <v>80</v>
      </c>
      <c r="I14" t="s">
        <v>81</v>
      </c>
      <c r="J14" t="s">
        <v>82</v>
      </c>
      <c r="K14" t="s">
        <v>76</v>
      </c>
      <c r="L14" t="s">
        <v>8</v>
      </c>
      <c r="M14" t="s">
        <v>83</v>
      </c>
      <c r="N14" t="s">
        <v>84</v>
      </c>
      <c r="O14" t="s">
        <v>85</v>
      </c>
      <c r="P14">
        <v>231546</v>
      </c>
      <c r="Q14" t="s">
        <v>5</v>
      </c>
      <c r="R14" t="s">
        <v>86</v>
      </c>
      <c r="S14" t="s">
        <v>87</v>
      </c>
      <c r="T14">
        <v>0</v>
      </c>
      <c r="U14">
        <v>0.75</v>
      </c>
      <c r="V14" s="2">
        <v>3.125E-2</v>
      </c>
      <c r="W14">
        <v>0</v>
      </c>
      <c r="AA14" t="s">
        <v>88</v>
      </c>
      <c r="AB14" t="s">
        <v>100</v>
      </c>
      <c r="AC14" t="s">
        <v>84</v>
      </c>
      <c r="AD14" t="s">
        <v>90</v>
      </c>
    </row>
    <row r="15" spans="1:31" hidden="1">
      <c r="A15" s="1">
        <v>45387</v>
      </c>
      <c r="B15" t="s">
        <v>14</v>
      </c>
      <c r="C15" t="s">
        <v>75</v>
      </c>
      <c r="D15" t="s">
        <v>76</v>
      </c>
      <c r="E15" t="s">
        <v>77</v>
      </c>
      <c r="F15" t="s">
        <v>78</v>
      </c>
      <c r="G15" t="s">
        <v>79</v>
      </c>
      <c r="H15" t="s">
        <v>80</v>
      </c>
      <c r="I15" t="s">
        <v>81</v>
      </c>
      <c r="J15" t="s">
        <v>82</v>
      </c>
      <c r="K15" t="s">
        <v>76</v>
      </c>
      <c r="L15" t="s">
        <v>8</v>
      </c>
      <c r="M15" t="s">
        <v>83</v>
      </c>
      <c r="N15" t="s">
        <v>84</v>
      </c>
      <c r="O15" t="s">
        <v>85</v>
      </c>
      <c r="P15">
        <v>231672</v>
      </c>
      <c r="Q15" t="s">
        <v>5</v>
      </c>
      <c r="R15" t="s">
        <v>86</v>
      </c>
      <c r="S15" t="s">
        <v>87</v>
      </c>
      <c r="T15">
        <v>0</v>
      </c>
      <c r="U15">
        <v>0.5</v>
      </c>
      <c r="V15" s="2">
        <v>2.0833333333333332E-2</v>
      </c>
      <c r="W15">
        <v>0</v>
      </c>
      <c r="AA15" t="s">
        <v>88</v>
      </c>
      <c r="AB15" t="s">
        <v>100</v>
      </c>
      <c r="AC15" t="s">
        <v>113</v>
      </c>
      <c r="AD15" t="s">
        <v>90</v>
      </c>
    </row>
    <row r="16" spans="1:31" hidden="1">
      <c r="A16" s="1">
        <v>45387</v>
      </c>
      <c r="B16" t="s">
        <v>114</v>
      </c>
      <c r="C16" t="s">
        <v>75</v>
      </c>
      <c r="D16" t="s">
        <v>76</v>
      </c>
      <c r="E16" t="s">
        <v>91</v>
      </c>
      <c r="F16" t="s">
        <v>78</v>
      </c>
      <c r="G16" t="s">
        <v>79</v>
      </c>
      <c r="H16" t="s">
        <v>80</v>
      </c>
      <c r="I16" t="s">
        <v>81</v>
      </c>
      <c r="J16" t="s">
        <v>82</v>
      </c>
      <c r="K16" t="s">
        <v>76</v>
      </c>
      <c r="L16" t="s">
        <v>8</v>
      </c>
      <c r="M16" t="s">
        <v>83</v>
      </c>
      <c r="N16" t="s">
        <v>93</v>
      </c>
      <c r="O16" t="s">
        <v>85</v>
      </c>
      <c r="P16">
        <v>231787</v>
      </c>
      <c r="Q16" t="s">
        <v>5</v>
      </c>
      <c r="R16" t="s">
        <v>86</v>
      </c>
      <c r="S16" t="s">
        <v>87</v>
      </c>
      <c r="T16">
        <v>0</v>
      </c>
      <c r="U16">
        <v>1</v>
      </c>
      <c r="V16" s="2">
        <v>4.1666666666666664E-2</v>
      </c>
      <c r="W16">
        <v>0</v>
      </c>
      <c r="AA16" t="s">
        <v>88</v>
      </c>
      <c r="AB16" t="s">
        <v>100</v>
      </c>
      <c r="AC16" t="s">
        <v>84</v>
      </c>
      <c r="AD16" t="s">
        <v>90</v>
      </c>
    </row>
    <row r="17" spans="1:30" hidden="1">
      <c r="A17" s="1">
        <v>45387</v>
      </c>
      <c r="B17" t="s">
        <v>8</v>
      </c>
      <c r="C17" t="s">
        <v>75</v>
      </c>
      <c r="D17" t="s">
        <v>76</v>
      </c>
      <c r="E17" t="s">
        <v>77</v>
      </c>
      <c r="F17" t="s">
        <v>78</v>
      </c>
      <c r="G17" t="s">
        <v>79</v>
      </c>
      <c r="H17" t="s">
        <v>80</v>
      </c>
      <c r="I17" t="s">
        <v>81</v>
      </c>
      <c r="J17" t="s">
        <v>82</v>
      </c>
      <c r="K17" t="s">
        <v>76</v>
      </c>
      <c r="L17" t="s">
        <v>8</v>
      </c>
      <c r="M17" t="s">
        <v>83</v>
      </c>
      <c r="N17" t="s">
        <v>84</v>
      </c>
      <c r="O17" t="s">
        <v>85</v>
      </c>
      <c r="P17">
        <v>231837</v>
      </c>
      <c r="Q17" t="s">
        <v>5</v>
      </c>
      <c r="R17" t="s">
        <v>86</v>
      </c>
      <c r="S17" t="s">
        <v>87</v>
      </c>
      <c r="T17">
        <v>0</v>
      </c>
      <c r="U17">
        <v>1</v>
      </c>
      <c r="V17" s="2">
        <v>4.1666666666666664E-2</v>
      </c>
      <c r="W17">
        <v>0</v>
      </c>
      <c r="AA17" t="s">
        <v>88</v>
      </c>
      <c r="AB17" t="s">
        <v>100</v>
      </c>
      <c r="AC17" t="s">
        <v>84</v>
      </c>
      <c r="AD17" t="s">
        <v>90</v>
      </c>
    </row>
    <row r="18" spans="1:30" hidden="1">
      <c r="A18" s="1">
        <v>45390</v>
      </c>
      <c r="B18" t="s">
        <v>10</v>
      </c>
      <c r="C18" t="s">
        <v>92</v>
      </c>
      <c r="D18" t="s">
        <v>76</v>
      </c>
      <c r="E18" t="s">
        <v>91</v>
      </c>
      <c r="F18" t="s">
        <v>78</v>
      </c>
      <c r="G18" t="s">
        <v>79</v>
      </c>
      <c r="H18" t="s">
        <v>80</v>
      </c>
      <c r="I18" t="s">
        <v>81</v>
      </c>
      <c r="J18" t="s">
        <v>82</v>
      </c>
      <c r="K18" t="s">
        <v>76</v>
      </c>
      <c r="L18" t="s">
        <v>8</v>
      </c>
      <c r="M18" t="s">
        <v>83</v>
      </c>
      <c r="N18" t="s">
        <v>93</v>
      </c>
      <c r="O18" t="s">
        <v>85</v>
      </c>
      <c r="P18">
        <v>232801</v>
      </c>
      <c r="Q18" t="s">
        <v>4</v>
      </c>
      <c r="R18" t="s">
        <v>94</v>
      </c>
      <c r="S18" t="s">
        <v>87</v>
      </c>
      <c r="T18">
        <v>90</v>
      </c>
      <c r="U18">
        <v>0.5</v>
      </c>
      <c r="V18" s="2">
        <v>2.0833333333333332E-2</v>
      </c>
      <c r="W18">
        <v>45</v>
      </c>
      <c r="X18">
        <v>59.5</v>
      </c>
      <c r="Y18">
        <v>14.5</v>
      </c>
      <c r="Z18" t="s">
        <v>99</v>
      </c>
      <c r="AA18" t="s">
        <v>88</v>
      </c>
      <c r="AB18" t="s">
        <v>100</v>
      </c>
      <c r="AC18" t="s">
        <v>115</v>
      </c>
      <c r="AD18" t="s">
        <v>90</v>
      </c>
    </row>
    <row r="19" spans="1:30" hidden="1">
      <c r="A19" s="1">
        <v>45390</v>
      </c>
      <c r="B19" t="s">
        <v>14</v>
      </c>
      <c r="C19" t="s">
        <v>75</v>
      </c>
      <c r="D19" t="s">
        <v>76</v>
      </c>
      <c r="E19" t="s">
        <v>77</v>
      </c>
      <c r="F19" t="s">
        <v>78</v>
      </c>
      <c r="G19" t="s">
        <v>79</v>
      </c>
      <c r="H19" t="s">
        <v>80</v>
      </c>
      <c r="I19" t="s">
        <v>81</v>
      </c>
      <c r="J19" t="s">
        <v>82</v>
      </c>
      <c r="K19" t="s">
        <v>76</v>
      </c>
      <c r="L19" t="s">
        <v>8</v>
      </c>
      <c r="M19" t="s">
        <v>83</v>
      </c>
      <c r="N19" t="s">
        <v>84</v>
      </c>
      <c r="O19" t="s">
        <v>85</v>
      </c>
      <c r="P19">
        <v>232453</v>
      </c>
      <c r="Q19" t="s">
        <v>5</v>
      </c>
      <c r="R19" t="s">
        <v>86</v>
      </c>
      <c r="S19" t="s">
        <v>87</v>
      </c>
      <c r="T19">
        <v>0</v>
      </c>
      <c r="U19">
        <v>1</v>
      </c>
      <c r="V19" s="2">
        <v>4.1666666666666664E-2</v>
      </c>
      <c r="W19">
        <v>0</v>
      </c>
      <c r="AA19" t="s">
        <v>88</v>
      </c>
      <c r="AB19" t="s">
        <v>100</v>
      </c>
      <c r="AC19" t="s">
        <v>116</v>
      </c>
      <c r="AD19" t="s">
        <v>90</v>
      </c>
    </row>
    <row r="20" spans="1:30" hidden="1">
      <c r="A20" s="1">
        <v>45390</v>
      </c>
      <c r="B20" t="s">
        <v>114</v>
      </c>
      <c r="C20" t="s">
        <v>75</v>
      </c>
      <c r="D20" t="s">
        <v>76</v>
      </c>
      <c r="E20" t="s">
        <v>91</v>
      </c>
      <c r="F20" t="s">
        <v>78</v>
      </c>
      <c r="G20" t="s">
        <v>79</v>
      </c>
      <c r="H20" t="s">
        <v>80</v>
      </c>
      <c r="I20" t="s">
        <v>81</v>
      </c>
      <c r="J20" t="s">
        <v>82</v>
      </c>
      <c r="K20" t="s">
        <v>76</v>
      </c>
      <c r="L20" t="s">
        <v>8</v>
      </c>
      <c r="M20" t="s">
        <v>83</v>
      </c>
      <c r="N20" t="s">
        <v>93</v>
      </c>
      <c r="O20" t="s">
        <v>85</v>
      </c>
      <c r="P20">
        <v>232286</v>
      </c>
      <c r="Q20" t="s">
        <v>4</v>
      </c>
      <c r="R20" t="s">
        <v>94</v>
      </c>
      <c r="S20" t="s">
        <v>87</v>
      </c>
      <c r="T20">
        <v>90</v>
      </c>
      <c r="U20">
        <v>0.5</v>
      </c>
      <c r="V20" s="2">
        <v>2.0833333333333332E-2</v>
      </c>
      <c r="W20">
        <v>45</v>
      </c>
      <c r="X20">
        <v>59.5</v>
      </c>
      <c r="Y20">
        <v>14.5</v>
      </c>
      <c r="Z20" t="s">
        <v>99</v>
      </c>
      <c r="AA20" t="s">
        <v>88</v>
      </c>
      <c r="AB20" t="s">
        <v>100</v>
      </c>
      <c r="AC20" t="s">
        <v>117</v>
      </c>
      <c r="AD20" t="s">
        <v>90</v>
      </c>
    </row>
    <row r="21" spans="1:30" hidden="1">
      <c r="A21" s="1">
        <v>45390</v>
      </c>
      <c r="B21" t="s">
        <v>114</v>
      </c>
      <c r="C21" t="s">
        <v>75</v>
      </c>
      <c r="D21" t="s">
        <v>76</v>
      </c>
      <c r="E21" t="s">
        <v>91</v>
      </c>
      <c r="F21" t="s">
        <v>78</v>
      </c>
      <c r="G21" t="s">
        <v>79</v>
      </c>
      <c r="H21" t="s">
        <v>80</v>
      </c>
      <c r="I21" t="s">
        <v>81</v>
      </c>
      <c r="J21" t="s">
        <v>82</v>
      </c>
      <c r="K21" t="s">
        <v>76</v>
      </c>
      <c r="L21" t="s">
        <v>8</v>
      </c>
      <c r="M21" t="s">
        <v>83</v>
      </c>
      <c r="N21" t="s">
        <v>93</v>
      </c>
      <c r="O21" t="s">
        <v>85</v>
      </c>
      <c r="P21">
        <v>232311</v>
      </c>
      <c r="Q21" t="s">
        <v>5</v>
      </c>
      <c r="R21" t="s">
        <v>86</v>
      </c>
      <c r="S21" t="s">
        <v>87</v>
      </c>
      <c r="T21">
        <v>0</v>
      </c>
      <c r="U21">
        <v>0.5</v>
      </c>
      <c r="V21" s="2">
        <v>2.0833333333333332E-2</v>
      </c>
      <c r="W21">
        <v>0</v>
      </c>
      <c r="AA21" t="s">
        <v>88</v>
      </c>
      <c r="AB21" t="s">
        <v>100</v>
      </c>
      <c r="AC21" t="s">
        <v>118</v>
      </c>
      <c r="AD21" t="s">
        <v>90</v>
      </c>
    </row>
    <row r="22" spans="1:30" hidden="1">
      <c r="A22" s="1">
        <v>45390</v>
      </c>
      <c r="B22" t="s">
        <v>93</v>
      </c>
      <c r="C22" t="s">
        <v>75</v>
      </c>
      <c r="D22" t="s">
        <v>76</v>
      </c>
      <c r="E22" t="s">
        <v>91</v>
      </c>
      <c r="F22" t="s">
        <v>78</v>
      </c>
      <c r="G22" t="s">
        <v>79</v>
      </c>
      <c r="H22" t="s">
        <v>80</v>
      </c>
      <c r="I22" t="s">
        <v>81</v>
      </c>
      <c r="J22" t="s">
        <v>82</v>
      </c>
      <c r="K22" t="s">
        <v>76</v>
      </c>
      <c r="L22" t="s">
        <v>8</v>
      </c>
      <c r="M22" t="s">
        <v>83</v>
      </c>
      <c r="N22" t="s">
        <v>84</v>
      </c>
      <c r="O22" t="s">
        <v>85</v>
      </c>
      <c r="P22">
        <v>232216</v>
      </c>
      <c r="Q22" t="s">
        <v>4</v>
      </c>
      <c r="R22" t="s">
        <v>94</v>
      </c>
      <c r="S22" t="s">
        <v>87</v>
      </c>
      <c r="T22">
        <v>90</v>
      </c>
      <c r="U22">
        <v>0.5</v>
      </c>
      <c r="V22" s="2">
        <v>2.0833333333333332E-2</v>
      </c>
      <c r="W22">
        <v>45</v>
      </c>
      <c r="X22">
        <v>59.5</v>
      </c>
      <c r="Y22">
        <v>14.5</v>
      </c>
      <c r="Z22" t="s">
        <v>99</v>
      </c>
      <c r="AA22" t="s">
        <v>88</v>
      </c>
      <c r="AB22" t="s">
        <v>100</v>
      </c>
      <c r="AC22" t="s">
        <v>119</v>
      </c>
      <c r="AD22" t="s">
        <v>90</v>
      </c>
    </row>
    <row r="23" spans="1:30" hidden="1">
      <c r="A23" s="1">
        <v>45390</v>
      </c>
      <c r="B23" t="s">
        <v>8</v>
      </c>
      <c r="C23" t="s">
        <v>75</v>
      </c>
      <c r="D23" t="s">
        <v>76</v>
      </c>
      <c r="E23" t="s">
        <v>77</v>
      </c>
      <c r="F23" t="s">
        <v>78</v>
      </c>
      <c r="G23" t="s">
        <v>79</v>
      </c>
      <c r="H23" t="s">
        <v>80</v>
      </c>
      <c r="I23" t="s">
        <v>81</v>
      </c>
      <c r="J23" t="s">
        <v>82</v>
      </c>
      <c r="K23" t="s">
        <v>76</v>
      </c>
      <c r="L23" t="s">
        <v>8</v>
      </c>
      <c r="M23" t="s">
        <v>83</v>
      </c>
      <c r="N23" t="s">
        <v>84</v>
      </c>
      <c r="O23" t="s">
        <v>85</v>
      </c>
      <c r="P23">
        <v>232524</v>
      </c>
      <c r="Q23" t="s">
        <v>5</v>
      </c>
      <c r="R23" t="s">
        <v>86</v>
      </c>
      <c r="S23" t="s">
        <v>87</v>
      </c>
      <c r="T23">
        <v>0</v>
      </c>
      <c r="U23">
        <v>0.75</v>
      </c>
      <c r="V23" s="2">
        <v>3.125E-2</v>
      </c>
      <c r="W23">
        <v>0</v>
      </c>
      <c r="AA23" t="s">
        <v>88</v>
      </c>
      <c r="AB23" t="s">
        <v>100</v>
      </c>
      <c r="AC23" t="s">
        <v>84</v>
      </c>
      <c r="AD23" t="s">
        <v>90</v>
      </c>
    </row>
    <row r="24" spans="1:30" hidden="1">
      <c r="A24" s="1">
        <v>45391</v>
      </c>
      <c r="B24" t="s">
        <v>14</v>
      </c>
      <c r="C24" t="s">
        <v>75</v>
      </c>
      <c r="D24" t="s">
        <v>76</v>
      </c>
      <c r="E24" t="s">
        <v>77</v>
      </c>
      <c r="F24" t="s">
        <v>78</v>
      </c>
      <c r="G24" t="s">
        <v>79</v>
      </c>
      <c r="H24" t="s">
        <v>80</v>
      </c>
      <c r="I24" t="s">
        <v>81</v>
      </c>
      <c r="J24" t="s">
        <v>82</v>
      </c>
      <c r="K24" t="s">
        <v>76</v>
      </c>
      <c r="L24" t="s">
        <v>8</v>
      </c>
      <c r="M24" t="s">
        <v>83</v>
      </c>
      <c r="N24" t="s">
        <v>84</v>
      </c>
      <c r="O24" t="s">
        <v>85</v>
      </c>
      <c r="P24">
        <v>233077</v>
      </c>
      <c r="Q24" t="s">
        <v>5</v>
      </c>
      <c r="R24" t="s">
        <v>86</v>
      </c>
      <c r="S24" t="s">
        <v>87</v>
      </c>
      <c r="T24">
        <v>0</v>
      </c>
      <c r="U24">
        <v>0.25</v>
      </c>
      <c r="V24" s="2">
        <v>1.0416666666666666E-2</v>
      </c>
      <c r="W24">
        <v>0</v>
      </c>
      <c r="AA24" t="s">
        <v>88</v>
      </c>
      <c r="AB24" t="s">
        <v>100</v>
      </c>
      <c r="AC24" t="s">
        <v>120</v>
      </c>
      <c r="AD24" t="s">
        <v>90</v>
      </c>
    </row>
    <row r="25" spans="1:30" hidden="1">
      <c r="A25" s="1">
        <v>45391</v>
      </c>
      <c r="B25" t="s">
        <v>114</v>
      </c>
      <c r="C25" t="s">
        <v>75</v>
      </c>
      <c r="D25" t="s">
        <v>76</v>
      </c>
      <c r="E25" t="s">
        <v>91</v>
      </c>
      <c r="F25" t="s">
        <v>78</v>
      </c>
      <c r="G25" t="s">
        <v>79</v>
      </c>
      <c r="H25" t="s">
        <v>80</v>
      </c>
      <c r="I25" t="s">
        <v>81</v>
      </c>
      <c r="J25" t="s">
        <v>82</v>
      </c>
      <c r="K25" t="s">
        <v>76</v>
      </c>
      <c r="L25" t="s">
        <v>8</v>
      </c>
      <c r="M25" t="s">
        <v>83</v>
      </c>
      <c r="N25" t="s">
        <v>93</v>
      </c>
      <c r="O25" t="s">
        <v>85</v>
      </c>
      <c r="P25">
        <v>232949</v>
      </c>
      <c r="Q25" t="s">
        <v>4</v>
      </c>
      <c r="R25" t="s">
        <v>94</v>
      </c>
      <c r="S25" t="s">
        <v>87</v>
      </c>
      <c r="T25">
        <v>90</v>
      </c>
      <c r="U25">
        <v>1</v>
      </c>
      <c r="V25" s="2">
        <v>4.1666666666666664E-2</v>
      </c>
      <c r="W25">
        <v>90</v>
      </c>
      <c r="X25">
        <v>119.01</v>
      </c>
      <c r="Y25">
        <v>29.01</v>
      </c>
      <c r="Z25" t="s">
        <v>99</v>
      </c>
      <c r="AA25" t="s">
        <v>88</v>
      </c>
      <c r="AB25" t="s">
        <v>100</v>
      </c>
      <c r="AC25" t="s">
        <v>121</v>
      </c>
      <c r="AD25" t="s">
        <v>90</v>
      </c>
    </row>
    <row r="26" spans="1:30" hidden="1">
      <c r="A26" s="1">
        <v>45391</v>
      </c>
      <c r="B26" t="s">
        <v>93</v>
      </c>
      <c r="C26" t="s">
        <v>75</v>
      </c>
      <c r="D26" t="s">
        <v>76</v>
      </c>
      <c r="E26" t="s">
        <v>91</v>
      </c>
      <c r="F26" t="s">
        <v>78</v>
      </c>
      <c r="G26" t="s">
        <v>79</v>
      </c>
      <c r="H26" t="s">
        <v>80</v>
      </c>
      <c r="I26" t="s">
        <v>81</v>
      </c>
      <c r="J26" t="s">
        <v>82</v>
      </c>
      <c r="K26" t="s">
        <v>76</v>
      </c>
      <c r="L26" t="s">
        <v>8</v>
      </c>
      <c r="M26" t="s">
        <v>83</v>
      </c>
      <c r="N26" t="s">
        <v>84</v>
      </c>
      <c r="O26" t="s">
        <v>85</v>
      </c>
      <c r="P26">
        <v>232898</v>
      </c>
      <c r="Q26" t="s">
        <v>4</v>
      </c>
      <c r="R26" t="s">
        <v>94</v>
      </c>
      <c r="S26" t="s">
        <v>87</v>
      </c>
      <c r="T26">
        <v>90</v>
      </c>
      <c r="U26">
        <v>0.5</v>
      </c>
      <c r="V26" s="2">
        <v>2.0833333333333332E-2</v>
      </c>
      <c r="W26">
        <v>45</v>
      </c>
      <c r="X26">
        <v>59.5</v>
      </c>
      <c r="Y26">
        <v>14.5</v>
      </c>
      <c r="Z26" t="s">
        <v>99</v>
      </c>
      <c r="AA26" t="s">
        <v>88</v>
      </c>
      <c r="AB26" t="s">
        <v>100</v>
      </c>
      <c r="AC26" t="s">
        <v>122</v>
      </c>
      <c r="AD26" t="s">
        <v>90</v>
      </c>
    </row>
    <row r="27" spans="1:30" hidden="1">
      <c r="A27" s="1">
        <v>45391</v>
      </c>
      <c r="B27" t="s">
        <v>8</v>
      </c>
      <c r="C27" t="s">
        <v>75</v>
      </c>
      <c r="D27" t="s">
        <v>76</v>
      </c>
      <c r="E27" t="s">
        <v>77</v>
      </c>
      <c r="F27" t="s">
        <v>78</v>
      </c>
      <c r="G27" t="s">
        <v>79</v>
      </c>
      <c r="H27" t="s">
        <v>80</v>
      </c>
      <c r="I27" t="s">
        <v>81</v>
      </c>
      <c r="J27" t="s">
        <v>82</v>
      </c>
      <c r="K27" t="s">
        <v>76</v>
      </c>
      <c r="L27" t="s">
        <v>8</v>
      </c>
      <c r="M27" t="s">
        <v>83</v>
      </c>
      <c r="N27" t="s">
        <v>84</v>
      </c>
      <c r="O27" t="s">
        <v>85</v>
      </c>
      <c r="P27">
        <v>233122</v>
      </c>
      <c r="Q27" t="s">
        <v>5</v>
      </c>
      <c r="R27" t="s">
        <v>86</v>
      </c>
      <c r="S27" t="s">
        <v>87</v>
      </c>
      <c r="T27">
        <v>0</v>
      </c>
      <c r="U27">
        <v>0.75</v>
      </c>
      <c r="V27" s="2">
        <v>3.125E-2</v>
      </c>
      <c r="W27">
        <v>0</v>
      </c>
      <c r="AA27" t="s">
        <v>88</v>
      </c>
      <c r="AB27" t="s">
        <v>100</v>
      </c>
      <c r="AC27" t="s">
        <v>84</v>
      </c>
      <c r="AD27" t="s">
        <v>90</v>
      </c>
    </row>
    <row r="28" spans="1:30" hidden="1">
      <c r="A28" s="1">
        <v>45392</v>
      </c>
      <c r="B28" t="s">
        <v>114</v>
      </c>
      <c r="C28" t="s">
        <v>75</v>
      </c>
      <c r="D28" t="s">
        <v>76</v>
      </c>
      <c r="E28" t="s">
        <v>91</v>
      </c>
      <c r="F28" t="s">
        <v>78</v>
      </c>
      <c r="G28" t="s">
        <v>79</v>
      </c>
      <c r="H28" t="s">
        <v>80</v>
      </c>
      <c r="I28" t="s">
        <v>81</v>
      </c>
      <c r="J28" t="s">
        <v>82</v>
      </c>
      <c r="K28" t="s">
        <v>76</v>
      </c>
      <c r="L28" t="s">
        <v>8</v>
      </c>
      <c r="M28" t="s">
        <v>83</v>
      </c>
      <c r="N28" t="s">
        <v>93</v>
      </c>
      <c r="O28" t="s">
        <v>85</v>
      </c>
      <c r="P28">
        <v>233353</v>
      </c>
      <c r="Q28" t="s">
        <v>4</v>
      </c>
      <c r="R28" t="s">
        <v>94</v>
      </c>
      <c r="S28" t="s">
        <v>87</v>
      </c>
      <c r="T28">
        <v>90</v>
      </c>
      <c r="U28">
        <v>1</v>
      </c>
      <c r="V28" s="2">
        <v>4.1666666666666664E-2</v>
      </c>
      <c r="W28">
        <v>90</v>
      </c>
      <c r="X28">
        <v>119.01</v>
      </c>
      <c r="Y28">
        <v>29.01</v>
      </c>
      <c r="Z28" t="s">
        <v>99</v>
      </c>
      <c r="AA28" t="s">
        <v>88</v>
      </c>
      <c r="AB28" t="s">
        <v>100</v>
      </c>
      <c r="AC28" t="s">
        <v>123</v>
      </c>
      <c r="AD28" t="s">
        <v>90</v>
      </c>
    </row>
    <row r="29" spans="1:30" hidden="1">
      <c r="A29" s="1">
        <v>45392</v>
      </c>
      <c r="B29" t="s">
        <v>8</v>
      </c>
      <c r="C29" t="s">
        <v>75</v>
      </c>
      <c r="D29" t="s">
        <v>76</v>
      </c>
      <c r="E29" t="s">
        <v>77</v>
      </c>
      <c r="F29" t="s">
        <v>78</v>
      </c>
      <c r="G29" t="s">
        <v>79</v>
      </c>
      <c r="H29" t="s">
        <v>80</v>
      </c>
      <c r="I29" t="s">
        <v>81</v>
      </c>
      <c r="J29" t="s">
        <v>82</v>
      </c>
      <c r="K29" t="s">
        <v>76</v>
      </c>
      <c r="L29" t="s">
        <v>8</v>
      </c>
      <c r="M29" t="s">
        <v>83</v>
      </c>
      <c r="N29" t="s">
        <v>84</v>
      </c>
      <c r="O29" t="s">
        <v>85</v>
      </c>
      <c r="P29">
        <v>233821</v>
      </c>
      <c r="Q29" t="s">
        <v>5</v>
      </c>
      <c r="R29" t="s">
        <v>86</v>
      </c>
      <c r="S29" t="s">
        <v>87</v>
      </c>
      <c r="T29">
        <v>0</v>
      </c>
      <c r="U29">
        <v>1</v>
      </c>
      <c r="V29" s="2">
        <v>4.1666666666666664E-2</v>
      </c>
      <c r="W29">
        <v>0</v>
      </c>
      <c r="AA29" t="s">
        <v>88</v>
      </c>
      <c r="AB29" t="s">
        <v>100</v>
      </c>
      <c r="AC29" t="s">
        <v>84</v>
      </c>
      <c r="AD29" t="s">
        <v>90</v>
      </c>
    </row>
    <row r="30" spans="1:30" hidden="1">
      <c r="A30" s="1">
        <v>45393</v>
      </c>
      <c r="B30" t="s">
        <v>14</v>
      </c>
      <c r="C30" t="s">
        <v>75</v>
      </c>
      <c r="D30" t="s">
        <v>76</v>
      </c>
      <c r="E30" t="s">
        <v>77</v>
      </c>
      <c r="F30" t="s">
        <v>78</v>
      </c>
      <c r="G30" t="s">
        <v>79</v>
      </c>
      <c r="H30" t="s">
        <v>80</v>
      </c>
      <c r="I30" t="s">
        <v>81</v>
      </c>
      <c r="J30" t="s">
        <v>82</v>
      </c>
      <c r="K30" t="s">
        <v>76</v>
      </c>
      <c r="L30" t="s">
        <v>8</v>
      </c>
      <c r="M30" t="s">
        <v>83</v>
      </c>
      <c r="N30" t="s">
        <v>84</v>
      </c>
      <c r="O30" t="s">
        <v>85</v>
      </c>
      <c r="P30">
        <v>234192</v>
      </c>
      <c r="Q30" t="s">
        <v>5</v>
      </c>
      <c r="R30" t="s">
        <v>86</v>
      </c>
      <c r="S30" t="s">
        <v>87</v>
      </c>
      <c r="T30">
        <v>0</v>
      </c>
      <c r="U30">
        <v>0.25</v>
      </c>
      <c r="V30" s="2">
        <v>1.0416666666666666E-2</v>
      </c>
      <c r="W30">
        <v>0</v>
      </c>
      <c r="AA30" t="s">
        <v>88</v>
      </c>
      <c r="AB30" t="s">
        <v>100</v>
      </c>
      <c r="AC30" t="s">
        <v>124</v>
      </c>
      <c r="AD30" t="s">
        <v>90</v>
      </c>
    </row>
    <row r="31" spans="1:30" hidden="1">
      <c r="A31" s="1">
        <v>45393</v>
      </c>
      <c r="B31" t="s">
        <v>114</v>
      </c>
      <c r="C31" t="s">
        <v>75</v>
      </c>
      <c r="D31" t="s">
        <v>76</v>
      </c>
      <c r="E31" t="s">
        <v>91</v>
      </c>
      <c r="F31" t="s">
        <v>78</v>
      </c>
      <c r="G31" t="s">
        <v>79</v>
      </c>
      <c r="H31" t="s">
        <v>80</v>
      </c>
      <c r="I31" t="s">
        <v>81</v>
      </c>
      <c r="J31" t="s">
        <v>82</v>
      </c>
      <c r="K31" t="s">
        <v>76</v>
      </c>
      <c r="L31" t="s">
        <v>8</v>
      </c>
      <c r="M31" t="s">
        <v>83</v>
      </c>
      <c r="N31" t="s">
        <v>93</v>
      </c>
      <c r="O31" t="s">
        <v>85</v>
      </c>
      <c r="P31">
        <v>233858</v>
      </c>
      <c r="Q31" t="s">
        <v>4</v>
      </c>
      <c r="R31" t="s">
        <v>94</v>
      </c>
      <c r="S31" t="s">
        <v>87</v>
      </c>
      <c r="T31">
        <v>90</v>
      </c>
      <c r="U31">
        <v>0.5</v>
      </c>
      <c r="V31" s="2">
        <v>2.0833333333333332E-2</v>
      </c>
      <c r="W31">
        <v>45</v>
      </c>
      <c r="X31">
        <v>59.5</v>
      </c>
      <c r="Y31">
        <v>14.5</v>
      </c>
      <c r="Z31" t="s">
        <v>99</v>
      </c>
      <c r="AA31" t="s">
        <v>88</v>
      </c>
      <c r="AB31" t="s">
        <v>100</v>
      </c>
      <c r="AC31" t="s">
        <v>125</v>
      </c>
      <c r="AD31" t="s">
        <v>90</v>
      </c>
    </row>
    <row r="32" spans="1:30" hidden="1">
      <c r="A32" s="1">
        <v>45393</v>
      </c>
      <c r="B32" t="s">
        <v>114</v>
      </c>
      <c r="C32" t="s">
        <v>75</v>
      </c>
      <c r="D32" t="s">
        <v>76</v>
      </c>
      <c r="E32" t="s">
        <v>91</v>
      </c>
      <c r="F32" t="s">
        <v>78</v>
      </c>
      <c r="G32" t="s">
        <v>79</v>
      </c>
      <c r="H32" t="s">
        <v>80</v>
      </c>
      <c r="I32" t="s">
        <v>81</v>
      </c>
      <c r="J32" t="s">
        <v>82</v>
      </c>
      <c r="K32" t="s">
        <v>76</v>
      </c>
      <c r="L32" t="s">
        <v>8</v>
      </c>
      <c r="M32" t="s">
        <v>83</v>
      </c>
      <c r="N32" t="s">
        <v>93</v>
      </c>
      <c r="O32" t="s">
        <v>85</v>
      </c>
      <c r="P32">
        <v>234332</v>
      </c>
      <c r="Q32" t="s">
        <v>5</v>
      </c>
      <c r="R32" t="s">
        <v>86</v>
      </c>
      <c r="S32" t="s">
        <v>87</v>
      </c>
      <c r="T32">
        <v>0</v>
      </c>
      <c r="U32">
        <v>0.5</v>
      </c>
      <c r="V32" s="2">
        <v>2.0833333333333332E-2</v>
      </c>
      <c r="W32">
        <v>0</v>
      </c>
      <c r="AA32" t="s">
        <v>88</v>
      </c>
      <c r="AB32" t="s">
        <v>100</v>
      </c>
      <c r="AC32" t="s">
        <v>126</v>
      </c>
      <c r="AD32" t="s">
        <v>90</v>
      </c>
    </row>
    <row r="33" spans="1:30" hidden="1">
      <c r="A33" s="1">
        <v>45393</v>
      </c>
      <c r="B33" t="s">
        <v>8</v>
      </c>
      <c r="C33" t="s">
        <v>75</v>
      </c>
      <c r="D33" t="s">
        <v>76</v>
      </c>
      <c r="E33" t="s">
        <v>77</v>
      </c>
      <c r="F33" t="s">
        <v>78</v>
      </c>
      <c r="G33" t="s">
        <v>79</v>
      </c>
      <c r="H33" t="s">
        <v>80</v>
      </c>
      <c r="I33" t="s">
        <v>81</v>
      </c>
      <c r="J33" t="s">
        <v>82</v>
      </c>
      <c r="K33" t="s">
        <v>76</v>
      </c>
      <c r="L33" t="s">
        <v>8</v>
      </c>
      <c r="M33" t="s">
        <v>83</v>
      </c>
      <c r="N33" t="s">
        <v>84</v>
      </c>
      <c r="O33" t="s">
        <v>85</v>
      </c>
      <c r="P33">
        <v>234263</v>
      </c>
      <c r="Q33" t="s">
        <v>5</v>
      </c>
      <c r="R33" t="s">
        <v>86</v>
      </c>
      <c r="S33" t="s">
        <v>87</v>
      </c>
      <c r="T33">
        <v>0</v>
      </c>
      <c r="U33">
        <v>1</v>
      </c>
      <c r="V33" s="2">
        <v>4.1666666666666664E-2</v>
      </c>
      <c r="W33">
        <v>0</v>
      </c>
      <c r="AA33" t="s">
        <v>88</v>
      </c>
      <c r="AB33" t="s">
        <v>100</v>
      </c>
      <c r="AC33" t="s">
        <v>84</v>
      </c>
      <c r="AD33" t="s">
        <v>90</v>
      </c>
    </row>
    <row r="34" spans="1:30" hidden="1">
      <c r="A34" s="1">
        <v>45394</v>
      </c>
      <c r="B34" t="s">
        <v>14</v>
      </c>
      <c r="C34" t="s">
        <v>75</v>
      </c>
      <c r="D34" t="s">
        <v>76</v>
      </c>
      <c r="E34" t="s">
        <v>77</v>
      </c>
      <c r="F34" t="s">
        <v>78</v>
      </c>
      <c r="G34" t="s">
        <v>79</v>
      </c>
      <c r="H34" t="s">
        <v>80</v>
      </c>
      <c r="I34" t="s">
        <v>81</v>
      </c>
      <c r="J34" t="s">
        <v>82</v>
      </c>
      <c r="K34" t="s">
        <v>76</v>
      </c>
      <c r="L34" t="s">
        <v>8</v>
      </c>
      <c r="M34" t="s">
        <v>83</v>
      </c>
      <c r="N34" t="s">
        <v>84</v>
      </c>
      <c r="O34" t="s">
        <v>85</v>
      </c>
      <c r="P34">
        <v>234548</v>
      </c>
      <c r="Q34" t="s">
        <v>5</v>
      </c>
      <c r="R34" t="s">
        <v>86</v>
      </c>
      <c r="S34" t="s">
        <v>87</v>
      </c>
      <c r="T34">
        <v>0</v>
      </c>
      <c r="U34">
        <v>1</v>
      </c>
      <c r="V34" s="2">
        <v>4.1666666666666664E-2</v>
      </c>
      <c r="W34">
        <v>0</v>
      </c>
      <c r="AA34" t="s">
        <v>88</v>
      </c>
      <c r="AB34" t="s">
        <v>100</v>
      </c>
      <c r="AC34" t="s">
        <v>127</v>
      </c>
      <c r="AD34" t="s">
        <v>90</v>
      </c>
    </row>
    <row r="35" spans="1:30" hidden="1">
      <c r="A35" s="1">
        <v>45394</v>
      </c>
      <c r="B35" t="s">
        <v>8</v>
      </c>
      <c r="C35" t="s">
        <v>75</v>
      </c>
      <c r="D35" t="s">
        <v>76</v>
      </c>
      <c r="E35" t="s">
        <v>77</v>
      </c>
      <c r="F35" t="s">
        <v>78</v>
      </c>
      <c r="G35" t="s">
        <v>79</v>
      </c>
      <c r="H35" t="s">
        <v>80</v>
      </c>
      <c r="I35" t="s">
        <v>81</v>
      </c>
      <c r="J35" t="s">
        <v>82</v>
      </c>
      <c r="K35" t="s">
        <v>76</v>
      </c>
      <c r="L35" t="s">
        <v>8</v>
      </c>
      <c r="M35" t="s">
        <v>83</v>
      </c>
      <c r="N35" t="s">
        <v>84</v>
      </c>
      <c r="O35" t="s">
        <v>85</v>
      </c>
      <c r="P35">
        <v>234430</v>
      </c>
      <c r="Q35" t="s">
        <v>5</v>
      </c>
      <c r="R35" t="s">
        <v>86</v>
      </c>
      <c r="S35" t="s">
        <v>87</v>
      </c>
      <c r="T35">
        <v>0</v>
      </c>
      <c r="U35">
        <v>0.75</v>
      </c>
      <c r="V35" s="2">
        <v>3.125E-2</v>
      </c>
      <c r="W35">
        <v>0</v>
      </c>
      <c r="AA35" t="s">
        <v>88</v>
      </c>
      <c r="AB35" t="s">
        <v>100</v>
      </c>
      <c r="AC35" t="s">
        <v>84</v>
      </c>
      <c r="AD35" t="s">
        <v>90</v>
      </c>
    </row>
    <row r="36" spans="1:30" hidden="1">
      <c r="A36" s="1">
        <v>45397</v>
      </c>
      <c r="B36" t="s">
        <v>14</v>
      </c>
      <c r="C36" t="s">
        <v>75</v>
      </c>
      <c r="D36" t="s">
        <v>76</v>
      </c>
      <c r="E36" t="s">
        <v>77</v>
      </c>
      <c r="F36" t="s">
        <v>78</v>
      </c>
      <c r="G36" t="s">
        <v>79</v>
      </c>
      <c r="H36" t="s">
        <v>80</v>
      </c>
      <c r="I36" t="s">
        <v>81</v>
      </c>
      <c r="J36" t="s">
        <v>82</v>
      </c>
      <c r="K36" t="s">
        <v>76</v>
      </c>
      <c r="L36" t="s">
        <v>8</v>
      </c>
      <c r="M36" t="s">
        <v>83</v>
      </c>
      <c r="N36" t="s">
        <v>84</v>
      </c>
      <c r="O36" t="s">
        <v>85</v>
      </c>
      <c r="P36">
        <v>235384</v>
      </c>
      <c r="Q36" t="s">
        <v>5</v>
      </c>
      <c r="R36" t="s">
        <v>86</v>
      </c>
      <c r="S36" t="s">
        <v>87</v>
      </c>
      <c r="T36">
        <v>0</v>
      </c>
      <c r="U36">
        <v>0.25</v>
      </c>
      <c r="V36" s="2">
        <v>1.0416666666666666E-2</v>
      </c>
      <c r="W36">
        <v>0</v>
      </c>
      <c r="AA36" t="s">
        <v>88</v>
      </c>
      <c r="AB36" t="s">
        <v>100</v>
      </c>
      <c r="AC36" t="s">
        <v>96</v>
      </c>
      <c r="AD36" t="s">
        <v>90</v>
      </c>
    </row>
    <row r="37" spans="1:30" hidden="1">
      <c r="A37" s="1">
        <v>45397</v>
      </c>
      <c r="B37" t="s">
        <v>114</v>
      </c>
      <c r="C37" t="s">
        <v>75</v>
      </c>
      <c r="D37" t="s">
        <v>76</v>
      </c>
      <c r="E37" t="s">
        <v>91</v>
      </c>
      <c r="F37" t="s">
        <v>78</v>
      </c>
      <c r="G37" t="s">
        <v>79</v>
      </c>
      <c r="H37" t="s">
        <v>80</v>
      </c>
      <c r="I37" t="s">
        <v>81</v>
      </c>
      <c r="J37" t="s">
        <v>82</v>
      </c>
      <c r="K37" t="s">
        <v>76</v>
      </c>
      <c r="L37" t="s">
        <v>8</v>
      </c>
      <c r="M37" t="s">
        <v>83</v>
      </c>
      <c r="N37" t="s">
        <v>93</v>
      </c>
      <c r="O37" t="s">
        <v>85</v>
      </c>
      <c r="P37">
        <v>235144</v>
      </c>
      <c r="Q37" t="s">
        <v>4</v>
      </c>
      <c r="R37" t="s">
        <v>94</v>
      </c>
      <c r="S37" t="s">
        <v>87</v>
      </c>
      <c r="T37">
        <v>90</v>
      </c>
      <c r="U37">
        <v>2</v>
      </c>
      <c r="V37" s="2">
        <v>8.3333333333333329E-2</v>
      </c>
      <c r="W37">
        <v>180</v>
      </c>
      <c r="X37">
        <v>238.02</v>
      </c>
      <c r="Y37">
        <v>58.02</v>
      </c>
      <c r="Z37" t="s">
        <v>99</v>
      </c>
      <c r="AA37" t="s">
        <v>88</v>
      </c>
      <c r="AB37" t="s">
        <v>100</v>
      </c>
      <c r="AC37" t="s">
        <v>128</v>
      </c>
      <c r="AD37" t="s">
        <v>90</v>
      </c>
    </row>
    <row r="38" spans="1:30" hidden="1">
      <c r="A38" s="1">
        <v>45397</v>
      </c>
      <c r="B38" t="s">
        <v>114</v>
      </c>
      <c r="C38" t="s">
        <v>75</v>
      </c>
      <c r="D38" t="s">
        <v>76</v>
      </c>
      <c r="E38" t="s">
        <v>91</v>
      </c>
      <c r="F38" t="s">
        <v>78</v>
      </c>
      <c r="G38" t="s">
        <v>79</v>
      </c>
      <c r="H38" t="s">
        <v>80</v>
      </c>
      <c r="I38" t="s">
        <v>81</v>
      </c>
      <c r="J38" t="s">
        <v>82</v>
      </c>
      <c r="K38" t="s">
        <v>76</v>
      </c>
      <c r="L38" t="s">
        <v>8</v>
      </c>
      <c r="M38" t="s">
        <v>83</v>
      </c>
      <c r="N38" t="s">
        <v>93</v>
      </c>
      <c r="O38" t="s">
        <v>85</v>
      </c>
      <c r="P38">
        <v>235145</v>
      </c>
      <c r="Q38" t="s">
        <v>5</v>
      </c>
      <c r="R38" t="s">
        <v>86</v>
      </c>
      <c r="S38" t="s">
        <v>87</v>
      </c>
      <c r="T38">
        <v>0</v>
      </c>
      <c r="U38">
        <v>1.5</v>
      </c>
      <c r="V38" s="2">
        <v>6.25E-2</v>
      </c>
      <c r="W38">
        <v>0</v>
      </c>
      <c r="AA38" t="s">
        <v>88</v>
      </c>
      <c r="AB38" t="s">
        <v>100</v>
      </c>
      <c r="AC38" t="s">
        <v>121</v>
      </c>
      <c r="AD38" t="s">
        <v>90</v>
      </c>
    </row>
    <row r="39" spans="1:30" hidden="1">
      <c r="A39" s="1">
        <v>45397</v>
      </c>
      <c r="B39" t="s">
        <v>8</v>
      </c>
      <c r="C39" t="s">
        <v>75</v>
      </c>
      <c r="D39" t="s">
        <v>76</v>
      </c>
      <c r="E39" t="s">
        <v>77</v>
      </c>
      <c r="F39" t="s">
        <v>78</v>
      </c>
      <c r="G39" t="s">
        <v>79</v>
      </c>
      <c r="H39" t="s">
        <v>80</v>
      </c>
      <c r="I39" t="s">
        <v>81</v>
      </c>
      <c r="J39" t="s">
        <v>82</v>
      </c>
      <c r="K39" t="s">
        <v>76</v>
      </c>
      <c r="L39" t="s">
        <v>8</v>
      </c>
      <c r="M39" t="s">
        <v>83</v>
      </c>
      <c r="N39" t="s">
        <v>84</v>
      </c>
      <c r="O39" t="s">
        <v>85</v>
      </c>
      <c r="P39">
        <v>235324</v>
      </c>
      <c r="Q39" t="s">
        <v>5</v>
      </c>
      <c r="R39" t="s">
        <v>86</v>
      </c>
      <c r="S39" t="s">
        <v>87</v>
      </c>
      <c r="T39">
        <v>0</v>
      </c>
      <c r="U39">
        <v>1</v>
      </c>
      <c r="V39" s="2">
        <v>4.1666666666666664E-2</v>
      </c>
      <c r="W39">
        <v>0</v>
      </c>
      <c r="AA39" t="s">
        <v>88</v>
      </c>
      <c r="AB39" t="s">
        <v>100</v>
      </c>
      <c r="AC39" t="s">
        <v>84</v>
      </c>
      <c r="AD39" t="s">
        <v>90</v>
      </c>
    </row>
    <row r="40" spans="1:30" hidden="1">
      <c r="A40" s="1">
        <v>45398</v>
      </c>
      <c r="B40" t="s">
        <v>14</v>
      </c>
      <c r="C40" t="s">
        <v>75</v>
      </c>
      <c r="D40" t="s">
        <v>76</v>
      </c>
      <c r="E40" t="s">
        <v>77</v>
      </c>
      <c r="F40" t="s">
        <v>78</v>
      </c>
      <c r="G40" t="s">
        <v>79</v>
      </c>
      <c r="H40" t="s">
        <v>80</v>
      </c>
      <c r="I40" t="s">
        <v>81</v>
      </c>
      <c r="J40" t="s">
        <v>82</v>
      </c>
      <c r="K40" t="s">
        <v>76</v>
      </c>
      <c r="L40" t="s">
        <v>8</v>
      </c>
      <c r="M40" t="s">
        <v>83</v>
      </c>
      <c r="N40" t="s">
        <v>84</v>
      </c>
      <c r="O40" t="s">
        <v>85</v>
      </c>
      <c r="P40">
        <v>235864</v>
      </c>
      <c r="Q40" t="s">
        <v>5</v>
      </c>
      <c r="R40" t="s">
        <v>86</v>
      </c>
      <c r="S40" t="s">
        <v>87</v>
      </c>
      <c r="T40">
        <v>0</v>
      </c>
      <c r="U40">
        <v>0.5</v>
      </c>
      <c r="V40" s="2">
        <v>2.0833333333333332E-2</v>
      </c>
      <c r="W40">
        <v>0</v>
      </c>
      <c r="AA40" t="s">
        <v>88</v>
      </c>
      <c r="AB40" t="s">
        <v>100</v>
      </c>
      <c r="AC40" t="s">
        <v>129</v>
      </c>
      <c r="AD40" t="s">
        <v>90</v>
      </c>
    </row>
    <row r="41" spans="1:30" hidden="1">
      <c r="A41" s="1">
        <v>45398</v>
      </c>
      <c r="B41" t="s">
        <v>114</v>
      </c>
      <c r="C41" t="s">
        <v>75</v>
      </c>
      <c r="D41" t="s">
        <v>76</v>
      </c>
      <c r="E41" t="s">
        <v>91</v>
      </c>
      <c r="F41" t="s">
        <v>78</v>
      </c>
      <c r="G41" t="s">
        <v>79</v>
      </c>
      <c r="H41" t="s">
        <v>80</v>
      </c>
      <c r="I41" t="s">
        <v>81</v>
      </c>
      <c r="J41" t="s">
        <v>82</v>
      </c>
      <c r="K41" t="s">
        <v>76</v>
      </c>
      <c r="L41" t="s">
        <v>8</v>
      </c>
      <c r="M41" t="s">
        <v>83</v>
      </c>
      <c r="N41" t="s">
        <v>93</v>
      </c>
      <c r="O41" t="s">
        <v>85</v>
      </c>
      <c r="P41">
        <v>235698</v>
      </c>
      <c r="Q41" t="s">
        <v>4</v>
      </c>
      <c r="R41" t="s">
        <v>94</v>
      </c>
      <c r="S41" t="s">
        <v>87</v>
      </c>
      <c r="T41">
        <v>90</v>
      </c>
      <c r="U41">
        <v>1.75</v>
      </c>
      <c r="V41" s="2">
        <v>7.2916666666666671E-2</v>
      </c>
      <c r="W41">
        <v>157.5</v>
      </c>
      <c r="X41">
        <v>208.26</v>
      </c>
      <c r="Y41">
        <v>50.76</v>
      </c>
      <c r="Z41" t="s">
        <v>99</v>
      </c>
      <c r="AA41" t="s">
        <v>88</v>
      </c>
      <c r="AB41" t="s">
        <v>100</v>
      </c>
      <c r="AC41" t="s">
        <v>130</v>
      </c>
      <c r="AD41" t="s">
        <v>90</v>
      </c>
    </row>
    <row r="42" spans="1:30" hidden="1">
      <c r="A42" s="1">
        <v>45398</v>
      </c>
      <c r="B42" t="s">
        <v>114</v>
      </c>
      <c r="C42" t="s">
        <v>75</v>
      </c>
      <c r="D42" t="s">
        <v>76</v>
      </c>
      <c r="E42" t="s">
        <v>91</v>
      </c>
      <c r="F42" t="s">
        <v>78</v>
      </c>
      <c r="G42" t="s">
        <v>79</v>
      </c>
      <c r="H42" t="s">
        <v>80</v>
      </c>
      <c r="I42" t="s">
        <v>81</v>
      </c>
      <c r="J42" t="s">
        <v>82</v>
      </c>
      <c r="K42" t="s">
        <v>76</v>
      </c>
      <c r="L42" t="s">
        <v>8</v>
      </c>
      <c r="M42" t="s">
        <v>83</v>
      </c>
      <c r="N42" t="s">
        <v>93</v>
      </c>
      <c r="O42" t="s">
        <v>85</v>
      </c>
      <c r="P42">
        <v>235696</v>
      </c>
      <c r="Q42" t="s">
        <v>5</v>
      </c>
      <c r="R42" t="s">
        <v>86</v>
      </c>
      <c r="S42" t="s">
        <v>87</v>
      </c>
      <c r="T42">
        <v>0</v>
      </c>
      <c r="U42">
        <v>3</v>
      </c>
      <c r="V42" s="2">
        <v>0.125</v>
      </c>
      <c r="W42">
        <v>0</v>
      </c>
      <c r="AA42" t="s">
        <v>88</v>
      </c>
      <c r="AB42" t="s">
        <v>100</v>
      </c>
      <c r="AC42" t="e">
        <f ca="1">- _xludf.Call with Sachin to investigate previous _xludf.error fix - Stand up - Signl4 Grainger support mailbox alert options</f>
        <v>#NAME?</v>
      </c>
      <c r="AD42" t="s">
        <v>90</v>
      </c>
    </row>
    <row r="43" spans="1:30" hidden="1">
      <c r="A43" s="1">
        <v>45398</v>
      </c>
      <c r="B43" t="s">
        <v>8</v>
      </c>
      <c r="C43" t="s">
        <v>75</v>
      </c>
      <c r="D43" t="s">
        <v>76</v>
      </c>
      <c r="E43" t="s">
        <v>77</v>
      </c>
      <c r="F43" t="s">
        <v>78</v>
      </c>
      <c r="G43" t="s">
        <v>79</v>
      </c>
      <c r="H43" t="s">
        <v>80</v>
      </c>
      <c r="I43" t="s">
        <v>81</v>
      </c>
      <c r="J43" t="s">
        <v>82</v>
      </c>
      <c r="K43" t="s">
        <v>76</v>
      </c>
      <c r="L43" t="s">
        <v>8</v>
      </c>
      <c r="M43" t="s">
        <v>83</v>
      </c>
      <c r="N43" t="s">
        <v>84</v>
      </c>
      <c r="O43" t="s">
        <v>85</v>
      </c>
      <c r="P43">
        <v>235992</v>
      </c>
      <c r="Q43" t="s">
        <v>5</v>
      </c>
      <c r="R43" t="s">
        <v>86</v>
      </c>
      <c r="S43" t="s">
        <v>87</v>
      </c>
      <c r="T43">
        <v>0</v>
      </c>
      <c r="U43">
        <v>1.5</v>
      </c>
      <c r="V43" s="2">
        <v>6.25E-2</v>
      </c>
      <c r="W43">
        <v>0</v>
      </c>
      <c r="AA43" t="s">
        <v>88</v>
      </c>
      <c r="AB43" t="s">
        <v>100</v>
      </c>
      <c r="AC43" t="s">
        <v>84</v>
      </c>
      <c r="AD43" t="s">
        <v>90</v>
      </c>
    </row>
    <row r="44" spans="1:30" hidden="1">
      <c r="A44" s="1">
        <v>45399</v>
      </c>
      <c r="B44" t="s">
        <v>14</v>
      </c>
      <c r="C44" t="s">
        <v>75</v>
      </c>
      <c r="D44" t="s">
        <v>76</v>
      </c>
      <c r="E44" t="s">
        <v>77</v>
      </c>
      <c r="F44" t="s">
        <v>78</v>
      </c>
      <c r="G44" t="s">
        <v>79</v>
      </c>
      <c r="H44" t="s">
        <v>80</v>
      </c>
      <c r="I44" t="s">
        <v>81</v>
      </c>
      <c r="J44" t="s">
        <v>82</v>
      </c>
      <c r="K44" t="s">
        <v>76</v>
      </c>
      <c r="L44" t="s">
        <v>8</v>
      </c>
      <c r="M44" t="s">
        <v>83</v>
      </c>
      <c r="N44" t="s">
        <v>84</v>
      </c>
      <c r="O44" t="s">
        <v>85</v>
      </c>
      <c r="P44">
        <v>236594</v>
      </c>
      <c r="Q44" t="s">
        <v>5</v>
      </c>
      <c r="R44" t="s">
        <v>86</v>
      </c>
      <c r="S44" t="s">
        <v>87</v>
      </c>
      <c r="T44">
        <v>0</v>
      </c>
      <c r="U44">
        <v>2</v>
      </c>
      <c r="V44" s="2">
        <v>8.3333333333333329E-2</v>
      </c>
      <c r="W44">
        <v>0</v>
      </c>
      <c r="AA44" t="s">
        <v>88</v>
      </c>
      <c r="AB44" t="s">
        <v>100</v>
      </c>
      <c r="AC44" t="s">
        <v>131</v>
      </c>
      <c r="AD44" t="s">
        <v>90</v>
      </c>
    </row>
    <row r="45" spans="1:30" hidden="1">
      <c r="A45" s="1">
        <v>45399</v>
      </c>
      <c r="B45" t="s">
        <v>114</v>
      </c>
      <c r="C45" t="s">
        <v>75</v>
      </c>
      <c r="D45" t="s">
        <v>76</v>
      </c>
      <c r="E45" t="s">
        <v>91</v>
      </c>
      <c r="F45" t="s">
        <v>78</v>
      </c>
      <c r="G45" t="s">
        <v>79</v>
      </c>
      <c r="H45" t="s">
        <v>80</v>
      </c>
      <c r="I45" t="s">
        <v>81</v>
      </c>
      <c r="J45" t="s">
        <v>82</v>
      </c>
      <c r="K45" t="s">
        <v>76</v>
      </c>
      <c r="L45" t="s">
        <v>8</v>
      </c>
      <c r="M45" t="s">
        <v>83</v>
      </c>
      <c r="N45" t="s">
        <v>93</v>
      </c>
      <c r="O45" t="s">
        <v>85</v>
      </c>
      <c r="P45">
        <v>236100</v>
      </c>
      <c r="Q45" t="s">
        <v>5</v>
      </c>
      <c r="R45" t="s">
        <v>86</v>
      </c>
      <c r="S45" t="s">
        <v>87</v>
      </c>
      <c r="T45">
        <v>0</v>
      </c>
      <c r="U45">
        <v>1.25</v>
      </c>
      <c r="V45" s="2">
        <v>5.2083333333333336E-2</v>
      </c>
      <c r="W45">
        <v>0</v>
      </c>
      <c r="AA45" t="s">
        <v>88</v>
      </c>
      <c r="AB45" t="s">
        <v>100</v>
      </c>
      <c r="AC45" t="s">
        <v>132</v>
      </c>
      <c r="AD45" t="s">
        <v>90</v>
      </c>
    </row>
    <row r="46" spans="1:30" hidden="1">
      <c r="A46" s="1">
        <v>45399</v>
      </c>
      <c r="B46" t="s">
        <v>8</v>
      </c>
      <c r="C46" t="s">
        <v>75</v>
      </c>
      <c r="D46" t="s">
        <v>76</v>
      </c>
      <c r="E46" t="s">
        <v>77</v>
      </c>
      <c r="F46" t="s">
        <v>78</v>
      </c>
      <c r="G46" t="s">
        <v>79</v>
      </c>
      <c r="H46" t="s">
        <v>80</v>
      </c>
      <c r="I46" t="s">
        <v>81</v>
      </c>
      <c r="J46" t="s">
        <v>82</v>
      </c>
      <c r="K46" t="s">
        <v>76</v>
      </c>
      <c r="L46" t="s">
        <v>8</v>
      </c>
      <c r="M46" t="s">
        <v>83</v>
      </c>
      <c r="N46" t="s">
        <v>84</v>
      </c>
      <c r="O46" t="s">
        <v>85</v>
      </c>
      <c r="P46">
        <v>236701</v>
      </c>
      <c r="Q46" t="s">
        <v>5</v>
      </c>
      <c r="R46" t="s">
        <v>86</v>
      </c>
      <c r="S46" t="s">
        <v>87</v>
      </c>
      <c r="T46">
        <v>0</v>
      </c>
      <c r="U46">
        <v>0.75</v>
      </c>
      <c r="V46" s="2">
        <v>3.125E-2</v>
      </c>
      <c r="W46">
        <v>0</v>
      </c>
      <c r="AA46" t="s">
        <v>88</v>
      </c>
      <c r="AB46" t="s">
        <v>100</v>
      </c>
      <c r="AC46" t="s">
        <v>84</v>
      </c>
      <c r="AD46" t="s">
        <v>90</v>
      </c>
    </row>
    <row r="47" spans="1:30" hidden="1">
      <c r="A47" s="1">
        <v>45400</v>
      </c>
      <c r="B47" t="s">
        <v>10</v>
      </c>
      <c r="C47" t="s">
        <v>92</v>
      </c>
      <c r="D47" t="s">
        <v>76</v>
      </c>
      <c r="E47" t="s">
        <v>91</v>
      </c>
      <c r="F47" t="s">
        <v>78</v>
      </c>
      <c r="G47" t="s">
        <v>79</v>
      </c>
      <c r="H47" t="s">
        <v>80</v>
      </c>
      <c r="I47" t="s">
        <v>81</v>
      </c>
      <c r="J47" t="s">
        <v>82</v>
      </c>
      <c r="K47" t="s">
        <v>76</v>
      </c>
      <c r="L47" t="s">
        <v>8</v>
      </c>
      <c r="M47" t="s">
        <v>83</v>
      </c>
      <c r="N47" t="s">
        <v>93</v>
      </c>
      <c r="O47" t="s">
        <v>85</v>
      </c>
      <c r="P47">
        <v>236896</v>
      </c>
      <c r="Q47" t="s">
        <v>4</v>
      </c>
      <c r="R47" t="s">
        <v>94</v>
      </c>
      <c r="S47" t="s">
        <v>87</v>
      </c>
      <c r="T47">
        <v>90</v>
      </c>
      <c r="U47">
        <v>0.25</v>
      </c>
      <c r="V47" s="2">
        <v>1.0416666666666666E-2</v>
      </c>
      <c r="W47">
        <v>22.5</v>
      </c>
      <c r="X47">
        <v>29.75</v>
      </c>
      <c r="Y47">
        <v>7.25</v>
      </c>
      <c r="Z47" t="s">
        <v>99</v>
      </c>
      <c r="AA47" t="s">
        <v>88</v>
      </c>
      <c r="AB47" t="s">
        <v>100</v>
      </c>
      <c r="AC47" t="s">
        <v>133</v>
      </c>
      <c r="AD47" t="s">
        <v>90</v>
      </c>
    </row>
    <row r="48" spans="1:30" hidden="1">
      <c r="A48" s="1">
        <v>45400</v>
      </c>
      <c r="B48" t="s">
        <v>114</v>
      </c>
      <c r="C48" t="s">
        <v>75</v>
      </c>
      <c r="D48" t="s">
        <v>76</v>
      </c>
      <c r="E48" t="s">
        <v>91</v>
      </c>
      <c r="F48" t="s">
        <v>78</v>
      </c>
      <c r="G48" t="s">
        <v>79</v>
      </c>
      <c r="H48" t="s">
        <v>80</v>
      </c>
      <c r="I48" t="s">
        <v>81</v>
      </c>
      <c r="J48" t="s">
        <v>82</v>
      </c>
      <c r="K48" t="s">
        <v>76</v>
      </c>
      <c r="L48" t="s">
        <v>8</v>
      </c>
      <c r="M48" t="s">
        <v>83</v>
      </c>
      <c r="N48" t="s">
        <v>93</v>
      </c>
      <c r="O48" t="s">
        <v>85</v>
      </c>
      <c r="P48">
        <v>236900</v>
      </c>
      <c r="Q48" t="s">
        <v>4</v>
      </c>
      <c r="R48" t="s">
        <v>94</v>
      </c>
      <c r="S48" t="s">
        <v>87</v>
      </c>
      <c r="T48">
        <v>90</v>
      </c>
      <c r="U48">
        <v>0.5</v>
      </c>
      <c r="V48" s="2">
        <v>2.0833333333333332E-2</v>
      </c>
      <c r="W48">
        <v>45</v>
      </c>
      <c r="X48">
        <v>59.5</v>
      </c>
      <c r="Y48">
        <v>14.5</v>
      </c>
      <c r="Z48" t="s">
        <v>99</v>
      </c>
      <c r="AA48" t="s">
        <v>88</v>
      </c>
      <c r="AB48" t="s">
        <v>100</v>
      </c>
      <c r="AC48" t="s">
        <v>134</v>
      </c>
      <c r="AD48" t="s">
        <v>90</v>
      </c>
    </row>
    <row r="49" spans="1:30" hidden="1">
      <c r="A49" s="1">
        <v>45400</v>
      </c>
      <c r="B49" t="s">
        <v>114</v>
      </c>
      <c r="C49" t="s">
        <v>75</v>
      </c>
      <c r="D49" t="s">
        <v>76</v>
      </c>
      <c r="E49" t="s">
        <v>91</v>
      </c>
      <c r="F49" t="s">
        <v>78</v>
      </c>
      <c r="G49" t="s">
        <v>79</v>
      </c>
      <c r="H49" t="s">
        <v>80</v>
      </c>
      <c r="I49" t="s">
        <v>81</v>
      </c>
      <c r="J49" t="s">
        <v>82</v>
      </c>
      <c r="K49" t="s">
        <v>76</v>
      </c>
      <c r="L49" t="s">
        <v>8</v>
      </c>
      <c r="M49" t="s">
        <v>83</v>
      </c>
      <c r="N49" t="s">
        <v>93</v>
      </c>
      <c r="O49" t="s">
        <v>85</v>
      </c>
      <c r="P49">
        <v>236740</v>
      </c>
      <c r="Q49" t="s">
        <v>5</v>
      </c>
      <c r="R49" t="s">
        <v>86</v>
      </c>
      <c r="S49" t="s">
        <v>87</v>
      </c>
      <c r="T49">
        <v>0</v>
      </c>
      <c r="U49">
        <v>0.25</v>
      </c>
      <c r="V49" s="2">
        <v>1.0416666666666666E-2</v>
      </c>
      <c r="W49">
        <v>0</v>
      </c>
      <c r="AA49" t="s">
        <v>88</v>
      </c>
      <c r="AB49" t="s">
        <v>100</v>
      </c>
      <c r="AC49" t="s">
        <v>84</v>
      </c>
      <c r="AD49" t="s">
        <v>90</v>
      </c>
    </row>
    <row r="50" spans="1:30" hidden="1">
      <c r="A50" s="1">
        <v>45400</v>
      </c>
      <c r="B50" t="s">
        <v>8</v>
      </c>
      <c r="C50" t="s">
        <v>75</v>
      </c>
      <c r="D50" t="s">
        <v>76</v>
      </c>
      <c r="E50" t="s">
        <v>77</v>
      </c>
      <c r="F50" t="s">
        <v>78</v>
      </c>
      <c r="G50" t="s">
        <v>79</v>
      </c>
      <c r="H50" t="s">
        <v>80</v>
      </c>
      <c r="I50" t="s">
        <v>81</v>
      </c>
      <c r="J50" t="s">
        <v>82</v>
      </c>
      <c r="K50" t="s">
        <v>76</v>
      </c>
      <c r="L50" t="s">
        <v>8</v>
      </c>
      <c r="M50" t="s">
        <v>83</v>
      </c>
      <c r="N50" t="s">
        <v>84</v>
      </c>
      <c r="O50" t="s">
        <v>85</v>
      </c>
      <c r="P50">
        <v>237125</v>
      </c>
      <c r="Q50" t="s">
        <v>5</v>
      </c>
      <c r="R50" t="s">
        <v>86</v>
      </c>
      <c r="S50" t="s">
        <v>87</v>
      </c>
      <c r="T50">
        <v>0</v>
      </c>
      <c r="U50">
        <v>1</v>
      </c>
      <c r="V50" s="2">
        <v>4.1666666666666664E-2</v>
      </c>
      <c r="W50">
        <v>0</v>
      </c>
      <c r="AA50" t="s">
        <v>88</v>
      </c>
      <c r="AB50" t="s">
        <v>100</v>
      </c>
      <c r="AC50" t="s">
        <v>84</v>
      </c>
      <c r="AD50" t="s">
        <v>90</v>
      </c>
    </row>
    <row r="51" spans="1:30" hidden="1">
      <c r="A51" s="1">
        <v>45401</v>
      </c>
      <c r="B51" t="s">
        <v>10</v>
      </c>
      <c r="C51" t="s">
        <v>92</v>
      </c>
      <c r="D51" t="s">
        <v>76</v>
      </c>
      <c r="E51" t="s">
        <v>91</v>
      </c>
      <c r="F51" t="s">
        <v>78</v>
      </c>
      <c r="G51" t="s">
        <v>79</v>
      </c>
      <c r="H51" t="s">
        <v>80</v>
      </c>
      <c r="I51" t="s">
        <v>81</v>
      </c>
      <c r="J51" t="s">
        <v>82</v>
      </c>
      <c r="K51" t="s">
        <v>76</v>
      </c>
      <c r="L51" t="s">
        <v>8</v>
      </c>
      <c r="M51" t="s">
        <v>83</v>
      </c>
      <c r="N51" t="s">
        <v>93</v>
      </c>
      <c r="O51" t="s">
        <v>85</v>
      </c>
      <c r="P51">
        <v>237719</v>
      </c>
      <c r="Q51" t="s">
        <v>4</v>
      </c>
      <c r="R51" t="s">
        <v>94</v>
      </c>
      <c r="S51" t="s">
        <v>87</v>
      </c>
      <c r="T51">
        <v>90</v>
      </c>
      <c r="U51">
        <v>0.25</v>
      </c>
      <c r="V51" s="2">
        <v>1.0416666666666666E-2</v>
      </c>
      <c r="W51">
        <v>22.5</v>
      </c>
      <c r="X51">
        <v>29.75</v>
      </c>
      <c r="Y51">
        <v>7.25</v>
      </c>
      <c r="Z51" t="s">
        <v>99</v>
      </c>
      <c r="AA51" t="s">
        <v>88</v>
      </c>
      <c r="AB51" t="s">
        <v>100</v>
      </c>
      <c r="AC51" t="s">
        <v>135</v>
      </c>
      <c r="AD51" t="s">
        <v>90</v>
      </c>
    </row>
    <row r="52" spans="1:30" hidden="1">
      <c r="A52" s="1">
        <v>45401</v>
      </c>
      <c r="B52" t="s">
        <v>14</v>
      </c>
      <c r="C52" t="s">
        <v>75</v>
      </c>
      <c r="D52" t="s">
        <v>76</v>
      </c>
      <c r="E52" t="s">
        <v>77</v>
      </c>
      <c r="F52" t="s">
        <v>78</v>
      </c>
      <c r="G52" t="s">
        <v>79</v>
      </c>
      <c r="H52" t="s">
        <v>80</v>
      </c>
      <c r="I52" t="s">
        <v>81</v>
      </c>
      <c r="J52" t="s">
        <v>82</v>
      </c>
      <c r="K52" t="s">
        <v>76</v>
      </c>
      <c r="L52" t="s">
        <v>8</v>
      </c>
      <c r="M52" t="s">
        <v>83</v>
      </c>
      <c r="N52" t="s">
        <v>84</v>
      </c>
      <c r="O52" t="s">
        <v>85</v>
      </c>
      <c r="P52">
        <v>237570</v>
      </c>
      <c r="Q52" t="s">
        <v>5</v>
      </c>
      <c r="R52" t="s">
        <v>86</v>
      </c>
      <c r="S52" t="s">
        <v>87</v>
      </c>
      <c r="T52">
        <v>0</v>
      </c>
      <c r="U52">
        <v>0.5</v>
      </c>
      <c r="V52" s="2">
        <v>2.0833333333333332E-2</v>
      </c>
      <c r="W52">
        <v>0</v>
      </c>
      <c r="AA52" t="s">
        <v>88</v>
      </c>
      <c r="AB52" t="s">
        <v>100</v>
      </c>
      <c r="AC52" t="s">
        <v>136</v>
      </c>
      <c r="AD52" t="s">
        <v>90</v>
      </c>
    </row>
    <row r="53" spans="1:30" hidden="1">
      <c r="A53" s="1">
        <v>45401</v>
      </c>
      <c r="B53" t="s">
        <v>114</v>
      </c>
      <c r="C53" t="s">
        <v>75</v>
      </c>
      <c r="D53" t="s">
        <v>76</v>
      </c>
      <c r="E53" t="s">
        <v>91</v>
      </c>
      <c r="F53" t="s">
        <v>78</v>
      </c>
      <c r="G53" t="s">
        <v>79</v>
      </c>
      <c r="H53" t="s">
        <v>80</v>
      </c>
      <c r="I53" t="s">
        <v>81</v>
      </c>
      <c r="J53" t="s">
        <v>82</v>
      </c>
      <c r="K53" t="s">
        <v>76</v>
      </c>
      <c r="L53" t="s">
        <v>8</v>
      </c>
      <c r="M53" t="s">
        <v>83</v>
      </c>
      <c r="N53" t="s">
        <v>93</v>
      </c>
      <c r="O53" t="s">
        <v>85</v>
      </c>
      <c r="P53">
        <v>237309</v>
      </c>
      <c r="Q53" t="s">
        <v>4</v>
      </c>
      <c r="R53" t="s">
        <v>94</v>
      </c>
      <c r="S53" t="s">
        <v>87</v>
      </c>
      <c r="T53">
        <v>90</v>
      </c>
      <c r="U53">
        <v>1.75</v>
      </c>
      <c r="V53" s="2">
        <v>7.2916666666666671E-2</v>
      </c>
      <c r="W53">
        <v>157.5</v>
      </c>
      <c r="X53">
        <v>208.26</v>
      </c>
      <c r="Y53">
        <v>50.76</v>
      </c>
      <c r="Z53" t="s">
        <v>99</v>
      </c>
      <c r="AA53" t="s">
        <v>88</v>
      </c>
      <c r="AB53" t="s">
        <v>100</v>
      </c>
      <c r="AC53" t="s">
        <v>137</v>
      </c>
      <c r="AD53" t="s">
        <v>90</v>
      </c>
    </row>
    <row r="54" spans="1:30" hidden="1">
      <c r="A54" s="1">
        <v>45401</v>
      </c>
      <c r="B54" t="s">
        <v>8</v>
      </c>
      <c r="C54" t="s">
        <v>75</v>
      </c>
      <c r="D54" t="s">
        <v>76</v>
      </c>
      <c r="E54" t="s">
        <v>77</v>
      </c>
      <c r="F54" t="s">
        <v>78</v>
      </c>
      <c r="G54" t="s">
        <v>79</v>
      </c>
      <c r="H54" t="s">
        <v>80</v>
      </c>
      <c r="I54" t="s">
        <v>81</v>
      </c>
      <c r="J54" t="s">
        <v>82</v>
      </c>
      <c r="K54" t="s">
        <v>76</v>
      </c>
      <c r="L54" t="s">
        <v>8</v>
      </c>
      <c r="M54" t="s">
        <v>83</v>
      </c>
      <c r="N54" t="s">
        <v>84</v>
      </c>
      <c r="O54" t="s">
        <v>85</v>
      </c>
      <c r="P54">
        <v>237711</v>
      </c>
      <c r="Q54" t="s">
        <v>5</v>
      </c>
      <c r="R54" t="s">
        <v>86</v>
      </c>
      <c r="S54" t="s">
        <v>87</v>
      </c>
      <c r="T54">
        <v>0</v>
      </c>
      <c r="U54">
        <v>0.75</v>
      </c>
      <c r="V54" s="2">
        <v>3.125E-2</v>
      </c>
      <c r="W54">
        <v>0</v>
      </c>
      <c r="AA54" t="s">
        <v>88</v>
      </c>
      <c r="AB54" t="s">
        <v>100</v>
      </c>
      <c r="AC54" t="s">
        <v>84</v>
      </c>
      <c r="AD54" t="s">
        <v>90</v>
      </c>
    </row>
    <row r="55" spans="1:30" hidden="1">
      <c r="A55" s="1">
        <v>45404</v>
      </c>
      <c r="B55" t="s">
        <v>10</v>
      </c>
      <c r="C55" t="s">
        <v>92</v>
      </c>
      <c r="D55" t="s">
        <v>76</v>
      </c>
      <c r="E55" t="s">
        <v>91</v>
      </c>
      <c r="F55" t="s">
        <v>78</v>
      </c>
      <c r="G55" t="s">
        <v>79</v>
      </c>
      <c r="H55" t="s">
        <v>80</v>
      </c>
      <c r="I55" t="s">
        <v>81</v>
      </c>
      <c r="J55" t="s">
        <v>82</v>
      </c>
      <c r="K55" t="s">
        <v>76</v>
      </c>
      <c r="L55" t="s">
        <v>8</v>
      </c>
      <c r="M55" t="s">
        <v>83</v>
      </c>
      <c r="N55" t="s">
        <v>93</v>
      </c>
      <c r="O55" t="s">
        <v>85</v>
      </c>
      <c r="P55">
        <v>237971</v>
      </c>
      <c r="Q55" t="s">
        <v>4</v>
      </c>
      <c r="R55" t="s">
        <v>94</v>
      </c>
      <c r="S55" t="s">
        <v>87</v>
      </c>
      <c r="T55">
        <v>90</v>
      </c>
      <c r="U55">
        <v>1.5</v>
      </c>
      <c r="V55" s="2">
        <v>6.25E-2</v>
      </c>
      <c r="W55">
        <v>135</v>
      </c>
      <c r="X55">
        <v>178.51</v>
      </c>
      <c r="Y55">
        <v>43.51</v>
      </c>
      <c r="Z55" t="s">
        <v>99</v>
      </c>
      <c r="AA55" t="s">
        <v>88</v>
      </c>
      <c r="AB55" t="s">
        <v>100</v>
      </c>
      <c r="AC55" t="s">
        <v>138</v>
      </c>
      <c r="AD55" t="s">
        <v>90</v>
      </c>
    </row>
    <row r="56" spans="1:30" hidden="1">
      <c r="A56" s="1">
        <v>45404</v>
      </c>
      <c r="B56" t="s">
        <v>114</v>
      </c>
      <c r="C56" t="s">
        <v>75</v>
      </c>
      <c r="D56" t="s">
        <v>76</v>
      </c>
      <c r="E56" t="s">
        <v>91</v>
      </c>
      <c r="F56" t="s">
        <v>78</v>
      </c>
      <c r="G56" t="s">
        <v>79</v>
      </c>
      <c r="H56" t="s">
        <v>80</v>
      </c>
      <c r="I56" t="s">
        <v>81</v>
      </c>
      <c r="J56" t="s">
        <v>82</v>
      </c>
      <c r="K56" t="s">
        <v>76</v>
      </c>
      <c r="L56" t="s">
        <v>8</v>
      </c>
      <c r="M56" t="s">
        <v>83</v>
      </c>
      <c r="N56" t="s">
        <v>93</v>
      </c>
      <c r="O56" t="s">
        <v>85</v>
      </c>
      <c r="P56">
        <v>237812</v>
      </c>
      <c r="Q56" t="s">
        <v>4</v>
      </c>
      <c r="R56" t="s">
        <v>94</v>
      </c>
      <c r="S56" t="s">
        <v>87</v>
      </c>
      <c r="T56">
        <v>90</v>
      </c>
      <c r="U56">
        <v>0.75</v>
      </c>
      <c r="V56" s="2">
        <v>3.125E-2</v>
      </c>
      <c r="W56">
        <v>67.5</v>
      </c>
      <c r="X56">
        <v>89.26</v>
      </c>
      <c r="Y56">
        <v>21.76</v>
      </c>
      <c r="Z56" t="s">
        <v>99</v>
      </c>
      <c r="AA56" t="s">
        <v>88</v>
      </c>
      <c r="AB56" t="s">
        <v>100</v>
      </c>
      <c r="AC56" t="s">
        <v>139</v>
      </c>
      <c r="AD56" t="s">
        <v>90</v>
      </c>
    </row>
    <row r="57" spans="1:30" hidden="1">
      <c r="A57" s="1">
        <v>45404</v>
      </c>
      <c r="B57" t="s">
        <v>8</v>
      </c>
      <c r="C57" t="s">
        <v>75</v>
      </c>
      <c r="D57" t="s">
        <v>76</v>
      </c>
      <c r="E57" t="s">
        <v>77</v>
      </c>
      <c r="F57" t="s">
        <v>78</v>
      </c>
      <c r="G57" t="s">
        <v>79</v>
      </c>
      <c r="H57" t="s">
        <v>80</v>
      </c>
      <c r="I57" t="s">
        <v>81</v>
      </c>
      <c r="J57" t="s">
        <v>82</v>
      </c>
      <c r="K57" t="s">
        <v>76</v>
      </c>
      <c r="L57" t="s">
        <v>8</v>
      </c>
      <c r="M57" t="s">
        <v>83</v>
      </c>
      <c r="N57" t="s">
        <v>84</v>
      </c>
      <c r="O57" t="s">
        <v>85</v>
      </c>
      <c r="P57">
        <v>238353</v>
      </c>
      <c r="Q57" t="s">
        <v>5</v>
      </c>
      <c r="R57" t="s">
        <v>86</v>
      </c>
      <c r="S57" t="s">
        <v>87</v>
      </c>
      <c r="T57">
        <v>0</v>
      </c>
      <c r="U57">
        <v>0.5</v>
      </c>
      <c r="V57" s="2">
        <v>2.0833333333333332E-2</v>
      </c>
      <c r="W57">
        <v>0</v>
      </c>
      <c r="AA57" t="s">
        <v>88</v>
      </c>
      <c r="AB57" t="s">
        <v>100</v>
      </c>
      <c r="AC57" t="s">
        <v>84</v>
      </c>
      <c r="AD57" t="s">
        <v>90</v>
      </c>
    </row>
    <row r="58" spans="1:30" hidden="1">
      <c r="A58" s="1">
        <v>45405</v>
      </c>
      <c r="B58" t="s">
        <v>114</v>
      </c>
      <c r="C58" t="s">
        <v>75</v>
      </c>
      <c r="D58" t="s">
        <v>76</v>
      </c>
      <c r="E58" t="s">
        <v>91</v>
      </c>
      <c r="F58" t="s">
        <v>78</v>
      </c>
      <c r="G58" t="s">
        <v>79</v>
      </c>
      <c r="H58" t="s">
        <v>80</v>
      </c>
      <c r="I58" t="s">
        <v>81</v>
      </c>
      <c r="J58" t="s">
        <v>82</v>
      </c>
      <c r="K58" t="s">
        <v>76</v>
      </c>
      <c r="L58" t="s">
        <v>8</v>
      </c>
      <c r="M58" t="s">
        <v>83</v>
      </c>
      <c r="N58" t="s">
        <v>93</v>
      </c>
      <c r="O58" t="s">
        <v>85</v>
      </c>
      <c r="P58">
        <v>238745</v>
      </c>
      <c r="Q58" t="s">
        <v>4</v>
      </c>
      <c r="R58" t="s">
        <v>94</v>
      </c>
      <c r="S58" t="s">
        <v>87</v>
      </c>
      <c r="T58">
        <v>90</v>
      </c>
      <c r="U58">
        <v>0.75</v>
      </c>
      <c r="V58" s="2">
        <v>3.125E-2</v>
      </c>
      <c r="W58">
        <v>67.5</v>
      </c>
      <c r="X58">
        <v>89.26</v>
      </c>
      <c r="Y58">
        <v>21.76</v>
      </c>
      <c r="Z58" t="s">
        <v>99</v>
      </c>
      <c r="AA58" t="s">
        <v>88</v>
      </c>
      <c r="AB58" t="s">
        <v>100</v>
      </c>
      <c r="AC58" t="s">
        <v>140</v>
      </c>
      <c r="AD58" t="s">
        <v>90</v>
      </c>
    </row>
    <row r="59" spans="1:30" hidden="1">
      <c r="A59" s="1">
        <v>45405</v>
      </c>
      <c r="B59" t="s">
        <v>93</v>
      </c>
      <c r="C59" t="s">
        <v>75</v>
      </c>
      <c r="D59" t="s">
        <v>76</v>
      </c>
      <c r="E59" t="s">
        <v>91</v>
      </c>
      <c r="F59" t="s">
        <v>78</v>
      </c>
      <c r="G59" t="s">
        <v>79</v>
      </c>
      <c r="H59" t="s">
        <v>80</v>
      </c>
      <c r="I59" t="s">
        <v>81</v>
      </c>
      <c r="J59" t="s">
        <v>82</v>
      </c>
      <c r="K59" t="s">
        <v>76</v>
      </c>
      <c r="L59" t="s">
        <v>8</v>
      </c>
      <c r="M59" t="s">
        <v>83</v>
      </c>
      <c r="N59" t="s">
        <v>84</v>
      </c>
      <c r="O59" t="s">
        <v>85</v>
      </c>
      <c r="P59">
        <v>240660</v>
      </c>
      <c r="Q59" t="s">
        <v>4</v>
      </c>
      <c r="R59" t="s">
        <v>94</v>
      </c>
      <c r="S59" t="s">
        <v>87</v>
      </c>
      <c r="T59">
        <v>90</v>
      </c>
      <c r="U59">
        <v>1</v>
      </c>
      <c r="V59" s="2">
        <v>4.1666666666666664E-2</v>
      </c>
      <c r="W59">
        <v>90</v>
      </c>
      <c r="X59">
        <v>119.01</v>
      </c>
      <c r="Y59">
        <v>29.01</v>
      </c>
      <c r="Z59" t="s">
        <v>99</v>
      </c>
      <c r="AA59" t="s">
        <v>88</v>
      </c>
      <c r="AB59" t="s">
        <v>100</v>
      </c>
      <c r="AC59" t="s">
        <v>141</v>
      </c>
      <c r="AD59" t="s">
        <v>90</v>
      </c>
    </row>
    <row r="60" spans="1:30" hidden="1">
      <c r="A60" s="1">
        <v>45405</v>
      </c>
      <c r="B60" t="s">
        <v>8</v>
      </c>
      <c r="C60" t="s">
        <v>75</v>
      </c>
      <c r="D60" t="s">
        <v>76</v>
      </c>
      <c r="E60" t="s">
        <v>77</v>
      </c>
      <c r="F60" t="s">
        <v>78</v>
      </c>
      <c r="G60" t="s">
        <v>79</v>
      </c>
      <c r="H60" t="s">
        <v>80</v>
      </c>
      <c r="I60" t="s">
        <v>81</v>
      </c>
      <c r="J60" t="s">
        <v>82</v>
      </c>
      <c r="K60" t="s">
        <v>76</v>
      </c>
      <c r="L60" t="s">
        <v>8</v>
      </c>
      <c r="M60" t="s">
        <v>83</v>
      </c>
      <c r="N60" t="s">
        <v>84</v>
      </c>
      <c r="O60" t="s">
        <v>85</v>
      </c>
      <c r="P60">
        <v>239022</v>
      </c>
      <c r="Q60" t="s">
        <v>5</v>
      </c>
      <c r="R60" t="s">
        <v>86</v>
      </c>
      <c r="S60" t="s">
        <v>87</v>
      </c>
      <c r="T60">
        <v>0</v>
      </c>
      <c r="U60">
        <v>0.25</v>
      </c>
      <c r="V60" s="2">
        <v>1.0416666666666666E-2</v>
      </c>
      <c r="W60">
        <v>0</v>
      </c>
      <c r="AA60" t="s">
        <v>88</v>
      </c>
      <c r="AB60" t="s">
        <v>100</v>
      </c>
      <c r="AC60" t="s">
        <v>84</v>
      </c>
      <c r="AD60" t="s">
        <v>90</v>
      </c>
    </row>
    <row r="61" spans="1:30" hidden="1">
      <c r="A61" s="1">
        <v>45406</v>
      </c>
      <c r="B61" t="s">
        <v>93</v>
      </c>
      <c r="C61" t="s">
        <v>75</v>
      </c>
      <c r="D61" t="s">
        <v>76</v>
      </c>
      <c r="E61" t="s">
        <v>91</v>
      </c>
      <c r="F61" t="s">
        <v>78</v>
      </c>
      <c r="G61" t="s">
        <v>79</v>
      </c>
      <c r="H61" t="s">
        <v>80</v>
      </c>
      <c r="I61" t="s">
        <v>81</v>
      </c>
      <c r="J61" t="s">
        <v>82</v>
      </c>
      <c r="K61" t="s">
        <v>76</v>
      </c>
      <c r="L61" t="s">
        <v>8</v>
      </c>
      <c r="M61" t="s">
        <v>83</v>
      </c>
      <c r="N61" t="s">
        <v>84</v>
      </c>
      <c r="O61" t="s">
        <v>85</v>
      </c>
      <c r="P61">
        <v>239365</v>
      </c>
      <c r="Q61" t="s">
        <v>4</v>
      </c>
      <c r="R61" t="s">
        <v>94</v>
      </c>
      <c r="S61" t="s">
        <v>87</v>
      </c>
      <c r="T61">
        <v>90</v>
      </c>
      <c r="U61">
        <v>1.5</v>
      </c>
      <c r="V61" s="2">
        <v>6.25E-2</v>
      </c>
      <c r="W61">
        <v>135</v>
      </c>
      <c r="X61">
        <v>178.51</v>
      </c>
      <c r="Y61">
        <v>43.51</v>
      </c>
      <c r="Z61" t="s">
        <v>99</v>
      </c>
      <c r="AA61" t="s">
        <v>88</v>
      </c>
      <c r="AB61" t="s">
        <v>100</v>
      </c>
      <c r="AC61" t="s">
        <v>142</v>
      </c>
      <c r="AD61" t="s">
        <v>90</v>
      </c>
    </row>
    <row r="62" spans="1:30" hidden="1">
      <c r="A62" s="1">
        <v>45406</v>
      </c>
      <c r="B62" t="s">
        <v>8</v>
      </c>
      <c r="C62" t="s">
        <v>75</v>
      </c>
      <c r="D62" t="s">
        <v>76</v>
      </c>
      <c r="E62" t="s">
        <v>77</v>
      </c>
      <c r="F62" t="s">
        <v>78</v>
      </c>
      <c r="G62" t="s">
        <v>79</v>
      </c>
      <c r="H62" t="s">
        <v>80</v>
      </c>
      <c r="I62" t="s">
        <v>81</v>
      </c>
      <c r="J62" t="s">
        <v>82</v>
      </c>
      <c r="K62" t="s">
        <v>76</v>
      </c>
      <c r="L62" t="s">
        <v>8</v>
      </c>
      <c r="M62" t="s">
        <v>83</v>
      </c>
      <c r="N62" t="s">
        <v>84</v>
      </c>
      <c r="O62" t="s">
        <v>85</v>
      </c>
      <c r="P62">
        <v>239576</v>
      </c>
      <c r="Q62" t="s">
        <v>5</v>
      </c>
      <c r="R62" t="s">
        <v>86</v>
      </c>
      <c r="S62" t="s">
        <v>87</v>
      </c>
      <c r="T62">
        <v>0</v>
      </c>
      <c r="U62">
        <v>0.5</v>
      </c>
      <c r="V62" s="2">
        <v>2.0833333333333332E-2</v>
      </c>
      <c r="W62">
        <v>0</v>
      </c>
      <c r="AA62" t="s">
        <v>88</v>
      </c>
      <c r="AB62" t="s">
        <v>100</v>
      </c>
      <c r="AC62" t="s">
        <v>84</v>
      </c>
      <c r="AD62" t="s">
        <v>90</v>
      </c>
    </row>
    <row r="63" spans="1:30" hidden="1">
      <c r="A63" s="1">
        <v>45407</v>
      </c>
      <c r="B63" t="s">
        <v>10</v>
      </c>
      <c r="C63" t="s">
        <v>92</v>
      </c>
      <c r="D63" t="s">
        <v>76</v>
      </c>
      <c r="E63" t="s">
        <v>91</v>
      </c>
      <c r="F63" t="s">
        <v>78</v>
      </c>
      <c r="G63" t="s">
        <v>79</v>
      </c>
      <c r="H63" t="s">
        <v>80</v>
      </c>
      <c r="I63" t="s">
        <v>81</v>
      </c>
      <c r="J63" t="s">
        <v>82</v>
      </c>
      <c r="K63" t="s">
        <v>76</v>
      </c>
      <c r="L63" t="s">
        <v>8</v>
      </c>
      <c r="M63" t="s">
        <v>83</v>
      </c>
      <c r="N63" t="s">
        <v>93</v>
      </c>
      <c r="O63" t="s">
        <v>85</v>
      </c>
      <c r="P63">
        <v>240111</v>
      </c>
      <c r="Q63" t="s">
        <v>4</v>
      </c>
      <c r="R63" t="s">
        <v>94</v>
      </c>
      <c r="S63" t="s">
        <v>87</v>
      </c>
      <c r="T63">
        <v>90</v>
      </c>
      <c r="U63">
        <v>0.5</v>
      </c>
      <c r="V63" s="2">
        <v>2.0833333333333332E-2</v>
      </c>
      <c r="W63">
        <v>45</v>
      </c>
      <c r="X63">
        <v>59.5</v>
      </c>
      <c r="Y63">
        <v>14.5</v>
      </c>
      <c r="Z63" t="s">
        <v>99</v>
      </c>
      <c r="AA63" t="s">
        <v>88</v>
      </c>
      <c r="AB63" t="s">
        <v>100</v>
      </c>
      <c r="AC63" t="s">
        <v>143</v>
      </c>
      <c r="AD63" t="s">
        <v>90</v>
      </c>
    </row>
    <row r="64" spans="1:30" hidden="1">
      <c r="A64" s="1">
        <v>45407</v>
      </c>
      <c r="B64" t="s">
        <v>93</v>
      </c>
      <c r="C64" t="s">
        <v>75</v>
      </c>
      <c r="D64" t="s">
        <v>76</v>
      </c>
      <c r="E64" t="s">
        <v>91</v>
      </c>
      <c r="F64" t="s">
        <v>78</v>
      </c>
      <c r="G64" t="s">
        <v>79</v>
      </c>
      <c r="H64" t="s">
        <v>80</v>
      </c>
      <c r="I64" t="s">
        <v>81</v>
      </c>
      <c r="J64" t="s">
        <v>82</v>
      </c>
      <c r="K64" t="s">
        <v>76</v>
      </c>
      <c r="L64" t="s">
        <v>8</v>
      </c>
      <c r="M64" t="s">
        <v>83</v>
      </c>
      <c r="N64" t="s">
        <v>84</v>
      </c>
      <c r="O64" t="s">
        <v>85</v>
      </c>
      <c r="P64">
        <v>240672</v>
      </c>
      <c r="Q64" t="s">
        <v>4</v>
      </c>
      <c r="R64" t="s">
        <v>94</v>
      </c>
      <c r="S64" t="s">
        <v>87</v>
      </c>
      <c r="T64">
        <v>90</v>
      </c>
      <c r="U64">
        <v>1</v>
      </c>
      <c r="V64" s="2">
        <v>4.1666666666666664E-2</v>
      </c>
      <c r="W64">
        <v>90</v>
      </c>
      <c r="X64">
        <v>119.01</v>
      </c>
      <c r="Y64">
        <v>29.01</v>
      </c>
      <c r="Z64" t="s">
        <v>99</v>
      </c>
      <c r="AA64" t="s">
        <v>88</v>
      </c>
      <c r="AB64" t="s">
        <v>100</v>
      </c>
      <c r="AC64" t="s">
        <v>121</v>
      </c>
      <c r="AD64" t="s">
        <v>90</v>
      </c>
    </row>
    <row r="65" spans="1:30" hidden="1">
      <c r="A65" s="1">
        <v>45407</v>
      </c>
      <c r="B65" t="s">
        <v>8</v>
      </c>
      <c r="C65" t="s">
        <v>75</v>
      </c>
      <c r="D65" t="s">
        <v>76</v>
      </c>
      <c r="E65" t="s">
        <v>77</v>
      </c>
      <c r="F65" t="s">
        <v>78</v>
      </c>
      <c r="G65" t="s">
        <v>79</v>
      </c>
      <c r="H65" t="s">
        <v>80</v>
      </c>
      <c r="I65" t="s">
        <v>81</v>
      </c>
      <c r="J65" t="s">
        <v>82</v>
      </c>
      <c r="K65" t="s">
        <v>76</v>
      </c>
      <c r="L65" t="s">
        <v>8</v>
      </c>
      <c r="M65" t="s">
        <v>83</v>
      </c>
      <c r="N65" t="s">
        <v>84</v>
      </c>
      <c r="O65" t="s">
        <v>85</v>
      </c>
      <c r="P65">
        <v>240339</v>
      </c>
      <c r="Q65" t="s">
        <v>5</v>
      </c>
      <c r="R65" t="s">
        <v>86</v>
      </c>
      <c r="S65" t="s">
        <v>87</v>
      </c>
      <c r="T65">
        <v>0</v>
      </c>
      <c r="U65">
        <v>0.5</v>
      </c>
      <c r="V65" s="2">
        <v>2.0833333333333332E-2</v>
      </c>
      <c r="W65">
        <v>0</v>
      </c>
      <c r="AA65" t="s">
        <v>88</v>
      </c>
      <c r="AB65" t="s">
        <v>100</v>
      </c>
      <c r="AC65" t="s">
        <v>84</v>
      </c>
      <c r="AD65" t="s">
        <v>90</v>
      </c>
    </row>
    <row r="66" spans="1:30" hidden="1">
      <c r="A66" s="1">
        <v>45408</v>
      </c>
      <c r="B66" t="s">
        <v>114</v>
      </c>
      <c r="C66" t="s">
        <v>75</v>
      </c>
      <c r="D66" t="s">
        <v>76</v>
      </c>
      <c r="E66" t="s">
        <v>91</v>
      </c>
      <c r="F66" t="s">
        <v>78</v>
      </c>
      <c r="G66" t="s">
        <v>79</v>
      </c>
      <c r="H66" t="s">
        <v>80</v>
      </c>
      <c r="I66" t="s">
        <v>81</v>
      </c>
      <c r="J66" t="s">
        <v>82</v>
      </c>
      <c r="K66" t="s">
        <v>76</v>
      </c>
      <c r="L66" t="s">
        <v>8</v>
      </c>
      <c r="M66" t="s">
        <v>83</v>
      </c>
      <c r="N66" t="s">
        <v>93</v>
      </c>
      <c r="O66" t="s">
        <v>85</v>
      </c>
      <c r="P66">
        <v>240088</v>
      </c>
      <c r="Q66" t="s">
        <v>4</v>
      </c>
      <c r="R66" t="s">
        <v>94</v>
      </c>
      <c r="S66" t="s">
        <v>87</v>
      </c>
      <c r="T66">
        <v>90</v>
      </c>
      <c r="U66">
        <v>2</v>
      </c>
      <c r="V66" s="2">
        <v>8.3333333333333329E-2</v>
      </c>
      <c r="W66">
        <v>180</v>
      </c>
      <c r="X66">
        <v>238.02</v>
      </c>
      <c r="Y66">
        <v>58.02</v>
      </c>
      <c r="Z66" t="s">
        <v>99</v>
      </c>
      <c r="AA66" t="s">
        <v>88</v>
      </c>
      <c r="AB66" t="s">
        <v>100</v>
      </c>
      <c r="AC66" t="s">
        <v>144</v>
      </c>
      <c r="AD66" t="s">
        <v>90</v>
      </c>
    </row>
    <row r="67" spans="1:30" hidden="1">
      <c r="A67" s="1">
        <v>45408</v>
      </c>
      <c r="B67" t="s">
        <v>93</v>
      </c>
      <c r="C67" t="s">
        <v>75</v>
      </c>
      <c r="D67" t="s">
        <v>76</v>
      </c>
      <c r="E67" t="s">
        <v>91</v>
      </c>
      <c r="F67" t="s">
        <v>78</v>
      </c>
      <c r="G67" t="s">
        <v>79</v>
      </c>
      <c r="H67" t="s">
        <v>80</v>
      </c>
      <c r="I67" t="s">
        <v>81</v>
      </c>
      <c r="J67" t="s">
        <v>82</v>
      </c>
      <c r="K67" t="s">
        <v>76</v>
      </c>
      <c r="L67" t="s">
        <v>8</v>
      </c>
      <c r="M67" t="s">
        <v>83</v>
      </c>
      <c r="N67" t="s">
        <v>84</v>
      </c>
      <c r="O67" t="s">
        <v>85</v>
      </c>
      <c r="P67">
        <v>240433</v>
      </c>
      <c r="Q67" t="s">
        <v>4</v>
      </c>
      <c r="R67" t="s">
        <v>94</v>
      </c>
      <c r="S67" t="s">
        <v>87</v>
      </c>
      <c r="T67">
        <v>90</v>
      </c>
      <c r="U67">
        <v>1</v>
      </c>
      <c r="V67" s="2">
        <v>4.1666666666666664E-2</v>
      </c>
      <c r="W67">
        <v>90</v>
      </c>
      <c r="X67">
        <v>119.01</v>
      </c>
      <c r="Y67">
        <v>29.01</v>
      </c>
      <c r="Z67" t="s">
        <v>99</v>
      </c>
      <c r="AA67" t="s">
        <v>88</v>
      </c>
      <c r="AB67" t="s">
        <v>100</v>
      </c>
      <c r="AC67" t="s">
        <v>121</v>
      </c>
      <c r="AD67" t="s">
        <v>90</v>
      </c>
    </row>
    <row r="68" spans="1:30" hidden="1">
      <c r="A68" s="1">
        <v>45408</v>
      </c>
      <c r="B68" t="s">
        <v>93</v>
      </c>
      <c r="C68" t="s">
        <v>75</v>
      </c>
      <c r="D68" t="s">
        <v>76</v>
      </c>
      <c r="E68" t="s">
        <v>91</v>
      </c>
      <c r="F68" t="s">
        <v>78</v>
      </c>
      <c r="G68" t="s">
        <v>79</v>
      </c>
      <c r="H68" t="s">
        <v>80</v>
      </c>
      <c r="I68" t="s">
        <v>81</v>
      </c>
      <c r="J68" t="s">
        <v>82</v>
      </c>
      <c r="K68" t="s">
        <v>76</v>
      </c>
      <c r="L68" t="s">
        <v>8</v>
      </c>
      <c r="M68" t="s">
        <v>83</v>
      </c>
      <c r="N68" t="s">
        <v>84</v>
      </c>
      <c r="O68" t="s">
        <v>85</v>
      </c>
      <c r="P68">
        <v>240434</v>
      </c>
      <c r="Q68" t="s">
        <v>4</v>
      </c>
      <c r="R68" t="s">
        <v>94</v>
      </c>
      <c r="S68" t="s">
        <v>87</v>
      </c>
      <c r="T68">
        <v>90</v>
      </c>
      <c r="U68">
        <v>1</v>
      </c>
      <c r="V68" s="2">
        <v>4.1666666666666664E-2</v>
      </c>
      <c r="W68">
        <v>90</v>
      </c>
      <c r="X68">
        <v>119.01</v>
      </c>
      <c r="Y68">
        <v>29.01</v>
      </c>
      <c r="Z68" t="s">
        <v>99</v>
      </c>
      <c r="AA68" t="s">
        <v>88</v>
      </c>
      <c r="AB68" t="s">
        <v>100</v>
      </c>
      <c r="AC68" t="s">
        <v>141</v>
      </c>
      <c r="AD68" t="s">
        <v>90</v>
      </c>
    </row>
    <row r="69" spans="1:30" hidden="1">
      <c r="A69" s="1">
        <v>45408</v>
      </c>
      <c r="B69" t="s">
        <v>8</v>
      </c>
      <c r="C69" t="s">
        <v>75</v>
      </c>
      <c r="D69" t="s">
        <v>76</v>
      </c>
      <c r="E69" t="s">
        <v>77</v>
      </c>
      <c r="F69" t="s">
        <v>78</v>
      </c>
      <c r="G69" t="s">
        <v>79</v>
      </c>
      <c r="H69" t="s">
        <v>80</v>
      </c>
      <c r="I69" t="s">
        <v>81</v>
      </c>
      <c r="J69" t="s">
        <v>82</v>
      </c>
      <c r="K69" t="s">
        <v>76</v>
      </c>
      <c r="L69" t="s">
        <v>8</v>
      </c>
      <c r="M69" t="s">
        <v>83</v>
      </c>
      <c r="N69" t="s">
        <v>84</v>
      </c>
      <c r="O69" t="s">
        <v>85</v>
      </c>
      <c r="P69">
        <v>240375</v>
      </c>
      <c r="Q69" t="s">
        <v>5</v>
      </c>
      <c r="R69" t="s">
        <v>86</v>
      </c>
      <c r="S69" t="s">
        <v>87</v>
      </c>
      <c r="T69">
        <v>0</v>
      </c>
      <c r="U69">
        <v>0.25</v>
      </c>
      <c r="V69" s="2">
        <v>1.0416666666666666E-2</v>
      </c>
      <c r="W69">
        <v>0</v>
      </c>
      <c r="AA69" t="s">
        <v>88</v>
      </c>
      <c r="AB69" t="s">
        <v>100</v>
      </c>
      <c r="AC69" t="s">
        <v>84</v>
      </c>
      <c r="AD69" t="s">
        <v>90</v>
      </c>
    </row>
    <row r="70" spans="1:30" hidden="1">
      <c r="A70" s="1">
        <v>45411</v>
      </c>
      <c r="B70" t="s">
        <v>14</v>
      </c>
      <c r="C70" t="s">
        <v>75</v>
      </c>
      <c r="D70" t="s">
        <v>76</v>
      </c>
      <c r="E70" t="s">
        <v>77</v>
      </c>
      <c r="F70" t="s">
        <v>78</v>
      </c>
      <c r="G70" t="s">
        <v>79</v>
      </c>
      <c r="H70" t="s">
        <v>80</v>
      </c>
      <c r="I70" t="s">
        <v>81</v>
      </c>
      <c r="J70" t="s">
        <v>82</v>
      </c>
      <c r="K70" t="s">
        <v>76</v>
      </c>
      <c r="L70" t="s">
        <v>8</v>
      </c>
      <c r="M70" t="s">
        <v>83</v>
      </c>
      <c r="N70" t="s">
        <v>84</v>
      </c>
      <c r="O70" t="s">
        <v>85</v>
      </c>
      <c r="P70">
        <v>241549</v>
      </c>
      <c r="Q70" t="s">
        <v>5</v>
      </c>
      <c r="R70" t="s">
        <v>86</v>
      </c>
      <c r="S70" t="s">
        <v>87</v>
      </c>
      <c r="T70">
        <v>0</v>
      </c>
      <c r="U70">
        <v>0.25</v>
      </c>
      <c r="V70" s="2">
        <v>1.0416666666666666E-2</v>
      </c>
      <c r="W70">
        <v>0</v>
      </c>
      <c r="AA70" t="s">
        <v>88</v>
      </c>
      <c r="AB70" t="s">
        <v>100</v>
      </c>
      <c r="AC70" t="s">
        <v>96</v>
      </c>
      <c r="AD70" t="s">
        <v>90</v>
      </c>
    </row>
    <row r="71" spans="1:30" hidden="1">
      <c r="A71" s="1">
        <v>45411</v>
      </c>
      <c r="B71" t="s">
        <v>114</v>
      </c>
      <c r="C71" t="s">
        <v>75</v>
      </c>
      <c r="D71" t="s">
        <v>76</v>
      </c>
      <c r="E71" t="s">
        <v>91</v>
      </c>
      <c r="F71" t="s">
        <v>78</v>
      </c>
      <c r="G71" t="s">
        <v>79</v>
      </c>
      <c r="H71" t="s">
        <v>80</v>
      </c>
      <c r="I71" t="s">
        <v>81</v>
      </c>
      <c r="J71" t="s">
        <v>82</v>
      </c>
      <c r="K71" t="s">
        <v>76</v>
      </c>
      <c r="L71" t="s">
        <v>8</v>
      </c>
      <c r="M71" t="s">
        <v>83</v>
      </c>
      <c r="N71" t="s">
        <v>93</v>
      </c>
      <c r="O71" t="s">
        <v>85</v>
      </c>
      <c r="P71">
        <v>240870</v>
      </c>
      <c r="Q71" t="s">
        <v>4</v>
      </c>
      <c r="R71" t="s">
        <v>94</v>
      </c>
      <c r="S71" t="s">
        <v>87</v>
      </c>
      <c r="T71">
        <v>90</v>
      </c>
      <c r="U71">
        <v>1.5</v>
      </c>
      <c r="V71" s="2">
        <v>6.25E-2</v>
      </c>
      <c r="W71">
        <v>135</v>
      </c>
      <c r="X71">
        <v>178.51</v>
      </c>
      <c r="Y71">
        <v>43.51</v>
      </c>
      <c r="Z71" t="s">
        <v>99</v>
      </c>
      <c r="AA71" t="s">
        <v>88</v>
      </c>
      <c r="AB71" t="s">
        <v>100</v>
      </c>
      <c r="AC71" t="s">
        <v>145</v>
      </c>
      <c r="AD71" t="s">
        <v>90</v>
      </c>
    </row>
    <row r="72" spans="1:30" hidden="1">
      <c r="A72" s="1">
        <v>45411</v>
      </c>
      <c r="B72" t="s">
        <v>114</v>
      </c>
      <c r="C72" t="s">
        <v>75</v>
      </c>
      <c r="D72" t="s">
        <v>76</v>
      </c>
      <c r="E72" t="s">
        <v>91</v>
      </c>
      <c r="F72" t="s">
        <v>78</v>
      </c>
      <c r="G72" t="s">
        <v>79</v>
      </c>
      <c r="H72" t="s">
        <v>80</v>
      </c>
      <c r="I72" t="s">
        <v>81</v>
      </c>
      <c r="J72" t="s">
        <v>82</v>
      </c>
      <c r="K72" t="s">
        <v>76</v>
      </c>
      <c r="L72" t="s">
        <v>8</v>
      </c>
      <c r="M72" t="s">
        <v>83</v>
      </c>
      <c r="N72" t="s">
        <v>93</v>
      </c>
      <c r="O72" t="s">
        <v>85</v>
      </c>
      <c r="P72">
        <v>241891</v>
      </c>
      <c r="Q72" t="s">
        <v>5</v>
      </c>
      <c r="R72" t="s">
        <v>86</v>
      </c>
      <c r="S72" t="s">
        <v>87</v>
      </c>
      <c r="T72">
        <v>0</v>
      </c>
      <c r="U72">
        <v>0.5</v>
      </c>
      <c r="V72" s="2">
        <v>2.0833333333333332E-2</v>
      </c>
      <c r="W72">
        <v>0</v>
      </c>
      <c r="AA72" t="s">
        <v>88</v>
      </c>
      <c r="AB72" t="s">
        <v>100</v>
      </c>
      <c r="AC72" t="s">
        <v>84</v>
      </c>
      <c r="AD72" t="s">
        <v>90</v>
      </c>
    </row>
    <row r="73" spans="1:30" hidden="1">
      <c r="A73" s="1">
        <v>45411</v>
      </c>
      <c r="B73" t="s">
        <v>8</v>
      </c>
      <c r="C73" t="s">
        <v>75</v>
      </c>
      <c r="D73" t="s">
        <v>76</v>
      </c>
      <c r="E73" t="s">
        <v>77</v>
      </c>
      <c r="F73" t="s">
        <v>78</v>
      </c>
      <c r="G73" t="s">
        <v>79</v>
      </c>
      <c r="H73" t="s">
        <v>80</v>
      </c>
      <c r="I73" t="s">
        <v>81</v>
      </c>
      <c r="J73" t="s">
        <v>82</v>
      </c>
      <c r="K73" t="s">
        <v>76</v>
      </c>
      <c r="L73" t="s">
        <v>8</v>
      </c>
      <c r="M73" t="s">
        <v>83</v>
      </c>
      <c r="N73" t="s">
        <v>84</v>
      </c>
      <c r="O73" t="s">
        <v>85</v>
      </c>
      <c r="P73">
        <v>241507</v>
      </c>
      <c r="Q73" t="s">
        <v>5</v>
      </c>
      <c r="R73" t="s">
        <v>86</v>
      </c>
      <c r="S73" t="s">
        <v>87</v>
      </c>
      <c r="T73">
        <v>0</v>
      </c>
      <c r="U73">
        <v>0.75</v>
      </c>
      <c r="V73" s="2">
        <v>3.125E-2</v>
      </c>
      <c r="W73">
        <v>0</v>
      </c>
      <c r="AA73" t="s">
        <v>88</v>
      </c>
      <c r="AB73" t="s">
        <v>100</v>
      </c>
      <c r="AC73" t="s">
        <v>84</v>
      </c>
      <c r="AD73" t="s">
        <v>90</v>
      </c>
    </row>
    <row r="74" spans="1:30" hidden="1">
      <c r="A74" s="1">
        <v>45412</v>
      </c>
      <c r="B74" t="s">
        <v>8</v>
      </c>
      <c r="C74" t="s">
        <v>75</v>
      </c>
      <c r="D74" t="s">
        <v>76</v>
      </c>
      <c r="E74" t="s">
        <v>77</v>
      </c>
      <c r="F74" t="s">
        <v>78</v>
      </c>
      <c r="G74" t="s">
        <v>79</v>
      </c>
      <c r="H74" t="s">
        <v>80</v>
      </c>
      <c r="I74" t="s">
        <v>81</v>
      </c>
      <c r="J74" t="s">
        <v>82</v>
      </c>
      <c r="K74" t="s">
        <v>76</v>
      </c>
      <c r="L74" t="s">
        <v>8</v>
      </c>
      <c r="M74" t="s">
        <v>83</v>
      </c>
      <c r="N74" t="s">
        <v>84</v>
      </c>
      <c r="O74" t="s">
        <v>85</v>
      </c>
      <c r="P74">
        <v>241946</v>
      </c>
      <c r="Q74" t="s">
        <v>5</v>
      </c>
      <c r="R74" t="s">
        <v>86</v>
      </c>
      <c r="S74" t="s">
        <v>87</v>
      </c>
      <c r="T74">
        <v>0</v>
      </c>
      <c r="U74">
        <v>0.25</v>
      </c>
      <c r="V74" s="2">
        <v>1.0416666666666666E-2</v>
      </c>
      <c r="W74">
        <v>0</v>
      </c>
      <c r="AA74" t="s">
        <v>88</v>
      </c>
      <c r="AB74" t="s">
        <v>100</v>
      </c>
      <c r="AC74" t="s">
        <v>84</v>
      </c>
      <c r="AD74" t="s">
        <v>90</v>
      </c>
    </row>
    <row r="75" spans="1:30" hidden="1">
      <c r="A75" s="1">
        <v>45413</v>
      </c>
      <c r="B75" t="s">
        <v>10</v>
      </c>
      <c r="C75" t="s">
        <v>92</v>
      </c>
      <c r="D75" t="s">
        <v>76</v>
      </c>
      <c r="E75" t="s">
        <v>91</v>
      </c>
      <c r="F75" t="s">
        <v>78</v>
      </c>
      <c r="G75" t="s">
        <v>79</v>
      </c>
      <c r="H75" t="s">
        <v>80</v>
      </c>
      <c r="I75" t="s">
        <v>81</v>
      </c>
      <c r="J75" t="s">
        <v>82</v>
      </c>
      <c r="K75" t="s">
        <v>76</v>
      </c>
      <c r="L75" t="s">
        <v>8</v>
      </c>
      <c r="M75" t="s">
        <v>83</v>
      </c>
      <c r="N75" t="s">
        <v>93</v>
      </c>
      <c r="O75" t="s">
        <v>85</v>
      </c>
      <c r="P75">
        <v>242573</v>
      </c>
      <c r="Q75" t="s">
        <v>4</v>
      </c>
      <c r="R75" t="s">
        <v>94</v>
      </c>
      <c r="S75" t="s">
        <v>87</v>
      </c>
      <c r="T75">
        <v>90</v>
      </c>
      <c r="U75">
        <v>0.25</v>
      </c>
      <c r="V75" s="2">
        <v>1.0416666666666666E-2</v>
      </c>
      <c r="W75">
        <v>22.5</v>
      </c>
      <c r="X75">
        <v>29.75</v>
      </c>
      <c r="Y75">
        <v>7.25</v>
      </c>
      <c r="Z75" t="s">
        <v>99</v>
      </c>
      <c r="AA75" t="s">
        <v>88</v>
      </c>
      <c r="AB75" t="s">
        <v>100</v>
      </c>
      <c r="AC75" t="s">
        <v>146</v>
      </c>
      <c r="AD75" t="s">
        <v>90</v>
      </c>
    </row>
    <row r="76" spans="1:30" hidden="1">
      <c r="A76" s="1">
        <v>45414</v>
      </c>
      <c r="B76" t="s">
        <v>10</v>
      </c>
      <c r="C76" t="s">
        <v>92</v>
      </c>
      <c r="D76" t="s">
        <v>76</v>
      </c>
      <c r="E76" t="s">
        <v>91</v>
      </c>
      <c r="F76" t="s">
        <v>78</v>
      </c>
      <c r="G76" t="s">
        <v>79</v>
      </c>
      <c r="H76" t="s">
        <v>80</v>
      </c>
      <c r="I76" t="s">
        <v>81</v>
      </c>
      <c r="J76" t="s">
        <v>82</v>
      </c>
      <c r="K76" t="s">
        <v>76</v>
      </c>
      <c r="L76" t="s">
        <v>8</v>
      </c>
      <c r="M76" t="s">
        <v>83</v>
      </c>
      <c r="N76" t="s">
        <v>93</v>
      </c>
      <c r="O76" t="s">
        <v>85</v>
      </c>
      <c r="P76">
        <v>243530</v>
      </c>
      <c r="Q76" t="s">
        <v>4</v>
      </c>
      <c r="R76" t="s">
        <v>94</v>
      </c>
      <c r="S76" t="s">
        <v>87</v>
      </c>
      <c r="T76">
        <v>90</v>
      </c>
      <c r="U76">
        <v>6.25</v>
      </c>
      <c r="V76" s="2">
        <v>0.26041666666666669</v>
      </c>
      <c r="W76">
        <v>562.5</v>
      </c>
      <c r="X76">
        <v>756.3</v>
      </c>
      <c r="Y76">
        <v>193.8</v>
      </c>
      <c r="Z76" t="s">
        <v>147</v>
      </c>
      <c r="AA76" t="s">
        <v>88</v>
      </c>
      <c r="AB76" t="s">
        <v>100</v>
      </c>
      <c r="AC76" t="s">
        <v>148</v>
      </c>
      <c r="AD76" t="s">
        <v>90</v>
      </c>
    </row>
    <row r="77" spans="1:30" hidden="1">
      <c r="A77" s="1">
        <v>45414</v>
      </c>
      <c r="B77" t="s">
        <v>114</v>
      </c>
      <c r="C77" t="s">
        <v>75</v>
      </c>
      <c r="D77" t="s">
        <v>76</v>
      </c>
      <c r="E77" t="s">
        <v>91</v>
      </c>
      <c r="F77" t="s">
        <v>78</v>
      </c>
      <c r="G77" t="s">
        <v>79</v>
      </c>
      <c r="H77" t="s">
        <v>80</v>
      </c>
      <c r="I77" t="s">
        <v>81</v>
      </c>
      <c r="J77" t="s">
        <v>82</v>
      </c>
      <c r="K77" t="s">
        <v>76</v>
      </c>
      <c r="L77" t="s">
        <v>8</v>
      </c>
      <c r="M77" t="s">
        <v>83</v>
      </c>
      <c r="N77" t="s">
        <v>93</v>
      </c>
      <c r="O77" t="s">
        <v>85</v>
      </c>
      <c r="P77">
        <v>242593</v>
      </c>
      <c r="Q77" t="s">
        <v>4</v>
      </c>
      <c r="R77" t="s">
        <v>94</v>
      </c>
      <c r="S77" t="s">
        <v>87</v>
      </c>
      <c r="T77">
        <v>90</v>
      </c>
      <c r="U77">
        <v>1.5</v>
      </c>
      <c r="V77" s="2">
        <v>6.25E-2</v>
      </c>
      <c r="W77">
        <v>135</v>
      </c>
      <c r="X77">
        <v>181.51</v>
      </c>
      <c r="Y77">
        <v>46.51</v>
      </c>
      <c r="Z77" t="s">
        <v>147</v>
      </c>
      <c r="AA77" t="s">
        <v>88</v>
      </c>
      <c r="AB77" t="s">
        <v>100</v>
      </c>
      <c r="AC77" t="s">
        <v>149</v>
      </c>
      <c r="AD77" t="s">
        <v>90</v>
      </c>
    </row>
    <row r="78" spans="1:30" hidden="1">
      <c r="A78" s="1">
        <v>45415</v>
      </c>
      <c r="B78" t="s">
        <v>10</v>
      </c>
      <c r="C78" t="s">
        <v>92</v>
      </c>
      <c r="D78" t="s">
        <v>76</v>
      </c>
      <c r="E78" t="s">
        <v>91</v>
      </c>
      <c r="F78" t="s">
        <v>78</v>
      </c>
      <c r="G78" t="s">
        <v>79</v>
      </c>
      <c r="H78" t="s">
        <v>80</v>
      </c>
      <c r="I78" t="s">
        <v>81</v>
      </c>
      <c r="J78" t="s">
        <v>82</v>
      </c>
      <c r="K78" t="s">
        <v>76</v>
      </c>
      <c r="L78" t="s">
        <v>8</v>
      </c>
      <c r="M78" t="s">
        <v>83</v>
      </c>
      <c r="N78" t="s">
        <v>93</v>
      </c>
      <c r="O78" t="s">
        <v>85</v>
      </c>
      <c r="P78">
        <v>243531</v>
      </c>
      <c r="Q78" t="s">
        <v>4</v>
      </c>
      <c r="R78" t="s">
        <v>94</v>
      </c>
      <c r="S78" t="s">
        <v>87</v>
      </c>
      <c r="T78">
        <v>90</v>
      </c>
      <c r="U78">
        <v>3</v>
      </c>
      <c r="V78" s="2">
        <v>0.125</v>
      </c>
      <c r="W78">
        <v>270</v>
      </c>
      <c r="X78">
        <v>363.03</v>
      </c>
      <c r="Y78">
        <v>93.03</v>
      </c>
      <c r="Z78" t="s">
        <v>147</v>
      </c>
      <c r="AA78" t="s">
        <v>88</v>
      </c>
      <c r="AB78" t="s">
        <v>100</v>
      </c>
      <c r="AC78" t="s">
        <v>150</v>
      </c>
      <c r="AD78" t="s">
        <v>90</v>
      </c>
    </row>
    <row r="79" spans="1:30" hidden="1">
      <c r="A79" s="1">
        <v>45415</v>
      </c>
      <c r="B79" t="s">
        <v>114</v>
      </c>
      <c r="C79" t="s">
        <v>75</v>
      </c>
      <c r="D79" t="s">
        <v>76</v>
      </c>
      <c r="E79" t="s">
        <v>91</v>
      </c>
      <c r="F79" t="s">
        <v>78</v>
      </c>
      <c r="G79" t="s">
        <v>79</v>
      </c>
      <c r="H79" t="s">
        <v>80</v>
      </c>
      <c r="I79" t="s">
        <v>81</v>
      </c>
      <c r="J79" t="s">
        <v>82</v>
      </c>
      <c r="K79" t="s">
        <v>76</v>
      </c>
      <c r="L79" t="s">
        <v>8</v>
      </c>
      <c r="M79" t="s">
        <v>83</v>
      </c>
      <c r="N79" t="s">
        <v>93</v>
      </c>
      <c r="O79" t="s">
        <v>85</v>
      </c>
      <c r="P79">
        <v>243054</v>
      </c>
      <c r="Q79" t="s">
        <v>4</v>
      </c>
      <c r="R79" t="s">
        <v>94</v>
      </c>
      <c r="S79" t="s">
        <v>87</v>
      </c>
      <c r="T79">
        <v>90</v>
      </c>
      <c r="U79">
        <v>2.75</v>
      </c>
      <c r="V79" s="2">
        <v>0.11458333333333333</v>
      </c>
      <c r="W79">
        <v>247.5</v>
      </c>
      <c r="X79">
        <v>332.77</v>
      </c>
      <c r="Y79">
        <v>85.27</v>
      </c>
      <c r="Z79" t="s">
        <v>147</v>
      </c>
      <c r="AA79" t="s">
        <v>88</v>
      </c>
      <c r="AB79" t="s">
        <v>100</v>
      </c>
      <c r="AC79" t="s">
        <v>151</v>
      </c>
      <c r="AD79" t="s">
        <v>90</v>
      </c>
    </row>
    <row r="80" spans="1:30" hidden="1">
      <c r="A80" s="1">
        <v>45415</v>
      </c>
      <c r="B80" t="s">
        <v>8</v>
      </c>
      <c r="C80" t="s">
        <v>75</v>
      </c>
      <c r="D80" t="s">
        <v>76</v>
      </c>
      <c r="E80" t="s">
        <v>77</v>
      </c>
      <c r="F80" t="s">
        <v>78</v>
      </c>
      <c r="G80" t="s">
        <v>79</v>
      </c>
      <c r="H80" t="s">
        <v>80</v>
      </c>
      <c r="I80" t="s">
        <v>81</v>
      </c>
      <c r="J80" t="s">
        <v>82</v>
      </c>
      <c r="K80" t="s">
        <v>76</v>
      </c>
      <c r="L80" t="s">
        <v>8</v>
      </c>
      <c r="M80" t="s">
        <v>83</v>
      </c>
      <c r="N80" t="s">
        <v>84</v>
      </c>
      <c r="O80" t="s">
        <v>85</v>
      </c>
      <c r="P80">
        <v>243418</v>
      </c>
      <c r="Q80" t="s">
        <v>5</v>
      </c>
      <c r="R80" t="s">
        <v>86</v>
      </c>
      <c r="S80" t="s">
        <v>87</v>
      </c>
      <c r="T80">
        <v>0</v>
      </c>
      <c r="U80">
        <v>0.5</v>
      </c>
      <c r="V80" s="2">
        <v>2.0833333333333332E-2</v>
      </c>
      <c r="W80">
        <v>0</v>
      </c>
      <c r="AA80" t="s">
        <v>88</v>
      </c>
      <c r="AB80" t="s">
        <v>100</v>
      </c>
      <c r="AC80" t="s">
        <v>84</v>
      </c>
      <c r="AD80" t="s">
        <v>90</v>
      </c>
    </row>
    <row r="81" spans="1:30" hidden="1">
      <c r="A81" s="1">
        <v>45418</v>
      </c>
      <c r="B81" t="s">
        <v>14</v>
      </c>
      <c r="C81" t="s">
        <v>75</v>
      </c>
      <c r="D81" t="s">
        <v>76</v>
      </c>
      <c r="E81" t="s">
        <v>77</v>
      </c>
      <c r="F81" t="s">
        <v>78</v>
      </c>
      <c r="G81" t="s">
        <v>79</v>
      </c>
      <c r="H81" t="s">
        <v>80</v>
      </c>
      <c r="I81" t="s">
        <v>81</v>
      </c>
      <c r="J81" t="s">
        <v>82</v>
      </c>
      <c r="K81" t="s">
        <v>76</v>
      </c>
      <c r="L81" t="s">
        <v>8</v>
      </c>
      <c r="M81" t="s">
        <v>83</v>
      </c>
      <c r="N81" t="s">
        <v>84</v>
      </c>
      <c r="O81" t="s">
        <v>85</v>
      </c>
      <c r="P81">
        <v>243733</v>
      </c>
      <c r="Q81" t="s">
        <v>5</v>
      </c>
      <c r="R81" t="s">
        <v>86</v>
      </c>
      <c r="S81" t="s">
        <v>87</v>
      </c>
      <c r="T81">
        <v>0</v>
      </c>
      <c r="U81">
        <v>0.25</v>
      </c>
      <c r="V81" s="2">
        <v>1.0416666666666666E-2</v>
      </c>
      <c r="W81">
        <v>0</v>
      </c>
      <c r="AA81" t="s">
        <v>88</v>
      </c>
      <c r="AB81" t="s">
        <v>100</v>
      </c>
      <c r="AC81" t="s">
        <v>96</v>
      </c>
      <c r="AD81" t="s">
        <v>90</v>
      </c>
    </row>
    <row r="82" spans="1:30" hidden="1">
      <c r="A82" s="1">
        <v>45418</v>
      </c>
      <c r="B82" t="s">
        <v>114</v>
      </c>
      <c r="C82" t="s">
        <v>75</v>
      </c>
      <c r="D82" t="s">
        <v>76</v>
      </c>
      <c r="E82" t="s">
        <v>91</v>
      </c>
      <c r="F82" t="s">
        <v>78</v>
      </c>
      <c r="G82" t="s">
        <v>79</v>
      </c>
      <c r="H82" t="s">
        <v>80</v>
      </c>
      <c r="I82" t="s">
        <v>81</v>
      </c>
      <c r="J82" t="s">
        <v>82</v>
      </c>
      <c r="K82" t="s">
        <v>76</v>
      </c>
      <c r="L82" t="s">
        <v>8</v>
      </c>
      <c r="M82" t="s">
        <v>83</v>
      </c>
      <c r="N82" t="s">
        <v>93</v>
      </c>
      <c r="O82" t="s">
        <v>85</v>
      </c>
      <c r="P82">
        <v>243722</v>
      </c>
      <c r="Q82" t="s">
        <v>4</v>
      </c>
      <c r="R82" t="s">
        <v>94</v>
      </c>
      <c r="S82" t="s">
        <v>87</v>
      </c>
      <c r="T82">
        <v>90</v>
      </c>
      <c r="U82">
        <v>2</v>
      </c>
      <c r="V82" s="2">
        <v>8.3333333333333329E-2</v>
      </c>
      <c r="W82">
        <v>180</v>
      </c>
      <c r="X82">
        <v>242.02</v>
      </c>
      <c r="Y82">
        <v>62.02</v>
      </c>
      <c r="Z82" t="s">
        <v>147</v>
      </c>
      <c r="AA82" t="s">
        <v>88</v>
      </c>
      <c r="AB82" t="s">
        <v>100</v>
      </c>
      <c r="AC82" t="s">
        <v>152</v>
      </c>
      <c r="AD82" t="s">
        <v>90</v>
      </c>
    </row>
    <row r="83" spans="1:30" hidden="1">
      <c r="A83" s="1">
        <v>45418</v>
      </c>
      <c r="B83" t="s">
        <v>114</v>
      </c>
      <c r="C83" t="s">
        <v>75</v>
      </c>
      <c r="D83" t="s">
        <v>76</v>
      </c>
      <c r="E83" t="s">
        <v>91</v>
      </c>
      <c r="F83" t="s">
        <v>78</v>
      </c>
      <c r="G83" t="s">
        <v>79</v>
      </c>
      <c r="H83" t="s">
        <v>80</v>
      </c>
      <c r="I83" t="s">
        <v>81</v>
      </c>
      <c r="J83" t="s">
        <v>82</v>
      </c>
      <c r="K83" t="s">
        <v>76</v>
      </c>
      <c r="L83" t="s">
        <v>8</v>
      </c>
      <c r="M83" t="s">
        <v>83</v>
      </c>
      <c r="N83" t="s">
        <v>93</v>
      </c>
      <c r="O83" t="s">
        <v>85</v>
      </c>
      <c r="P83">
        <v>243723</v>
      </c>
      <c r="Q83" t="s">
        <v>5</v>
      </c>
      <c r="R83" t="s">
        <v>86</v>
      </c>
      <c r="S83" t="s">
        <v>87</v>
      </c>
      <c r="T83">
        <v>0</v>
      </c>
      <c r="U83">
        <v>1.5</v>
      </c>
      <c r="V83" s="2">
        <v>6.25E-2</v>
      </c>
      <c r="W83">
        <v>0</v>
      </c>
      <c r="AA83" t="s">
        <v>88</v>
      </c>
      <c r="AB83" t="s">
        <v>100</v>
      </c>
      <c r="AC83" t="s">
        <v>153</v>
      </c>
      <c r="AD83" t="s">
        <v>90</v>
      </c>
    </row>
    <row r="84" spans="1:30" hidden="1">
      <c r="A84" s="1">
        <v>45418</v>
      </c>
      <c r="B84" t="s">
        <v>8</v>
      </c>
      <c r="C84" t="s">
        <v>75</v>
      </c>
      <c r="D84" t="s">
        <v>76</v>
      </c>
      <c r="E84" t="s">
        <v>77</v>
      </c>
      <c r="F84" t="s">
        <v>78</v>
      </c>
      <c r="G84" t="s">
        <v>79</v>
      </c>
      <c r="H84" t="s">
        <v>80</v>
      </c>
      <c r="I84" t="s">
        <v>81</v>
      </c>
      <c r="J84" t="s">
        <v>82</v>
      </c>
      <c r="K84" t="s">
        <v>76</v>
      </c>
      <c r="L84" t="s">
        <v>8</v>
      </c>
      <c r="M84" t="s">
        <v>83</v>
      </c>
      <c r="N84" t="s">
        <v>84</v>
      </c>
      <c r="O84" t="s">
        <v>85</v>
      </c>
      <c r="P84">
        <v>243831</v>
      </c>
      <c r="Q84" t="s">
        <v>5</v>
      </c>
      <c r="R84" t="s">
        <v>86</v>
      </c>
      <c r="S84" t="s">
        <v>87</v>
      </c>
      <c r="T84">
        <v>0</v>
      </c>
      <c r="U84">
        <v>0.5</v>
      </c>
      <c r="V84" s="2">
        <v>2.0833333333333332E-2</v>
      </c>
      <c r="W84">
        <v>0</v>
      </c>
      <c r="AA84" t="s">
        <v>88</v>
      </c>
      <c r="AB84" t="s">
        <v>100</v>
      </c>
      <c r="AC84" t="s">
        <v>84</v>
      </c>
      <c r="AD84" t="s">
        <v>90</v>
      </c>
    </row>
    <row r="85" spans="1:30" hidden="1">
      <c r="A85" s="1">
        <v>45419</v>
      </c>
      <c r="B85" t="s">
        <v>10</v>
      </c>
      <c r="C85" t="s">
        <v>92</v>
      </c>
      <c r="D85" t="s">
        <v>76</v>
      </c>
      <c r="E85" t="s">
        <v>91</v>
      </c>
      <c r="F85" t="s">
        <v>78</v>
      </c>
      <c r="G85" t="s">
        <v>79</v>
      </c>
      <c r="H85" t="s">
        <v>80</v>
      </c>
      <c r="I85" t="s">
        <v>81</v>
      </c>
      <c r="J85" t="s">
        <v>82</v>
      </c>
      <c r="K85" t="s">
        <v>76</v>
      </c>
      <c r="L85" t="s">
        <v>8</v>
      </c>
      <c r="M85" t="s">
        <v>83</v>
      </c>
      <c r="N85" t="s">
        <v>93</v>
      </c>
      <c r="O85" t="s">
        <v>85</v>
      </c>
      <c r="P85">
        <v>244331</v>
      </c>
      <c r="Q85" t="s">
        <v>4</v>
      </c>
      <c r="R85" t="s">
        <v>94</v>
      </c>
      <c r="S85" t="s">
        <v>87</v>
      </c>
      <c r="T85">
        <v>90</v>
      </c>
      <c r="U85">
        <v>4</v>
      </c>
      <c r="V85" s="2">
        <v>0.16666666666666666</v>
      </c>
      <c r="W85">
        <v>360</v>
      </c>
      <c r="X85">
        <v>484.03</v>
      </c>
      <c r="Y85">
        <v>124.03</v>
      </c>
      <c r="Z85" t="s">
        <v>147</v>
      </c>
      <c r="AA85" t="s">
        <v>88</v>
      </c>
      <c r="AB85" t="s">
        <v>100</v>
      </c>
      <c r="AC85" t="s">
        <v>154</v>
      </c>
      <c r="AD85" t="s">
        <v>90</v>
      </c>
    </row>
    <row r="86" spans="1:30" hidden="1">
      <c r="A86" s="1">
        <v>45419</v>
      </c>
      <c r="B86" t="s">
        <v>93</v>
      </c>
      <c r="C86" t="s">
        <v>75</v>
      </c>
      <c r="D86" t="s">
        <v>76</v>
      </c>
      <c r="E86" t="s">
        <v>91</v>
      </c>
      <c r="F86" t="s">
        <v>78</v>
      </c>
      <c r="G86" t="s">
        <v>79</v>
      </c>
      <c r="H86" t="s">
        <v>80</v>
      </c>
      <c r="I86" t="s">
        <v>81</v>
      </c>
      <c r="J86" t="s">
        <v>82</v>
      </c>
      <c r="K86" t="s">
        <v>76</v>
      </c>
      <c r="L86" t="s">
        <v>8</v>
      </c>
      <c r="M86" t="s">
        <v>83</v>
      </c>
      <c r="N86" t="s">
        <v>84</v>
      </c>
      <c r="O86" t="s">
        <v>85</v>
      </c>
      <c r="P86">
        <v>243918</v>
      </c>
      <c r="Q86" t="s">
        <v>4</v>
      </c>
      <c r="R86" t="s">
        <v>94</v>
      </c>
      <c r="S86" t="s">
        <v>87</v>
      </c>
      <c r="T86">
        <v>90</v>
      </c>
      <c r="U86">
        <v>1</v>
      </c>
      <c r="V86" s="2">
        <v>4.1666666666666664E-2</v>
      </c>
      <c r="W86">
        <v>90</v>
      </c>
      <c r="X86">
        <v>121.01</v>
      </c>
      <c r="Y86">
        <v>31.01</v>
      </c>
      <c r="Z86" t="s">
        <v>147</v>
      </c>
      <c r="AA86" t="s">
        <v>88</v>
      </c>
      <c r="AB86" t="s">
        <v>100</v>
      </c>
      <c r="AC86" t="s">
        <v>155</v>
      </c>
      <c r="AD86" t="s">
        <v>90</v>
      </c>
    </row>
    <row r="87" spans="1:30" hidden="1">
      <c r="A87" s="1">
        <v>45419</v>
      </c>
      <c r="B87" t="s">
        <v>8</v>
      </c>
      <c r="C87" t="s">
        <v>75</v>
      </c>
      <c r="D87" t="s">
        <v>76</v>
      </c>
      <c r="E87" t="s">
        <v>77</v>
      </c>
      <c r="F87" t="s">
        <v>78</v>
      </c>
      <c r="G87" t="s">
        <v>79</v>
      </c>
      <c r="H87" t="s">
        <v>80</v>
      </c>
      <c r="I87" t="s">
        <v>81</v>
      </c>
      <c r="J87" t="s">
        <v>82</v>
      </c>
      <c r="K87" t="s">
        <v>76</v>
      </c>
      <c r="L87" t="s">
        <v>8</v>
      </c>
      <c r="M87" t="s">
        <v>83</v>
      </c>
      <c r="N87" t="s">
        <v>84</v>
      </c>
      <c r="O87" t="s">
        <v>85</v>
      </c>
      <c r="P87">
        <v>244356</v>
      </c>
      <c r="Q87" t="s">
        <v>5</v>
      </c>
      <c r="R87" t="s">
        <v>86</v>
      </c>
      <c r="S87" t="s">
        <v>87</v>
      </c>
      <c r="T87">
        <v>0</v>
      </c>
      <c r="U87">
        <v>0.5</v>
      </c>
      <c r="V87" s="2">
        <v>2.0833333333333332E-2</v>
      </c>
      <c r="W87">
        <v>0</v>
      </c>
      <c r="AA87" t="s">
        <v>88</v>
      </c>
      <c r="AB87" t="s">
        <v>100</v>
      </c>
      <c r="AC87" t="s">
        <v>84</v>
      </c>
      <c r="AD87" t="s">
        <v>90</v>
      </c>
    </row>
    <row r="88" spans="1:30" hidden="1">
      <c r="A88" s="1">
        <v>45419</v>
      </c>
      <c r="B88" t="s">
        <v>108</v>
      </c>
      <c r="C88" t="s">
        <v>75</v>
      </c>
      <c r="D88" t="s">
        <v>76</v>
      </c>
      <c r="E88" t="s">
        <v>91</v>
      </c>
      <c r="F88" t="s">
        <v>78</v>
      </c>
      <c r="G88" t="s">
        <v>79</v>
      </c>
      <c r="H88" t="s">
        <v>80</v>
      </c>
      <c r="I88" t="s">
        <v>81</v>
      </c>
      <c r="J88" t="s">
        <v>82</v>
      </c>
      <c r="K88" t="s">
        <v>76</v>
      </c>
      <c r="L88" t="s">
        <v>8</v>
      </c>
      <c r="M88" t="s">
        <v>83</v>
      </c>
      <c r="N88" t="s">
        <v>93</v>
      </c>
      <c r="O88" t="s">
        <v>85</v>
      </c>
      <c r="P88">
        <v>244430</v>
      </c>
      <c r="Q88" t="s">
        <v>5</v>
      </c>
      <c r="R88" t="s">
        <v>86</v>
      </c>
      <c r="S88" t="s">
        <v>87</v>
      </c>
      <c r="T88">
        <v>0</v>
      </c>
      <c r="U88">
        <v>1</v>
      </c>
      <c r="V88" s="2">
        <v>4.1666666666666664E-2</v>
      </c>
      <c r="W88">
        <v>0</v>
      </c>
      <c r="AA88" t="s">
        <v>88</v>
      </c>
      <c r="AB88" t="s">
        <v>100</v>
      </c>
      <c r="AC88" t="s">
        <v>156</v>
      </c>
      <c r="AD88" t="s">
        <v>90</v>
      </c>
    </row>
    <row r="89" spans="1:30" hidden="1">
      <c r="A89" s="1">
        <v>45420</v>
      </c>
      <c r="B89" t="s">
        <v>10</v>
      </c>
      <c r="C89" t="s">
        <v>92</v>
      </c>
      <c r="D89" t="s">
        <v>76</v>
      </c>
      <c r="E89" t="s">
        <v>91</v>
      </c>
      <c r="F89" t="s">
        <v>78</v>
      </c>
      <c r="G89" t="s">
        <v>79</v>
      </c>
      <c r="H89" t="s">
        <v>80</v>
      </c>
      <c r="I89" t="s">
        <v>81</v>
      </c>
      <c r="J89" t="s">
        <v>82</v>
      </c>
      <c r="K89" t="s">
        <v>76</v>
      </c>
      <c r="L89" t="s">
        <v>8</v>
      </c>
      <c r="M89" t="s">
        <v>83</v>
      </c>
      <c r="N89" t="s">
        <v>93</v>
      </c>
      <c r="O89" t="s">
        <v>85</v>
      </c>
      <c r="P89">
        <v>244755</v>
      </c>
      <c r="Q89" t="s">
        <v>4</v>
      </c>
      <c r="R89" t="s">
        <v>94</v>
      </c>
      <c r="S89" t="s">
        <v>87</v>
      </c>
      <c r="T89">
        <v>90</v>
      </c>
      <c r="U89">
        <v>6</v>
      </c>
      <c r="V89" s="2">
        <v>0.25</v>
      </c>
      <c r="W89">
        <v>540</v>
      </c>
      <c r="X89">
        <v>726.05</v>
      </c>
      <c r="Y89">
        <v>186.05</v>
      </c>
      <c r="Z89" t="s">
        <v>147</v>
      </c>
      <c r="AA89" t="s">
        <v>88</v>
      </c>
      <c r="AB89" t="s">
        <v>100</v>
      </c>
      <c r="AC89" t="s">
        <v>157</v>
      </c>
      <c r="AD89" t="s">
        <v>90</v>
      </c>
    </row>
    <row r="90" spans="1:30" hidden="1">
      <c r="A90" s="1">
        <v>45420</v>
      </c>
      <c r="B90" t="s">
        <v>14</v>
      </c>
      <c r="C90" t="s">
        <v>75</v>
      </c>
      <c r="D90" t="s">
        <v>76</v>
      </c>
      <c r="E90" t="s">
        <v>77</v>
      </c>
      <c r="F90" t="s">
        <v>78</v>
      </c>
      <c r="G90" t="s">
        <v>79</v>
      </c>
      <c r="H90" t="s">
        <v>80</v>
      </c>
      <c r="I90" t="s">
        <v>81</v>
      </c>
      <c r="J90" t="s">
        <v>82</v>
      </c>
      <c r="K90" t="s">
        <v>76</v>
      </c>
      <c r="L90" t="s">
        <v>8</v>
      </c>
      <c r="M90" t="s">
        <v>83</v>
      </c>
      <c r="N90" t="s">
        <v>84</v>
      </c>
      <c r="O90" t="s">
        <v>85</v>
      </c>
      <c r="P90">
        <v>244453</v>
      </c>
      <c r="Q90" t="s">
        <v>5</v>
      </c>
      <c r="R90" t="s">
        <v>86</v>
      </c>
      <c r="S90" t="s">
        <v>87</v>
      </c>
      <c r="T90">
        <v>0</v>
      </c>
      <c r="U90">
        <v>0.25</v>
      </c>
      <c r="V90" s="2">
        <v>1.0416666666666666E-2</v>
      </c>
      <c r="W90">
        <v>0</v>
      </c>
      <c r="AA90" t="s">
        <v>88</v>
      </c>
      <c r="AB90" t="s">
        <v>100</v>
      </c>
      <c r="AC90" t="s">
        <v>158</v>
      </c>
      <c r="AD90" t="s">
        <v>90</v>
      </c>
    </row>
    <row r="91" spans="1:30" hidden="1">
      <c r="A91" s="1">
        <v>45420</v>
      </c>
      <c r="B91" t="s">
        <v>8</v>
      </c>
      <c r="C91" t="s">
        <v>75</v>
      </c>
      <c r="D91" t="s">
        <v>76</v>
      </c>
      <c r="E91" t="s">
        <v>77</v>
      </c>
      <c r="F91" t="s">
        <v>78</v>
      </c>
      <c r="G91" t="s">
        <v>79</v>
      </c>
      <c r="H91" t="s">
        <v>80</v>
      </c>
      <c r="I91" t="s">
        <v>81</v>
      </c>
      <c r="J91" t="s">
        <v>82</v>
      </c>
      <c r="K91" t="s">
        <v>76</v>
      </c>
      <c r="L91" t="s">
        <v>8</v>
      </c>
      <c r="M91" t="s">
        <v>83</v>
      </c>
      <c r="N91" t="s">
        <v>84</v>
      </c>
      <c r="O91" t="s">
        <v>85</v>
      </c>
      <c r="P91">
        <v>244599</v>
      </c>
      <c r="Q91" t="s">
        <v>5</v>
      </c>
      <c r="R91" t="s">
        <v>86</v>
      </c>
      <c r="S91" t="s">
        <v>87</v>
      </c>
      <c r="T91">
        <v>0</v>
      </c>
      <c r="U91">
        <v>0.5</v>
      </c>
      <c r="V91" s="2">
        <v>2.0833333333333332E-2</v>
      </c>
      <c r="W91">
        <v>0</v>
      </c>
      <c r="AA91" t="s">
        <v>88</v>
      </c>
      <c r="AB91" t="s">
        <v>100</v>
      </c>
      <c r="AC91" t="s">
        <v>84</v>
      </c>
      <c r="AD91" t="s">
        <v>90</v>
      </c>
    </row>
    <row r="92" spans="1:30" hidden="1">
      <c r="A92" s="1">
        <v>45420</v>
      </c>
      <c r="B92" t="s">
        <v>108</v>
      </c>
      <c r="C92" t="s">
        <v>75</v>
      </c>
      <c r="D92" t="s">
        <v>76</v>
      </c>
      <c r="E92" t="s">
        <v>91</v>
      </c>
      <c r="F92" t="s">
        <v>78</v>
      </c>
      <c r="G92" t="s">
        <v>79</v>
      </c>
      <c r="H92" t="s">
        <v>80</v>
      </c>
      <c r="I92" t="s">
        <v>81</v>
      </c>
      <c r="J92" t="s">
        <v>82</v>
      </c>
      <c r="K92" t="s">
        <v>76</v>
      </c>
      <c r="L92" t="s">
        <v>8</v>
      </c>
      <c r="M92" t="s">
        <v>83</v>
      </c>
      <c r="N92" t="s">
        <v>93</v>
      </c>
      <c r="O92" t="s">
        <v>85</v>
      </c>
      <c r="P92">
        <v>244738</v>
      </c>
      <c r="Q92" t="s">
        <v>5</v>
      </c>
      <c r="R92" t="s">
        <v>86</v>
      </c>
      <c r="S92" t="s">
        <v>87</v>
      </c>
      <c r="T92">
        <v>0</v>
      </c>
      <c r="U92">
        <v>2</v>
      </c>
      <c r="V92" s="2">
        <v>8.3333333333333329E-2</v>
      </c>
      <c r="W92">
        <v>0</v>
      </c>
      <c r="AA92" t="s">
        <v>88</v>
      </c>
      <c r="AB92" t="s">
        <v>100</v>
      </c>
      <c r="AC92" t="s">
        <v>84</v>
      </c>
      <c r="AD92" t="s">
        <v>90</v>
      </c>
    </row>
    <row r="93" spans="1:30" hidden="1">
      <c r="A93" s="1">
        <v>45421</v>
      </c>
      <c r="B93" t="s">
        <v>10</v>
      </c>
      <c r="C93" t="s">
        <v>92</v>
      </c>
      <c r="D93" t="s">
        <v>76</v>
      </c>
      <c r="E93" t="s">
        <v>91</v>
      </c>
      <c r="F93" t="s">
        <v>78</v>
      </c>
      <c r="G93" t="s">
        <v>79</v>
      </c>
      <c r="H93" t="s">
        <v>80</v>
      </c>
      <c r="I93" t="s">
        <v>81</v>
      </c>
      <c r="J93" t="s">
        <v>82</v>
      </c>
      <c r="K93" t="s">
        <v>76</v>
      </c>
      <c r="L93" t="s">
        <v>8</v>
      </c>
      <c r="M93" t="s">
        <v>83</v>
      </c>
      <c r="N93" t="s">
        <v>93</v>
      </c>
      <c r="O93" t="s">
        <v>85</v>
      </c>
      <c r="P93">
        <v>247351</v>
      </c>
      <c r="Q93" t="s">
        <v>5</v>
      </c>
      <c r="R93" t="s">
        <v>86</v>
      </c>
      <c r="S93" t="s">
        <v>87</v>
      </c>
      <c r="T93">
        <v>0</v>
      </c>
      <c r="U93">
        <v>7</v>
      </c>
      <c r="V93" s="2">
        <v>0.29166666666666669</v>
      </c>
      <c r="W93">
        <v>0</v>
      </c>
      <c r="AA93" t="s">
        <v>88</v>
      </c>
      <c r="AB93" t="s">
        <v>100</v>
      </c>
      <c r="AC93" t="s">
        <v>159</v>
      </c>
      <c r="AD93" t="s">
        <v>90</v>
      </c>
    </row>
    <row r="94" spans="1:30" hidden="1">
      <c r="A94" s="1">
        <v>45421</v>
      </c>
      <c r="B94" t="s">
        <v>14</v>
      </c>
      <c r="C94" t="s">
        <v>75</v>
      </c>
      <c r="D94" t="s">
        <v>76</v>
      </c>
      <c r="E94" t="s">
        <v>77</v>
      </c>
      <c r="F94" t="s">
        <v>78</v>
      </c>
      <c r="G94" t="s">
        <v>79</v>
      </c>
      <c r="H94" t="s">
        <v>80</v>
      </c>
      <c r="I94" t="s">
        <v>81</v>
      </c>
      <c r="J94" t="s">
        <v>82</v>
      </c>
      <c r="K94" t="s">
        <v>76</v>
      </c>
      <c r="L94" t="s">
        <v>8</v>
      </c>
      <c r="M94" t="s">
        <v>83</v>
      </c>
      <c r="N94" t="s">
        <v>84</v>
      </c>
      <c r="O94" t="s">
        <v>85</v>
      </c>
      <c r="P94">
        <v>245372</v>
      </c>
      <c r="Q94" t="s">
        <v>5</v>
      </c>
      <c r="R94" t="s">
        <v>86</v>
      </c>
      <c r="S94" t="s">
        <v>87</v>
      </c>
      <c r="T94">
        <v>0</v>
      </c>
      <c r="U94">
        <v>0.25</v>
      </c>
      <c r="V94" s="2">
        <v>1.0416666666666666E-2</v>
      </c>
      <c r="W94">
        <v>0</v>
      </c>
      <c r="AA94" t="s">
        <v>88</v>
      </c>
      <c r="AB94" t="s">
        <v>100</v>
      </c>
      <c r="AC94" t="s">
        <v>160</v>
      </c>
      <c r="AD94" t="s">
        <v>90</v>
      </c>
    </row>
    <row r="95" spans="1:30" hidden="1">
      <c r="A95" s="1">
        <v>45421</v>
      </c>
      <c r="B95" t="s">
        <v>114</v>
      </c>
      <c r="C95" t="s">
        <v>75</v>
      </c>
      <c r="D95" t="s">
        <v>76</v>
      </c>
      <c r="E95" t="s">
        <v>91</v>
      </c>
      <c r="F95" t="s">
        <v>78</v>
      </c>
      <c r="G95" t="s">
        <v>79</v>
      </c>
      <c r="H95" t="s">
        <v>80</v>
      </c>
      <c r="I95" t="s">
        <v>81</v>
      </c>
      <c r="J95" t="s">
        <v>82</v>
      </c>
      <c r="K95" t="s">
        <v>76</v>
      </c>
      <c r="L95" t="s">
        <v>8</v>
      </c>
      <c r="M95" t="s">
        <v>83</v>
      </c>
      <c r="N95" t="s">
        <v>93</v>
      </c>
      <c r="O95" t="s">
        <v>85</v>
      </c>
      <c r="P95">
        <v>245138</v>
      </c>
      <c r="Q95" t="s">
        <v>4</v>
      </c>
      <c r="R95" t="s">
        <v>94</v>
      </c>
      <c r="S95" t="s">
        <v>87</v>
      </c>
      <c r="T95">
        <v>90</v>
      </c>
      <c r="U95">
        <v>0.75</v>
      </c>
      <c r="V95" s="2">
        <v>3.125E-2</v>
      </c>
      <c r="W95">
        <v>67.5</v>
      </c>
      <c r="X95">
        <v>90.76</v>
      </c>
      <c r="Y95">
        <v>23.26</v>
      </c>
      <c r="Z95" t="s">
        <v>147</v>
      </c>
      <c r="AA95" t="s">
        <v>88</v>
      </c>
      <c r="AB95" t="s">
        <v>100</v>
      </c>
      <c r="AC95" t="s">
        <v>161</v>
      </c>
      <c r="AD95" t="s">
        <v>90</v>
      </c>
    </row>
    <row r="96" spans="1:30" hidden="1">
      <c r="A96" s="1">
        <v>45421</v>
      </c>
      <c r="B96" t="s">
        <v>114</v>
      </c>
      <c r="C96" t="s">
        <v>75</v>
      </c>
      <c r="D96" t="s">
        <v>76</v>
      </c>
      <c r="E96" t="s">
        <v>91</v>
      </c>
      <c r="F96" t="s">
        <v>78</v>
      </c>
      <c r="G96" t="s">
        <v>79</v>
      </c>
      <c r="H96" t="s">
        <v>80</v>
      </c>
      <c r="I96" t="s">
        <v>81</v>
      </c>
      <c r="J96" t="s">
        <v>82</v>
      </c>
      <c r="K96" t="s">
        <v>76</v>
      </c>
      <c r="L96" t="s">
        <v>8</v>
      </c>
      <c r="M96" t="s">
        <v>83</v>
      </c>
      <c r="N96" t="s">
        <v>93</v>
      </c>
      <c r="O96" t="s">
        <v>85</v>
      </c>
      <c r="P96">
        <v>245137</v>
      </c>
      <c r="Q96" t="s">
        <v>5</v>
      </c>
      <c r="R96" t="s">
        <v>86</v>
      </c>
      <c r="S96" t="s">
        <v>87</v>
      </c>
      <c r="T96">
        <v>0</v>
      </c>
      <c r="U96">
        <v>1.75</v>
      </c>
      <c r="V96" s="2">
        <v>7.2916666666666671E-2</v>
      </c>
      <c r="W96">
        <v>0</v>
      </c>
      <c r="AA96" t="s">
        <v>88</v>
      </c>
      <c r="AB96" t="s">
        <v>100</v>
      </c>
      <c r="AC96" t="e">
        <f ca="1">- Ticket update catch ups - BSS-22</f>
        <v>#NAME?</v>
      </c>
      <c r="AD96" t="s">
        <v>90</v>
      </c>
    </row>
    <row r="97" spans="1:30" hidden="1">
      <c r="A97" s="1">
        <v>45421</v>
      </c>
      <c r="B97" t="s">
        <v>8</v>
      </c>
      <c r="C97" t="s">
        <v>75</v>
      </c>
      <c r="D97" t="s">
        <v>76</v>
      </c>
      <c r="E97" t="s">
        <v>77</v>
      </c>
      <c r="F97" t="s">
        <v>78</v>
      </c>
      <c r="G97" t="s">
        <v>79</v>
      </c>
      <c r="H97" t="s">
        <v>80</v>
      </c>
      <c r="I97" t="s">
        <v>81</v>
      </c>
      <c r="J97" t="s">
        <v>82</v>
      </c>
      <c r="K97" t="s">
        <v>76</v>
      </c>
      <c r="L97" t="s">
        <v>8</v>
      </c>
      <c r="M97" t="s">
        <v>83</v>
      </c>
      <c r="N97" t="s">
        <v>84</v>
      </c>
      <c r="O97" t="s">
        <v>85</v>
      </c>
      <c r="P97">
        <v>245361</v>
      </c>
      <c r="Q97" t="s">
        <v>5</v>
      </c>
      <c r="R97" t="s">
        <v>86</v>
      </c>
      <c r="S97" t="s">
        <v>87</v>
      </c>
      <c r="T97">
        <v>0</v>
      </c>
      <c r="U97">
        <v>1</v>
      </c>
      <c r="V97" s="2">
        <v>4.1666666666666664E-2</v>
      </c>
      <c r="W97">
        <v>0</v>
      </c>
      <c r="AA97" t="s">
        <v>88</v>
      </c>
      <c r="AB97" t="s">
        <v>100</v>
      </c>
      <c r="AC97" t="s">
        <v>84</v>
      </c>
      <c r="AD97" t="s">
        <v>90</v>
      </c>
    </row>
    <row r="98" spans="1:30" hidden="1">
      <c r="A98" s="1">
        <v>45421</v>
      </c>
      <c r="B98" t="s">
        <v>108</v>
      </c>
      <c r="C98" t="s">
        <v>75</v>
      </c>
      <c r="D98" t="s">
        <v>76</v>
      </c>
      <c r="E98" t="s">
        <v>91</v>
      </c>
      <c r="F98" t="s">
        <v>78</v>
      </c>
      <c r="G98" t="s">
        <v>79</v>
      </c>
      <c r="H98" t="s">
        <v>80</v>
      </c>
      <c r="I98" t="s">
        <v>81</v>
      </c>
      <c r="J98" t="s">
        <v>82</v>
      </c>
      <c r="K98" t="s">
        <v>76</v>
      </c>
      <c r="L98" t="s">
        <v>8</v>
      </c>
      <c r="M98" t="s">
        <v>83</v>
      </c>
      <c r="N98" t="s">
        <v>93</v>
      </c>
      <c r="O98" t="s">
        <v>85</v>
      </c>
      <c r="P98">
        <v>245768</v>
      </c>
      <c r="Q98" t="s">
        <v>5</v>
      </c>
      <c r="R98" t="s">
        <v>86</v>
      </c>
      <c r="S98" t="s">
        <v>87</v>
      </c>
      <c r="T98">
        <v>0</v>
      </c>
      <c r="U98">
        <v>2</v>
      </c>
      <c r="V98" s="2">
        <v>8.3333333333333329E-2</v>
      </c>
      <c r="W98">
        <v>0</v>
      </c>
      <c r="AA98" t="s">
        <v>88</v>
      </c>
      <c r="AB98" t="s">
        <v>100</v>
      </c>
      <c r="AC98" t="s">
        <v>162</v>
      </c>
      <c r="AD98" t="s">
        <v>90</v>
      </c>
    </row>
    <row r="99" spans="1:30" hidden="1">
      <c r="A99" s="1">
        <v>45422</v>
      </c>
      <c r="B99" t="s">
        <v>114</v>
      </c>
      <c r="C99" t="s">
        <v>75</v>
      </c>
      <c r="D99" t="s">
        <v>76</v>
      </c>
      <c r="E99" t="s">
        <v>91</v>
      </c>
      <c r="F99" t="s">
        <v>78</v>
      </c>
      <c r="G99" t="s">
        <v>79</v>
      </c>
      <c r="H99" t="s">
        <v>80</v>
      </c>
      <c r="I99" t="s">
        <v>81</v>
      </c>
      <c r="J99" t="s">
        <v>82</v>
      </c>
      <c r="K99" t="s">
        <v>76</v>
      </c>
      <c r="L99" t="s">
        <v>8</v>
      </c>
      <c r="M99" t="s">
        <v>83</v>
      </c>
      <c r="N99" t="s">
        <v>93</v>
      </c>
      <c r="O99" t="s">
        <v>85</v>
      </c>
      <c r="P99">
        <v>247045</v>
      </c>
      <c r="Q99" t="s">
        <v>5</v>
      </c>
      <c r="R99" t="s">
        <v>86</v>
      </c>
      <c r="S99" t="s">
        <v>87</v>
      </c>
      <c r="T99">
        <v>0</v>
      </c>
      <c r="U99">
        <v>1.5</v>
      </c>
      <c r="V99" s="2">
        <v>6.25E-2</v>
      </c>
      <c r="W99">
        <v>0</v>
      </c>
      <c r="AA99" t="s">
        <v>88</v>
      </c>
      <c r="AB99" t="s">
        <v>100</v>
      </c>
      <c r="AC99" t="s">
        <v>84</v>
      </c>
      <c r="AD99" t="s">
        <v>90</v>
      </c>
    </row>
    <row r="100" spans="1:30" hidden="1">
      <c r="A100" s="1">
        <v>45422</v>
      </c>
      <c r="B100" t="s">
        <v>8</v>
      </c>
      <c r="C100" t="s">
        <v>75</v>
      </c>
      <c r="D100" t="s">
        <v>76</v>
      </c>
      <c r="E100" t="s">
        <v>77</v>
      </c>
      <c r="F100" t="s">
        <v>78</v>
      </c>
      <c r="G100" t="s">
        <v>79</v>
      </c>
      <c r="H100" t="s">
        <v>80</v>
      </c>
      <c r="I100" t="s">
        <v>81</v>
      </c>
      <c r="J100" t="s">
        <v>82</v>
      </c>
      <c r="K100" t="s">
        <v>76</v>
      </c>
      <c r="L100" t="s">
        <v>8</v>
      </c>
      <c r="M100" t="s">
        <v>83</v>
      </c>
      <c r="N100" t="s">
        <v>84</v>
      </c>
      <c r="O100" t="s">
        <v>85</v>
      </c>
      <c r="P100">
        <v>245722</v>
      </c>
      <c r="Q100" t="s">
        <v>5</v>
      </c>
      <c r="R100" t="s">
        <v>86</v>
      </c>
      <c r="S100" t="s">
        <v>87</v>
      </c>
      <c r="T100">
        <v>0</v>
      </c>
      <c r="U100">
        <v>0.5</v>
      </c>
      <c r="V100" s="2">
        <v>2.0833333333333332E-2</v>
      </c>
      <c r="W100">
        <v>0</v>
      </c>
      <c r="AA100" t="s">
        <v>88</v>
      </c>
      <c r="AB100" t="s">
        <v>100</v>
      </c>
      <c r="AC100" t="s">
        <v>84</v>
      </c>
      <c r="AD100" t="s">
        <v>90</v>
      </c>
    </row>
    <row r="101" spans="1:30" hidden="1">
      <c r="A101" s="1">
        <v>45422</v>
      </c>
      <c r="B101" t="s">
        <v>108</v>
      </c>
      <c r="C101" t="s">
        <v>75</v>
      </c>
      <c r="D101" t="s">
        <v>76</v>
      </c>
      <c r="E101" t="s">
        <v>91</v>
      </c>
      <c r="F101" t="s">
        <v>78</v>
      </c>
      <c r="G101" t="s">
        <v>79</v>
      </c>
      <c r="H101" t="s">
        <v>80</v>
      </c>
      <c r="I101" t="s">
        <v>81</v>
      </c>
      <c r="J101" t="s">
        <v>82</v>
      </c>
      <c r="K101" t="s">
        <v>76</v>
      </c>
      <c r="L101" t="s">
        <v>8</v>
      </c>
      <c r="M101" t="s">
        <v>83</v>
      </c>
      <c r="N101" t="s">
        <v>93</v>
      </c>
      <c r="O101" t="s">
        <v>85</v>
      </c>
      <c r="P101">
        <v>245776</v>
      </c>
      <c r="Q101" t="s">
        <v>5</v>
      </c>
      <c r="R101" t="s">
        <v>86</v>
      </c>
      <c r="S101" t="s">
        <v>87</v>
      </c>
      <c r="T101">
        <v>0</v>
      </c>
      <c r="U101">
        <v>2</v>
      </c>
      <c r="V101" s="2">
        <v>8.3333333333333329E-2</v>
      </c>
      <c r="W101">
        <v>0</v>
      </c>
      <c r="AA101" t="s">
        <v>88</v>
      </c>
      <c r="AB101" t="s">
        <v>100</v>
      </c>
      <c r="AC101" t="s">
        <v>84</v>
      </c>
      <c r="AD101" t="s">
        <v>90</v>
      </c>
    </row>
    <row r="102" spans="1:30" hidden="1">
      <c r="A102" s="1">
        <v>45425</v>
      </c>
      <c r="B102" t="s">
        <v>14</v>
      </c>
      <c r="C102" t="s">
        <v>75</v>
      </c>
      <c r="D102" t="s">
        <v>76</v>
      </c>
      <c r="E102" t="s">
        <v>77</v>
      </c>
      <c r="F102" t="s">
        <v>78</v>
      </c>
      <c r="G102" t="s">
        <v>79</v>
      </c>
      <c r="H102" t="s">
        <v>80</v>
      </c>
      <c r="I102" t="s">
        <v>81</v>
      </c>
      <c r="J102" t="s">
        <v>82</v>
      </c>
      <c r="K102" t="s">
        <v>76</v>
      </c>
      <c r="L102" t="s">
        <v>8</v>
      </c>
      <c r="M102" t="s">
        <v>83</v>
      </c>
      <c r="N102" t="s">
        <v>84</v>
      </c>
      <c r="O102" t="s">
        <v>85</v>
      </c>
      <c r="P102">
        <v>246667</v>
      </c>
      <c r="Q102" t="s">
        <v>5</v>
      </c>
      <c r="R102" t="s">
        <v>86</v>
      </c>
      <c r="S102" t="s">
        <v>87</v>
      </c>
      <c r="T102">
        <v>0</v>
      </c>
      <c r="U102">
        <v>0.5</v>
      </c>
      <c r="V102" s="2">
        <v>2.0833333333333332E-2</v>
      </c>
      <c r="W102">
        <v>0</v>
      </c>
      <c r="AA102" t="s">
        <v>88</v>
      </c>
      <c r="AB102" t="s">
        <v>100</v>
      </c>
      <c r="AC102" t="s">
        <v>163</v>
      </c>
      <c r="AD102" t="s">
        <v>90</v>
      </c>
    </row>
    <row r="103" spans="1:30" hidden="1">
      <c r="A103" s="1">
        <v>45425</v>
      </c>
      <c r="B103" t="s">
        <v>114</v>
      </c>
      <c r="C103" t="s">
        <v>75</v>
      </c>
      <c r="D103" t="s">
        <v>76</v>
      </c>
      <c r="E103" t="s">
        <v>91</v>
      </c>
      <c r="F103" t="s">
        <v>78</v>
      </c>
      <c r="G103" t="s">
        <v>79</v>
      </c>
      <c r="H103" t="s">
        <v>80</v>
      </c>
      <c r="I103" t="s">
        <v>81</v>
      </c>
      <c r="J103" t="s">
        <v>82</v>
      </c>
      <c r="K103" t="s">
        <v>76</v>
      </c>
      <c r="L103" t="s">
        <v>8</v>
      </c>
      <c r="M103" t="s">
        <v>83</v>
      </c>
      <c r="N103" t="s">
        <v>93</v>
      </c>
      <c r="O103" t="s">
        <v>85</v>
      </c>
      <c r="P103">
        <v>247044</v>
      </c>
      <c r="Q103" t="s">
        <v>5</v>
      </c>
      <c r="R103" t="s">
        <v>86</v>
      </c>
      <c r="S103" t="s">
        <v>87</v>
      </c>
      <c r="T103">
        <v>0</v>
      </c>
      <c r="U103">
        <v>3.5</v>
      </c>
      <c r="V103" s="2">
        <v>0.14583333333333334</v>
      </c>
      <c r="W103">
        <v>0</v>
      </c>
      <c r="AA103" t="s">
        <v>88</v>
      </c>
      <c r="AB103" t="s">
        <v>100</v>
      </c>
      <c r="AC103" t="s">
        <v>84</v>
      </c>
      <c r="AD103" t="s">
        <v>90</v>
      </c>
    </row>
    <row r="104" spans="1:30" hidden="1">
      <c r="A104" s="1">
        <v>45425</v>
      </c>
      <c r="B104" t="s">
        <v>8</v>
      </c>
      <c r="C104" t="s">
        <v>75</v>
      </c>
      <c r="D104" t="s">
        <v>76</v>
      </c>
      <c r="E104" t="s">
        <v>77</v>
      </c>
      <c r="F104" t="s">
        <v>78</v>
      </c>
      <c r="G104" t="s">
        <v>79</v>
      </c>
      <c r="H104" t="s">
        <v>80</v>
      </c>
      <c r="I104" t="s">
        <v>81</v>
      </c>
      <c r="J104" t="s">
        <v>82</v>
      </c>
      <c r="K104" t="s">
        <v>76</v>
      </c>
      <c r="L104" t="s">
        <v>8</v>
      </c>
      <c r="M104" t="s">
        <v>83</v>
      </c>
      <c r="N104" t="s">
        <v>84</v>
      </c>
      <c r="O104" t="s">
        <v>85</v>
      </c>
      <c r="P104">
        <v>246583</v>
      </c>
      <c r="Q104" t="s">
        <v>5</v>
      </c>
      <c r="R104" t="s">
        <v>86</v>
      </c>
      <c r="S104" t="s">
        <v>87</v>
      </c>
      <c r="T104">
        <v>0</v>
      </c>
      <c r="U104">
        <v>1</v>
      </c>
      <c r="V104" s="2">
        <v>4.1666666666666664E-2</v>
      </c>
      <c r="W104">
        <v>0</v>
      </c>
      <c r="AA104" t="s">
        <v>88</v>
      </c>
      <c r="AB104" t="s">
        <v>100</v>
      </c>
      <c r="AC104" t="s">
        <v>84</v>
      </c>
      <c r="AD104" t="s">
        <v>90</v>
      </c>
    </row>
    <row r="105" spans="1:30" hidden="1">
      <c r="A105" s="1">
        <v>45425</v>
      </c>
      <c r="B105" t="s">
        <v>108</v>
      </c>
      <c r="C105" t="s">
        <v>75</v>
      </c>
      <c r="D105" t="s">
        <v>76</v>
      </c>
      <c r="E105" t="s">
        <v>91</v>
      </c>
      <c r="F105" t="s">
        <v>78</v>
      </c>
      <c r="G105" t="s">
        <v>79</v>
      </c>
      <c r="H105" t="s">
        <v>80</v>
      </c>
      <c r="I105" t="s">
        <v>81</v>
      </c>
      <c r="J105" t="s">
        <v>82</v>
      </c>
      <c r="K105" t="s">
        <v>76</v>
      </c>
      <c r="L105" t="s">
        <v>8</v>
      </c>
      <c r="M105" t="s">
        <v>83</v>
      </c>
      <c r="N105" t="s">
        <v>93</v>
      </c>
      <c r="O105" t="s">
        <v>85</v>
      </c>
      <c r="P105">
        <v>247316</v>
      </c>
      <c r="Q105" t="s">
        <v>5</v>
      </c>
      <c r="R105" t="s">
        <v>86</v>
      </c>
      <c r="S105" t="s">
        <v>87</v>
      </c>
      <c r="T105">
        <v>0</v>
      </c>
      <c r="U105">
        <v>5.25</v>
      </c>
      <c r="V105" s="2">
        <v>0.21875</v>
      </c>
      <c r="W105">
        <v>0</v>
      </c>
      <c r="AA105" t="s">
        <v>88</v>
      </c>
      <c r="AB105" t="s">
        <v>100</v>
      </c>
      <c r="AC105" t="s">
        <v>164</v>
      </c>
      <c r="AD105" t="s">
        <v>90</v>
      </c>
    </row>
    <row r="106" spans="1:30" hidden="1">
      <c r="A106" s="1">
        <v>45426</v>
      </c>
      <c r="B106" t="s">
        <v>10</v>
      </c>
      <c r="C106" t="s">
        <v>92</v>
      </c>
      <c r="D106" t="s">
        <v>76</v>
      </c>
      <c r="E106" t="s">
        <v>91</v>
      </c>
      <c r="F106" t="s">
        <v>78</v>
      </c>
      <c r="G106" t="s">
        <v>79</v>
      </c>
      <c r="H106" t="s">
        <v>80</v>
      </c>
      <c r="I106" t="s">
        <v>81</v>
      </c>
      <c r="J106" t="s">
        <v>82</v>
      </c>
      <c r="K106" t="s">
        <v>76</v>
      </c>
      <c r="L106" t="s">
        <v>8</v>
      </c>
      <c r="M106" t="s">
        <v>83</v>
      </c>
      <c r="N106" t="s">
        <v>93</v>
      </c>
      <c r="O106" t="s">
        <v>85</v>
      </c>
      <c r="P106">
        <v>246857</v>
      </c>
      <c r="Q106" t="s">
        <v>4</v>
      </c>
      <c r="R106" t="s">
        <v>94</v>
      </c>
      <c r="S106" t="s">
        <v>87</v>
      </c>
      <c r="T106">
        <v>90</v>
      </c>
      <c r="U106">
        <v>1</v>
      </c>
      <c r="V106" s="2">
        <v>4.1666666666666664E-2</v>
      </c>
      <c r="W106">
        <v>90</v>
      </c>
      <c r="X106">
        <v>121.01</v>
      </c>
      <c r="Y106">
        <v>31.01</v>
      </c>
      <c r="Z106" t="s">
        <v>147</v>
      </c>
      <c r="AA106" t="s">
        <v>88</v>
      </c>
      <c r="AB106" t="s">
        <v>100</v>
      </c>
      <c r="AC106" t="s">
        <v>165</v>
      </c>
      <c r="AD106" t="s">
        <v>90</v>
      </c>
    </row>
    <row r="107" spans="1:30" hidden="1">
      <c r="A107" s="1">
        <v>45426</v>
      </c>
      <c r="B107" t="s">
        <v>14</v>
      </c>
      <c r="C107" t="s">
        <v>75</v>
      </c>
      <c r="D107" t="s">
        <v>76</v>
      </c>
      <c r="E107" t="s">
        <v>77</v>
      </c>
      <c r="F107" t="s">
        <v>78</v>
      </c>
      <c r="G107" t="s">
        <v>79</v>
      </c>
      <c r="H107" t="s">
        <v>80</v>
      </c>
      <c r="I107" t="s">
        <v>81</v>
      </c>
      <c r="J107" t="s">
        <v>82</v>
      </c>
      <c r="K107" t="s">
        <v>76</v>
      </c>
      <c r="L107" t="s">
        <v>8</v>
      </c>
      <c r="M107" t="s">
        <v>83</v>
      </c>
      <c r="N107" t="s">
        <v>84</v>
      </c>
      <c r="O107" t="s">
        <v>85</v>
      </c>
      <c r="P107">
        <v>246843</v>
      </c>
      <c r="Q107" t="s">
        <v>5</v>
      </c>
      <c r="R107" t="s">
        <v>86</v>
      </c>
      <c r="S107" t="s">
        <v>87</v>
      </c>
      <c r="T107">
        <v>0</v>
      </c>
      <c r="U107">
        <v>0.5</v>
      </c>
      <c r="V107" s="2">
        <v>2.0833333333333332E-2</v>
      </c>
      <c r="W107">
        <v>0</v>
      </c>
      <c r="AA107" t="s">
        <v>88</v>
      </c>
      <c r="AB107" t="s">
        <v>100</v>
      </c>
      <c r="AC107" t="s">
        <v>166</v>
      </c>
      <c r="AD107" t="s">
        <v>90</v>
      </c>
    </row>
    <row r="108" spans="1:30" hidden="1">
      <c r="A108" s="1">
        <v>45426</v>
      </c>
      <c r="B108" t="s">
        <v>114</v>
      </c>
      <c r="C108" t="s">
        <v>75</v>
      </c>
      <c r="D108" t="s">
        <v>76</v>
      </c>
      <c r="E108" t="s">
        <v>91</v>
      </c>
      <c r="F108" t="s">
        <v>78</v>
      </c>
      <c r="G108" t="s">
        <v>79</v>
      </c>
      <c r="H108" t="s">
        <v>80</v>
      </c>
      <c r="I108" t="s">
        <v>81</v>
      </c>
      <c r="J108" t="s">
        <v>82</v>
      </c>
      <c r="K108" t="s">
        <v>76</v>
      </c>
      <c r="L108" t="s">
        <v>8</v>
      </c>
      <c r="M108" t="s">
        <v>83</v>
      </c>
      <c r="N108" t="s">
        <v>93</v>
      </c>
      <c r="O108" t="s">
        <v>85</v>
      </c>
      <c r="P108">
        <v>246863</v>
      </c>
      <c r="Q108" t="s">
        <v>5</v>
      </c>
      <c r="R108" t="s">
        <v>86</v>
      </c>
      <c r="S108" t="s">
        <v>87</v>
      </c>
      <c r="T108">
        <v>0</v>
      </c>
      <c r="U108">
        <v>4.5</v>
      </c>
      <c r="V108" s="2">
        <v>0.1875</v>
      </c>
      <c r="W108">
        <v>0</v>
      </c>
      <c r="AA108" t="s">
        <v>88</v>
      </c>
      <c r="AB108" t="s">
        <v>100</v>
      </c>
      <c r="AC108" t="s">
        <v>167</v>
      </c>
      <c r="AD108" t="s">
        <v>90</v>
      </c>
    </row>
    <row r="109" spans="1:30" hidden="1">
      <c r="A109" s="1">
        <v>45426</v>
      </c>
      <c r="B109" t="s">
        <v>12</v>
      </c>
      <c r="C109" t="s">
        <v>75</v>
      </c>
      <c r="D109" t="s">
        <v>76</v>
      </c>
      <c r="E109" t="s">
        <v>91</v>
      </c>
      <c r="F109" t="s">
        <v>78</v>
      </c>
      <c r="G109" t="s">
        <v>79</v>
      </c>
      <c r="H109" t="s">
        <v>80</v>
      </c>
      <c r="I109" t="s">
        <v>81</v>
      </c>
      <c r="J109" t="s">
        <v>82</v>
      </c>
      <c r="K109" t="s">
        <v>76</v>
      </c>
      <c r="L109" t="s">
        <v>8</v>
      </c>
      <c r="M109" t="s">
        <v>83</v>
      </c>
      <c r="N109" t="s">
        <v>84</v>
      </c>
      <c r="O109" t="s">
        <v>85</v>
      </c>
      <c r="P109">
        <v>247325</v>
      </c>
      <c r="Q109" t="s">
        <v>4</v>
      </c>
      <c r="R109" t="s">
        <v>94</v>
      </c>
      <c r="S109" t="s">
        <v>87</v>
      </c>
      <c r="T109">
        <v>90</v>
      </c>
      <c r="U109">
        <v>0.5</v>
      </c>
      <c r="V109" s="2">
        <v>2.0833333333333332E-2</v>
      </c>
      <c r="W109">
        <v>45</v>
      </c>
      <c r="X109">
        <v>60.5</v>
      </c>
      <c r="Y109">
        <v>15.5</v>
      </c>
      <c r="Z109" t="s">
        <v>147</v>
      </c>
      <c r="AA109" t="s">
        <v>88</v>
      </c>
      <c r="AB109" t="s">
        <v>100</v>
      </c>
      <c r="AC109" t="s">
        <v>168</v>
      </c>
      <c r="AD109" t="s">
        <v>90</v>
      </c>
    </row>
    <row r="110" spans="1:30" hidden="1">
      <c r="A110" s="1">
        <v>45426</v>
      </c>
      <c r="B110" t="s">
        <v>12</v>
      </c>
      <c r="C110" t="s">
        <v>75</v>
      </c>
      <c r="D110" t="s">
        <v>76</v>
      </c>
      <c r="E110" t="s">
        <v>91</v>
      </c>
      <c r="F110" t="s">
        <v>78</v>
      </c>
      <c r="G110" t="s">
        <v>79</v>
      </c>
      <c r="H110" t="s">
        <v>80</v>
      </c>
      <c r="I110" t="s">
        <v>81</v>
      </c>
      <c r="J110" t="s">
        <v>82</v>
      </c>
      <c r="K110" t="s">
        <v>76</v>
      </c>
      <c r="L110" t="s">
        <v>8</v>
      </c>
      <c r="M110" t="s">
        <v>83</v>
      </c>
      <c r="N110" t="s">
        <v>84</v>
      </c>
      <c r="O110" t="s">
        <v>85</v>
      </c>
      <c r="P110">
        <v>247383</v>
      </c>
      <c r="Q110" t="s">
        <v>5</v>
      </c>
      <c r="R110" t="s">
        <v>86</v>
      </c>
      <c r="S110" t="s">
        <v>87</v>
      </c>
      <c r="T110">
        <v>0</v>
      </c>
      <c r="U110">
        <v>3</v>
      </c>
      <c r="V110" s="2">
        <v>0.125</v>
      </c>
      <c r="W110">
        <v>0</v>
      </c>
      <c r="AA110" t="s">
        <v>88</v>
      </c>
      <c r="AB110" t="s">
        <v>100</v>
      </c>
      <c r="AC110" t="s">
        <v>168</v>
      </c>
      <c r="AD110" t="s">
        <v>90</v>
      </c>
    </row>
    <row r="111" spans="1:30" hidden="1">
      <c r="A111" s="1">
        <v>45426</v>
      </c>
      <c r="B111" t="s">
        <v>8</v>
      </c>
      <c r="C111" t="s">
        <v>75</v>
      </c>
      <c r="D111" t="s">
        <v>76</v>
      </c>
      <c r="E111" t="s">
        <v>77</v>
      </c>
      <c r="F111" t="s">
        <v>78</v>
      </c>
      <c r="G111" t="s">
        <v>79</v>
      </c>
      <c r="H111" t="s">
        <v>80</v>
      </c>
      <c r="I111" t="s">
        <v>81</v>
      </c>
      <c r="J111" t="s">
        <v>82</v>
      </c>
      <c r="K111" t="s">
        <v>76</v>
      </c>
      <c r="L111" t="s">
        <v>8</v>
      </c>
      <c r="M111" t="s">
        <v>83</v>
      </c>
      <c r="N111" t="s">
        <v>84</v>
      </c>
      <c r="O111" t="s">
        <v>85</v>
      </c>
      <c r="P111">
        <v>247035</v>
      </c>
      <c r="Q111" t="s">
        <v>5</v>
      </c>
      <c r="R111" t="s">
        <v>86</v>
      </c>
      <c r="S111" t="s">
        <v>87</v>
      </c>
      <c r="T111">
        <v>0</v>
      </c>
      <c r="U111">
        <v>0.5</v>
      </c>
      <c r="V111" s="2">
        <v>2.0833333333333332E-2</v>
      </c>
      <c r="W111">
        <v>0</v>
      </c>
      <c r="AA111" t="s">
        <v>88</v>
      </c>
      <c r="AB111" t="s">
        <v>100</v>
      </c>
      <c r="AC111" t="s">
        <v>84</v>
      </c>
      <c r="AD111" t="s">
        <v>90</v>
      </c>
    </row>
    <row r="112" spans="1:30" hidden="1">
      <c r="A112" s="1">
        <v>45426</v>
      </c>
      <c r="B112" t="s">
        <v>108</v>
      </c>
      <c r="C112" t="s">
        <v>75</v>
      </c>
      <c r="D112" t="s">
        <v>76</v>
      </c>
      <c r="E112" t="s">
        <v>91</v>
      </c>
      <c r="F112" t="s">
        <v>78</v>
      </c>
      <c r="G112" t="s">
        <v>79</v>
      </c>
      <c r="H112" t="s">
        <v>80</v>
      </c>
      <c r="I112" t="s">
        <v>81</v>
      </c>
      <c r="J112" t="s">
        <v>82</v>
      </c>
      <c r="K112" t="s">
        <v>76</v>
      </c>
      <c r="L112" t="s">
        <v>8</v>
      </c>
      <c r="M112" t="s">
        <v>83</v>
      </c>
      <c r="N112" t="s">
        <v>93</v>
      </c>
      <c r="O112" t="s">
        <v>85</v>
      </c>
      <c r="P112">
        <v>247319</v>
      </c>
      <c r="Q112" t="s">
        <v>5</v>
      </c>
      <c r="R112" t="s">
        <v>86</v>
      </c>
      <c r="S112" t="s">
        <v>87</v>
      </c>
      <c r="T112">
        <v>0</v>
      </c>
      <c r="U112">
        <v>3.25</v>
      </c>
      <c r="V112" s="2">
        <v>0.13541666666666666</v>
      </c>
      <c r="W112">
        <v>0</v>
      </c>
      <c r="AA112" t="s">
        <v>88</v>
      </c>
      <c r="AB112" t="s">
        <v>100</v>
      </c>
      <c r="AC112" t="s">
        <v>169</v>
      </c>
      <c r="AD112" t="s">
        <v>90</v>
      </c>
    </row>
    <row r="113" spans="1:30" hidden="1">
      <c r="A113" s="1">
        <v>45427</v>
      </c>
      <c r="B113" t="s">
        <v>10</v>
      </c>
      <c r="C113" t="s">
        <v>92</v>
      </c>
      <c r="D113" t="s">
        <v>76</v>
      </c>
      <c r="E113" t="s">
        <v>91</v>
      </c>
      <c r="F113" t="s">
        <v>78</v>
      </c>
      <c r="G113" t="s">
        <v>79</v>
      </c>
      <c r="H113" t="s">
        <v>80</v>
      </c>
      <c r="I113" t="s">
        <v>81</v>
      </c>
      <c r="J113" t="s">
        <v>82</v>
      </c>
      <c r="K113" t="s">
        <v>76</v>
      </c>
      <c r="L113" t="s">
        <v>8</v>
      </c>
      <c r="M113" t="s">
        <v>83</v>
      </c>
      <c r="N113" t="s">
        <v>93</v>
      </c>
      <c r="O113" t="s">
        <v>85</v>
      </c>
      <c r="P113">
        <v>247402</v>
      </c>
      <c r="Q113" t="s">
        <v>5</v>
      </c>
      <c r="R113" t="s">
        <v>86</v>
      </c>
      <c r="S113" t="s">
        <v>87</v>
      </c>
      <c r="T113">
        <v>0</v>
      </c>
      <c r="U113">
        <v>0.25</v>
      </c>
      <c r="V113" s="2">
        <v>1.0416666666666666E-2</v>
      </c>
      <c r="W113">
        <v>0</v>
      </c>
      <c r="AA113" t="s">
        <v>88</v>
      </c>
      <c r="AB113" t="s">
        <v>100</v>
      </c>
      <c r="AC113" t="s">
        <v>170</v>
      </c>
      <c r="AD113" t="s">
        <v>90</v>
      </c>
    </row>
    <row r="114" spans="1:30" hidden="1">
      <c r="A114" s="1">
        <v>45427</v>
      </c>
      <c r="B114" t="s">
        <v>14</v>
      </c>
      <c r="C114" t="s">
        <v>75</v>
      </c>
      <c r="D114" t="s">
        <v>76</v>
      </c>
      <c r="E114" t="s">
        <v>77</v>
      </c>
      <c r="F114" t="s">
        <v>78</v>
      </c>
      <c r="G114" t="s">
        <v>79</v>
      </c>
      <c r="H114" t="s">
        <v>80</v>
      </c>
      <c r="I114" t="s">
        <v>81</v>
      </c>
      <c r="J114" t="s">
        <v>82</v>
      </c>
      <c r="K114" t="s">
        <v>76</v>
      </c>
      <c r="L114" t="s">
        <v>8</v>
      </c>
      <c r="M114" t="s">
        <v>83</v>
      </c>
      <c r="N114" t="s">
        <v>84</v>
      </c>
      <c r="O114" t="s">
        <v>85</v>
      </c>
      <c r="P114">
        <v>247740</v>
      </c>
      <c r="Q114" t="s">
        <v>5</v>
      </c>
      <c r="R114" t="s">
        <v>86</v>
      </c>
      <c r="S114" t="s">
        <v>87</v>
      </c>
      <c r="T114">
        <v>0</v>
      </c>
      <c r="U114">
        <v>1.25</v>
      </c>
      <c r="V114" s="2">
        <v>5.2083333333333336E-2</v>
      </c>
      <c r="W114">
        <v>0</v>
      </c>
      <c r="AA114" t="s">
        <v>88</v>
      </c>
      <c r="AB114" t="s">
        <v>100</v>
      </c>
      <c r="AC114" t="s">
        <v>171</v>
      </c>
      <c r="AD114" t="s">
        <v>90</v>
      </c>
    </row>
    <row r="115" spans="1:30" hidden="1">
      <c r="A115" s="1">
        <v>45427</v>
      </c>
      <c r="B115" t="s">
        <v>114</v>
      </c>
      <c r="C115" t="s">
        <v>75</v>
      </c>
      <c r="D115" t="s">
        <v>76</v>
      </c>
      <c r="E115" t="s">
        <v>91</v>
      </c>
      <c r="F115" t="s">
        <v>78</v>
      </c>
      <c r="G115" t="s">
        <v>79</v>
      </c>
      <c r="H115" t="s">
        <v>80</v>
      </c>
      <c r="I115" t="s">
        <v>81</v>
      </c>
      <c r="J115" t="s">
        <v>82</v>
      </c>
      <c r="K115" t="s">
        <v>76</v>
      </c>
      <c r="L115" t="s">
        <v>8</v>
      </c>
      <c r="M115" t="s">
        <v>83</v>
      </c>
      <c r="N115" t="s">
        <v>93</v>
      </c>
      <c r="O115" t="s">
        <v>85</v>
      </c>
      <c r="P115">
        <v>247320</v>
      </c>
      <c r="Q115" t="s">
        <v>5</v>
      </c>
      <c r="R115" t="s">
        <v>86</v>
      </c>
      <c r="S115" t="s">
        <v>87</v>
      </c>
      <c r="T115">
        <v>0</v>
      </c>
      <c r="U115">
        <v>1.75</v>
      </c>
      <c r="V115" s="2">
        <v>7.2916666666666671E-2</v>
      </c>
      <c r="W115">
        <v>0</v>
      </c>
      <c r="AA115" t="s">
        <v>88</v>
      </c>
      <c r="AB115" t="s">
        <v>100</v>
      </c>
      <c r="AC115" t="s">
        <v>172</v>
      </c>
      <c r="AD115" t="s">
        <v>90</v>
      </c>
    </row>
    <row r="116" spans="1:30" hidden="1">
      <c r="A116" s="1">
        <v>45427</v>
      </c>
      <c r="B116" t="s">
        <v>12</v>
      </c>
      <c r="C116" t="s">
        <v>75</v>
      </c>
      <c r="D116" t="s">
        <v>76</v>
      </c>
      <c r="E116" t="s">
        <v>91</v>
      </c>
      <c r="F116" t="s">
        <v>78</v>
      </c>
      <c r="G116" t="s">
        <v>79</v>
      </c>
      <c r="H116" t="s">
        <v>80</v>
      </c>
      <c r="I116" t="s">
        <v>81</v>
      </c>
      <c r="J116" t="s">
        <v>82</v>
      </c>
      <c r="K116" t="s">
        <v>76</v>
      </c>
      <c r="L116" t="s">
        <v>8</v>
      </c>
      <c r="M116" t="s">
        <v>83</v>
      </c>
      <c r="N116" t="s">
        <v>84</v>
      </c>
      <c r="O116" t="s">
        <v>85</v>
      </c>
      <c r="P116">
        <v>247384</v>
      </c>
      <c r="Q116" t="s">
        <v>5</v>
      </c>
      <c r="R116" t="s">
        <v>86</v>
      </c>
      <c r="S116" t="s">
        <v>87</v>
      </c>
      <c r="T116">
        <v>0</v>
      </c>
      <c r="U116">
        <v>0.25</v>
      </c>
      <c r="V116" s="2">
        <v>1.0416666666666666E-2</v>
      </c>
      <c r="W116">
        <v>0</v>
      </c>
      <c r="AA116" t="s">
        <v>88</v>
      </c>
      <c r="AB116" t="s">
        <v>100</v>
      </c>
      <c r="AC116" t="s">
        <v>173</v>
      </c>
      <c r="AD116" t="s">
        <v>90</v>
      </c>
    </row>
    <row r="117" spans="1:30" hidden="1">
      <c r="A117" s="1">
        <v>45427</v>
      </c>
      <c r="B117" t="s">
        <v>8</v>
      </c>
      <c r="C117" t="s">
        <v>75</v>
      </c>
      <c r="D117" t="s">
        <v>76</v>
      </c>
      <c r="E117" t="s">
        <v>77</v>
      </c>
      <c r="F117" t="s">
        <v>78</v>
      </c>
      <c r="G117" t="s">
        <v>79</v>
      </c>
      <c r="H117" t="s">
        <v>80</v>
      </c>
      <c r="I117" t="s">
        <v>81</v>
      </c>
      <c r="J117" t="s">
        <v>82</v>
      </c>
      <c r="K117" t="s">
        <v>76</v>
      </c>
      <c r="L117" t="s">
        <v>8</v>
      </c>
      <c r="M117" t="s">
        <v>83</v>
      </c>
      <c r="N117" t="s">
        <v>84</v>
      </c>
      <c r="O117" t="s">
        <v>85</v>
      </c>
      <c r="P117">
        <v>247848</v>
      </c>
      <c r="Q117" t="s">
        <v>5</v>
      </c>
      <c r="R117" t="s">
        <v>86</v>
      </c>
      <c r="S117" t="s">
        <v>87</v>
      </c>
      <c r="T117">
        <v>0</v>
      </c>
      <c r="U117">
        <v>1</v>
      </c>
      <c r="V117" s="2">
        <v>4.1666666666666664E-2</v>
      </c>
      <c r="W117">
        <v>0</v>
      </c>
      <c r="AA117" t="s">
        <v>88</v>
      </c>
      <c r="AB117" t="s">
        <v>100</v>
      </c>
      <c r="AC117" t="s">
        <v>84</v>
      </c>
      <c r="AD117" t="s">
        <v>90</v>
      </c>
    </row>
    <row r="118" spans="1:30" hidden="1">
      <c r="A118" s="1">
        <v>45427</v>
      </c>
      <c r="B118" t="s">
        <v>108</v>
      </c>
      <c r="C118" t="s">
        <v>75</v>
      </c>
      <c r="D118" t="s">
        <v>76</v>
      </c>
      <c r="E118" t="s">
        <v>91</v>
      </c>
      <c r="F118" t="s">
        <v>78</v>
      </c>
      <c r="G118" t="s">
        <v>79</v>
      </c>
      <c r="H118" t="s">
        <v>80</v>
      </c>
      <c r="I118" t="s">
        <v>81</v>
      </c>
      <c r="J118" t="s">
        <v>82</v>
      </c>
      <c r="K118" t="s">
        <v>76</v>
      </c>
      <c r="L118" t="s">
        <v>8</v>
      </c>
      <c r="M118" t="s">
        <v>83</v>
      </c>
      <c r="N118" t="s">
        <v>93</v>
      </c>
      <c r="O118" t="s">
        <v>85</v>
      </c>
      <c r="P118">
        <v>247793</v>
      </c>
      <c r="Q118" t="s">
        <v>5</v>
      </c>
      <c r="R118" t="s">
        <v>86</v>
      </c>
      <c r="S118" t="s">
        <v>87</v>
      </c>
      <c r="T118">
        <v>0</v>
      </c>
      <c r="U118">
        <v>0.25</v>
      </c>
      <c r="V118" s="2">
        <v>1.0416666666666666E-2</v>
      </c>
      <c r="W118">
        <v>0</v>
      </c>
      <c r="AA118" t="s">
        <v>88</v>
      </c>
      <c r="AB118" t="s">
        <v>100</v>
      </c>
      <c r="AC118" t="s">
        <v>84</v>
      </c>
      <c r="AD118" t="s">
        <v>90</v>
      </c>
    </row>
    <row r="119" spans="1:30" hidden="1">
      <c r="A119" s="1">
        <v>45428</v>
      </c>
      <c r="B119" t="s">
        <v>10</v>
      </c>
      <c r="C119" t="s">
        <v>92</v>
      </c>
      <c r="D119" t="s">
        <v>76</v>
      </c>
      <c r="E119" t="s">
        <v>91</v>
      </c>
      <c r="F119" t="s">
        <v>78</v>
      </c>
      <c r="G119" t="s">
        <v>79</v>
      </c>
      <c r="H119" t="s">
        <v>80</v>
      </c>
      <c r="I119" t="s">
        <v>81</v>
      </c>
      <c r="J119" t="s">
        <v>82</v>
      </c>
      <c r="K119" t="s">
        <v>76</v>
      </c>
      <c r="L119" t="s">
        <v>8</v>
      </c>
      <c r="M119" t="s">
        <v>83</v>
      </c>
      <c r="N119" t="s">
        <v>93</v>
      </c>
      <c r="O119" t="s">
        <v>85</v>
      </c>
      <c r="P119">
        <v>248499</v>
      </c>
      <c r="Q119" t="s">
        <v>5</v>
      </c>
      <c r="R119" t="s">
        <v>86</v>
      </c>
      <c r="S119" t="s">
        <v>87</v>
      </c>
      <c r="T119">
        <v>0</v>
      </c>
      <c r="U119">
        <v>6.25</v>
      </c>
      <c r="V119" s="2">
        <v>0.26041666666666669</v>
      </c>
      <c r="W119">
        <v>0</v>
      </c>
      <c r="AA119" t="s">
        <v>88</v>
      </c>
      <c r="AB119" t="s">
        <v>100</v>
      </c>
      <c r="AC119" t="s">
        <v>174</v>
      </c>
      <c r="AD119" t="s">
        <v>90</v>
      </c>
    </row>
    <row r="120" spans="1:30" hidden="1">
      <c r="A120" s="1">
        <v>45428</v>
      </c>
      <c r="B120" t="s">
        <v>14</v>
      </c>
      <c r="C120" t="s">
        <v>75</v>
      </c>
      <c r="D120" t="s">
        <v>76</v>
      </c>
      <c r="E120" t="s">
        <v>77</v>
      </c>
      <c r="F120" t="s">
        <v>78</v>
      </c>
      <c r="G120" t="s">
        <v>79</v>
      </c>
      <c r="H120" t="s">
        <v>80</v>
      </c>
      <c r="I120" t="s">
        <v>81</v>
      </c>
      <c r="J120" t="s">
        <v>82</v>
      </c>
      <c r="K120" t="s">
        <v>76</v>
      </c>
      <c r="L120" t="s">
        <v>8</v>
      </c>
      <c r="M120" t="s">
        <v>83</v>
      </c>
      <c r="N120" t="s">
        <v>84</v>
      </c>
      <c r="O120" t="s">
        <v>85</v>
      </c>
      <c r="P120">
        <v>248362</v>
      </c>
      <c r="Q120" t="s">
        <v>5</v>
      </c>
      <c r="R120" t="s">
        <v>86</v>
      </c>
      <c r="S120" t="s">
        <v>87</v>
      </c>
      <c r="T120">
        <v>0</v>
      </c>
      <c r="U120">
        <v>0.25</v>
      </c>
      <c r="V120" s="2">
        <v>1.0416666666666666E-2</v>
      </c>
      <c r="W120">
        <v>0</v>
      </c>
      <c r="AA120" t="s">
        <v>88</v>
      </c>
      <c r="AB120" t="s">
        <v>100</v>
      </c>
      <c r="AC120" t="s">
        <v>166</v>
      </c>
      <c r="AD120" t="s">
        <v>90</v>
      </c>
    </row>
    <row r="121" spans="1:30" hidden="1">
      <c r="A121" s="1">
        <v>45428</v>
      </c>
      <c r="B121" t="s">
        <v>114</v>
      </c>
      <c r="C121" t="s">
        <v>75</v>
      </c>
      <c r="D121" t="s">
        <v>76</v>
      </c>
      <c r="E121" t="s">
        <v>91</v>
      </c>
      <c r="F121" t="s">
        <v>78</v>
      </c>
      <c r="G121" t="s">
        <v>79</v>
      </c>
      <c r="H121" t="s">
        <v>80</v>
      </c>
      <c r="I121" t="s">
        <v>81</v>
      </c>
      <c r="J121" t="s">
        <v>82</v>
      </c>
      <c r="K121" t="s">
        <v>76</v>
      </c>
      <c r="L121" t="s">
        <v>8</v>
      </c>
      <c r="M121" t="s">
        <v>83</v>
      </c>
      <c r="N121" t="s">
        <v>93</v>
      </c>
      <c r="O121" t="s">
        <v>85</v>
      </c>
      <c r="P121">
        <v>247963</v>
      </c>
      <c r="Q121" t="s">
        <v>5</v>
      </c>
      <c r="R121" t="s">
        <v>86</v>
      </c>
      <c r="S121" t="s">
        <v>87</v>
      </c>
      <c r="T121">
        <v>0</v>
      </c>
      <c r="U121">
        <v>0.75</v>
      </c>
      <c r="V121" s="2">
        <v>3.125E-2</v>
      </c>
      <c r="W121">
        <v>0</v>
      </c>
      <c r="AA121" t="s">
        <v>88</v>
      </c>
      <c r="AB121" t="s">
        <v>100</v>
      </c>
      <c r="AC121" t="e">
        <f ca="1">- Grainger support &amp; Projects - New support Ticket BSS-36</f>
        <v>#NAME?</v>
      </c>
      <c r="AD121" t="s">
        <v>90</v>
      </c>
    </row>
    <row r="122" spans="1:30" hidden="1">
      <c r="A122" s="1">
        <v>45428</v>
      </c>
      <c r="B122" t="s">
        <v>8</v>
      </c>
      <c r="C122" t="s">
        <v>75</v>
      </c>
      <c r="D122" t="s">
        <v>76</v>
      </c>
      <c r="E122" t="s">
        <v>77</v>
      </c>
      <c r="F122" t="s">
        <v>78</v>
      </c>
      <c r="G122" t="s">
        <v>79</v>
      </c>
      <c r="H122" t="s">
        <v>80</v>
      </c>
      <c r="I122" t="s">
        <v>81</v>
      </c>
      <c r="J122" t="s">
        <v>82</v>
      </c>
      <c r="K122" t="s">
        <v>76</v>
      </c>
      <c r="L122" t="s">
        <v>8</v>
      </c>
      <c r="M122" t="s">
        <v>83</v>
      </c>
      <c r="N122" t="s">
        <v>84</v>
      </c>
      <c r="O122" t="s">
        <v>85</v>
      </c>
      <c r="P122">
        <v>248901</v>
      </c>
      <c r="Q122" t="s">
        <v>5</v>
      </c>
      <c r="R122" t="s">
        <v>86</v>
      </c>
      <c r="S122" t="s">
        <v>87</v>
      </c>
      <c r="T122">
        <v>0</v>
      </c>
      <c r="U122">
        <v>0.5</v>
      </c>
      <c r="V122" s="2">
        <v>2.0833333333333332E-2</v>
      </c>
      <c r="W122">
        <v>0</v>
      </c>
      <c r="AA122" t="s">
        <v>88</v>
      </c>
      <c r="AB122" t="s">
        <v>100</v>
      </c>
      <c r="AC122" t="s">
        <v>84</v>
      </c>
      <c r="AD122" t="s">
        <v>90</v>
      </c>
    </row>
    <row r="123" spans="1:30" hidden="1">
      <c r="A123" s="1">
        <v>45428</v>
      </c>
      <c r="B123" t="s">
        <v>108</v>
      </c>
      <c r="C123" t="s">
        <v>75</v>
      </c>
      <c r="D123" t="s">
        <v>76</v>
      </c>
      <c r="E123" t="s">
        <v>91</v>
      </c>
      <c r="F123" t="s">
        <v>78</v>
      </c>
      <c r="G123" t="s">
        <v>79</v>
      </c>
      <c r="H123" t="s">
        <v>80</v>
      </c>
      <c r="I123" t="s">
        <v>81</v>
      </c>
      <c r="J123" t="s">
        <v>82</v>
      </c>
      <c r="K123" t="s">
        <v>76</v>
      </c>
      <c r="L123" t="s">
        <v>8</v>
      </c>
      <c r="M123" t="s">
        <v>83</v>
      </c>
      <c r="N123" t="s">
        <v>93</v>
      </c>
      <c r="O123" t="s">
        <v>85</v>
      </c>
      <c r="P123">
        <v>248860</v>
      </c>
      <c r="Q123" t="s">
        <v>5</v>
      </c>
      <c r="R123" t="s">
        <v>86</v>
      </c>
      <c r="S123" t="s">
        <v>87</v>
      </c>
      <c r="T123">
        <v>0</v>
      </c>
      <c r="U123">
        <v>0.25</v>
      </c>
      <c r="V123" s="2">
        <v>1.0416666666666666E-2</v>
      </c>
      <c r="W123">
        <v>0</v>
      </c>
      <c r="AA123" t="s">
        <v>88</v>
      </c>
      <c r="AB123" t="s">
        <v>100</v>
      </c>
      <c r="AC123" t="s">
        <v>84</v>
      </c>
      <c r="AD123" t="s">
        <v>90</v>
      </c>
    </row>
    <row r="124" spans="1:30" hidden="1">
      <c r="A124" s="1">
        <v>45429</v>
      </c>
      <c r="B124" t="s">
        <v>10</v>
      </c>
      <c r="C124" t="s">
        <v>92</v>
      </c>
      <c r="D124" t="s">
        <v>76</v>
      </c>
      <c r="E124" t="s">
        <v>91</v>
      </c>
      <c r="F124" t="s">
        <v>78</v>
      </c>
      <c r="G124" t="s">
        <v>79</v>
      </c>
      <c r="H124" t="s">
        <v>80</v>
      </c>
      <c r="I124" t="s">
        <v>81</v>
      </c>
      <c r="J124" t="s">
        <v>82</v>
      </c>
      <c r="K124" t="s">
        <v>76</v>
      </c>
      <c r="L124" t="s">
        <v>8</v>
      </c>
      <c r="M124" t="s">
        <v>83</v>
      </c>
      <c r="N124" t="s">
        <v>93</v>
      </c>
      <c r="O124" t="s">
        <v>85</v>
      </c>
      <c r="P124">
        <v>248501</v>
      </c>
      <c r="Q124" t="s">
        <v>5</v>
      </c>
      <c r="R124" t="s">
        <v>86</v>
      </c>
      <c r="S124" t="s">
        <v>87</v>
      </c>
      <c r="T124">
        <v>0</v>
      </c>
      <c r="U124">
        <v>0.75</v>
      </c>
      <c r="V124" s="2">
        <v>3.125E-2</v>
      </c>
      <c r="W124">
        <v>0</v>
      </c>
      <c r="AA124" t="s">
        <v>88</v>
      </c>
      <c r="AB124" t="s">
        <v>100</v>
      </c>
      <c r="AC124" t="s">
        <v>175</v>
      </c>
      <c r="AD124" t="s">
        <v>90</v>
      </c>
    </row>
    <row r="125" spans="1:30" hidden="1">
      <c r="A125" s="1">
        <v>45429</v>
      </c>
      <c r="B125" t="s">
        <v>14</v>
      </c>
      <c r="C125" t="s">
        <v>75</v>
      </c>
      <c r="D125" t="s">
        <v>76</v>
      </c>
      <c r="E125" t="s">
        <v>77</v>
      </c>
      <c r="F125" t="s">
        <v>78</v>
      </c>
      <c r="G125" t="s">
        <v>79</v>
      </c>
      <c r="H125" t="s">
        <v>80</v>
      </c>
      <c r="I125" t="s">
        <v>81</v>
      </c>
      <c r="J125" t="s">
        <v>82</v>
      </c>
      <c r="K125" t="s">
        <v>76</v>
      </c>
      <c r="L125" t="s">
        <v>8</v>
      </c>
      <c r="M125" t="s">
        <v>83</v>
      </c>
      <c r="N125" t="s">
        <v>84</v>
      </c>
      <c r="O125" t="s">
        <v>85</v>
      </c>
      <c r="P125">
        <v>248511</v>
      </c>
      <c r="Q125" t="s">
        <v>5</v>
      </c>
      <c r="R125" t="s">
        <v>86</v>
      </c>
      <c r="S125" t="s">
        <v>87</v>
      </c>
      <c r="T125">
        <v>0</v>
      </c>
      <c r="U125">
        <v>0.25</v>
      </c>
      <c r="V125" s="2">
        <v>1.0416666666666666E-2</v>
      </c>
      <c r="W125">
        <v>0</v>
      </c>
      <c r="AA125" t="s">
        <v>88</v>
      </c>
      <c r="AB125" t="s">
        <v>100</v>
      </c>
      <c r="AC125" t="s">
        <v>166</v>
      </c>
      <c r="AD125" t="s">
        <v>90</v>
      </c>
    </row>
    <row r="126" spans="1:30" hidden="1">
      <c r="A126" s="1">
        <v>45429</v>
      </c>
      <c r="B126" t="s">
        <v>114</v>
      </c>
      <c r="C126" t="s">
        <v>75</v>
      </c>
      <c r="D126" t="s">
        <v>76</v>
      </c>
      <c r="E126" t="s">
        <v>91</v>
      </c>
      <c r="F126" t="s">
        <v>78</v>
      </c>
      <c r="G126" t="s">
        <v>79</v>
      </c>
      <c r="H126" t="s">
        <v>80</v>
      </c>
      <c r="I126" t="s">
        <v>81</v>
      </c>
      <c r="J126" t="s">
        <v>82</v>
      </c>
      <c r="K126" t="s">
        <v>76</v>
      </c>
      <c r="L126" t="s">
        <v>8</v>
      </c>
      <c r="M126" t="s">
        <v>83</v>
      </c>
      <c r="N126" t="s">
        <v>93</v>
      </c>
      <c r="O126" t="s">
        <v>85</v>
      </c>
      <c r="P126">
        <v>250040</v>
      </c>
      <c r="Q126" t="s">
        <v>4</v>
      </c>
      <c r="R126" t="s">
        <v>94</v>
      </c>
      <c r="S126" t="s">
        <v>87</v>
      </c>
      <c r="T126">
        <v>90</v>
      </c>
      <c r="U126">
        <v>1</v>
      </c>
      <c r="V126" s="2">
        <v>4.1666666666666664E-2</v>
      </c>
      <c r="W126">
        <v>90</v>
      </c>
      <c r="X126">
        <v>121.01</v>
      </c>
      <c r="Y126">
        <v>31.01</v>
      </c>
      <c r="Z126" t="s">
        <v>147</v>
      </c>
      <c r="AA126" t="s">
        <v>88</v>
      </c>
      <c r="AB126" t="s">
        <v>100</v>
      </c>
      <c r="AC126" t="s">
        <v>176</v>
      </c>
      <c r="AD126" t="s">
        <v>90</v>
      </c>
    </row>
    <row r="127" spans="1:30" hidden="1">
      <c r="A127" s="1">
        <v>45429</v>
      </c>
      <c r="B127" t="s">
        <v>114</v>
      </c>
      <c r="C127" t="s">
        <v>75</v>
      </c>
      <c r="D127" t="s">
        <v>76</v>
      </c>
      <c r="E127" t="s">
        <v>91</v>
      </c>
      <c r="F127" t="s">
        <v>78</v>
      </c>
      <c r="G127" t="s">
        <v>79</v>
      </c>
      <c r="H127" t="s">
        <v>80</v>
      </c>
      <c r="I127" t="s">
        <v>81</v>
      </c>
      <c r="J127" t="s">
        <v>82</v>
      </c>
      <c r="K127" t="s">
        <v>76</v>
      </c>
      <c r="L127" t="s">
        <v>8</v>
      </c>
      <c r="M127" t="s">
        <v>83</v>
      </c>
      <c r="N127" t="s">
        <v>93</v>
      </c>
      <c r="O127" t="s">
        <v>85</v>
      </c>
      <c r="P127">
        <v>248633</v>
      </c>
      <c r="Q127" t="s">
        <v>5</v>
      </c>
      <c r="R127" t="s">
        <v>86</v>
      </c>
      <c r="S127" t="s">
        <v>87</v>
      </c>
      <c r="T127">
        <v>0</v>
      </c>
      <c r="U127">
        <v>0.5</v>
      </c>
      <c r="V127" s="2">
        <v>2.0833333333333332E-2</v>
      </c>
      <c r="W127">
        <v>0</v>
      </c>
      <c r="AA127" t="s">
        <v>88</v>
      </c>
      <c r="AB127" t="s">
        <v>100</v>
      </c>
      <c r="AC127" t="e">
        <f ca="1">- Grainger User Guide - Grainger support &amp; Projects</f>
        <v>#NAME?</v>
      </c>
      <c r="AD127" t="s">
        <v>90</v>
      </c>
    </row>
    <row r="128" spans="1:30" hidden="1">
      <c r="A128" s="1">
        <v>45429</v>
      </c>
      <c r="B128" t="s">
        <v>8</v>
      </c>
      <c r="C128" t="s">
        <v>75</v>
      </c>
      <c r="D128" t="s">
        <v>76</v>
      </c>
      <c r="E128" t="s">
        <v>77</v>
      </c>
      <c r="F128" t="s">
        <v>78</v>
      </c>
      <c r="G128" t="s">
        <v>79</v>
      </c>
      <c r="H128" t="s">
        <v>80</v>
      </c>
      <c r="I128" t="s">
        <v>81</v>
      </c>
      <c r="J128" t="s">
        <v>82</v>
      </c>
      <c r="K128" t="s">
        <v>76</v>
      </c>
      <c r="L128" t="s">
        <v>8</v>
      </c>
      <c r="M128" t="s">
        <v>83</v>
      </c>
      <c r="N128" t="s">
        <v>84</v>
      </c>
      <c r="O128" t="s">
        <v>85</v>
      </c>
      <c r="P128">
        <v>248902</v>
      </c>
      <c r="Q128" t="s">
        <v>5</v>
      </c>
      <c r="R128" t="s">
        <v>86</v>
      </c>
      <c r="S128" t="s">
        <v>87</v>
      </c>
      <c r="T128">
        <v>0</v>
      </c>
      <c r="U128">
        <v>0.5</v>
      </c>
      <c r="V128" s="2">
        <v>2.0833333333333332E-2</v>
      </c>
      <c r="W128">
        <v>0</v>
      </c>
      <c r="AA128" t="s">
        <v>88</v>
      </c>
      <c r="AB128" t="s">
        <v>100</v>
      </c>
      <c r="AC128" t="s">
        <v>84</v>
      </c>
      <c r="AD128" t="s">
        <v>90</v>
      </c>
    </row>
    <row r="129" spans="1:30" hidden="1">
      <c r="A129" s="1">
        <v>45429</v>
      </c>
      <c r="B129" t="s">
        <v>108</v>
      </c>
      <c r="C129" t="s">
        <v>75</v>
      </c>
      <c r="D129" t="s">
        <v>76</v>
      </c>
      <c r="E129" t="s">
        <v>91</v>
      </c>
      <c r="F129" t="s">
        <v>78</v>
      </c>
      <c r="G129" t="s">
        <v>79</v>
      </c>
      <c r="H129" t="s">
        <v>80</v>
      </c>
      <c r="I129" t="s">
        <v>81</v>
      </c>
      <c r="J129" t="s">
        <v>82</v>
      </c>
      <c r="K129" t="s">
        <v>76</v>
      </c>
      <c r="L129" t="s">
        <v>8</v>
      </c>
      <c r="M129" t="s">
        <v>83</v>
      </c>
      <c r="N129" t="s">
        <v>93</v>
      </c>
      <c r="O129" t="s">
        <v>85</v>
      </c>
      <c r="P129">
        <v>248878</v>
      </c>
      <c r="Q129" t="s">
        <v>5</v>
      </c>
      <c r="R129" t="s">
        <v>86</v>
      </c>
      <c r="S129" t="s">
        <v>87</v>
      </c>
      <c r="T129">
        <v>0</v>
      </c>
      <c r="U129">
        <v>0.25</v>
      </c>
      <c r="V129" s="2">
        <v>1.0416666666666666E-2</v>
      </c>
      <c r="W129">
        <v>0</v>
      </c>
      <c r="AA129" t="s">
        <v>88</v>
      </c>
      <c r="AB129" t="s">
        <v>100</v>
      </c>
      <c r="AC129" t="s">
        <v>84</v>
      </c>
      <c r="AD129" t="s">
        <v>90</v>
      </c>
    </row>
    <row r="130" spans="1:30" hidden="1">
      <c r="A130" s="1">
        <v>45432</v>
      </c>
      <c r="B130" t="s">
        <v>10</v>
      </c>
      <c r="C130" t="s">
        <v>92</v>
      </c>
      <c r="D130" t="s">
        <v>76</v>
      </c>
      <c r="E130" t="s">
        <v>91</v>
      </c>
      <c r="F130" t="s">
        <v>78</v>
      </c>
      <c r="G130" t="s">
        <v>79</v>
      </c>
      <c r="H130" t="s">
        <v>80</v>
      </c>
      <c r="I130" t="s">
        <v>81</v>
      </c>
      <c r="J130" t="s">
        <v>82</v>
      </c>
      <c r="K130" t="s">
        <v>76</v>
      </c>
      <c r="L130" t="s">
        <v>8</v>
      </c>
      <c r="M130" t="s">
        <v>83</v>
      </c>
      <c r="N130" t="s">
        <v>93</v>
      </c>
      <c r="O130" t="s">
        <v>85</v>
      </c>
      <c r="P130">
        <v>250099</v>
      </c>
      <c r="Q130" t="s">
        <v>5</v>
      </c>
      <c r="R130" t="s">
        <v>86</v>
      </c>
      <c r="S130" t="s">
        <v>87</v>
      </c>
      <c r="T130">
        <v>0</v>
      </c>
      <c r="U130">
        <v>8</v>
      </c>
      <c r="V130" s="2">
        <v>0.33333333333333331</v>
      </c>
      <c r="W130">
        <v>0</v>
      </c>
      <c r="AA130" t="s">
        <v>88</v>
      </c>
      <c r="AB130" t="s">
        <v>100</v>
      </c>
      <c r="AC130" t="s">
        <v>177</v>
      </c>
      <c r="AD130" t="s">
        <v>90</v>
      </c>
    </row>
    <row r="131" spans="1:30" hidden="1">
      <c r="A131" s="1">
        <v>45432</v>
      </c>
      <c r="B131" t="s">
        <v>14</v>
      </c>
      <c r="C131" t="s">
        <v>75</v>
      </c>
      <c r="D131" t="s">
        <v>76</v>
      </c>
      <c r="E131" t="s">
        <v>77</v>
      </c>
      <c r="F131" t="s">
        <v>78</v>
      </c>
      <c r="G131" t="s">
        <v>79</v>
      </c>
      <c r="H131" t="s">
        <v>80</v>
      </c>
      <c r="I131" t="s">
        <v>81</v>
      </c>
      <c r="J131" t="s">
        <v>82</v>
      </c>
      <c r="K131" t="s">
        <v>76</v>
      </c>
      <c r="L131" t="s">
        <v>8</v>
      </c>
      <c r="M131" t="s">
        <v>83</v>
      </c>
      <c r="N131" t="s">
        <v>84</v>
      </c>
      <c r="O131" t="s">
        <v>85</v>
      </c>
      <c r="P131">
        <v>249395</v>
      </c>
      <c r="Q131" t="s">
        <v>5</v>
      </c>
      <c r="R131" t="s">
        <v>86</v>
      </c>
      <c r="S131" t="s">
        <v>87</v>
      </c>
      <c r="T131">
        <v>0</v>
      </c>
      <c r="U131">
        <v>0.5</v>
      </c>
      <c r="V131" s="2">
        <v>2.0833333333333332E-2</v>
      </c>
      <c r="W131">
        <v>0</v>
      </c>
      <c r="AA131" t="s">
        <v>88</v>
      </c>
      <c r="AB131" t="s">
        <v>100</v>
      </c>
      <c r="AC131" t="s">
        <v>178</v>
      </c>
      <c r="AD131" t="s">
        <v>90</v>
      </c>
    </row>
    <row r="132" spans="1:30" hidden="1">
      <c r="A132" s="1">
        <v>45432</v>
      </c>
      <c r="B132" t="s">
        <v>114</v>
      </c>
      <c r="C132" t="s">
        <v>75</v>
      </c>
      <c r="D132" t="s">
        <v>76</v>
      </c>
      <c r="E132" t="s">
        <v>91</v>
      </c>
      <c r="F132" t="s">
        <v>78</v>
      </c>
      <c r="G132" t="s">
        <v>79</v>
      </c>
      <c r="H132" t="s">
        <v>80</v>
      </c>
      <c r="I132" t="s">
        <v>81</v>
      </c>
      <c r="J132" t="s">
        <v>82</v>
      </c>
      <c r="K132" t="s">
        <v>76</v>
      </c>
      <c r="L132" t="s">
        <v>8</v>
      </c>
      <c r="M132" t="s">
        <v>83</v>
      </c>
      <c r="N132" t="s">
        <v>93</v>
      </c>
      <c r="O132" t="s">
        <v>85</v>
      </c>
      <c r="P132">
        <v>249317</v>
      </c>
      <c r="Q132" t="s">
        <v>5</v>
      </c>
      <c r="R132" t="s">
        <v>86</v>
      </c>
      <c r="S132" t="s">
        <v>87</v>
      </c>
      <c r="T132">
        <v>0</v>
      </c>
      <c r="U132">
        <v>0.25</v>
      </c>
      <c r="V132" s="2">
        <v>1.0416666666666666E-2</v>
      </c>
      <c r="W132">
        <v>0</v>
      </c>
      <c r="AA132" t="s">
        <v>88</v>
      </c>
      <c r="AB132" t="s">
        <v>100</v>
      </c>
      <c r="AC132" t="s">
        <v>179</v>
      </c>
      <c r="AD132" t="s">
        <v>90</v>
      </c>
    </row>
    <row r="133" spans="1:30" hidden="1">
      <c r="A133" s="1">
        <v>45432</v>
      </c>
      <c r="B133" t="s">
        <v>8</v>
      </c>
      <c r="C133" t="s">
        <v>75</v>
      </c>
      <c r="D133" t="s">
        <v>76</v>
      </c>
      <c r="E133" t="s">
        <v>77</v>
      </c>
      <c r="F133" t="s">
        <v>78</v>
      </c>
      <c r="G133" t="s">
        <v>79</v>
      </c>
      <c r="H133" t="s">
        <v>80</v>
      </c>
      <c r="I133" t="s">
        <v>81</v>
      </c>
      <c r="J133" t="s">
        <v>82</v>
      </c>
      <c r="K133" t="s">
        <v>76</v>
      </c>
      <c r="L133" t="s">
        <v>8</v>
      </c>
      <c r="M133" t="s">
        <v>83</v>
      </c>
      <c r="N133" t="s">
        <v>84</v>
      </c>
      <c r="O133" t="s">
        <v>85</v>
      </c>
      <c r="P133">
        <v>249463</v>
      </c>
      <c r="Q133" t="s">
        <v>5</v>
      </c>
      <c r="R133" t="s">
        <v>86</v>
      </c>
      <c r="S133" t="s">
        <v>87</v>
      </c>
      <c r="T133">
        <v>0</v>
      </c>
      <c r="U133">
        <v>0.5</v>
      </c>
      <c r="V133" s="2">
        <v>2.0833333333333332E-2</v>
      </c>
      <c r="W133">
        <v>0</v>
      </c>
      <c r="AA133" t="s">
        <v>88</v>
      </c>
      <c r="AB133" t="s">
        <v>100</v>
      </c>
      <c r="AC133" t="s">
        <v>84</v>
      </c>
      <c r="AD133" t="s">
        <v>90</v>
      </c>
    </row>
    <row r="134" spans="1:30" hidden="1">
      <c r="A134" s="1">
        <v>45433</v>
      </c>
      <c r="B134" t="s">
        <v>14</v>
      </c>
      <c r="C134" t="s">
        <v>75</v>
      </c>
      <c r="D134" t="s">
        <v>76</v>
      </c>
      <c r="E134" t="s">
        <v>77</v>
      </c>
      <c r="F134" t="s">
        <v>78</v>
      </c>
      <c r="G134" t="s">
        <v>79</v>
      </c>
      <c r="H134" t="s">
        <v>80</v>
      </c>
      <c r="I134" t="s">
        <v>81</v>
      </c>
      <c r="J134" t="s">
        <v>82</v>
      </c>
      <c r="K134" t="s">
        <v>76</v>
      </c>
      <c r="L134" t="s">
        <v>8</v>
      </c>
      <c r="M134" t="s">
        <v>83</v>
      </c>
      <c r="N134" t="s">
        <v>84</v>
      </c>
      <c r="O134" t="s">
        <v>85</v>
      </c>
      <c r="P134">
        <v>249820</v>
      </c>
      <c r="Q134" t="s">
        <v>5</v>
      </c>
      <c r="R134" t="s">
        <v>86</v>
      </c>
      <c r="S134" t="s">
        <v>87</v>
      </c>
      <c r="T134">
        <v>0</v>
      </c>
      <c r="U134">
        <v>0.25</v>
      </c>
      <c r="V134" s="2">
        <v>1.0416666666666666E-2</v>
      </c>
      <c r="W134">
        <v>0</v>
      </c>
      <c r="AA134" t="s">
        <v>88</v>
      </c>
      <c r="AB134" t="s">
        <v>100</v>
      </c>
      <c r="AC134" t="s">
        <v>166</v>
      </c>
      <c r="AD134" t="s">
        <v>90</v>
      </c>
    </row>
    <row r="135" spans="1:30" hidden="1">
      <c r="A135" s="1">
        <v>45433</v>
      </c>
      <c r="B135" t="s">
        <v>114</v>
      </c>
      <c r="C135" t="s">
        <v>75</v>
      </c>
      <c r="D135" t="s">
        <v>76</v>
      </c>
      <c r="E135" t="s">
        <v>91</v>
      </c>
      <c r="F135" t="s">
        <v>78</v>
      </c>
      <c r="G135" t="s">
        <v>79</v>
      </c>
      <c r="H135" t="s">
        <v>80</v>
      </c>
      <c r="I135" t="s">
        <v>81</v>
      </c>
      <c r="J135" t="s">
        <v>82</v>
      </c>
      <c r="K135" t="s">
        <v>76</v>
      </c>
      <c r="L135" t="s">
        <v>8</v>
      </c>
      <c r="M135" t="s">
        <v>83</v>
      </c>
      <c r="N135" t="s">
        <v>93</v>
      </c>
      <c r="O135" t="s">
        <v>85</v>
      </c>
      <c r="P135">
        <v>249788</v>
      </c>
      <c r="Q135" t="s">
        <v>5</v>
      </c>
      <c r="R135" t="s">
        <v>86</v>
      </c>
      <c r="S135" t="s">
        <v>87</v>
      </c>
      <c r="T135">
        <v>0</v>
      </c>
      <c r="U135">
        <v>0.25</v>
      </c>
      <c r="V135" s="2">
        <v>1.0416666666666666E-2</v>
      </c>
      <c r="W135">
        <v>0</v>
      </c>
      <c r="AA135" t="s">
        <v>88</v>
      </c>
      <c r="AB135" t="s">
        <v>100</v>
      </c>
      <c r="AC135" t="s">
        <v>179</v>
      </c>
      <c r="AD135" t="s">
        <v>90</v>
      </c>
    </row>
    <row r="136" spans="1:30" hidden="1">
      <c r="A136" s="1">
        <v>45433</v>
      </c>
      <c r="B136" t="s">
        <v>180</v>
      </c>
      <c r="C136" t="s">
        <v>75</v>
      </c>
      <c r="D136" t="s">
        <v>76</v>
      </c>
      <c r="E136" t="s">
        <v>91</v>
      </c>
      <c r="F136" t="s">
        <v>78</v>
      </c>
      <c r="G136" t="s">
        <v>79</v>
      </c>
      <c r="H136" t="s">
        <v>80</v>
      </c>
      <c r="I136" t="s">
        <v>81</v>
      </c>
      <c r="J136" t="s">
        <v>82</v>
      </c>
      <c r="K136" t="s">
        <v>76</v>
      </c>
      <c r="L136" t="s">
        <v>8</v>
      </c>
      <c r="M136" t="s">
        <v>83</v>
      </c>
      <c r="N136" t="s">
        <v>84</v>
      </c>
      <c r="O136" t="s">
        <v>85</v>
      </c>
      <c r="P136">
        <v>249514</v>
      </c>
      <c r="Q136" t="s">
        <v>5</v>
      </c>
      <c r="R136" t="s">
        <v>86</v>
      </c>
      <c r="S136" t="s">
        <v>87</v>
      </c>
      <c r="T136">
        <v>0</v>
      </c>
      <c r="U136">
        <v>0.25</v>
      </c>
      <c r="V136" s="2">
        <v>1.0416666666666666E-2</v>
      </c>
      <c r="W136">
        <v>0</v>
      </c>
      <c r="AA136" t="s">
        <v>88</v>
      </c>
      <c r="AB136" t="s">
        <v>100</v>
      </c>
      <c r="AC136" t="s">
        <v>181</v>
      </c>
      <c r="AD136" t="s">
        <v>90</v>
      </c>
    </row>
    <row r="137" spans="1:30" hidden="1">
      <c r="A137" s="1">
        <v>45433</v>
      </c>
      <c r="B137" t="s">
        <v>8</v>
      </c>
      <c r="C137" t="s">
        <v>75</v>
      </c>
      <c r="D137" t="s">
        <v>76</v>
      </c>
      <c r="E137" t="s">
        <v>77</v>
      </c>
      <c r="F137" t="s">
        <v>78</v>
      </c>
      <c r="G137" t="s">
        <v>79</v>
      </c>
      <c r="H137" t="s">
        <v>80</v>
      </c>
      <c r="I137" t="s">
        <v>81</v>
      </c>
      <c r="J137" t="s">
        <v>82</v>
      </c>
      <c r="K137" t="s">
        <v>76</v>
      </c>
      <c r="L137" t="s">
        <v>8</v>
      </c>
      <c r="M137" t="s">
        <v>83</v>
      </c>
      <c r="N137" t="s">
        <v>84</v>
      </c>
      <c r="O137" t="s">
        <v>85</v>
      </c>
      <c r="P137">
        <v>250288</v>
      </c>
      <c r="Q137" t="s">
        <v>5</v>
      </c>
      <c r="R137" t="s">
        <v>86</v>
      </c>
      <c r="S137" t="s">
        <v>87</v>
      </c>
      <c r="T137">
        <v>0</v>
      </c>
      <c r="U137">
        <v>0.5</v>
      </c>
      <c r="V137" s="2">
        <v>2.0833333333333332E-2</v>
      </c>
      <c r="W137">
        <v>0</v>
      </c>
      <c r="AA137" t="s">
        <v>88</v>
      </c>
      <c r="AB137" t="s">
        <v>100</v>
      </c>
      <c r="AC137" t="s">
        <v>84</v>
      </c>
      <c r="AD137" t="s">
        <v>90</v>
      </c>
    </row>
    <row r="138" spans="1:30" hidden="1">
      <c r="A138" s="1">
        <v>45434</v>
      </c>
      <c r="B138" t="s">
        <v>14</v>
      </c>
      <c r="C138" t="s">
        <v>75</v>
      </c>
      <c r="D138" t="s">
        <v>76</v>
      </c>
      <c r="E138" t="s">
        <v>77</v>
      </c>
      <c r="F138" t="s">
        <v>78</v>
      </c>
      <c r="G138" t="s">
        <v>79</v>
      </c>
      <c r="H138" t="s">
        <v>80</v>
      </c>
      <c r="I138" t="s">
        <v>81</v>
      </c>
      <c r="J138" t="s">
        <v>82</v>
      </c>
      <c r="K138" t="s">
        <v>76</v>
      </c>
      <c r="L138" t="s">
        <v>8</v>
      </c>
      <c r="M138" t="s">
        <v>83</v>
      </c>
      <c r="N138" t="s">
        <v>84</v>
      </c>
      <c r="O138" t="s">
        <v>85</v>
      </c>
      <c r="P138">
        <v>250320</v>
      </c>
      <c r="Q138" t="s">
        <v>5</v>
      </c>
      <c r="R138" t="s">
        <v>86</v>
      </c>
      <c r="S138" t="s">
        <v>87</v>
      </c>
      <c r="T138">
        <v>0</v>
      </c>
      <c r="U138">
        <v>0.25</v>
      </c>
      <c r="V138" s="2">
        <v>1.0416666666666666E-2</v>
      </c>
      <c r="W138">
        <v>0</v>
      </c>
      <c r="AA138" t="s">
        <v>88</v>
      </c>
      <c r="AB138" t="s">
        <v>100</v>
      </c>
      <c r="AC138" t="s">
        <v>166</v>
      </c>
      <c r="AD138" t="s">
        <v>90</v>
      </c>
    </row>
    <row r="139" spans="1:30" hidden="1">
      <c r="A139" s="1">
        <v>45434</v>
      </c>
      <c r="B139" t="s">
        <v>114</v>
      </c>
      <c r="C139" t="s">
        <v>75</v>
      </c>
      <c r="D139" t="s">
        <v>76</v>
      </c>
      <c r="E139" t="s">
        <v>91</v>
      </c>
      <c r="F139" t="s">
        <v>78</v>
      </c>
      <c r="G139" t="s">
        <v>79</v>
      </c>
      <c r="H139" t="s">
        <v>80</v>
      </c>
      <c r="I139" t="s">
        <v>81</v>
      </c>
      <c r="J139" t="s">
        <v>82</v>
      </c>
      <c r="K139" t="s">
        <v>76</v>
      </c>
      <c r="L139" t="s">
        <v>8</v>
      </c>
      <c r="M139" t="s">
        <v>83</v>
      </c>
      <c r="N139" t="s">
        <v>93</v>
      </c>
      <c r="O139" t="s">
        <v>85</v>
      </c>
      <c r="P139">
        <v>251330</v>
      </c>
      <c r="Q139" t="s">
        <v>5</v>
      </c>
      <c r="R139" t="s">
        <v>86</v>
      </c>
      <c r="S139" t="s">
        <v>87</v>
      </c>
      <c r="T139">
        <v>0</v>
      </c>
      <c r="U139">
        <v>0.25</v>
      </c>
      <c r="V139" s="2">
        <v>1.0416666666666666E-2</v>
      </c>
      <c r="W139">
        <v>0</v>
      </c>
      <c r="AA139" t="s">
        <v>88</v>
      </c>
      <c r="AB139" t="s">
        <v>100</v>
      </c>
      <c r="AC139" t="s">
        <v>179</v>
      </c>
      <c r="AD139" t="s">
        <v>90</v>
      </c>
    </row>
    <row r="140" spans="1:30" hidden="1">
      <c r="A140" s="1">
        <v>45434</v>
      </c>
      <c r="B140" t="s">
        <v>180</v>
      </c>
      <c r="C140" t="s">
        <v>75</v>
      </c>
      <c r="D140" t="s">
        <v>76</v>
      </c>
      <c r="E140" t="s">
        <v>91</v>
      </c>
      <c r="F140" t="s">
        <v>78</v>
      </c>
      <c r="G140" t="s">
        <v>79</v>
      </c>
      <c r="H140" t="s">
        <v>80</v>
      </c>
      <c r="I140" t="s">
        <v>81</v>
      </c>
      <c r="J140" t="s">
        <v>82</v>
      </c>
      <c r="K140" t="s">
        <v>76</v>
      </c>
      <c r="L140" t="s">
        <v>8</v>
      </c>
      <c r="M140" t="s">
        <v>83</v>
      </c>
      <c r="N140" t="s">
        <v>84</v>
      </c>
      <c r="O140" t="s">
        <v>85</v>
      </c>
      <c r="P140">
        <v>250134</v>
      </c>
      <c r="Q140" t="s">
        <v>5</v>
      </c>
      <c r="R140" t="s">
        <v>86</v>
      </c>
      <c r="S140" t="s">
        <v>87</v>
      </c>
      <c r="T140">
        <v>0</v>
      </c>
      <c r="U140">
        <v>0.75</v>
      </c>
      <c r="V140" s="2">
        <v>3.125E-2</v>
      </c>
      <c r="W140">
        <v>0</v>
      </c>
      <c r="AA140" t="s">
        <v>88</v>
      </c>
      <c r="AB140" t="s">
        <v>100</v>
      </c>
      <c r="AC140" t="s">
        <v>182</v>
      </c>
      <c r="AD140" t="s">
        <v>90</v>
      </c>
    </row>
    <row r="141" spans="1:30" hidden="1">
      <c r="A141" s="1">
        <v>45434</v>
      </c>
      <c r="B141" t="s">
        <v>8</v>
      </c>
      <c r="C141" t="s">
        <v>75</v>
      </c>
      <c r="D141" t="s">
        <v>76</v>
      </c>
      <c r="E141" t="s">
        <v>77</v>
      </c>
      <c r="F141" t="s">
        <v>78</v>
      </c>
      <c r="G141" t="s">
        <v>79</v>
      </c>
      <c r="H141" t="s">
        <v>80</v>
      </c>
      <c r="I141" t="s">
        <v>81</v>
      </c>
      <c r="J141" t="s">
        <v>82</v>
      </c>
      <c r="K141" t="s">
        <v>76</v>
      </c>
      <c r="L141" t="s">
        <v>8</v>
      </c>
      <c r="M141" t="s">
        <v>83</v>
      </c>
      <c r="N141" t="s">
        <v>84</v>
      </c>
      <c r="O141" t="s">
        <v>85</v>
      </c>
      <c r="P141">
        <v>250291</v>
      </c>
      <c r="Q141" t="s">
        <v>5</v>
      </c>
      <c r="R141" t="s">
        <v>86</v>
      </c>
      <c r="S141" t="s">
        <v>87</v>
      </c>
      <c r="T141">
        <v>0</v>
      </c>
      <c r="U141">
        <v>0.5</v>
      </c>
      <c r="V141" s="2">
        <v>2.0833333333333332E-2</v>
      </c>
      <c r="W141">
        <v>0</v>
      </c>
      <c r="AA141" t="s">
        <v>88</v>
      </c>
      <c r="AB141" t="s">
        <v>100</v>
      </c>
      <c r="AC141" t="s">
        <v>84</v>
      </c>
      <c r="AD141" t="s">
        <v>90</v>
      </c>
    </row>
    <row r="142" spans="1:30" hidden="1">
      <c r="A142" s="1">
        <v>45435</v>
      </c>
      <c r="B142" t="s">
        <v>14</v>
      </c>
      <c r="C142" t="s">
        <v>75</v>
      </c>
      <c r="D142" t="s">
        <v>76</v>
      </c>
      <c r="E142" t="s">
        <v>77</v>
      </c>
      <c r="F142" t="s">
        <v>78</v>
      </c>
      <c r="G142" t="s">
        <v>79</v>
      </c>
      <c r="H142" t="s">
        <v>80</v>
      </c>
      <c r="I142" t="s">
        <v>81</v>
      </c>
      <c r="J142" t="s">
        <v>82</v>
      </c>
      <c r="K142" t="s">
        <v>76</v>
      </c>
      <c r="L142" t="s">
        <v>8</v>
      </c>
      <c r="M142" t="s">
        <v>83</v>
      </c>
      <c r="N142" t="s">
        <v>84</v>
      </c>
      <c r="O142" t="s">
        <v>85</v>
      </c>
      <c r="P142">
        <v>250867</v>
      </c>
      <c r="Q142" t="s">
        <v>5</v>
      </c>
      <c r="R142" t="s">
        <v>86</v>
      </c>
      <c r="S142" t="s">
        <v>87</v>
      </c>
      <c r="T142">
        <v>0</v>
      </c>
      <c r="U142">
        <v>0.25</v>
      </c>
      <c r="V142" s="2">
        <v>1.0416666666666666E-2</v>
      </c>
      <c r="W142">
        <v>0</v>
      </c>
      <c r="AA142" t="s">
        <v>88</v>
      </c>
      <c r="AB142" t="s">
        <v>100</v>
      </c>
      <c r="AC142" t="s">
        <v>166</v>
      </c>
      <c r="AD142" t="s">
        <v>90</v>
      </c>
    </row>
    <row r="143" spans="1:30" hidden="1">
      <c r="A143" s="1">
        <v>45435</v>
      </c>
      <c r="B143" t="s">
        <v>114</v>
      </c>
      <c r="C143" t="s">
        <v>75</v>
      </c>
      <c r="D143" t="s">
        <v>76</v>
      </c>
      <c r="E143" t="s">
        <v>91</v>
      </c>
      <c r="F143" t="s">
        <v>78</v>
      </c>
      <c r="G143" t="s">
        <v>79</v>
      </c>
      <c r="H143" t="s">
        <v>80</v>
      </c>
      <c r="I143" t="s">
        <v>81</v>
      </c>
      <c r="J143" t="s">
        <v>82</v>
      </c>
      <c r="K143" t="s">
        <v>76</v>
      </c>
      <c r="L143" t="s">
        <v>8</v>
      </c>
      <c r="M143" t="s">
        <v>83</v>
      </c>
      <c r="N143" t="s">
        <v>93</v>
      </c>
      <c r="O143" t="s">
        <v>85</v>
      </c>
      <c r="P143">
        <v>251331</v>
      </c>
      <c r="Q143" t="s">
        <v>5</v>
      </c>
      <c r="R143" t="s">
        <v>86</v>
      </c>
      <c r="S143" t="s">
        <v>87</v>
      </c>
      <c r="T143">
        <v>0</v>
      </c>
      <c r="U143">
        <v>0.25</v>
      </c>
      <c r="V143" s="2">
        <v>1.0416666666666666E-2</v>
      </c>
      <c r="W143">
        <v>0</v>
      </c>
      <c r="AA143" t="s">
        <v>88</v>
      </c>
      <c r="AB143" t="s">
        <v>100</v>
      </c>
      <c r="AC143" t="s">
        <v>179</v>
      </c>
      <c r="AD143" t="s">
        <v>90</v>
      </c>
    </row>
    <row r="144" spans="1:30" hidden="1">
      <c r="A144" s="1">
        <v>45435</v>
      </c>
      <c r="B144" t="s">
        <v>8</v>
      </c>
      <c r="C144" t="s">
        <v>75</v>
      </c>
      <c r="D144" t="s">
        <v>76</v>
      </c>
      <c r="E144" t="s">
        <v>77</v>
      </c>
      <c r="F144" t="s">
        <v>78</v>
      </c>
      <c r="G144" t="s">
        <v>79</v>
      </c>
      <c r="H144" t="s">
        <v>80</v>
      </c>
      <c r="I144" t="s">
        <v>81</v>
      </c>
      <c r="J144" t="s">
        <v>82</v>
      </c>
      <c r="K144" t="s">
        <v>76</v>
      </c>
      <c r="L144" t="s">
        <v>8</v>
      </c>
      <c r="M144" t="s">
        <v>83</v>
      </c>
      <c r="N144" t="s">
        <v>84</v>
      </c>
      <c r="O144" t="s">
        <v>85</v>
      </c>
      <c r="P144">
        <v>250839</v>
      </c>
      <c r="Q144" t="s">
        <v>5</v>
      </c>
      <c r="R144" t="s">
        <v>86</v>
      </c>
      <c r="S144" t="s">
        <v>87</v>
      </c>
      <c r="T144">
        <v>0</v>
      </c>
      <c r="U144">
        <v>0.25</v>
      </c>
      <c r="V144" s="2">
        <v>1.0416666666666666E-2</v>
      </c>
      <c r="W144">
        <v>0</v>
      </c>
      <c r="AA144" t="s">
        <v>88</v>
      </c>
      <c r="AB144" t="s">
        <v>100</v>
      </c>
      <c r="AC144" t="s">
        <v>84</v>
      </c>
      <c r="AD144" t="s">
        <v>90</v>
      </c>
    </row>
    <row r="145" spans="1:30" hidden="1">
      <c r="A145" s="1">
        <v>45439</v>
      </c>
      <c r="B145" t="s">
        <v>14</v>
      </c>
      <c r="C145" t="s">
        <v>75</v>
      </c>
      <c r="D145" t="s">
        <v>76</v>
      </c>
      <c r="E145" t="s">
        <v>77</v>
      </c>
      <c r="F145" t="s">
        <v>78</v>
      </c>
      <c r="G145" t="s">
        <v>79</v>
      </c>
      <c r="H145" t="s">
        <v>80</v>
      </c>
      <c r="I145" t="s">
        <v>81</v>
      </c>
      <c r="J145" t="s">
        <v>82</v>
      </c>
      <c r="K145" t="s">
        <v>76</v>
      </c>
      <c r="L145" t="s">
        <v>8</v>
      </c>
      <c r="M145" t="s">
        <v>83</v>
      </c>
      <c r="N145" t="s">
        <v>84</v>
      </c>
      <c r="O145" t="s">
        <v>85</v>
      </c>
      <c r="P145">
        <v>251812</v>
      </c>
      <c r="Q145" t="s">
        <v>5</v>
      </c>
      <c r="R145" t="s">
        <v>86</v>
      </c>
      <c r="S145" t="s">
        <v>87</v>
      </c>
      <c r="T145">
        <v>0</v>
      </c>
      <c r="U145">
        <v>0.75</v>
      </c>
      <c r="V145" s="2">
        <v>3.125E-2</v>
      </c>
      <c r="W145">
        <v>0</v>
      </c>
      <c r="AA145" t="s">
        <v>88</v>
      </c>
      <c r="AB145" t="s">
        <v>100</v>
      </c>
      <c r="AC145" t="s">
        <v>183</v>
      </c>
      <c r="AD145" t="s">
        <v>90</v>
      </c>
    </row>
    <row r="146" spans="1:30" hidden="1">
      <c r="A146" s="1">
        <v>45439</v>
      </c>
      <c r="B146" t="s">
        <v>114</v>
      </c>
      <c r="C146" t="s">
        <v>75</v>
      </c>
      <c r="D146" t="s">
        <v>76</v>
      </c>
      <c r="E146" t="s">
        <v>91</v>
      </c>
      <c r="F146" t="s">
        <v>78</v>
      </c>
      <c r="G146" t="s">
        <v>79</v>
      </c>
      <c r="H146" t="s">
        <v>80</v>
      </c>
      <c r="I146" t="s">
        <v>81</v>
      </c>
      <c r="J146" t="s">
        <v>82</v>
      </c>
      <c r="K146" t="s">
        <v>76</v>
      </c>
      <c r="L146" t="s">
        <v>8</v>
      </c>
      <c r="M146" t="s">
        <v>83</v>
      </c>
      <c r="N146" t="s">
        <v>93</v>
      </c>
      <c r="O146" t="s">
        <v>85</v>
      </c>
      <c r="P146">
        <v>251828</v>
      </c>
      <c r="Q146" t="s">
        <v>5</v>
      </c>
      <c r="R146" t="s">
        <v>86</v>
      </c>
      <c r="S146" t="s">
        <v>87</v>
      </c>
      <c r="T146">
        <v>0</v>
      </c>
      <c r="U146">
        <v>0.25</v>
      </c>
      <c r="V146" s="2">
        <v>1.0416666666666666E-2</v>
      </c>
      <c r="W146">
        <v>0</v>
      </c>
      <c r="AA146" t="s">
        <v>88</v>
      </c>
      <c r="AB146" t="s">
        <v>100</v>
      </c>
      <c r="AC146" t="s">
        <v>179</v>
      </c>
      <c r="AD146" t="s">
        <v>90</v>
      </c>
    </row>
    <row r="147" spans="1:30" hidden="1">
      <c r="A147" s="1">
        <v>45439</v>
      </c>
      <c r="B147" t="s">
        <v>180</v>
      </c>
      <c r="C147" t="s">
        <v>75</v>
      </c>
      <c r="D147" t="s">
        <v>76</v>
      </c>
      <c r="E147" t="s">
        <v>91</v>
      </c>
      <c r="F147" t="s">
        <v>78</v>
      </c>
      <c r="G147" t="s">
        <v>79</v>
      </c>
      <c r="H147" t="s">
        <v>80</v>
      </c>
      <c r="I147" t="s">
        <v>81</v>
      </c>
      <c r="J147" t="s">
        <v>82</v>
      </c>
      <c r="K147" t="s">
        <v>76</v>
      </c>
      <c r="L147" t="s">
        <v>8</v>
      </c>
      <c r="M147" t="s">
        <v>83</v>
      </c>
      <c r="N147" t="s">
        <v>84</v>
      </c>
      <c r="O147" t="s">
        <v>85</v>
      </c>
      <c r="P147">
        <v>251639</v>
      </c>
      <c r="Q147" t="s">
        <v>5</v>
      </c>
      <c r="R147" t="s">
        <v>86</v>
      </c>
      <c r="S147" t="s">
        <v>87</v>
      </c>
      <c r="T147">
        <v>0</v>
      </c>
      <c r="U147">
        <v>1</v>
      </c>
      <c r="V147" s="2">
        <v>4.1666666666666664E-2</v>
      </c>
      <c r="W147">
        <v>0</v>
      </c>
      <c r="AA147" t="s">
        <v>88</v>
      </c>
      <c r="AB147" t="s">
        <v>100</v>
      </c>
      <c r="AC147" t="s">
        <v>184</v>
      </c>
      <c r="AD147" t="s">
        <v>90</v>
      </c>
    </row>
    <row r="148" spans="1:30" hidden="1">
      <c r="A148" s="1">
        <v>45440</v>
      </c>
      <c r="B148" t="s">
        <v>14</v>
      </c>
      <c r="C148" t="s">
        <v>75</v>
      </c>
      <c r="D148" t="s">
        <v>76</v>
      </c>
      <c r="E148" t="s">
        <v>77</v>
      </c>
      <c r="F148" t="s">
        <v>78</v>
      </c>
      <c r="G148" t="s">
        <v>79</v>
      </c>
      <c r="H148" t="s">
        <v>80</v>
      </c>
      <c r="I148" t="s">
        <v>81</v>
      </c>
      <c r="J148" t="s">
        <v>82</v>
      </c>
      <c r="K148" t="s">
        <v>76</v>
      </c>
      <c r="L148" t="s">
        <v>8</v>
      </c>
      <c r="M148" t="s">
        <v>83</v>
      </c>
      <c r="N148" t="s">
        <v>84</v>
      </c>
      <c r="O148" t="s">
        <v>85</v>
      </c>
      <c r="P148">
        <v>252338</v>
      </c>
      <c r="Q148" t="s">
        <v>5</v>
      </c>
      <c r="R148" t="s">
        <v>86</v>
      </c>
      <c r="S148" t="s">
        <v>87</v>
      </c>
      <c r="T148">
        <v>0</v>
      </c>
      <c r="U148">
        <v>0.25</v>
      </c>
      <c r="V148" s="2">
        <v>1.0416666666666666E-2</v>
      </c>
      <c r="W148">
        <v>0</v>
      </c>
      <c r="AA148" t="s">
        <v>88</v>
      </c>
      <c r="AB148" t="s">
        <v>100</v>
      </c>
      <c r="AC148" t="s">
        <v>166</v>
      </c>
      <c r="AD148" t="s">
        <v>90</v>
      </c>
    </row>
    <row r="149" spans="1:30" hidden="1">
      <c r="A149" s="1">
        <v>45440</v>
      </c>
      <c r="B149" t="s">
        <v>114</v>
      </c>
      <c r="C149" t="s">
        <v>75</v>
      </c>
      <c r="D149" t="s">
        <v>76</v>
      </c>
      <c r="E149" t="s">
        <v>91</v>
      </c>
      <c r="F149" t="s">
        <v>78</v>
      </c>
      <c r="G149" t="s">
        <v>79</v>
      </c>
      <c r="H149" t="s">
        <v>80</v>
      </c>
      <c r="I149" t="s">
        <v>81</v>
      </c>
      <c r="J149" t="s">
        <v>82</v>
      </c>
      <c r="K149" t="s">
        <v>76</v>
      </c>
      <c r="L149" t="s">
        <v>8</v>
      </c>
      <c r="M149" t="s">
        <v>83</v>
      </c>
      <c r="N149" t="s">
        <v>93</v>
      </c>
      <c r="O149" t="s">
        <v>85</v>
      </c>
      <c r="P149">
        <v>252327</v>
      </c>
      <c r="Q149" t="s">
        <v>5</v>
      </c>
      <c r="R149" t="s">
        <v>86</v>
      </c>
      <c r="S149" t="s">
        <v>87</v>
      </c>
      <c r="T149">
        <v>0</v>
      </c>
      <c r="U149">
        <v>0.5</v>
      </c>
      <c r="V149" s="2">
        <v>2.0833333333333332E-2</v>
      </c>
      <c r="W149">
        <v>0</v>
      </c>
      <c r="AA149" t="s">
        <v>88</v>
      </c>
      <c r="AB149" t="s">
        <v>100</v>
      </c>
      <c r="AC149" t="s">
        <v>179</v>
      </c>
      <c r="AD149" t="s">
        <v>90</v>
      </c>
    </row>
    <row r="150" spans="1:30" hidden="1">
      <c r="A150" s="1">
        <v>45441</v>
      </c>
      <c r="B150" t="s">
        <v>114</v>
      </c>
      <c r="C150" t="s">
        <v>75</v>
      </c>
      <c r="D150" t="s">
        <v>76</v>
      </c>
      <c r="E150" t="s">
        <v>91</v>
      </c>
      <c r="F150" t="s">
        <v>78</v>
      </c>
      <c r="G150" t="s">
        <v>79</v>
      </c>
      <c r="H150" t="s">
        <v>80</v>
      </c>
      <c r="I150" t="s">
        <v>81</v>
      </c>
      <c r="J150" t="s">
        <v>82</v>
      </c>
      <c r="K150" t="s">
        <v>76</v>
      </c>
      <c r="L150" t="s">
        <v>8</v>
      </c>
      <c r="M150" t="s">
        <v>83</v>
      </c>
      <c r="N150" t="s">
        <v>93</v>
      </c>
      <c r="O150" t="s">
        <v>85</v>
      </c>
      <c r="P150">
        <v>252723</v>
      </c>
      <c r="Q150" t="s">
        <v>5</v>
      </c>
      <c r="R150" t="s">
        <v>86</v>
      </c>
      <c r="S150" t="s">
        <v>87</v>
      </c>
      <c r="T150">
        <v>0</v>
      </c>
      <c r="U150">
        <v>0.25</v>
      </c>
      <c r="V150" s="2">
        <v>1.0416666666666666E-2</v>
      </c>
      <c r="W150">
        <v>0</v>
      </c>
      <c r="AA150" t="s">
        <v>88</v>
      </c>
      <c r="AB150" t="s">
        <v>100</v>
      </c>
      <c r="AC150" t="s">
        <v>84</v>
      </c>
      <c r="AD150" t="s">
        <v>90</v>
      </c>
    </row>
    <row r="151" spans="1:30" hidden="1">
      <c r="A151" s="1">
        <v>45442</v>
      </c>
      <c r="B151" t="s">
        <v>14</v>
      </c>
      <c r="C151" t="s">
        <v>75</v>
      </c>
      <c r="D151" t="s">
        <v>76</v>
      </c>
      <c r="E151" t="s">
        <v>77</v>
      </c>
      <c r="F151" t="s">
        <v>78</v>
      </c>
      <c r="G151" t="s">
        <v>79</v>
      </c>
      <c r="H151" t="s">
        <v>80</v>
      </c>
      <c r="I151" t="s">
        <v>81</v>
      </c>
      <c r="J151" t="s">
        <v>82</v>
      </c>
      <c r="K151" t="s">
        <v>76</v>
      </c>
      <c r="L151" t="s">
        <v>8</v>
      </c>
      <c r="M151" t="s">
        <v>83</v>
      </c>
      <c r="N151" t="s">
        <v>84</v>
      </c>
      <c r="O151" t="s">
        <v>85</v>
      </c>
      <c r="P151">
        <v>253211</v>
      </c>
      <c r="Q151" t="s">
        <v>5</v>
      </c>
      <c r="R151" t="s">
        <v>86</v>
      </c>
      <c r="S151" t="s">
        <v>87</v>
      </c>
      <c r="T151">
        <v>0</v>
      </c>
      <c r="U151">
        <v>0.25</v>
      </c>
      <c r="V151" s="2">
        <v>1.0416666666666666E-2</v>
      </c>
      <c r="W151">
        <v>0</v>
      </c>
      <c r="AA151" t="s">
        <v>88</v>
      </c>
      <c r="AB151" t="s">
        <v>100</v>
      </c>
      <c r="AC151" t="s">
        <v>166</v>
      </c>
      <c r="AD151" t="s">
        <v>90</v>
      </c>
    </row>
    <row r="152" spans="1:30" hidden="1">
      <c r="A152" s="1">
        <v>45442</v>
      </c>
      <c r="B152" t="s">
        <v>114</v>
      </c>
      <c r="C152" t="s">
        <v>75</v>
      </c>
      <c r="D152" t="s">
        <v>76</v>
      </c>
      <c r="E152" t="s">
        <v>91</v>
      </c>
      <c r="F152" t="s">
        <v>78</v>
      </c>
      <c r="G152" t="s">
        <v>79</v>
      </c>
      <c r="H152" t="s">
        <v>80</v>
      </c>
      <c r="I152" t="s">
        <v>81</v>
      </c>
      <c r="J152" t="s">
        <v>82</v>
      </c>
      <c r="K152" t="s">
        <v>76</v>
      </c>
      <c r="L152" t="s">
        <v>8</v>
      </c>
      <c r="M152" t="s">
        <v>83</v>
      </c>
      <c r="N152" t="s">
        <v>93</v>
      </c>
      <c r="O152" t="s">
        <v>85</v>
      </c>
      <c r="P152">
        <v>253420</v>
      </c>
      <c r="Q152" t="s">
        <v>5</v>
      </c>
      <c r="R152" t="s">
        <v>86</v>
      </c>
      <c r="S152" t="s">
        <v>87</v>
      </c>
      <c r="T152">
        <v>0</v>
      </c>
      <c r="U152">
        <v>0.25</v>
      </c>
      <c r="V152" s="2">
        <v>1.0416666666666666E-2</v>
      </c>
      <c r="W152">
        <v>0</v>
      </c>
      <c r="AA152" t="s">
        <v>88</v>
      </c>
      <c r="AB152" t="s">
        <v>100</v>
      </c>
      <c r="AC152" t="s">
        <v>84</v>
      </c>
      <c r="AD152" t="s">
        <v>90</v>
      </c>
    </row>
    <row r="153" spans="1:30" hidden="1">
      <c r="A153" s="1">
        <v>45442</v>
      </c>
      <c r="B153" t="s">
        <v>12</v>
      </c>
      <c r="C153" t="s">
        <v>75</v>
      </c>
      <c r="D153" t="s">
        <v>76</v>
      </c>
      <c r="E153" t="s">
        <v>91</v>
      </c>
      <c r="F153" t="s">
        <v>78</v>
      </c>
      <c r="G153" t="s">
        <v>79</v>
      </c>
      <c r="H153" t="s">
        <v>80</v>
      </c>
      <c r="I153" t="s">
        <v>81</v>
      </c>
      <c r="J153" t="s">
        <v>82</v>
      </c>
      <c r="K153" t="s">
        <v>76</v>
      </c>
      <c r="L153" t="s">
        <v>8</v>
      </c>
      <c r="M153" t="s">
        <v>83</v>
      </c>
      <c r="N153" t="s">
        <v>84</v>
      </c>
      <c r="O153" t="s">
        <v>85</v>
      </c>
      <c r="P153">
        <v>253756</v>
      </c>
      <c r="Q153" t="s">
        <v>5</v>
      </c>
      <c r="R153" t="s">
        <v>86</v>
      </c>
      <c r="S153" t="s">
        <v>87</v>
      </c>
      <c r="T153">
        <v>0</v>
      </c>
      <c r="U153">
        <v>0.25</v>
      </c>
      <c r="V153" s="2">
        <v>1.0416666666666666E-2</v>
      </c>
      <c r="W153">
        <v>0</v>
      </c>
      <c r="AA153" t="s">
        <v>88</v>
      </c>
      <c r="AB153" t="s">
        <v>100</v>
      </c>
      <c r="AC153" t="s">
        <v>84</v>
      </c>
      <c r="AD153" t="s">
        <v>90</v>
      </c>
    </row>
    <row r="154" spans="1:30" hidden="1">
      <c r="A154" s="1">
        <v>45442</v>
      </c>
      <c r="B154" t="s">
        <v>8</v>
      </c>
      <c r="C154" t="s">
        <v>75</v>
      </c>
      <c r="D154" t="s">
        <v>76</v>
      </c>
      <c r="E154" t="s">
        <v>77</v>
      </c>
      <c r="F154" t="s">
        <v>78</v>
      </c>
      <c r="G154" t="s">
        <v>79</v>
      </c>
      <c r="H154" t="s">
        <v>80</v>
      </c>
      <c r="I154" t="s">
        <v>81</v>
      </c>
      <c r="J154" t="s">
        <v>82</v>
      </c>
      <c r="K154" t="s">
        <v>76</v>
      </c>
      <c r="L154" t="s">
        <v>8</v>
      </c>
      <c r="M154" t="s">
        <v>83</v>
      </c>
      <c r="N154" t="s">
        <v>84</v>
      </c>
      <c r="O154" t="s">
        <v>85</v>
      </c>
      <c r="P154">
        <v>253325</v>
      </c>
      <c r="Q154" t="s">
        <v>5</v>
      </c>
      <c r="R154" t="s">
        <v>86</v>
      </c>
      <c r="S154" t="s">
        <v>87</v>
      </c>
      <c r="T154">
        <v>0</v>
      </c>
      <c r="U154">
        <v>0.25</v>
      </c>
      <c r="V154" s="2">
        <v>1.0416666666666666E-2</v>
      </c>
      <c r="W154">
        <v>0</v>
      </c>
      <c r="AA154" t="s">
        <v>88</v>
      </c>
      <c r="AB154" t="s">
        <v>100</v>
      </c>
      <c r="AC154" t="s">
        <v>84</v>
      </c>
      <c r="AD154" t="s">
        <v>90</v>
      </c>
    </row>
    <row r="155" spans="1:30" hidden="1">
      <c r="A155" s="1">
        <v>45443</v>
      </c>
      <c r="B155" t="s">
        <v>14</v>
      </c>
      <c r="C155" t="s">
        <v>75</v>
      </c>
      <c r="D155" t="s">
        <v>76</v>
      </c>
      <c r="E155" t="s">
        <v>77</v>
      </c>
      <c r="F155" t="s">
        <v>78</v>
      </c>
      <c r="G155" t="s">
        <v>79</v>
      </c>
      <c r="H155" t="s">
        <v>80</v>
      </c>
      <c r="I155" t="s">
        <v>81</v>
      </c>
      <c r="J155" t="s">
        <v>82</v>
      </c>
      <c r="K155" t="s">
        <v>76</v>
      </c>
      <c r="L155" t="s">
        <v>8</v>
      </c>
      <c r="M155" t="s">
        <v>83</v>
      </c>
      <c r="N155" t="s">
        <v>84</v>
      </c>
      <c r="O155" t="s">
        <v>85</v>
      </c>
      <c r="P155">
        <v>253618</v>
      </c>
      <c r="Q155" t="s">
        <v>5</v>
      </c>
      <c r="R155" t="s">
        <v>86</v>
      </c>
      <c r="S155" t="s">
        <v>87</v>
      </c>
      <c r="T155">
        <v>0</v>
      </c>
      <c r="U155">
        <v>0.25</v>
      </c>
      <c r="V155" s="2">
        <v>1.0416666666666666E-2</v>
      </c>
      <c r="W155">
        <v>0</v>
      </c>
      <c r="AA155" t="s">
        <v>88</v>
      </c>
      <c r="AB155" t="s">
        <v>100</v>
      </c>
      <c r="AC155" t="s">
        <v>166</v>
      </c>
      <c r="AD155" t="s">
        <v>90</v>
      </c>
    </row>
    <row r="156" spans="1:30" hidden="1">
      <c r="A156" s="1">
        <v>45443</v>
      </c>
      <c r="B156" t="s">
        <v>12</v>
      </c>
      <c r="C156" t="s">
        <v>75</v>
      </c>
      <c r="D156" t="s">
        <v>76</v>
      </c>
      <c r="E156" t="s">
        <v>91</v>
      </c>
      <c r="F156" t="s">
        <v>78</v>
      </c>
      <c r="G156" t="s">
        <v>79</v>
      </c>
      <c r="H156" t="s">
        <v>80</v>
      </c>
      <c r="I156" t="s">
        <v>81</v>
      </c>
      <c r="J156" t="s">
        <v>82</v>
      </c>
      <c r="K156" t="s">
        <v>76</v>
      </c>
      <c r="L156" t="s">
        <v>8</v>
      </c>
      <c r="M156" t="s">
        <v>83</v>
      </c>
      <c r="N156" t="s">
        <v>84</v>
      </c>
      <c r="O156" t="s">
        <v>85</v>
      </c>
      <c r="P156">
        <v>254229</v>
      </c>
      <c r="Q156" t="s">
        <v>5</v>
      </c>
      <c r="R156" t="s">
        <v>86</v>
      </c>
      <c r="S156" t="s">
        <v>87</v>
      </c>
      <c r="T156">
        <v>0</v>
      </c>
      <c r="U156">
        <v>0.25</v>
      </c>
      <c r="V156" s="2">
        <v>1.0416666666666666E-2</v>
      </c>
      <c r="W156">
        <v>0</v>
      </c>
      <c r="AA156" t="s">
        <v>88</v>
      </c>
      <c r="AB156" t="s">
        <v>100</v>
      </c>
      <c r="AC156" t="s">
        <v>84</v>
      </c>
      <c r="AD156" t="s">
        <v>90</v>
      </c>
    </row>
    <row r="157" spans="1:30" hidden="1">
      <c r="A157" s="1">
        <v>45443</v>
      </c>
      <c r="B157" t="s">
        <v>8</v>
      </c>
      <c r="C157" t="s">
        <v>75</v>
      </c>
      <c r="D157" t="s">
        <v>76</v>
      </c>
      <c r="E157" t="s">
        <v>77</v>
      </c>
      <c r="F157" t="s">
        <v>78</v>
      </c>
      <c r="G157" t="s">
        <v>79</v>
      </c>
      <c r="H157" t="s">
        <v>80</v>
      </c>
      <c r="I157" t="s">
        <v>81</v>
      </c>
      <c r="J157" t="s">
        <v>82</v>
      </c>
      <c r="K157" t="s">
        <v>76</v>
      </c>
      <c r="L157" t="s">
        <v>8</v>
      </c>
      <c r="M157" t="s">
        <v>83</v>
      </c>
      <c r="N157" t="s">
        <v>84</v>
      </c>
      <c r="O157" t="s">
        <v>85</v>
      </c>
      <c r="P157">
        <v>253303</v>
      </c>
      <c r="Q157" t="s">
        <v>5</v>
      </c>
      <c r="R157" t="s">
        <v>86</v>
      </c>
      <c r="S157" t="s">
        <v>87</v>
      </c>
      <c r="T157">
        <v>0</v>
      </c>
      <c r="U157">
        <v>0.25</v>
      </c>
      <c r="V157" s="2">
        <v>1.0416666666666666E-2</v>
      </c>
      <c r="W157">
        <v>0</v>
      </c>
      <c r="AA157" t="s">
        <v>88</v>
      </c>
      <c r="AB157" t="s">
        <v>100</v>
      </c>
      <c r="AC157" t="s">
        <v>84</v>
      </c>
      <c r="AD157" t="s">
        <v>90</v>
      </c>
    </row>
    <row r="158" spans="1:30" hidden="1">
      <c r="A158" s="1">
        <v>45443</v>
      </c>
      <c r="B158" t="s">
        <v>108</v>
      </c>
      <c r="C158" t="s">
        <v>75</v>
      </c>
      <c r="D158" t="s">
        <v>76</v>
      </c>
      <c r="E158" t="s">
        <v>91</v>
      </c>
      <c r="F158" t="s">
        <v>78</v>
      </c>
      <c r="G158" t="s">
        <v>79</v>
      </c>
      <c r="H158" t="s">
        <v>80</v>
      </c>
      <c r="I158" t="s">
        <v>81</v>
      </c>
      <c r="J158" t="s">
        <v>82</v>
      </c>
      <c r="K158" t="s">
        <v>76</v>
      </c>
      <c r="L158" t="s">
        <v>8</v>
      </c>
      <c r="M158" t="s">
        <v>83</v>
      </c>
      <c r="N158" t="s">
        <v>93</v>
      </c>
      <c r="O158" t="s">
        <v>85</v>
      </c>
      <c r="P158">
        <v>254361</v>
      </c>
      <c r="Q158" t="s">
        <v>5</v>
      </c>
      <c r="R158" t="s">
        <v>86</v>
      </c>
      <c r="S158" t="s">
        <v>87</v>
      </c>
      <c r="T158">
        <v>0</v>
      </c>
      <c r="U158">
        <v>0.25</v>
      </c>
      <c r="V158" s="2">
        <v>1.0416666666666666E-2</v>
      </c>
      <c r="W158">
        <v>0</v>
      </c>
      <c r="AA158" t="s">
        <v>88</v>
      </c>
      <c r="AB158" t="s">
        <v>100</v>
      </c>
      <c r="AC158" t="s">
        <v>84</v>
      </c>
      <c r="AD158" t="s">
        <v>90</v>
      </c>
    </row>
    <row r="159" spans="1:30" hidden="1">
      <c r="A159" s="1">
        <v>45446</v>
      </c>
      <c r="B159" t="s">
        <v>114</v>
      </c>
      <c r="C159" t="s">
        <v>75</v>
      </c>
      <c r="D159" t="s">
        <v>76</v>
      </c>
      <c r="E159" t="s">
        <v>91</v>
      </c>
      <c r="F159" t="s">
        <v>78</v>
      </c>
      <c r="G159" t="s">
        <v>79</v>
      </c>
      <c r="H159" t="s">
        <v>80</v>
      </c>
      <c r="I159" t="s">
        <v>81</v>
      </c>
      <c r="J159" t="s">
        <v>82</v>
      </c>
      <c r="K159" t="s">
        <v>76</v>
      </c>
      <c r="L159" t="s">
        <v>8</v>
      </c>
      <c r="M159" t="s">
        <v>83</v>
      </c>
      <c r="N159" t="s">
        <v>93</v>
      </c>
      <c r="O159" t="s">
        <v>85</v>
      </c>
      <c r="P159">
        <v>254954</v>
      </c>
      <c r="Q159" t="s">
        <v>5</v>
      </c>
      <c r="R159" t="s">
        <v>86</v>
      </c>
      <c r="S159" t="s">
        <v>87</v>
      </c>
      <c r="T159">
        <v>0</v>
      </c>
      <c r="U159">
        <v>0.25</v>
      </c>
      <c r="V159" s="2">
        <v>1.0416666666666666E-2</v>
      </c>
      <c r="W159">
        <v>0</v>
      </c>
      <c r="AA159" t="s">
        <v>88</v>
      </c>
      <c r="AB159" t="s">
        <v>100</v>
      </c>
      <c r="AC159" t="s">
        <v>179</v>
      </c>
      <c r="AD159" t="s">
        <v>90</v>
      </c>
    </row>
    <row r="160" spans="1:30" hidden="1">
      <c r="A160" s="1">
        <v>45446</v>
      </c>
      <c r="B160" t="s">
        <v>180</v>
      </c>
      <c r="C160" t="s">
        <v>75</v>
      </c>
      <c r="D160" t="s">
        <v>76</v>
      </c>
      <c r="E160" t="s">
        <v>91</v>
      </c>
      <c r="F160" t="s">
        <v>78</v>
      </c>
      <c r="G160" t="s">
        <v>79</v>
      </c>
      <c r="H160" t="s">
        <v>80</v>
      </c>
      <c r="I160" t="s">
        <v>81</v>
      </c>
      <c r="J160" t="s">
        <v>82</v>
      </c>
      <c r="K160" t="s">
        <v>76</v>
      </c>
      <c r="L160" t="s">
        <v>8</v>
      </c>
      <c r="M160" t="s">
        <v>83</v>
      </c>
      <c r="N160" t="s">
        <v>84</v>
      </c>
      <c r="O160" t="s">
        <v>85</v>
      </c>
      <c r="P160">
        <v>254751</v>
      </c>
      <c r="Q160" t="s">
        <v>5</v>
      </c>
      <c r="R160" t="s">
        <v>86</v>
      </c>
      <c r="S160" t="s">
        <v>87</v>
      </c>
      <c r="T160">
        <v>0</v>
      </c>
      <c r="U160">
        <v>0.5</v>
      </c>
      <c r="V160" s="2">
        <v>2.0833333333333332E-2</v>
      </c>
      <c r="W160">
        <v>0</v>
      </c>
      <c r="AA160" t="s">
        <v>88</v>
      </c>
      <c r="AB160" t="s">
        <v>100</v>
      </c>
      <c r="AC160" t="s">
        <v>184</v>
      </c>
      <c r="AD160" t="s">
        <v>90</v>
      </c>
    </row>
    <row r="161" spans="1:30" hidden="1">
      <c r="A161" s="1">
        <v>45446</v>
      </c>
      <c r="B161" t="s">
        <v>8</v>
      </c>
      <c r="C161" t="s">
        <v>75</v>
      </c>
      <c r="D161" t="s">
        <v>76</v>
      </c>
      <c r="E161" t="s">
        <v>77</v>
      </c>
      <c r="F161" t="s">
        <v>78</v>
      </c>
      <c r="G161" t="s">
        <v>79</v>
      </c>
      <c r="H161" t="s">
        <v>80</v>
      </c>
      <c r="I161" t="s">
        <v>81</v>
      </c>
      <c r="J161" t="s">
        <v>82</v>
      </c>
      <c r="K161" t="s">
        <v>76</v>
      </c>
      <c r="L161" t="s">
        <v>8</v>
      </c>
      <c r="M161" t="s">
        <v>83</v>
      </c>
      <c r="N161" t="s">
        <v>84</v>
      </c>
      <c r="O161" t="s">
        <v>85</v>
      </c>
      <c r="P161">
        <v>254875</v>
      </c>
      <c r="Q161" t="s">
        <v>5</v>
      </c>
      <c r="R161" t="s">
        <v>86</v>
      </c>
      <c r="S161" t="s">
        <v>87</v>
      </c>
      <c r="T161">
        <v>0</v>
      </c>
      <c r="U161">
        <v>0.25</v>
      </c>
      <c r="V161" s="2">
        <v>1.0416666666666666E-2</v>
      </c>
      <c r="W161">
        <v>0</v>
      </c>
      <c r="AA161" t="s">
        <v>88</v>
      </c>
      <c r="AB161" t="s">
        <v>100</v>
      </c>
      <c r="AC161" t="s">
        <v>84</v>
      </c>
      <c r="AD161" t="s">
        <v>90</v>
      </c>
    </row>
    <row r="162" spans="1:30" hidden="1">
      <c r="A162" s="1">
        <v>45446</v>
      </c>
      <c r="B162" t="s">
        <v>108</v>
      </c>
      <c r="C162" t="s">
        <v>75</v>
      </c>
      <c r="D162" t="s">
        <v>76</v>
      </c>
      <c r="E162" t="s">
        <v>91</v>
      </c>
      <c r="F162" t="s">
        <v>78</v>
      </c>
      <c r="G162" t="s">
        <v>79</v>
      </c>
      <c r="H162" t="s">
        <v>80</v>
      </c>
      <c r="I162" t="s">
        <v>81</v>
      </c>
      <c r="J162" t="s">
        <v>82</v>
      </c>
      <c r="K162" t="s">
        <v>76</v>
      </c>
      <c r="L162" t="s">
        <v>8</v>
      </c>
      <c r="M162" t="s">
        <v>83</v>
      </c>
      <c r="N162" t="s">
        <v>93</v>
      </c>
      <c r="O162" t="s">
        <v>85</v>
      </c>
      <c r="P162">
        <v>257108</v>
      </c>
      <c r="Q162" t="s">
        <v>5</v>
      </c>
      <c r="R162" t="s">
        <v>86</v>
      </c>
      <c r="S162" t="s">
        <v>87</v>
      </c>
      <c r="T162">
        <v>0</v>
      </c>
      <c r="U162">
        <v>0.25</v>
      </c>
      <c r="V162" s="2">
        <v>1.0416666666666666E-2</v>
      </c>
      <c r="W162">
        <v>0</v>
      </c>
      <c r="AA162" t="s">
        <v>88</v>
      </c>
      <c r="AB162" t="s">
        <v>100</v>
      </c>
      <c r="AC162" t="s">
        <v>84</v>
      </c>
      <c r="AD162" t="s">
        <v>90</v>
      </c>
    </row>
    <row r="163" spans="1:30" hidden="1">
      <c r="A163" s="1">
        <v>45447</v>
      </c>
      <c r="B163" t="s">
        <v>14</v>
      </c>
      <c r="C163" t="s">
        <v>75</v>
      </c>
      <c r="D163" t="s">
        <v>76</v>
      </c>
      <c r="E163" t="s">
        <v>77</v>
      </c>
      <c r="F163" t="s">
        <v>78</v>
      </c>
      <c r="G163" t="s">
        <v>79</v>
      </c>
      <c r="H163" t="s">
        <v>80</v>
      </c>
      <c r="I163" t="s">
        <v>81</v>
      </c>
      <c r="J163" t="s">
        <v>82</v>
      </c>
      <c r="K163" t="s">
        <v>76</v>
      </c>
      <c r="L163" t="s">
        <v>8</v>
      </c>
      <c r="M163" t="s">
        <v>83</v>
      </c>
      <c r="N163" t="s">
        <v>84</v>
      </c>
      <c r="O163" t="s">
        <v>85</v>
      </c>
      <c r="P163">
        <v>255151</v>
      </c>
      <c r="Q163" t="s">
        <v>5</v>
      </c>
      <c r="R163" t="s">
        <v>86</v>
      </c>
      <c r="S163" t="s">
        <v>87</v>
      </c>
      <c r="T163">
        <v>0</v>
      </c>
      <c r="U163">
        <v>0.5</v>
      </c>
      <c r="V163" s="2">
        <v>2.0833333333333332E-2</v>
      </c>
      <c r="W163">
        <v>0</v>
      </c>
      <c r="AA163" t="s">
        <v>88</v>
      </c>
      <c r="AB163" t="s">
        <v>100</v>
      </c>
      <c r="AC163" t="s">
        <v>185</v>
      </c>
      <c r="AD163" t="s">
        <v>90</v>
      </c>
    </row>
    <row r="164" spans="1:30" hidden="1">
      <c r="A164" s="1">
        <v>45447</v>
      </c>
      <c r="B164" t="s">
        <v>114</v>
      </c>
      <c r="C164" t="s">
        <v>75</v>
      </c>
      <c r="D164" t="s">
        <v>76</v>
      </c>
      <c r="E164" t="s">
        <v>91</v>
      </c>
      <c r="F164" t="s">
        <v>78</v>
      </c>
      <c r="G164" t="s">
        <v>79</v>
      </c>
      <c r="H164" t="s">
        <v>80</v>
      </c>
      <c r="I164" t="s">
        <v>81</v>
      </c>
      <c r="J164" t="s">
        <v>82</v>
      </c>
      <c r="K164" t="s">
        <v>76</v>
      </c>
      <c r="L164" t="s">
        <v>8</v>
      </c>
      <c r="M164" t="s">
        <v>83</v>
      </c>
      <c r="N164" t="s">
        <v>93</v>
      </c>
      <c r="O164" t="s">
        <v>85</v>
      </c>
      <c r="P164">
        <v>254949</v>
      </c>
      <c r="Q164" t="s">
        <v>5</v>
      </c>
      <c r="R164" t="s">
        <v>86</v>
      </c>
      <c r="S164" t="s">
        <v>87</v>
      </c>
      <c r="T164">
        <v>0</v>
      </c>
      <c r="U164">
        <v>0.25</v>
      </c>
      <c r="V164" s="2">
        <v>1.0416666666666666E-2</v>
      </c>
      <c r="W164">
        <v>0</v>
      </c>
      <c r="AA164" t="s">
        <v>88</v>
      </c>
      <c r="AB164" t="s">
        <v>100</v>
      </c>
      <c r="AC164" t="s">
        <v>179</v>
      </c>
      <c r="AD164" t="s">
        <v>90</v>
      </c>
    </row>
    <row r="165" spans="1:30" hidden="1">
      <c r="A165" s="1">
        <v>45447</v>
      </c>
      <c r="B165" t="s">
        <v>8</v>
      </c>
      <c r="C165" t="s">
        <v>75</v>
      </c>
      <c r="D165" t="s">
        <v>76</v>
      </c>
      <c r="E165" t="s">
        <v>77</v>
      </c>
      <c r="F165" t="s">
        <v>78</v>
      </c>
      <c r="G165" t="s">
        <v>79</v>
      </c>
      <c r="H165" t="s">
        <v>80</v>
      </c>
      <c r="I165" t="s">
        <v>81</v>
      </c>
      <c r="J165" t="s">
        <v>82</v>
      </c>
      <c r="K165" t="s">
        <v>76</v>
      </c>
      <c r="L165" t="s">
        <v>8</v>
      </c>
      <c r="M165" t="s">
        <v>83</v>
      </c>
      <c r="N165" t="s">
        <v>84</v>
      </c>
      <c r="O165" t="s">
        <v>85</v>
      </c>
      <c r="P165">
        <v>255289</v>
      </c>
      <c r="Q165" t="s">
        <v>5</v>
      </c>
      <c r="R165" t="s">
        <v>86</v>
      </c>
      <c r="S165" t="s">
        <v>87</v>
      </c>
      <c r="T165">
        <v>0</v>
      </c>
      <c r="U165">
        <v>0.75</v>
      </c>
      <c r="V165" s="2">
        <v>3.125E-2</v>
      </c>
      <c r="W165">
        <v>0</v>
      </c>
      <c r="AA165" t="s">
        <v>88</v>
      </c>
      <c r="AB165" t="s">
        <v>100</v>
      </c>
      <c r="AC165" t="s">
        <v>84</v>
      </c>
      <c r="AD165" t="s">
        <v>90</v>
      </c>
    </row>
    <row r="166" spans="1:30" hidden="1">
      <c r="A166" s="1">
        <v>45447</v>
      </c>
      <c r="B166" t="s">
        <v>108</v>
      </c>
      <c r="C166" t="s">
        <v>75</v>
      </c>
      <c r="D166" t="s">
        <v>76</v>
      </c>
      <c r="E166" t="s">
        <v>91</v>
      </c>
      <c r="F166" t="s">
        <v>78</v>
      </c>
      <c r="G166" t="s">
        <v>79</v>
      </c>
      <c r="H166" t="s">
        <v>80</v>
      </c>
      <c r="I166" t="s">
        <v>81</v>
      </c>
      <c r="J166" t="s">
        <v>82</v>
      </c>
      <c r="K166" t="s">
        <v>76</v>
      </c>
      <c r="L166" t="s">
        <v>8</v>
      </c>
      <c r="M166" t="s">
        <v>83</v>
      </c>
      <c r="N166" t="s">
        <v>93</v>
      </c>
      <c r="O166" t="s">
        <v>85</v>
      </c>
      <c r="P166">
        <v>257110</v>
      </c>
      <c r="Q166" t="s">
        <v>5</v>
      </c>
      <c r="R166" t="s">
        <v>86</v>
      </c>
      <c r="S166" t="s">
        <v>87</v>
      </c>
      <c r="T166">
        <v>0</v>
      </c>
      <c r="U166">
        <v>0.25</v>
      </c>
      <c r="V166" s="2">
        <v>1.0416666666666666E-2</v>
      </c>
      <c r="W166">
        <v>0</v>
      </c>
      <c r="AA166" t="s">
        <v>88</v>
      </c>
      <c r="AB166" t="s">
        <v>100</v>
      </c>
      <c r="AC166" t="s">
        <v>84</v>
      </c>
      <c r="AD166" t="s">
        <v>90</v>
      </c>
    </row>
    <row r="167" spans="1:30" hidden="1">
      <c r="A167" s="1">
        <v>45448</v>
      </c>
      <c r="B167" t="s">
        <v>114</v>
      </c>
      <c r="C167" t="s">
        <v>75</v>
      </c>
      <c r="D167" t="s">
        <v>76</v>
      </c>
      <c r="E167" t="s">
        <v>91</v>
      </c>
      <c r="F167" t="s">
        <v>78</v>
      </c>
      <c r="G167" t="s">
        <v>79</v>
      </c>
      <c r="H167" t="s">
        <v>80</v>
      </c>
      <c r="I167" t="s">
        <v>81</v>
      </c>
      <c r="J167" t="s">
        <v>82</v>
      </c>
      <c r="K167" t="s">
        <v>76</v>
      </c>
      <c r="L167" t="s">
        <v>8</v>
      </c>
      <c r="M167" t="s">
        <v>83</v>
      </c>
      <c r="N167" t="s">
        <v>93</v>
      </c>
      <c r="O167" t="s">
        <v>85</v>
      </c>
      <c r="P167">
        <v>255690</v>
      </c>
      <c r="Q167" t="s">
        <v>5</v>
      </c>
      <c r="R167" t="s">
        <v>86</v>
      </c>
      <c r="S167" t="s">
        <v>87</v>
      </c>
      <c r="T167">
        <v>0</v>
      </c>
      <c r="U167">
        <v>1</v>
      </c>
      <c r="V167" s="2">
        <v>4.1666666666666664E-2</v>
      </c>
      <c r="W167">
        <v>0</v>
      </c>
      <c r="AA167" t="s">
        <v>88</v>
      </c>
      <c r="AB167" t="s">
        <v>100</v>
      </c>
      <c r="AC167" t="s">
        <v>84</v>
      </c>
      <c r="AD167" t="s">
        <v>90</v>
      </c>
    </row>
    <row r="168" spans="1:30" hidden="1">
      <c r="A168" s="1">
        <v>45448</v>
      </c>
      <c r="B168" t="s">
        <v>8</v>
      </c>
      <c r="C168" t="s">
        <v>75</v>
      </c>
      <c r="D168" t="s">
        <v>76</v>
      </c>
      <c r="E168" t="s">
        <v>77</v>
      </c>
      <c r="F168" t="s">
        <v>78</v>
      </c>
      <c r="G168" t="s">
        <v>79</v>
      </c>
      <c r="H168" t="s">
        <v>80</v>
      </c>
      <c r="I168" t="s">
        <v>81</v>
      </c>
      <c r="J168" t="s">
        <v>82</v>
      </c>
      <c r="K168" t="s">
        <v>76</v>
      </c>
      <c r="L168" t="s">
        <v>8</v>
      </c>
      <c r="M168" t="s">
        <v>83</v>
      </c>
      <c r="N168" t="s">
        <v>84</v>
      </c>
      <c r="O168" t="s">
        <v>85</v>
      </c>
      <c r="P168">
        <v>256515</v>
      </c>
      <c r="Q168" t="s">
        <v>5</v>
      </c>
      <c r="R168" t="s">
        <v>86</v>
      </c>
      <c r="S168" t="s">
        <v>87</v>
      </c>
      <c r="T168">
        <v>0</v>
      </c>
      <c r="U168">
        <v>0.25</v>
      </c>
      <c r="V168" s="2">
        <v>1.0416666666666666E-2</v>
      </c>
      <c r="W168">
        <v>0</v>
      </c>
      <c r="AA168" t="s">
        <v>88</v>
      </c>
      <c r="AB168" t="s">
        <v>100</v>
      </c>
      <c r="AC168" t="s">
        <v>84</v>
      </c>
      <c r="AD168" t="s">
        <v>90</v>
      </c>
    </row>
    <row r="169" spans="1:30" hidden="1">
      <c r="A169" s="1">
        <v>45450</v>
      </c>
      <c r="B169" t="s">
        <v>14</v>
      </c>
      <c r="C169" t="s">
        <v>75</v>
      </c>
      <c r="D169" t="s">
        <v>76</v>
      </c>
      <c r="E169" t="s">
        <v>77</v>
      </c>
      <c r="F169" t="s">
        <v>78</v>
      </c>
      <c r="G169" t="s">
        <v>79</v>
      </c>
      <c r="H169" t="s">
        <v>80</v>
      </c>
      <c r="I169" t="s">
        <v>81</v>
      </c>
      <c r="J169" t="s">
        <v>82</v>
      </c>
      <c r="K169" t="s">
        <v>76</v>
      </c>
      <c r="L169" t="s">
        <v>8</v>
      </c>
      <c r="M169" t="s">
        <v>83</v>
      </c>
      <c r="N169" t="s">
        <v>84</v>
      </c>
      <c r="O169" t="s">
        <v>85</v>
      </c>
      <c r="P169">
        <v>256433</v>
      </c>
      <c r="Q169" t="s">
        <v>5</v>
      </c>
      <c r="R169" t="s">
        <v>86</v>
      </c>
      <c r="S169" t="s">
        <v>87</v>
      </c>
      <c r="T169">
        <v>0</v>
      </c>
      <c r="U169">
        <v>0.25</v>
      </c>
      <c r="V169" s="2">
        <v>1.0416666666666666E-2</v>
      </c>
      <c r="W169">
        <v>0</v>
      </c>
      <c r="AA169" t="s">
        <v>88</v>
      </c>
      <c r="AB169" t="s">
        <v>100</v>
      </c>
      <c r="AC169" t="s">
        <v>166</v>
      </c>
      <c r="AD169" t="s">
        <v>90</v>
      </c>
    </row>
    <row r="170" spans="1:30" hidden="1">
      <c r="A170" s="1">
        <v>45450</v>
      </c>
      <c r="B170" t="s">
        <v>180</v>
      </c>
      <c r="C170" t="s">
        <v>75</v>
      </c>
      <c r="D170" t="s">
        <v>76</v>
      </c>
      <c r="E170" t="s">
        <v>91</v>
      </c>
      <c r="F170" t="s">
        <v>78</v>
      </c>
      <c r="G170" t="s">
        <v>79</v>
      </c>
      <c r="H170" t="s">
        <v>80</v>
      </c>
      <c r="I170" t="s">
        <v>81</v>
      </c>
      <c r="J170" t="s">
        <v>82</v>
      </c>
      <c r="K170" t="s">
        <v>76</v>
      </c>
      <c r="L170" t="s">
        <v>8</v>
      </c>
      <c r="M170" t="s">
        <v>83</v>
      </c>
      <c r="N170" t="s">
        <v>84</v>
      </c>
      <c r="O170" t="s">
        <v>85</v>
      </c>
      <c r="P170">
        <v>256490</v>
      </c>
      <c r="Q170" t="s">
        <v>5</v>
      </c>
      <c r="R170" t="s">
        <v>86</v>
      </c>
      <c r="S170" t="s">
        <v>87</v>
      </c>
      <c r="T170">
        <v>0</v>
      </c>
      <c r="U170">
        <v>0.5</v>
      </c>
      <c r="V170" s="2">
        <v>2.0833333333333332E-2</v>
      </c>
      <c r="W170">
        <v>0</v>
      </c>
      <c r="AA170" t="s">
        <v>88</v>
      </c>
      <c r="AB170" t="s">
        <v>100</v>
      </c>
      <c r="AC170" t="s">
        <v>186</v>
      </c>
      <c r="AD170" t="s">
        <v>90</v>
      </c>
    </row>
    <row r="171" spans="1:30" hidden="1">
      <c r="A171" s="1">
        <v>45450</v>
      </c>
      <c r="B171" t="s">
        <v>108</v>
      </c>
      <c r="C171" t="s">
        <v>75</v>
      </c>
      <c r="D171" t="s">
        <v>76</v>
      </c>
      <c r="E171" t="s">
        <v>91</v>
      </c>
      <c r="F171" t="s">
        <v>78</v>
      </c>
      <c r="G171" t="s">
        <v>79</v>
      </c>
      <c r="H171" t="s">
        <v>80</v>
      </c>
      <c r="I171" t="s">
        <v>81</v>
      </c>
      <c r="J171" t="s">
        <v>82</v>
      </c>
      <c r="K171" t="s">
        <v>76</v>
      </c>
      <c r="L171" t="s">
        <v>8</v>
      </c>
      <c r="M171" t="s">
        <v>83</v>
      </c>
      <c r="N171" t="s">
        <v>93</v>
      </c>
      <c r="O171" t="s">
        <v>85</v>
      </c>
      <c r="P171">
        <v>257104</v>
      </c>
      <c r="Q171" t="s">
        <v>5</v>
      </c>
      <c r="R171" t="s">
        <v>86</v>
      </c>
      <c r="S171" t="s">
        <v>87</v>
      </c>
      <c r="T171">
        <v>0</v>
      </c>
      <c r="U171">
        <v>0.5</v>
      </c>
      <c r="V171" s="2">
        <v>2.0833333333333332E-2</v>
      </c>
      <c r="W171">
        <v>0</v>
      </c>
      <c r="AA171" t="s">
        <v>88</v>
      </c>
      <c r="AB171" t="s">
        <v>100</v>
      </c>
      <c r="AC171" t="s">
        <v>187</v>
      </c>
      <c r="AD171" t="s">
        <v>90</v>
      </c>
    </row>
    <row r="172" spans="1:30" hidden="1">
      <c r="A172" s="1">
        <v>45453</v>
      </c>
      <c r="B172" t="s">
        <v>14</v>
      </c>
      <c r="C172" t="s">
        <v>75</v>
      </c>
      <c r="D172" t="s">
        <v>76</v>
      </c>
      <c r="E172" t="s">
        <v>77</v>
      </c>
      <c r="F172" t="s">
        <v>78</v>
      </c>
      <c r="G172" t="s">
        <v>79</v>
      </c>
      <c r="H172" t="s">
        <v>80</v>
      </c>
      <c r="I172" t="s">
        <v>81</v>
      </c>
      <c r="J172" t="s">
        <v>82</v>
      </c>
      <c r="K172" t="s">
        <v>76</v>
      </c>
      <c r="L172" t="s">
        <v>8</v>
      </c>
      <c r="M172" t="s">
        <v>83</v>
      </c>
      <c r="N172" t="s">
        <v>84</v>
      </c>
      <c r="O172" t="s">
        <v>85</v>
      </c>
      <c r="P172">
        <v>257332</v>
      </c>
      <c r="Q172" t="s">
        <v>5</v>
      </c>
      <c r="R172" t="s">
        <v>86</v>
      </c>
      <c r="S172" t="s">
        <v>87</v>
      </c>
      <c r="T172">
        <v>0</v>
      </c>
      <c r="U172">
        <v>0.25</v>
      </c>
      <c r="V172" s="2">
        <v>1.0416666666666666E-2</v>
      </c>
      <c r="W172">
        <v>0</v>
      </c>
      <c r="AA172" t="s">
        <v>88</v>
      </c>
      <c r="AB172" t="s">
        <v>100</v>
      </c>
      <c r="AC172" t="s">
        <v>96</v>
      </c>
      <c r="AD172" t="s">
        <v>90</v>
      </c>
    </row>
    <row r="173" spans="1:30" hidden="1">
      <c r="A173" s="1">
        <v>45453</v>
      </c>
      <c r="B173" t="s">
        <v>114</v>
      </c>
      <c r="C173" t="s">
        <v>75</v>
      </c>
      <c r="D173" t="s">
        <v>76</v>
      </c>
      <c r="E173" t="s">
        <v>91</v>
      </c>
      <c r="F173" t="s">
        <v>78</v>
      </c>
      <c r="G173" t="s">
        <v>79</v>
      </c>
      <c r="H173" t="s">
        <v>80</v>
      </c>
      <c r="I173" t="s">
        <v>81</v>
      </c>
      <c r="J173" t="s">
        <v>82</v>
      </c>
      <c r="K173" t="s">
        <v>76</v>
      </c>
      <c r="L173" t="s">
        <v>8</v>
      </c>
      <c r="M173" t="s">
        <v>83</v>
      </c>
      <c r="N173" t="s">
        <v>93</v>
      </c>
      <c r="O173" t="s">
        <v>85</v>
      </c>
      <c r="P173">
        <v>257212</v>
      </c>
      <c r="Q173" t="s">
        <v>5</v>
      </c>
      <c r="R173" t="s">
        <v>86</v>
      </c>
      <c r="S173" t="s">
        <v>87</v>
      </c>
      <c r="T173">
        <v>0</v>
      </c>
      <c r="U173">
        <v>0.25</v>
      </c>
      <c r="V173" s="2">
        <v>1.0416666666666666E-2</v>
      </c>
      <c r="W173">
        <v>0</v>
      </c>
      <c r="AA173" t="s">
        <v>88</v>
      </c>
      <c r="AB173" t="s">
        <v>100</v>
      </c>
      <c r="AC173" t="s">
        <v>179</v>
      </c>
      <c r="AD173" t="s">
        <v>90</v>
      </c>
    </row>
    <row r="174" spans="1:30" hidden="1">
      <c r="A174" s="1">
        <v>45453</v>
      </c>
      <c r="B174" t="s">
        <v>93</v>
      </c>
      <c r="C174" t="s">
        <v>75</v>
      </c>
      <c r="D174" t="s">
        <v>76</v>
      </c>
      <c r="E174" t="s">
        <v>91</v>
      </c>
      <c r="F174" t="s">
        <v>78</v>
      </c>
      <c r="G174" t="s">
        <v>79</v>
      </c>
      <c r="H174" t="s">
        <v>80</v>
      </c>
      <c r="I174" t="s">
        <v>81</v>
      </c>
      <c r="J174" t="s">
        <v>82</v>
      </c>
      <c r="K174" t="s">
        <v>76</v>
      </c>
      <c r="L174" t="s">
        <v>8</v>
      </c>
      <c r="M174" t="s">
        <v>83</v>
      </c>
      <c r="N174" t="s">
        <v>84</v>
      </c>
      <c r="O174" t="s">
        <v>85</v>
      </c>
      <c r="P174">
        <v>260134</v>
      </c>
      <c r="Q174" t="s">
        <v>4</v>
      </c>
      <c r="R174" t="s">
        <v>94</v>
      </c>
      <c r="S174" t="s">
        <v>87</v>
      </c>
      <c r="T174">
        <v>90</v>
      </c>
      <c r="U174">
        <v>0.5</v>
      </c>
      <c r="V174" s="2">
        <v>2.0833333333333332E-2</v>
      </c>
      <c r="W174">
        <v>45</v>
      </c>
      <c r="X174">
        <v>60</v>
      </c>
      <c r="Y174">
        <v>15</v>
      </c>
      <c r="Z174" t="s">
        <v>188</v>
      </c>
      <c r="AA174" t="s">
        <v>88</v>
      </c>
      <c r="AB174" t="s">
        <v>100</v>
      </c>
      <c r="AC174" t="s">
        <v>189</v>
      </c>
      <c r="AD174" t="s">
        <v>90</v>
      </c>
    </row>
    <row r="175" spans="1:30" hidden="1">
      <c r="A175" s="1">
        <v>45453</v>
      </c>
      <c r="B175" t="s">
        <v>8</v>
      </c>
      <c r="C175" t="s">
        <v>75</v>
      </c>
      <c r="D175" t="s">
        <v>76</v>
      </c>
      <c r="E175" t="s">
        <v>77</v>
      </c>
      <c r="F175" t="s">
        <v>78</v>
      </c>
      <c r="G175" t="s">
        <v>79</v>
      </c>
      <c r="H175" t="s">
        <v>80</v>
      </c>
      <c r="I175" t="s">
        <v>81</v>
      </c>
      <c r="J175" t="s">
        <v>82</v>
      </c>
      <c r="K175" t="s">
        <v>76</v>
      </c>
      <c r="L175" t="s">
        <v>8</v>
      </c>
      <c r="M175" t="s">
        <v>83</v>
      </c>
      <c r="N175" t="s">
        <v>84</v>
      </c>
      <c r="O175" t="s">
        <v>85</v>
      </c>
      <c r="P175">
        <v>257352</v>
      </c>
      <c r="Q175" t="s">
        <v>5</v>
      </c>
      <c r="R175" t="s">
        <v>86</v>
      </c>
      <c r="S175" t="s">
        <v>87</v>
      </c>
      <c r="T175">
        <v>0</v>
      </c>
      <c r="U175">
        <v>0.5</v>
      </c>
      <c r="V175" s="2">
        <v>2.0833333333333332E-2</v>
      </c>
      <c r="W175">
        <v>0</v>
      </c>
      <c r="AA175" t="s">
        <v>88</v>
      </c>
      <c r="AB175" t="s">
        <v>100</v>
      </c>
      <c r="AC175" t="s">
        <v>84</v>
      </c>
      <c r="AD175" t="s">
        <v>90</v>
      </c>
    </row>
    <row r="176" spans="1:30" hidden="1">
      <c r="A176" s="1">
        <v>45453</v>
      </c>
      <c r="B176" t="s">
        <v>108</v>
      </c>
      <c r="C176" t="s">
        <v>75</v>
      </c>
      <c r="D176" t="s">
        <v>76</v>
      </c>
      <c r="E176" t="s">
        <v>91</v>
      </c>
      <c r="F176" t="s">
        <v>78</v>
      </c>
      <c r="G176" t="s">
        <v>79</v>
      </c>
      <c r="H176" t="s">
        <v>80</v>
      </c>
      <c r="I176" t="s">
        <v>81</v>
      </c>
      <c r="J176" t="s">
        <v>82</v>
      </c>
      <c r="K176" t="s">
        <v>76</v>
      </c>
      <c r="L176" t="s">
        <v>8</v>
      </c>
      <c r="M176" t="s">
        <v>83</v>
      </c>
      <c r="N176" t="s">
        <v>93</v>
      </c>
      <c r="O176" t="s">
        <v>85</v>
      </c>
      <c r="P176">
        <v>257298</v>
      </c>
      <c r="Q176" t="s">
        <v>4</v>
      </c>
      <c r="R176" t="s">
        <v>94</v>
      </c>
      <c r="S176" t="s">
        <v>87</v>
      </c>
      <c r="T176">
        <v>90</v>
      </c>
      <c r="U176">
        <v>3</v>
      </c>
      <c r="V176" s="2">
        <v>0.125</v>
      </c>
      <c r="W176">
        <v>270</v>
      </c>
      <c r="X176">
        <v>360</v>
      </c>
      <c r="Y176">
        <v>90</v>
      </c>
      <c r="Z176" t="s">
        <v>188</v>
      </c>
      <c r="AA176" t="s">
        <v>88</v>
      </c>
      <c r="AB176" t="s">
        <v>100</v>
      </c>
      <c r="AC176" t="s">
        <v>190</v>
      </c>
      <c r="AD176" t="s">
        <v>90</v>
      </c>
    </row>
    <row r="177" spans="1:30" hidden="1">
      <c r="A177" s="1">
        <v>45453</v>
      </c>
      <c r="B177" t="s">
        <v>108</v>
      </c>
      <c r="C177" t="s">
        <v>75</v>
      </c>
      <c r="D177" t="s">
        <v>76</v>
      </c>
      <c r="E177" t="s">
        <v>91</v>
      </c>
      <c r="F177" t="s">
        <v>78</v>
      </c>
      <c r="G177" t="s">
        <v>79</v>
      </c>
      <c r="H177" t="s">
        <v>80</v>
      </c>
      <c r="I177" t="s">
        <v>81</v>
      </c>
      <c r="J177" t="s">
        <v>82</v>
      </c>
      <c r="K177" t="s">
        <v>76</v>
      </c>
      <c r="L177" t="s">
        <v>8</v>
      </c>
      <c r="M177" t="s">
        <v>83</v>
      </c>
      <c r="N177" t="s">
        <v>93</v>
      </c>
      <c r="O177" t="s">
        <v>85</v>
      </c>
      <c r="P177">
        <v>257295</v>
      </c>
      <c r="Q177" t="s">
        <v>5</v>
      </c>
      <c r="R177" t="s">
        <v>86</v>
      </c>
      <c r="S177" t="s">
        <v>87</v>
      </c>
      <c r="T177">
        <v>0</v>
      </c>
      <c r="U177">
        <v>0.25</v>
      </c>
      <c r="V177" s="2">
        <v>1.0416666666666666E-2</v>
      </c>
      <c r="W177">
        <v>0</v>
      </c>
      <c r="AA177" t="s">
        <v>88</v>
      </c>
      <c r="AB177" t="s">
        <v>100</v>
      </c>
      <c r="AC177" t="s">
        <v>84</v>
      </c>
      <c r="AD177" t="s">
        <v>90</v>
      </c>
    </row>
    <row r="178" spans="1:30" hidden="1">
      <c r="A178" s="1">
        <v>45454</v>
      </c>
      <c r="B178" t="s">
        <v>14</v>
      </c>
      <c r="C178" t="s">
        <v>75</v>
      </c>
      <c r="D178" t="s">
        <v>76</v>
      </c>
      <c r="E178" t="s">
        <v>77</v>
      </c>
      <c r="F178" t="s">
        <v>78</v>
      </c>
      <c r="G178" t="s">
        <v>79</v>
      </c>
      <c r="H178" t="s">
        <v>80</v>
      </c>
      <c r="I178" t="s">
        <v>81</v>
      </c>
      <c r="J178" t="s">
        <v>82</v>
      </c>
      <c r="K178" t="s">
        <v>76</v>
      </c>
      <c r="L178" t="s">
        <v>8</v>
      </c>
      <c r="M178" t="s">
        <v>83</v>
      </c>
      <c r="N178" t="s">
        <v>84</v>
      </c>
      <c r="O178" t="s">
        <v>85</v>
      </c>
      <c r="P178">
        <v>258074</v>
      </c>
      <c r="Q178" t="s">
        <v>5</v>
      </c>
      <c r="R178" t="s">
        <v>86</v>
      </c>
      <c r="S178" t="s">
        <v>87</v>
      </c>
      <c r="T178">
        <v>0</v>
      </c>
      <c r="U178">
        <v>0.25</v>
      </c>
      <c r="V178" s="2">
        <v>1.0416666666666666E-2</v>
      </c>
      <c r="W178">
        <v>0</v>
      </c>
      <c r="AA178" t="s">
        <v>88</v>
      </c>
      <c r="AB178" t="s">
        <v>100</v>
      </c>
      <c r="AC178" t="s">
        <v>166</v>
      </c>
      <c r="AD178" t="s">
        <v>90</v>
      </c>
    </row>
    <row r="179" spans="1:30" hidden="1">
      <c r="A179" s="1">
        <v>45454</v>
      </c>
      <c r="B179" t="s">
        <v>114</v>
      </c>
      <c r="C179" t="s">
        <v>75</v>
      </c>
      <c r="D179" t="s">
        <v>76</v>
      </c>
      <c r="E179" t="s">
        <v>91</v>
      </c>
      <c r="F179" t="s">
        <v>78</v>
      </c>
      <c r="G179" t="s">
        <v>79</v>
      </c>
      <c r="H179" t="s">
        <v>80</v>
      </c>
      <c r="I179" t="s">
        <v>81</v>
      </c>
      <c r="J179" t="s">
        <v>82</v>
      </c>
      <c r="K179" t="s">
        <v>76</v>
      </c>
      <c r="L179" t="s">
        <v>8</v>
      </c>
      <c r="M179" t="s">
        <v>83</v>
      </c>
      <c r="N179" t="s">
        <v>93</v>
      </c>
      <c r="O179" t="s">
        <v>85</v>
      </c>
      <c r="P179">
        <v>257682</v>
      </c>
      <c r="Q179" t="s">
        <v>5</v>
      </c>
      <c r="R179" t="s">
        <v>86</v>
      </c>
      <c r="S179" t="s">
        <v>87</v>
      </c>
      <c r="T179">
        <v>0</v>
      </c>
      <c r="U179">
        <v>0.25</v>
      </c>
      <c r="V179" s="2">
        <v>1.0416666666666666E-2</v>
      </c>
      <c r="W179">
        <v>0</v>
      </c>
      <c r="AA179" t="s">
        <v>88</v>
      </c>
      <c r="AB179" t="s">
        <v>100</v>
      </c>
      <c r="AC179" t="s">
        <v>179</v>
      </c>
      <c r="AD179" t="s">
        <v>90</v>
      </c>
    </row>
    <row r="180" spans="1:30" hidden="1">
      <c r="A180" s="1">
        <v>45454</v>
      </c>
      <c r="B180" t="s">
        <v>8</v>
      </c>
      <c r="C180" t="s">
        <v>75</v>
      </c>
      <c r="D180" t="s">
        <v>76</v>
      </c>
      <c r="E180" t="s">
        <v>77</v>
      </c>
      <c r="F180" t="s">
        <v>78</v>
      </c>
      <c r="G180" t="s">
        <v>79</v>
      </c>
      <c r="H180" t="s">
        <v>80</v>
      </c>
      <c r="I180" t="s">
        <v>81</v>
      </c>
      <c r="J180" t="s">
        <v>82</v>
      </c>
      <c r="K180" t="s">
        <v>76</v>
      </c>
      <c r="L180" t="s">
        <v>8</v>
      </c>
      <c r="M180" t="s">
        <v>83</v>
      </c>
      <c r="N180" t="s">
        <v>84</v>
      </c>
      <c r="O180" t="s">
        <v>85</v>
      </c>
      <c r="P180">
        <v>257824</v>
      </c>
      <c r="Q180" t="s">
        <v>5</v>
      </c>
      <c r="R180" t="s">
        <v>86</v>
      </c>
      <c r="S180" t="s">
        <v>87</v>
      </c>
      <c r="T180">
        <v>0</v>
      </c>
      <c r="U180">
        <v>0.5</v>
      </c>
      <c r="V180" s="2">
        <v>2.0833333333333332E-2</v>
      </c>
      <c r="W180">
        <v>0</v>
      </c>
      <c r="AA180" t="s">
        <v>88</v>
      </c>
      <c r="AB180" t="s">
        <v>100</v>
      </c>
      <c r="AC180" t="s">
        <v>84</v>
      </c>
      <c r="AD180" t="s">
        <v>90</v>
      </c>
    </row>
    <row r="181" spans="1:30" hidden="1">
      <c r="A181" s="1">
        <v>45454</v>
      </c>
      <c r="B181" t="s">
        <v>108</v>
      </c>
      <c r="C181" t="s">
        <v>75</v>
      </c>
      <c r="D181" t="s">
        <v>76</v>
      </c>
      <c r="E181" t="s">
        <v>91</v>
      </c>
      <c r="F181" t="s">
        <v>78</v>
      </c>
      <c r="G181" t="s">
        <v>79</v>
      </c>
      <c r="H181" t="s">
        <v>80</v>
      </c>
      <c r="I181" t="s">
        <v>81</v>
      </c>
      <c r="J181" t="s">
        <v>82</v>
      </c>
      <c r="K181" t="s">
        <v>76</v>
      </c>
      <c r="L181" t="s">
        <v>8</v>
      </c>
      <c r="M181" t="s">
        <v>83</v>
      </c>
      <c r="N181" t="s">
        <v>93</v>
      </c>
      <c r="O181" t="s">
        <v>85</v>
      </c>
      <c r="P181">
        <v>258773</v>
      </c>
      <c r="Q181" t="s">
        <v>5</v>
      </c>
      <c r="R181" t="s">
        <v>86</v>
      </c>
      <c r="S181" t="s">
        <v>87</v>
      </c>
      <c r="T181">
        <v>0</v>
      </c>
      <c r="U181">
        <v>0.25</v>
      </c>
      <c r="V181" s="2">
        <v>1.0416666666666666E-2</v>
      </c>
      <c r="W181">
        <v>0</v>
      </c>
      <c r="AA181" t="s">
        <v>88</v>
      </c>
      <c r="AB181" t="s">
        <v>100</v>
      </c>
      <c r="AC181" t="s">
        <v>84</v>
      </c>
      <c r="AD181" t="s">
        <v>90</v>
      </c>
    </row>
    <row r="182" spans="1:30" hidden="1">
      <c r="A182" s="1">
        <v>45455</v>
      </c>
      <c r="B182" t="s">
        <v>10</v>
      </c>
      <c r="C182" t="s">
        <v>92</v>
      </c>
      <c r="D182" t="s">
        <v>76</v>
      </c>
      <c r="E182" t="s">
        <v>91</v>
      </c>
      <c r="F182" t="s">
        <v>78</v>
      </c>
      <c r="G182" t="s">
        <v>79</v>
      </c>
      <c r="H182" t="s">
        <v>80</v>
      </c>
      <c r="I182" t="s">
        <v>81</v>
      </c>
      <c r="J182" t="s">
        <v>82</v>
      </c>
      <c r="K182" t="s">
        <v>76</v>
      </c>
      <c r="L182" t="s">
        <v>8</v>
      </c>
      <c r="M182" t="s">
        <v>83</v>
      </c>
      <c r="N182" t="s">
        <v>93</v>
      </c>
      <c r="O182" t="s">
        <v>85</v>
      </c>
      <c r="P182">
        <v>258714</v>
      </c>
      <c r="Q182" t="s">
        <v>4</v>
      </c>
      <c r="R182" t="s">
        <v>94</v>
      </c>
      <c r="S182" t="s">
        <v>87</v>
      </c>
      <c r="T182">
        <v>90</v>
      </c>
      <c r="U182">
        <v>3</v>
      </c>
      <c r="V182" s="2">
        <v>0.125</v>
      </c>
      <c r="W182">
        <v>270</v>
      </c>
      <c r="X182">
        <v>360</v>
      </c>
      <c r="Y182">
        <v>90</v>
      </c>
      <c r="Z182" t="s">
        <v>188</v>
      </c>
      <c r="AA182" t="s">
        <v>88</v>
      </c>
      <c r="AB182" t="s">
        <v>100</v>
      </c>
      <c r="AC182" t="s">
        <v>191</v>
      </c>
      <c r="AD182" t="s">
        <v>90</v>
      </c>
    </row>
    <row r="183" spans="1:30" hidden="1">
      <c r="A183" s="1">
        <v>45455</v>
      </c>
      <c r="B183" t="s">
        <v>14</v>
      </c>
      <c r="C183" t="s">
        <v>75</v>
      </c>
      <c r="D183" t="s">
        <v>76</v>
      </c>
      <c r="E183" t="s">
        <v>77</v>
      </c>
      <c r="F183" t="s">
        <v>78</v>
      </c>
      <c r="G183" t="s">
        <v>79</v>
      </c>
      <c r="H183" t="s">
        <v>80</v>
      </c>
      <c r="I183" t="s">
        <v>81</v>
      </c>
      <c r="J183" t="s">
        <v>82</v>
      </c>
      <c r="K183" t="s">
        <v>76</v>
      </c>
      <c r="L183" t="s">
        <v>8</v>
      </c>
      <c r="M183" t="s">
        <v>83</v>
      </c>
      <c r="N183" t="s">
        <v>84</v>
      </c>
      <c r="O183" t="s">
        <v>85</v>
      </c>
      <c r="P183">
        <v>258104</v>
      </c>
      <c r="Q183" t="s">
        <v>5</v>
      </c>
      <c r="R183" t="s">
        <v>86</v>
      </c>
      <c r="S183" t="s">
        <v>87</v>
      </c>
      <c r="T183">
        <v>0</v>
      </c>
      <c r="U183">
        <v>0.25</v>
      </c>
      <c r="V183" s="2">
        <v>1.0416666666666666E-2</v>
      </c>
      <c r="W183">
        <v>0</v>
      </c>
      <c r="AA183" t="s">
        <v>88</v>
      </c>
      <c r="AB183" t="s">
        <v>100</v>
      </c>
      <c r="AC183" t="s">
        <v>166</v>
      </c>
      <c r="AD183" t="s">
        <v>90</v>
      </c>
    </row>
    <row r="184" spans="1:30" hidden="1">
      <c r="A184" s="1">
        <v>45455</v>
      </c>
      <c r="B184" t="s">
        <v>114</v>
      </c>
      <c r="C184" t="s">
        <v>75</v>
      </c>
      <c r="D184" t="s">
        <v>76</v>
      </c>
      <c r="E184" t="s">
        <v>91</v>
      </c>
      <c r="F184" t="s">
        <v>78</v>
      </c>
      <c r="G184" t="s">
        <v>79</v>
      </c>
      <c r="H184" t="s">
        <v>80</v>
      </c>
      <c r="I184" t="s">
        <v>81</v>
      </c>
      <c r="J184" t="s">
        <v>82</v>
      </c>
      <c r="K184" t="s">
        <v>76</v>
      </c>
      <c r="L184" t="s">
        <v>8</v>
      </c>
      <c r="M184" t="s">
        <v>83</v>
      </c>
      <c r="N184" t="s">
        <v>93</v>
      </c>
      <c r="O184" t="s">
        <v>85</v>
      </c>
      <c r="P184">
        <v>258328</v>
      </c>
      <c r="Q184" t="s">
        <v>5</v>
      </c>
      <c r="R184" t="s">
        <v>86</v>
      </c>
      <c r="S184" t="s">
        <v>87</v>
      </c>
      <c r="T184">
        <v>0</v>
      </c>
      <c r="U184">
        <v>0.25</v>
      </c>
      <c r="V184" s="2">
        <v>1.0416666666666666E-2</v>
      </c>
      <c r="W184">
        <v>0</v>
      </c>
      <c r="AA184" t="s">
        <v>88</v>
      </c>
      <c r="AB184" t="s">
        <v>100</v>
      </c>
      <c r="AC184" t="s">
        <v>179</v>
      </c>
      <c r="AD184" t="s">
        <v>90</v>
      </c>
    </row>
    <row r="185" spans="1:30" hidden="1">
      <c r="A185" s="1">
        <v>45455</v>
      </c>
      <c r="B185" t="s">
        <v>93</v>
      </c>
      <c r="C185" t="s">
        <v>75</v>
      </c>
      <c r="D185" t="s">
        <v>76</v>
      </c>
      <c r="E185" t="s">
        <v>91</v>
      </c>
      <c r="F185" t="s">
        <v>78</v>
      </c>
      <c r="G185" t="s">
        <v>79</v>
      </c>
      <c r="H185" t="s">
        <v>80</v>
      </c>
      <c r="I185" t="s">
        <v>81</v>
      </c>
      <c r="J185" t="s">
        <v>82</v>
      </c>
      <c r="K185" t="s">
        <v>76</v>
      </c>
      <c r="L185" t="s">
        <v>8</v>
      </c>
      <c r="M185" t="s">
        <v>83</v>
      </c>
      <c r="N185" t="s">
        <v>84</v>
      </c>
      <c r="O185" t="s">
        <v>85</v>
      </c>
      <c r="P185">
        <v>260135</v>
      </c>
      <c r="Q185" t="s">
        <v>4</v>
      </c>
      <c r="R185" t="s">
        <v>94</v>
      </c>
      <c r="S185" t="s">
        <v>87</v>
      </c>
      <c r="T185">
        <v>90</v>
      </c>
      <c r="U185">
        <v>1</v>
      </c>
      <c r="V185" s="2">
        <v>4.1666666666666664E-2</v>
      </c>
      <c r="W185">
        <v>90</v>
      </c>
      <c r="X185">
        <v>120</v>
      </c>
      <c r="Y185">
        <v>30</v>
      </c>
      <c r="Z185" t="s">
        <v>188</v>
      </c>
      <c r="AA185" t="s">
        <v>88</v>
      </c>
      <c r="AB185" t="s">
        <v>100</v>
      </c>
      <c r="AC185" t="s">
        <v>189</v>
      </c>
      <c r="AD185" t="s">
        <v>90</v>
      </c>
    </row>
    <row r="186" spans="1:30" hidden="1">
      <c r="A186" s="1">
        <v>45455</v>
      </c>
      <c r="B186" t="s">
        <v>8</v>
      </c>
      <c r="C186" t="s">
        <v>75</v>
      </c>
      <c r="D186" t="s">
        <v>76</v>
      </c>
      <c r="E186" t="s">
        <v>77</v>
      </c>
      <c r="F186" t="s">
        <v>78</v>
      </c>
      <c r="G186" t="s">
        <v>79</v>
      </c>
      <c r="H186" t="s">
        <v>80</v>
      </c>
      <c r="I186" t="s">
        <v>81</v>
      </c>
      <c r="J186" t="s">
        <v>82</v>
      </c>
      <c r="K186" t="s">
        <v>76</v>
      </c>
      <c r="L186" t="s">
        <v>8</v>
      </c>
      <c r="M186" t="s">
        <v>83</v>
      </c>
      <c r="N186" t="s">
        <v>84</v>
      </c>
      <c r="O186" t="s">
        <v>85</v>
      </c>
      <c r="P186">
        <v>258629</v>
      </c>
      <c r="Q186" t="s">
        <v>5</v>
      </c>
      <c r="R186" t="s">
        <v>86</v>
      </c>
      <c r="S186" t="s">
        <v>87</v>
      </c>
      <c r="T186">
        <v>0</v>
      </c>
      <c r="U186">
        <v>0.25</v>
      </c>
      <c r="V186" s="2">
        <v>1.0416666666666666E-2</v>
      </c>
      <c r="W186">
        <v>0</v>
      </c>
      <c r="AA186" t="s">
        <v>88</v>
      </c>
      <c r="AB186" t="s">
        <v>100</v>
      </c>
      <c r="AC186" t="s">
        <v>84</v>
      </c>
      <c r="AD186" t="s">
        <v>90</v>
      </c>
    </row>
    <row r="187" spans="1:30" hidden="1">
      <c r="A187" s="1">
        <v>45455</v>
      </c>
      <c r="B187" t="s">
        <v>108</v>
      </c>
      <c r="C187" t="s">
        <v>75</v>
      </c>
      <c r="D187" t="s">
        <v>76</v>
      </c>
      <c r="E187" t="s">
        <v>91</v>
      </c>
      <c r="F187" t="s">
        <v>78</v>
      </c>
      <c r="G187" t="s">
        <v>79</v>
      </c>
      <c r="H187" t="s">
        <v>80</v>
      </c>
      <c r="I187" t="s">
        <v>81</v>
      </c>
      <c r="J187" t="s">
        <v>82</v>
      </c>
      <c r="K187" t="s">
        <v>76</v>
      </c>
      <c r="L187" t="s">
        <v>8</v>
      </c>
      <c r="M187" t="s">
        <v>83</v>
      </c>
      <c r="N187" t="s">
        <v>93</v>
      </c>
      <c r="O187" t="s">
        <v>85</v>
      </c>
      <c r="P187">
        <v>258772</v>
      </c>
      <c r="Q187" t="s">
        <v>5</v>
      </c>
      <c r="R187" t="s">
        <v>86</v>
      </c>
      <c r="S187" t="s">
        <v>87</v>
      </c>
      <c r="T187">
        <v>0</v>
      </c>
      <c r="U187">
        <v>3.25</v>
      </c>
      <c r="V187" s="2">
        <v>0.13541666666666666</v>
      </c>
      <c r="W187">
        <v>0</v>
      </c>
      <c r="AA187" t="s">
        <v>88</v>
      </c>
      <c r="AB187" t="s">
        <v>100</v>
      </c>
      <c r="AC187" t="s">
        <v>192</v>
      </c>
      <c r="AD187" t="s">
        <v>90</v>
      </c>
    </row>
    <row r="188" spans="1:30" hidden="1">
      <c r="A188" s="1">
        <v>45456</v>
      </c>
      <c r="B188" t="s">
        <v>10</v>
      </c>
      <c r="C188" t="s">
        <v>92</v>
      </c>
      <c r="D188" t="s">
        <v>76</v>
      </c>
      <c r="E188" t="s">
        <v>91</v>
      </c>
      <c r="F188" t="s">
        <v>78</v>
      </c>
      <c r="G188" t="s">
        <v>79</v>
      </c>
      <c r="H188" t="s">
        <v>80</v>
      </c>
      <c r="I188" t="s">
        <v>81</v>
      </c>
      <c r="J188" t="s">
        <v>82</v>
      </c>
      <c r="K188" t="s">
        <v>76</v>
      </c>
      <c r="L188" t="s">
        <v>8</v>
      </c>
      <c r="M188" t="s">
        <v>83</v>
      </c>
      <c r="N188" t="s">
        <v>93</v>
      </c>
      <c r="O188" t="s">
        <v>85</v>
      </c>
      <c r="P188">
        <v>259862</v>
      </c>
      <c r="Q188" t="s">
        <v>4</v>
      </c>
      <c r="R188" t="s">
        <v>94</v>
      </c>
      <c r="S188" t="s">
        <v>87</v>
      </c>
      <c r="T188">
        <v>90</v>
      </c>
      <c r="U188">
        <v>3</v>
      </c>
      <c r="V188" s="2">
        <v>0.125</v>
      </c>
      <c r="W188">
        <v>270</v>
      </c>
      <c r="X188">
        <v>360</v>
      </c>
      <c r="Y188">
        <v>90</v>
      </c>
      <c r="Z188" t="s">
        <v>188</v>
      </c>
      <c r="AA188" t="s">
        <v>88</v>
      </c>
      <c r="AB188" t="s">
        <v>100</v>
      </c>
      <c r="AC188" t="s">
        <v>193</v>
      </c>
      <c r="AD188" t="s">
        <v>90</v>
      </c>
    </row>
    <row r="189" spans="1:30" hidden="1">
      <c r="A189" s="1">
        <v>45456</v>
      </c>
      <c r="B189" t="s">
        <v>14</v>
      </c>
      <c r="C189" t="s">
        <v>75</v>
      </c>
      <c r="D189" t="s">
        <v>76</v>
      </c>
      <c r="E189" t="s">
        <v>77</v>
      </c>
      <c r="F189" t="s">
        <v>78</v>
      </c>
      <c r="G189" t="s">
        <v>79</v>
      </c>
      <c r="H189" t="s">
        <v>80</v>
      </c>
      <c r="I189" t="s">
        <v>81</v>
      </c>
      <c r="J189" t="s">
        <v>82</v>
      </c>
      <c r="K189" t="s">
        <v>76</v>
      </c>
      <c r="L189" t="s">
        <v>8</v>
      </c>
      <c r="M189" t="s">
        <v>83</v>
      </c>
      <c r="N189" t="s">
        <v>84</v>
      </c>
      <c r="O189" t="s">
        <v>85</v>
      </c>
      <c r="P189">
        <v>258639</v>
      </c>
      <c r="Q189" t="s">
        <v>5</v>
      </c>
      <c r="R189" t="s">
        <v>86</v>
      </c>
      <c r="S189" t="s">
        <v>87</v>
      </c>
      <c r="T189">
        <v>0</v>
      </c>
      <c r="U189">
        <v>0.25</v>
      </c>
      <c r="V189" s="2">
        <v>1.0416666666666666E-2</v>
      </c>
      <c r="W189">
        <v>0</v>
      </c>
      <c r="AA189" t="s">
        <v>88</v>
      </c>
      <c r="AB189" t="s">
        <v>100</v>
      </c>
      <c r="AC189" t="s">
        <v>166</v>
      </c>
      <c r="AD189" t="s">
        <v>90</v>
      </c>
    </row>
    <row r="190" spans="1:30" hidden="1">
      <c r="A190" s="1">
        <v>45456</v>
      </c>
      <c r="B190" t="s">
        <v>114</v>
      </c>
      <c r="C190" t="s">
        <v>75</v>
      </c>
      <c r="D190" t="s">
        <v>76</v>
      </c>
      <c r="E190" t="s">
        <v>91</v>
      </c>
      <c r="F190" t="s">
        <v>78</v>
      </c>
      <c r="G190" t="s">
        <v>79</v>
      </c>
      <c r="H190" t="s">
        <v>80</v>
      </c>
      <c r="I190" t="s">
        <v>81</v>
      </c>
      <c r="J190" t="s">
        <v>82</v>
      </c>
      <c r="K190" t="s">
        <v>76</v>
      </c>
      <c r="L190" t="s">
        <v>8</v>
      </c>
      <c r="M190" t="s">
        <v>83</v>
      </c>
      <c r="N190" t="s">
        <v>93</v>
      </c>
      <c r="O190" t="s">
        <v>85</v>
      </c>
      <c r="P190">
        <v>258900</v>
      </c>
      <c r="Q190" t="s">
        <v>5</v>
      </c>
      <c r="R190" t="s">
        <v>86</v>
      </c>
      <c r="S190" t="s">
        <v>87</v>
      </c>
      <c r="T190">
        <v>0</v>
      </c>
      <c r="U190">
        <v>0.25</v>
      </c>
      <c r="V190" s="2">
        <v>1.0416666666666666E-2</v>
      </c>
      <c r="W190">
        <v>0</v>
      </c>
      <c r="AA190" t="s">
        <v>88</v>
      </c>
      <c r="AB190" t="s">
        <v>100</v>
      </c>
      <c r="AC190" t="s">
        <v>179</v>
      </c>
      <c r="AD190" t="s">
        <v>90</v>
      </c>
    </row>
    <row r="191" spans="1:30" hidden="1">
      <c r="A191" s="1">
        <v>45456</v>
      </c>
      <c r="B191" t="s">
        <v>93</v>
      </c>
      <c r="C191" t="s">
        <v>75</v>
      </c>
      <c r="D191" t="s">
        <v>76</v>
      </c>
      <c r="E191" t="s">
        <v>91</v>
      </c>
      <c r="F191" t="s">
        <v>78</v>
      </c>
      <c r="G191" t="s">
        <v>79</v>
      </c>
      <c r="H191" t="s">
        <v>80</v>
      </c>
      <c r="I191" t="s">
        <v>81</v>
      </c>
      <c r="J191" t="s">
        <v>82</v>
      </c>
      <c r="K191" t="s">
        <v>76</v>
      </c>
      <c r="L191" t="s">
        <v>8</v>
      </c>
      <c r="M191" t="s">
        <v>83</v>
      </c>
      <c r="N191" t="s">
        <v>84</v>
      </c>
      <c r="O191" t="s">
        <v>85</v>
      </c>
      <c r="P191">
        <v>260151</v>
      </c>
      <c r="Q191" t="s">
        <v>4</v>
      </c>
      <c r="R191" t="s">
        <v>94</v>
      </c>
      <c r="S191" t="s">
        <v>87</v>
      </c>
      <c r="T191">
        <v>90</v>
      </c>
      <c r="U191">
        <v>0.5</v>
      </c>
      <c r="V191" s="2">
        <v>2.0833333333333332E-2</v>
      </c>
      <c r="W191">
        <v>45</v>
      </c>
      <c r="X191">
        <v>60</v>
      </c>
      <c r="Y191">
        <v>15</v>
      </c>
      <c r="Z191" t="s">
        <v>188</v>
      </c>
      <c r="AA191" t="s">
        <v>88</v>
      </c>
      <c r="AB191" t="s">
        <v>100</v>
      </c>
      <c r="AC191" t="s">
        <v>194</v>
      </c>
      <c r="AD191" t="s">
        <v>90</v>
      </c>
    </row>
    <row r="192" spans="1:30" hidden="1">
      <c r="A192" s="1">
        <v>45456</v>
      </c>
      <c r="B192" t="s">
        <v>8</v>
      </c>
      <c r="C192" t="s">
        <v>75</v>
      </c>
      <c r="D192" t="s">
        <v>76</v>
      </c>
      <c r="E192" t="s">
        <v>77</v>
      </c>
      <c r="F192" t="s">
        <v>78</v>
      </c>
      <c r="G192" t="s">
        <v>79</v>
      </c>
      <c r="H192" t="s">
        <v>80</v>
      </c>
      <c r="I192" t="s">
        <v>81</v>
      </c>
      <c r="J192" t="s">
        <v>82</v>
      </c>
      <c r="K192" t="s">
        <v>76</v>
      </c>
      <c r="L192" t="s">
        <v>8</v>
      </c>
      <c r="M192" t="s">
        <v>83</v>
      </c>
      <c r="N192" t="s">
        <v>84</v>
      </c>
      <c r="O192" t="s">
        <v>85</v>
      </c>
      <c r="P192">
        <v>258998</v>
      </c>
      <c r="Q192" t="s">
        <v>5</v>
      </c>
      <c r="R192" t="s">
        <v>86</v>
      </c>
      <c r="S192" t="s">
        <v>87</v>
      </c>
      <c r="T192">
        <v>0</v>
      </c>
      <c r="U192">
        <v>0.25</v>
      </c>
      <c r="V192" s="2">
        <v>1.0416666666666666E-2</v>
      </c>
      <c r="W192">
        <v>0</v>
      </c>
      <c r="AA192" t="s">
        <v>88</v>
      </c>
      <c r="AB192" t="s">
        <v>100</v>
      </c>
      <c r="AC192" t="s">
        <v>84</v>
      </c>
      <c r="AD192" t="s">
        <v>90</v>
      </c>
    </row>
    <row r="193" spans="1:30" hidden="1">
      <c r="A193" s="1">
        <v>45456</v>
      </c>
      <c r="B193" t="s">
        <v>108</v>
      </c>
      <c r="C193" t="s">
        <v>75</v>
      </c>
      <c r="D193" t="s">
        <v>76</v>
      </c>
      <c r="E193" t="s">
        <v>91</v>
      </c>
      <c r="F193" t="s">
        <v>78</v>
      </c>
      <c r="G193" t="s">
        <v>79</v>
      </c>
      <c r="H193" t="s">
        <v>80</v>
      </c>
      <c r="I193" t="s">
        <v>81</v>
      </c>
      <c r="J193" t="s">
        <v>82</v>
      </c>
      <c r="K193" t="s">
        <v>76</v>
      </c>
      <c r="L193" t="s">
        <v>8</v>
      </c>
      <c r="M193" t="s">
        <v>83</v>
      </c>
      <c r="N193" t="s">
        <v>93</v>
      </c>
      <c r="O193" t="s">
        <v>85</v>
      </c>
      <c r="P193">
        <v>258771</v>
      </c>
      <c r="Q193" t="s">
        <v>4</v>
      </c>
      <c r="R193" t="s">
        <v>94</v>
      </c>
      <c r="S193" t="s">
        <v>87</v>
      </c>
      <c r="T193">
        <v>90</v>
      </c>
      <c r="U193">
        <v>1</v>
      </c>
      <c r="V193" s="2">
        <v>4.1666666666666664E-2</v>
      </c>
      <c r="W193">
        <v>90</v>
      </c>
      <c r="X193">
        <v>120</v>
      </c>
      <c r="Y193">
        <v>30</v>
      </c>
      <c r="Z193" t="s">
        <v>188</v>
      </c>
      <c r="AA193" t="s">
        <v>88</v>
      </c>
      <c r="AB193" t="s">
        <v>100</v>
      </c>
      <c r="AC193" t="s">
        <v>84</v>
      </c>
      <c r="AD193" t="s">
        <v>90</v>
      </c>
    </row>
    <row r="194" spans="1:30" hidden="1">
      <c r="A194" s="1">
        <v>45456</v>
      </c>
      <c r="B194" t="s">
        <v>108</v>
      </c>
      <c r="C194" t="s">
        <v>75</v>
      </c>
      <c r="D194" t="s">
        <v>76</v>
      </c>
      <c r="E194" t="s">
        <v>91</v>
      </c>
      <c r="F194" t="s">
        <v>78</v>
      </c>
      <c r="G194" t="s">
        <v>79</v>
      </c>
      <c r="H194" t="s">
        <v>80</v>
      </c>
      <c r="I194" t="s">
        <v>81</v>
      </c>
      <c r="J194" t="s">
        <v>82</v>
      </c>
      <c r="K194" t="s">
        <v>76</v>
      </c>
      <c r="L194" t="s">
        <v>8</v>
      </c>
      <c r="M194" t="s">
        <v>83</v>
      </c>
      <c r="N194" t="s">
        <v>93</v>
      </c>
      <c r="O194" t="s">
        <v>85</v>
      </c>
      <c r="P194">
        <v>258770</v>
      </c>
      <c r="Q194" t="s">
        <v>5</v>
      </c>
      <c r="R194" t="s">
        <v>86</v>
      </c>
      <c r="S194" t="s">
        <v>87</v>
      </c>
      <c r="T194">
        <v>0</v>
      </c>
      <c r="U194">
        <v>4.25</v>
      </c>
      <c r="V194" s="2">
        <v>0.17708333333333334</v>
      </c>
      <c r="W194">
        <v>0</v>
      </c>
      <c r="AA194" t="s">
        <v>88</v>
      </c>
      <c r="AB194" t="s">
        <v>100</v>
      </c>
      <c r="AC194" t="s">
        <v>192</v>
      </c>
      <c r="AD194" t="s">
        <v>90</v>
      </c>
    </row>
    <row r="195" spans="1:30" hidden="1">
      <c r="A195" s="1">
        <v>45457</v>
      </c>
      <c r="B195" t="s">
        <v>93</v>
      </c>
      <c r="C195" t="s">
        <v>75</v>
      </c>
      <c r="D195" t="s">
        <v>76</v>
      </c>
      <c r="E195" t="s">
        <v>91</v>
      </c>
      <c r="F195" t="s">
        <v>78</v>
      </c>
      <c r="G195" t="s">
        <v>79</v>
      </c>
      <c r="H195" t="s">
        <v>80</v>
      </c>
      <c r="I195" t="s">
        <v>81</v>
      </c>
      <c r="J195" t="s">
        <v>82</v>
      </c>
      <c r="K195" t="s">
        <v>76</v>
      </c>
      <c r="L195" t="s">
        <v>8</v>
      </c>
      <c r="M195" t="s">
        <v>83</v>
      </c>
      <c r="N195" t="s">
        <v>84</v>
      </c>
      <c r="O195" t="s">
        <v>85</v>
      </c>
      <c r="P195">
        <v>259116</v>
      </c>
      <c r="Q195" t="s">
        <v>4</v>
      </c>
      <c r="R195" t="s">
        <v>94</v>
      </c>
      <c r="S195" t="s">
        <v>87</v>
      </c>
      <c r="T195">
        <v>90</v>
      </c>
      <c r="U195">
        <v>1</v>
      </c>
      <c r="V195" s="2">
        <v>4.1666666666666664E-2</v>
      </c>
      <c r="W195">
        <v>90</v>
      </c>
      <c r="X195">
        <v>120</v>
      </c>
      <c r="Y195">
        <v>30</v>
      </c>
      <c r="Z195" t="s">
        <v>188</v>
      </c>
      <c r="AA195" t="s">
        <v>88</v>
      </c>
      <c r="AB195" t="s">
        <v>100</v>
      </c>
      <c r="AC195" t="s">
        <v>195</v>
      </c>
      <c r="AD195" t="s">
        <v>90</v>
      </c>
    </row>
    <row r="196" spans="1:30" hidden="1">
      <c r="A196" s="1">
        <v>45457</v>
      </c>
      <c r="B196" t="s">
        <v>8</v>
      </c>
      <c r="C196" t="s">
        <v>75</v>
      </c>
      <c r="D196" t="s">
        <v>76</v>
      </c>
      <c r="E196" t="s">
        <v>77</v>
      </c>
      <c r="F196" t="s">
        <v>78</v>
      </c>
      <c r="G196" t="s">
        <v>79</v>
      </c>
      <c r="H196" t="s">
        <v>80</v>
      </c>
      <c r="I196" t="s">
        <v>81</v>
      </c>
      <c r="J196" t="s">
        <v>82</v>
      </c>
      <c r="K196" t="s">
        <v>76</v>
      </c>
      <c r="L196" t="s">
        <v>8</v>
      </c>
      <c r="M196" t="s">
        <v>83</v>
      </c>
      <c r="N196" t="s">
        <v>84</v>
      </c>
      <c r="O196" t="s">
        <v>85</v>
      </c>
      <c r="P196">
        <v>259541</v>
      </c>
      <c r="Q196" t="s">
        <v>5</v>
      </c>
      <c r="R196" t="s">
        <v>86</v>
      </c>
      <c r="S196" t="s">
        <v>87</v>
      </c>
      <c r="T196">
        <v>0</v>
      </c>
      <c r="U196">
        <v>0.5</v>
      </c>
      <c r="V196" s="2">
        <v>2.0833333333333332E-2</v>
      </c>
      <c r="W196">
        <v>0</v>
      </c>
      <c r="AA196" t="s">
        <v>88</v>
      </c>
      <c r="AB196" t="s">
        <v>100</v>
      </c>
      <c r="AC196" t="s">
        <v>84</v>
      </c>
      <c r="AD196" t="s">
        <v>90</v>
      </c>
    </row>
    <row r="197" spans="1:30" hidden="1">
      <c r="A197" s="1">
        <v>45457</v>
      </c>
      <c r="B197" t="s">
        <v>108</v>
      </c>
      <c r="C197" t="s">
        <v>75</v>
      </c>
      <c r="D197" t="s">
        <v>76</v>
      </c>
      <c r="E197" t="s">
        <v>91</v>
      </c>
      <c r="F197" t="s">
        <v>78</v>
      </c>
      <c r="G197" t="s">
        <v>79</v>
      </c>
      <c r="H197" t="s">
        <v>80</v>
      </c>
      <c r="I197" t="s">
        <v>81</v>
      </c>
      <c r="J197" t="s">
        <v>82</v>
      </c>
      <c r="K197" t="s">
        <v>76</v>
      </c>
      <c r="L197" t="s">
        <v>8</v>
      </c>
      <c r="M197" t="s">
        <v>83</v>
      </c>
      <c r="N197" t="s">
        <v>93</v>
      </c>
      <c r="O197" t="s">
        <v>85</v>
      </c>
      <c r="P197">
        <v>259989</v>
      </c>
      <c r="Q197" t="s">
        <v>5</v>
      </c>
      <c r="R197" t="s">
        <v>86</v>
      </c>
      <c r="S197" t="s">
        <v>87</v>
      </c>
      <c r="T197">
        <v>0</v>
      </c>
      <c r="U197">
        <v>2</v>
      </c>
      <c r="V197" s="2">
        <v>8.3333333333333329E-2</v>
      </c>
      <c r="W197">
        <v>0</v>
      </c>
      <c r="AA197" t="s">
        <v>88</v>
      </c>
      <c r="AB197" t="s">
        <v>100</v>
      </c>
      <c r="AC197" t="s">
        <v>196</v>
      </c>
      <c r="AD197" t="s">
        <v>90</v>
      </c>
    </row>
    <row r="198" spans="1:30" hidden="1">
      <c r="A198" s="1">
        <v>45460</v>
      </c>
      <c r="B198" t="s">
        <v>93</v>
      </c>
      <c r="C198" t="s">
        <v>75</v>
      </c>
      <c r="D198" t="s">
        <v>76</v>
      </c>
      <c r="E198" t="s">
        <v>91</v>
      </c>
      <c r="F198" t="s">
        <v>78</v>
      </c>
      <c r="G198" t="s">
        <v>79</v>
      </c>
      <c r="H198" t="s">
        <v>80</v>
      </c>
      <c r="I198" t="s">
        <v>81</v>
      </c>
      <c r="J198" t="s">
        <v>82</v>
      </c>
      <c r="K198" t="s">
        <v>76</v>
      </c>
      <c r="L198" t="s">
        <v>8</v>
      </c>
      <c r="M198" t="s">
        <v>83</v>
      </c>
      <c r="N198" t="s">
        <v>84</v>
      </c>
      <c r="O198" t="s">
        <v>85</v>
      </c>
      <c r="P198">
        <v>260164</v>
      </c>
      <c r="Q198" t="s">
        <v>4</v>
      </c>
      <c r="R198" t="s">
        <v>94</v>
      </c>
      <c r="S198" t="s">
        <v>87</v>
      </c>
      <c r="T198">
        <v>90</v>
      </c>
      <c r="U198">
        <v>2</v>
      </c>
      <c r="V198" s="2">
        <v>8.3333333333333329E-2</v>
      </c>
      <c r="W198">
        <v>180</v>
      </c>
      <c r="X198">
        <v>240</v>
      </c>
      <c r="Y198">
        <v>60</v>
      </c>
      <c r="Z198" t="s">
        <v>188</v>
      </c>
      <c r="AA198" t="s">
        <v>88</v>
      </c>
      <c r="AB198" t="s">
        <v>100</v>
      </c>
      <c r="AC198" t="s">
        <v>197</v>
      </c>
      <c r="AD198" t="s">
        <v>90</v>
      </c>
    </row>
    <row r="199" spans="1:30" hidden="1">
      <c r="A199" s="1">
        <v>45460</v>
      </c>
      <c r="B199" t="s">
        <v>108</v>
      </c>
      <c r="C199" t="s">
        <v>75</v>
      </c>
      <c r="D199" t="s">
        <v>76</v>
      </c>
      <c r="E199" t="s">
        <v>91</v>
      </c>
      <c r="F199" t="s">
        <v>78</v>
      </c>
      <c r="G199" t="s">
        <v>79</v>
      </c>
      <c r="H199" t="s">
        <v>80</v>
      </c>
      <c r="I199" t="s">
        <v>81</v>
      </c>
      <c r="J199" t="s">
        <v>82</v>
      </c>
      <c r="K199" t="s">
        <v>76</v>
      </c>
      <c r="L199" t="s">
        <v>8</v>
      </c>
      <c r="M199" t="s">
        <v>83</v>
      </c>
      <c r="N199" t="s">
        <v>93</v>
      </c>
      <c r="O199" t="s">
        <v>85</v>
      </c>
      <c r="P199">
        <v>260006</v>
      </c>
      <c r="Q199" t="s">
        <v>5</v>
      </c>
      <c r="R199" t="s">
        <v>86</v>
      </c>
      <c r="S199" t="s">
        <v>87</v>
      </c>
      <c r="T199">
        <v>0</v>
      </c>
      <c r="U199">
        <v>0.25</v>
      </c>
      <c r="V199" s="2">
        <v>1.0416666666666666E-2</v>
      </c>
      <c r="W199">
        <v>0</v>
      </c>
      <c r="AA199" t="s">
        <v>88</v>
      </c>
      <c r="AB199" t="s">
        <v>100</v>
      </c>
      <c r="AC199" t="s">
        <v>84</v>
      </c>
      <c r="AD199" t="s">
        <v>90</v>
      </c>
    </row>
    <row r="200" spans="1:30" hidden="1">
      <c r="A200" s="1">
        <v>45461</v>
      </c>
      <c r="B200" t="s">
        <v>14</v>
      </c>
      <c r="C200" t="s">
        <v>75</v>
      </c>
      <c r="D200" t="s">
        <v>76</v>
      </c>
      <c r="E200" t="s">
        <v>77</v>
      </c>
      <c r="F200" t="s">
        <v>78</v>
      </c>
      <c r="G200" t="s">
        <v>79</v>
      </c>
      <c r="H200" t="s">
        <v>80</v>
      </c>
      <c r="I200" t="s">
        <v>81</v>
      </c>
      <c r="J200" t="s">
        <v>82</v>
      </c>
      <c r="K200" t="s">
        <v>76</v>
      </c>
      <c r="L200" t="s">
        <v>8</v>
      </c>
      <c r="M200" t="s">
        <v>83</v>
      </c>
      <c r="N200" t="s">
        <v>84</v>
      </c>
      <c r="O200" t="s">
        <v>85</v>
      </c>
      <c r="P200">
        <v>260422</v>
      </c>
      <c r="Q200" t="s">
        <v>5</v>
      </c>
      <c r="R200" t="s">
        <v>86</v>
      </c>
      <c r="S200" t="s">
        <v>87</v>
      </c>
      <c r="T200">
        <v>0</v>
      </c>
      <c r="U200">
        <v>0.5</v>
      </c>
      <c r="V200" s="2">
        <v>2.0833333333333332E-2</v>
      </c>
      <c r="W200">
        <v>0</v>
      </c>
      <c r="AA200" t="s">
        <v>88</v>
      </c>
      <c r="AB200" t="s">
        <v>100</v>
      </c>
      <c r="AC200" t="s">
        <v>171</v>
      </c>
      <c r="AD200" t="s">
        <v>90</v>
      </c>
    </row>
    <row r="201" spans="1:30" hidden="1">
      <c r="A201" s="1">
        <v>45461</v>
      </c>
      <c r="B201" t="s">
        <v>114</v>
      </c>
      <c r="C201" t="s">
        <v>75</v>
      </c>
      <c r="D201" t="s">
        <v>76</v>
      </c>
      <c r="E201" t="s">
        <v>91</v>
      </c>
      <c r="F201" t="s">
        <v>78</v>
      </c>
      <c r="G201" t="s">
        <v>79</v>
      </c>
      <c r="H201" t="s">
        <v>80</v>
      </c>
      <c r="I201" t="s">
        <v>81</v>
      </c>
      <c r="J201" t="s">
        <v>82</v>
      </c>
      <c r="K201" t="s">
        <v>76</v>
      </c>
      <c r="L201" t="s">
        <v>8</v>
      </c>
      <c r="M201" t="s">
        <v>83</v>
      </c>
      <c r="N201" t="s">
        <v>93</v>
      </c>
      <c r="O201" t="s">
        <v>85</v>
      </c>
      <c r="P201">
        <v>260644</v>
      </c>
      <c r="Q201" t="s">
        <v>5</v>
      </c>
      <c r="R201" t="s">
        <v>86</v>
      </c>
      <c r="S201" t="s">
        <v>87</v>
      </c>
      <c r="T201">
        <v>0</v>
      </c>
      <c r="U201">
        <v>0.25</v>
      </c>
      <c r="V201" s="2">
        <v>1.0416666666666666E-2</v>
      </c>
      <c r="W201">
        <v>0</v>
      </c>
      <c r="AA201" t="s">
        <v>88</v>
      </c>
      <c r="AB201" t="s">
        <v>100</v>
      </c>
      <c r="AC201" t="s">
        <v>179</v>
      </c>
      <c r="AD201" t="s">
        <v>90</v>
      </c>
    </row>
    <row r="202" spans="1:30" hidden="1">
      <c r="A202" s="1">
        <v>45461</v>
      </c>
      <c r="B202" t="s">
        <v>12</v>
      </c>
      <c r="C202" t="s">
        <v>75</v>
      </c>
      <c r="D202" t="s">
        <v>76</v>
      </c>
      <c r="E202" t="s">
        <v>91</v>
      </c>
      <c r="F202" t="s">
        <v>78</v>
      </c>
      <c r="G202" t="s">
        <v>79</v>
      </c>
      <c r="H202" t="s">
        <v>80</v>
      </c>
      <c r="I202" t="s">
        <v>81</v>
      </c>
      <c r="J202" t="s">
        <v>82</v>
      </c>
      <c r="K202" t="s">
        <v>76</v>
      </c>
      <c r="L202" t="s">
        <v>8</v>
      </c>
      <c r="M202" t="s">
        <v>83</v>
      </c>
      <c r="N202" t="s">
        <v>84</v>
      </c>
      <c r="O202" t="s">
        <v>85</v>
      </c>
      <c r="P202">
        <v>260225</v>
      </c>
      <c r="Q202" t="s">
        <v>5</v>
      </c>
      <c r="R202" t="s">
        <v>86</v>
      </c>
      <c r="S202" t="s">
        <v>87</v>
      </c>
      <c r="T202">
        <v>0</v>
      </c>
      <c r="U202">
        <v>0.25</v>
      </c>
      <c r="V202" s="2">
        <v>1.0416666666666666E-2</v>
      </c>
      <c r="W202">
        <v>0</v>
      </c>
      <c r="AA202" t="s">
        <v>88</v>
      </c>
      <c r="AB202" t="s">
        <v>100</v>
      </c>
      <c r="AC202" t="s">
        <v>84</v>
      </c>
      <c r="AD202" t="s">
        <v>90</v>
      </c>
    </row>
    <row r="203" spans="1:30" hidden="1">
      <c r="A203" s="1">
        <v>45461</v>
      </c>
      <c r="B203" t="s">
        <v>93</v>
      </c>
      <c r="C203" t="s">
        <v>75</v>
      </c>
      <c r="D203" t="s">
        <v>76</v>
      </c>
      <c r="E203" t="s">
        <v>91</v>
      </c>
      <c r="F203" t="s">
        <v>78</v>
      </c>
      <c r="G203" t="s">
        <v>79</v>
      </c>
      <c r="H203" t="s">
        <v>80</v>
      </c>
      <c r="I203" t="s">
        <v>81</v>
      </c>
      <c r="J203" t="s">
        <v>82</v>
      </c>
      <c r="K203" t="s">
        <v>76</v>
      </c>
      <c r="L203" t="s">
        <v>8</v>
      </c>
      <c r="M203" t="s">
        <v>83</v>
      </c>
      <c r="N203" t="s">
        <v>84</v>
      </c>
      <c r="O203" t="s">
        <v>85</v>
      </c>
      <c r="P203">
        <v>260165</v>
      </c>
      <c r="Q203" t="s">
        <v>4</v>
      </c>
      <c r="R203" t="s">
        <v>94</v>
      </c>
      <c r="S203" t="s">
        <v>87</v>
      </c>
      <c r="T203">
        <v>90</v>
      </c>
      <c r="U203">
        <v>1</v>
      </c>
      <c r="V203" s="2">
        <v>4.1666666666666664E-2</v>
      </c>
      <c r="W203">
        <v>90</v>
      </c>
      <c r="X203">
        <v>120</v>
      </c>
      <c r="Y203">
        <v>30</v>
      </c>
      <c r="Z203" t="s">
        <v>188</v>
      </c>
      <c r="AA203" t="s">
        <v>88</v>
      </c>
      <c r="AB203" t="s">
        <v>100</v>
      </c>
      <c r="AC203" t="s">
        <v>197</v>
      </c>
      <c r="AD203" t="s">
        <v>90</v>
      </c>
    </row>
    <row r="204" spans="1:30" hidden="1">
      <c r="A204" s="1">
        <v>45461</v>
      </c>
      <c r="B204" t="s">
        <v>108</v>
      </c>
      <c r="C204" t="s">
        <v>75</v>
      </c>
      <c r="D204" t="s">
        <v>76</v>
      </c>
      <c r="E204" t="s">
        <v>91</v>
      </c>
      <c r="F204" t="s">
        <v>78</v>
      </c>
      <c r="G204" t="s">
        <v>79</v>
      </c>
      <c r="H204" t="s">
        <v>80</v>
      </c>
      <c r="I204" t="s">
        <v>81</v>
      </c>
      <c r="J204" t="s">
        <v>82</v>
      </c>
      <c r="K204" t="s">
        <v>76</v>
      </c>
      <c r="L204" t="s">
        <v>8</v>
      </c>
      <c r="M204" t="s">
        <v>83</v>
      </c>
      <c r="N204" t="s">
        <v>93</v>
      </c>
      <c r="O204" t="s">
        <v>85</v>
      </c>
      <c r="P204">
        <v>262579</v>
      </c>
      <c r="Q204" t="s">
        <v>5</v>
      </c>
      <c r="R204" t="s">
        <v>86</v>
      </c>
      <c r="S204" t="s">
        <v>87</v>
      </c>
      <c r="T204">
        <v>0</v>
      </c>
      <c r="U204">
        <v>0.25</v>
      </c>
      <c r="V204" s="2">
        <v>1.0416666666666666E-2</v>
      </c>
      <c r="W204">
        <v>0</v>
      </c>
      <c r="AA204" t="s">
        <v>88</v>
      </c>
      <c r="AB204" t="s">
        <v>100</v>
      </c>
      <c r="AC204" t="s">
        <v>84</v>
      </c>
      <c r="AD204" t="s">
        <v>90</v>
      </c>
    </row>
    <row r="205" spans="1:30" hidden="1">
      <c r="A205" s="1">
        <v>45462</v>
      </c>
      <c r="B205" t="s">
        <v>14</v>
      </c>
      <c r="C205" t="s">
        <v>75</v>
      </c>
      <c r="D205" t="s">
        <v>76</v>
      </c>
      <c r="E205" t="s">
        <v>77</v>
      </c>
      <c r="F205" t="s">
        <v>78</v>
      </c>
      <c r="G205" t="s">
        <v>79</v>
      </c>
      <c r="H205" t="s">
        <v>80</v>
      </c>
      <c r="I205" t="s">
        <v>81</v>
      </c>
      <c r="J205" t="s">
        <v>82</v>
      </c>
      <c r="K205" t="s">
        <v>76</v>
      </c>
      <c r="L205" t="s">
        <v>8</v>
      </c>
      <c r="M205" t="s">
        <v>83</v>
      </c>
      <c r="N205" t="s">
        <v>84</v>
      </c>
      <c r="O205" t="s">
        <v>85</v>
      </c>
      <c r="P205">
        <v>260557</v>
      </c>
      <c r="Q205" t="s">
        <v>5</v>
      </c>
      <c r="R205" t="s">
        <v>86</v>
      </c>
      <c r="S205" t="s">
        <v>87</v>
      </c>
      <c r="T205">
        <v>0</v>
      </c>
      <c r="U205">
        <v>0.5</v>
      </c>
      <c r="V205" s="2">
        <v>2.0833333333333332E-2</v>
      </c>
      <c r="W205">
        <v>0</v>
      </c>
      <c r="AA205" t="s">
        <v>88</v>
      </c>
      <c r="AB205" t="s">
        <v>100</v>
      </c>
      <c r="AC205" t="s">
        <v>198</v>
      </c>
      <c r="AD205" t="s">
        <v>90</v>
      </c>
    </row>
    <row r="206" spans="1:30" hidden="1">
      <c r="A206" s="1">
        <v>45462</v>
      </c>
      <c r="B206" t="s">
        <v>114</v>
      </c>
      <c r="C206" t="s">
        <v>75</v>
      </c>
      <c r="D206" t="s">
        <v>76</v>
      </c>
      <c r="E206" t="s">
        <v>91</v>
      </c>
      <c r="F206" t="s">
        <v>78</v>
      </c>
      <c r="G206" t="s">
        <v>79</v>
      </c>
      <c r="H206" t="s">
        <v>80</v>
      </c>
      <c r="I206" t="s">
        <v>81</v>
      </c>
      <c r="J206" t="s">
        <v>82</v>
      </c>
      <c r="K206" t="s">
        <v>76</v>
      </c>
      <c r="L206" t="s">
        <v>8</v>
      </c>
      <c r="M206" t="s">
        <v>83</v>
      </c>
      <c r="N206" t="s">
        <v>93</v>
      </c>
      <c r="O206" t="s">
        <v>85</v>
      </c>
      <c r="P206">
        <v>260645</v>
      </c>
      <c r="Q206" t="s">
        <v>5</v>
      </c>
      <c r="R206" t="s">
        <v>86</v>
      </c>
      <c r="S206" t="s">
        <v>87</v>
      </c>
      <c r="T206">
        <v>0</v>
      </c>
      <c r="U206">
        <v>0.25</v>
      </c>
      <c r="V206" s="2">
        <v>1.0416666666666666E-2</v>
      </c>
      <c r="W206">
        <v>0</v>
      </c>
      <c r="AA206" t="s">
        <v>88</v>
      </c>
      <c r="AB206" t="s">
        <v>100</v>
      </c>
      <c r="AC206" t="s">
        <v>84</v>
      </c>
      <c r="AD206" t="s">
        <v>90</v>
      </c>
    </row>
    <row r="207" spans="1:30" hidden="1">
      <c r="A207" s="1">
        <v>45462</v>
      </c>
      <c r="B207" t="s">
        <v>12</v>
      </c>
      <c r="C207" t="s">
        <v>75</v>
      </c>
      <c r="D207" t="s">
        <v>76</v>
      </c>
      <c r="E207" t="s">
        <v>91</v>
      </c>
      <c r="F207" t="s">
        <v>78</v>
      </c>
      <c r="G207" t="s">
        <v>79</v>
      </c>
      <c r="H207" t="s">
        <v>80</v>
      </c>
      <c r="I207" t="s">
        <v>81</v>
      </c>
      <c r="J207" t="s">
        <v>82</v>
      </c>
      <c r="K207" t="s">
        <v>76</v>
      </c>
      <c r="L207" t="s">
        <v>8</v>
      </c>
      <c r="M207" t="s">
        <v>83</v>
      </c>
      <c r="N207" t="s">
        <v>84</v>
      </c>
      <c r="O207" t="s">
        <v>85</v>
      </c>
      <c r="P207">
        <v>261136</v>
      </c>
      <c r="Q207" t="s">
        <v>5</v>
      </c>
      <c r="R207" t="s">
        <v>86</v>
      </c>
      <c r="S207" t="s">
        <v>87</v>
      </c>
      <c r="T207">
        <v>0</v>
      </c>
      <c r="U207">
        <v>0.25</v>
      </c>
      <c r="V207" s="2">
        <v>1.0416666666666666E-2</v>
      </c>
      <c r="W207">
        <v>0</v>
      </c>
      <c r="AA207" t="s">
        <v>88</v>
      </c>
      <c r="AB207" t="s">
        <v>100</v>
      </c>
      <c r="AC207" t="s">
        <v>84</v>
      </c>
      <c r="AD207" t="s">
        <v>90</v>
      </c>
    </row>
    <row r="208" spans="1:30" hidden="1">
      <c r="A208" s="1">
        <v>45462</v>
      </c>
      <c r="B208" t="s">
        <v>108</v>
      </c>
      <c r="C208" t="s">
        <v>75</v>
      </c>
      <c r="D208" t="s">
        <v>76</v>
      </c>
      <c r="E208" t="s">
        <v>91</v>
      </c>
      <c r="F208" t="s">
        <v>78</v>
      </c>
      <c r="G208" t="s">
        <v>79</v>
      </c>
      <c r="H208" t="s">
        <v>80</v>
      </c>
      <c r="I208" t="s">
        <v>81</v>
      </c>
      <c r="J208" t="s">
        <v>82</v>
      </c>
      <c r="K208" t="s">
        <v>76</v>
      </c>
      <c r="L208" t="s">
        <v>8</v>
      </c>
      <c r="M208" t="s">
        <v>83</v>
      </c>
      <c r="N208" t="s">
        <v>93</v>
      </c>
      <c r="O208" t="s">
        <v>85</v>
      </c>
      <c r="P208">
        <v>262613</v>
      </c>
      <c r="Q208" t="s">
        <v>4</v>
      </c>
      <c r="R208" t="s">
        <v>94</v>
      </c>
      <c r="S208" t="s">
        <v>87</v>
      </c>
      <c r="T208">
        <v>90</v>
      </c>
      <c r="U208">
        <v>2</v>
      </c>
      <c r="V208" s="2">
        <v>8.3333333333333329E-2</v>
      </c>
      <c r="W208">
        <v>180</v>
      </c>
      <c r="X208">
        <v>240</v>
      </c>
      <c r="Y208">
        <v>60</v>
      </c>
      <c r="Z208" t="s">
        <v>188</v>
      </c>
      <c r="AA208" t="s">
        <v>88</v>
      </c>
      <c r="AB208" t="s">
        <v>100</v>
      </c>
      <c r="AC208" t="s">
        <v>84</v>
      </c>
      <c r="AD208" t="s">
        <v>90</v>
      </c>
    </row>
    <row r="209" spans="1:30" hidden="1">
      <c r="A209" s="1">
        <v>45462</v>
      </c>
      <c r="B209" t="s">
        <v>108</v>
      </c>
      <c r="C209" t="s">
        <v>75</v>
      </c>
      <c r="D209" t="s">
        <v>76</v>
      </c>
      <c r="E209" t="s">
        <v>91</v>
      </c>
      <c r="F209" t="s">
        <v>78</v>
      </c>
      <c r="G209" t="s">
        <v>79</v>
      </c>
      <c r="H209" t="s">
        <v>80</v>
      </c>
      <c r="I209" t="s">
        <v>81</v>
      </c>
      <c r="J209" t="s">
        <v>82</v>
      </c>
      <c r="K209" t="s">
        <v>76</v>
      </c>
      <c r="L209" t="s">
        <v>8</v>
      </c>
      <c r="M209" t="s">
        <v>83</v>
      </c>
      <c r="N209" t="s">
        <v>93</v>
      </c>
      <c r="O209" t="s">
        <v>85</v>
      </c>
      <c r="P209">
        <v>262581</v>
      </c>
      <c r="Q209" t="s">
        <v>5</v>
      </c>
      <c r="R209" t="s">
        <v>86</v>
      </c>
      <c r="S209" t="s">
        <v>87</v>
      </c>
      <c r="T209">
        <v>0</v>
      </c>
      <c r="U209">
        <v>1.25</v>
      </c>
      <c r="V209" s="2">
        <v>5.2083333333333336E-2</v>
      </c>
      <c r="W209">
        <v>0</v>
      </c>
      <c r="AA209" t="s">
        <v>88</v>
      </c>
      <c r="AB209" t="s">
        <v>100</v>
      </c>
      <c r="AC209" t="s">
        <v>84</v>
      </c>
      <c r="AD209" t="s">
        <v>90</v>
      </c>
    </row>
    <row r="210" spans="1:30" hidden="1">
      <c r="A210" s="1">
        <v>45463</v>
      </c>
      <c r="B210" t="s">
        <v>10</v>
      </c>
      <c r="C210" t="s">
        <v>92</v>
      </c>
      <c r="D210" t="s">
        <v>76</v>
      </c>
      <c r="E210" t="s">
        <v>91</v>
      </c>
      <c r="F210" t="s">
        <v>78</v>
      </c>
      <c r="G210" t="s">
        <v>79</v>
      </c>
      <c r="H210" t="s">
        <v>80</v>
      </c>
      <c r="I210" t="s">
        <v>81</v>
      </c>
      <c r="J210" t="s">
        <v>82</v>
      </c>
      <c r="K210" t="s">
        <v>76</v>
      </c>
      <c r="L210" t="s">
        <v>8</v>
      </c>
      <c r="M210" t="s">
        <v>83</v>
      </c>
      <c r="N210" t="s">
        <v>93</v>
      </c>
      <c r="O210" t="s">
        <v>85</v>
      </c>
      <c r="P210">
        <v>261051</v>
      </c>
      <c r="Q210" t="s">
        <v>4</v>
      </c>
      <c r="R210" t="s">
        <v>94</v>
      </c>
      <c r="S210" t="s">
        <v>87</v>
      </c>
      <c r="T210">
        <v>90</v>
      </c>
      <c r="U210">
        <v>2</v>
      </c>
      <c r="V210" s="2">
        <v>8.3333333333333329E-2</v>
      </c>
      <c r="W210">
        <v>180</v>
      </c>
      <c r="X210">
        <v>240</v>
      </c>
      <c r="Y210">
        <v>60</v>
      </c>
      <c r="Z210" t="s">
        <v>188</v>
      </c>
      <c r="AA210" t="s">
        <v>88</v>
      </c>
      <c r="AB210" t="s">
        <v>100</v>
      </c>
      <c r="AC210" t="s">
        <v>199</v>
      </c>
      <c r="AD210" t="s">
        <v>90</v>
      </c>
    </row>
    <row r="211" spans="1:30" hidden="1">
      <c r="A211" s="1">
        <v>45463</v>
      </c>
      <c r="B211" t="s">
        <v>14</v>
      </c>
      <c r="C211" t="s">
        <v>75</v>
      </c>
      <c r="D211" t="s">
        <v>76</v>
      </c>
      <c r="E211" t="s">
        <v>77</v>
      </c>
      <c r="F211" t="s">
        <v>78</v>
      </c>
      <c r="G211" t="s">
        <v>79</v>
      </c>
      <c r="H211" t="s">
        <v>80</v>
      </c>
      <c r="I211" t="s">
        <v>81</v>
      </c>
      <c r="J211" t="s">
        <v>82</v>
      </c>
      <c r="K211" t="s">
        <v>76</v>
      </c>
      <c r="L211" t="s">
        <v>8</v>
      </c>
      <c r="M211" t="s">
        <v>83</v>
      </c>
      <c r="N211" t="s">
        <v>84</v>
      </c>
      <c r="O211" t="s">
        <v>85</v>
      </c>
      <c r="P211">
        <v>261278</v>
      </c>
      <c r="Q211" t="s">
        <v>5</v>
      </c>
      <c r="R211" t="s">
        <v>86</v>
      </c>
      <c r="S211" t="s">
        <v>87</v>
      </c>
      <c r="T211">
        <v>0</v>
      </c>
      <c r="U211">
        <v>0.25</v>
      </c>
      <c r="V211" s="2">
        <v>1.0416666666666666E-2</v>
      </c>
      <c r="W211">
        <v>0</v>
      </c>
      <c r="AA211" t="s">
        <v>88</v>
      </c>
      <c r="AB211" t="s">
        <v>100</v>
      </c>
      <c r="AC211" t="s">
        <v>200</v>
      </c>
      <c r="AD211" t="s">
        <v>90</v>
      </c>
    </row>
    <row r="212" spans="1:30" hidden="1">
      <c r="A212" s="1">
        <v>45463</v>
      </c>
      <c r="B212" t="s">
        <v>114</v>
      </c>
      <c r="C212" t="s">
        <v>75</v>
      </c>
      <c r="D212" t="s">
        <v>76</v>
      </c>
      <c r="E212" t="s">
        <v>91</v>
      </c>
      <c r="F212" t="s">
        <v>78</v>
      </c>
      <c r="G212" t="s">
        <v>79</v>
      </c>
      <c r="H212" t="s">
        <v>80</v>
      </c>
      <c r="I212" t="s">
        <v>81</v>
      </c>
      <c r="J212" t="s">
        <v>82</v>
      </c>
      <c r="K212" t="s">
        <v>76</v>
      </c>
      <c r="L212" t="s">
        <v>8</v>
      </c>
      <c r="M212" t="s">
        <v>83</v>
      </c>
      <c r="N212" t="s">
        <v>93</v>
      </c>
      <c r="O212" t="s">
        <v>85</v>
      </c>
      <c r="P212">
        <v>261557</v>
      </c>
      <c r="Q212" t="s">
        <v>4</v>
      </c>
      <c r="R212" t="s">
        <v>94</v>
      </c>
      <c r="S212" t="s">
        <v>87</v>
      </c>
      <c r="T212">
        <v>90</v>
      </c>
      <c r="U212">
        <v>1</v>
      </c>
      <c r="V212" s="2">
        <v>4.1666666666666664E-2</v>
      </c>
      <c r="W212">
        <v>90</v>
      </c>
      <c r="X212">
        <v>120</v>
      </c>
      <c r="Y212">
        <v>30</v>
      </c>
      <c r="Z212" t="s">
        <v>188</v>
      </c>
      <c r="AA212" t="s">
        <v>88</v>
      </c>
      <c r="AB212" t="s">
        <v>100</v>
      </c>
      <c r="AC212" t="s">
        <v>201</v>
      </c>
      <c r="AD212" t="s">
        <v>90</v>
      </c>
    </row>
    <row r="213" spans="1:30" hidden="1">
      <c r="A213" s="1">
        <v>45463</v>
      </c>
      <c r="B213" t="s">
        <v>114</v>
      </c>
      <c r="C213" t="s">
        <v>75</v>
      </c>
      <c r="D213" t="s">
        <v>76</v>
      </c>
      <c r="E213" t="s">
        <v>91</v>
      </c>
      <c r="F213" t="s">
        <v>78</v>
      </c>
      <c r="G213" t="s">
        <v>79</v>
      </c>
      <c r="H213" t="s">
        <v>80</v>
      </c>
      <c r="I213" t="s">
        <v>81</v>
      </c>
      <c r="J213" t="s">
        <v>82</v>
      </c>
      <c r="K213" t="s">
        <v>76</v>
      </c>
      <c r="L213" t="s">
        <v>8</v>
      </c>
      <c r="M213" t="s">
        <v>83</v>
      </c>
      <c r="N213" t="s">
        <v>93</v>
      </c>
      <c r="O213" t="s">
        <v>85</v>
      </c>
      <c r="P213">
        <v>262753</v>
      </c>
      <c r="Q213" t="s">
        <v>5</v>
      </c>
      <c r="R213" t="s">
        <v>86</v>
      </c>
      <c r="S213" t="s">
        <v>87</v>
      </c>
      <c r="T213">
        <v>0</v>
      </c>
      <c r="U213">
        <v>0.25</v>
      </c>
      <c r="V213" s="2">
        <v>1.0416666666666666E-2</v>
      </c>
      <c r="W213">
        <v>0</v>
      </c>
      <c r="AA213" t="s">
        <v>88</v>
      </c>
      <c r="AB213" t="s">
        <v>100</v>
      </c>
      <c r="AC213" t="s">
        <v>166</v>
      </c>
      <c r="AD213" t="s">
        <v>90</v>
      </c>
    </row>
    <row r="214" spans="1:30" hidden="1">
      <c r="A214" s="1">
        <v>45463</v>
      </c>
      <c r="B214" t="s">
        <v>12</v>
      </c>
      <c r="C214" t="s">
        <v>75</v>
      </c>
      <c r="D214" t="s">
        <v>76</v>
      </c>
      <c r="E214" t="s">
        <v>91</v>
      </c>
      <c r="F214" t="s">
        <v>78</v>
      </c>
      <c r="G214" t="s">
        <v>79</v>
      </c>
      <c r="H214" t="s">
        <v>80</v>
      </c>
      <c r="I214" t="s">
        <v>81</v>
      </c>
      <c r="J214" t="s">
        <v>82</v>
      </c>
      <c r="K214" t="s">
        <v>76</v>
      </c>
      <c r="L214" t="s">
        <v>8</v>
      </c>
      <c r="M214" t="s">
        <v>83</v>
      </c>
      <c r="N214" t="s">
        <v>84</v>
      </c>
      <c r="O214" t="s">
        <v>85</v>
      </c>
      <c r="P214">
        <v>261158</v>
      </c>
      <c r="Q214" t="s">
        <v>5</v>
      </c>
      <c r="R214" t="s">
        <v>86</v>
      </c>
      <c r="S214" t="s">
        <v>87</v>
      </c>
      <c r="T214">
        <v>0</v>
      </c>
      <c r="U214">
        <v>0.25</v>
      </c>
      <c r="V214" s="2">
        <v>1.0416666666666666E-2</v>
      </c>
      <c r="W214">
        <v>0</v>
      </c>
      <c r="AA214" t="s">
        <v>88</v>
      </c>
      <c r="AB214" t="s">
        <v>100</v>
      </c>
      <c r="AC214" t="s">
        <v>84</v>
      </c>
      <c r="AD214" t="s">
        <v>90</v>
      </c>
    </row>
    <row r="215" spans="1:30" hidden="1">
      <c r="A215" s="1">
        <v>45463</v>
      </c>
      <c r="B215" t="s">
        <v>108</v>
      </c>
      <c r="C215" t="s">
        <v>75</v>
      </c>
      <c r="D215" t="s">
        <v>76</v>
      </c>
      <c r="E215" t="s">
        <v>91</v>
      </c>
      <c r="F215" t="s">
        <v>78</v>
      </c>
      <c r="G215" t="s">
        <v>79</v>
      </c>
      <c r="H215" t="s">
        <v>80</v>
      </c>
      <c r="I215" t="s">
        <v>81</v>
      </c>
      <c r="J215" t="s">
        <v>82</v>
      </c>
      <c r="K215" t="s">
        <v>76</v>
      </c>
      <c r="L215" t="s">
        <v>8</v>
      </c>
      <c r="M215" t="s">
        <v>83</v>
      </c>
      <c r="N215" t="s">
        <v>93</v>
      </c>
      <c r="O215" t="s">
        <v>85</v>
      </c>
      <c r="P215">
        <v>262614</v>
      </c>
      <c r="Q215" t="s">
        <v>4</v>
      </c>
      <c r="R215" t="s">
        <v>94</v>
      </c>
      <c r="S215" t="s">
        <v>87</v>
      </c>
      <c r="T215">
        <v>90</v>
      </c>
      <c r="U215">
        <v>1.5</v>
      </c>
      <c r="V215" s="2">
        <v>6.25E-2</v>
      </c>
      <c r="W215">
        <v>135</v>
      </c>
      <c r="X215">
        <v>180</v>
      </c>
      <c r="Y215">
        <v>45</v>
      </c>
      <c r="Z215" t="s">
        <v>188</v>
      </c>
      <c r="AA215" t="s">
        <v>88</v>
      </c>
      <c r="AB215" t="s">
        <v>100</v>
      </c>
      <c r="AC215" t="s">
        <v>84</v>
      </c>
      <c r="AD215" t="s">
        <v>90</v>
      </c>
    </row>
    <row r="216" spans="1:30" hidden="1">
      <c r="A216" s="1">
        <v>45463</v>
      </c>
      <c r="B216" t="s">
        <v>108</v>
      </c>
      <c r="C216" t="s">
        <v>75</v>
      </c>
      <c r="D216" t="s">
        <v>76</v>
      </c>
      <c r="E216" t="s">
        <v>91</v>
      </c>
      <c r="F216" t="s">
        <v>78</v>
      </c>
      <c r="G216" t="s">
        <v>79</v>
      </c>
      <c r="H216" t="s">
        <v>80</v>
      </c>
      <c r="I216" t="s">
        <v>81</v>
      </c>
      <c r="J216" t="s">
        <v>82</v>
      </c>
      <c r="K216" t="s">
        <v>76</v>
      </c>
      <c r="L216" t="s">
        <v>8</v>
      </c>
      <c r="M216" t="s">
        <v>83</v>
      </c>
      <c r="N216" t="s">
        <v>93</v>
      </c>
      <c r="O216" t="s">
        <v>85</v>
      </c>
      <c r="P216">
        <v>262583</v>
      </c>
      <c r="Q216" t="s">
        <v>5</v>
      </c>
      <c r="R216" t="s">
        <v>86</v>
      </c>
      <c r="S216" t="s">
        <v>87</v>
      </c>
      <c r="T216">
        <v>0</v>
      </c>
      <c r="U216">
        <v>1.75</v>
      </c>
      <c r="V216" s="2">
        <v>7.2916666666666671E-2</v>
      </c>
      <c r="W216">
        <v>0</v>
      </c>
      <c r="AA216" t="s">
        <v>88</v>
      </c>
      <c r="AB216" t="s">
        <v>100</v>
      </c>
      <c r="AC216" t="s">
        <v>202</v>
      </c>
      <c r="AD216" t="s">
        <v>90</v>
      </c>
    </row>
    <row r="217" spans="1:30" hidden="1">
      <c r="A217" s="1">
        <v>45464</v>
      </c>
      <c r="B217" t="s">
        <v>10</v>
      </c>
      <c r="C217" t="s">
        <v>92</v>
      </c>
      <c r="D217" t="s">
        <v>76</v>
      </c>
      <c r="E217" t="s">
        <v>91</v>
      </c>
      <c r="F217" t="s">
        <v>78</v>
      </c>
      <c r="G217" t="s">
        <v>79</v>
      </c>
      <c r="H217" t="s">
        <v>80</v>
      </c>
      <c r="I217" t="s">
        <v>81</v>
      </c>
      <c r="J217" t="s">
        <v>82</v>
      </c>
      <c r="K217" t="s">
        <v>76</v>
      </c>
      <c r="L217" t="s">
        <v>8</v>
      </c>
      <c r="M217" t="s">
        <v>83</v>
      </c>
      <c r="N217" t="s">
        <v>93</v>
      </c>
      <c r="O217" t="s">
        <v>85</v>
      </c>
      <c r="P217">
        <v>261876</v>
      </c>
      <c r="Q217" t="s">
        <v>4</v>
      </c>
      <c r="R217" t="s">
        <v>94</v>
      </c>
      <c r="S217" t="s">
        <v>87</v>
      </c>
      <c r="T217">
        <v>90</v>
      </c>
      <c r="U217">
        <v>5</v>
      </c>
      <c r="V217" s="2">
        <v>0.20833333333333334</v>
      </c>
      <c r="W217">
        <v>450</v>
      </c>
      <c r="X217">
        <v>600</v>
      </c>
      <c r="Y217">
        <v>150</v>
      </c>
      <c r="Z217" t="s">
        <v>188</v>
      </c>
      <c r="AA217" t="s">
        <v>88</v>
      </c>
      <c r="AB217" t="s">
        <v>100</v>
      </c>
      <c r="AC217" t="s">
        <v>203</v>
      </c>
      <c r="AD217" t="s">
        <v>90</v>
      </c>
    </row>
    <row r="218" spans="1:30" hidden="1">
      <c r="A218" s="1">
        <v>45464</v>
      </c>
      <c r="B218" t="s">
        <v>114</v>
      </c>
      <c r="C218" t="s">
        <v>75</v>
      </c>
      <c r="D218" t="s">
        <v>76</v>
      </c>
      <c r="E218" t="s">
        <v>91</v>
      </c>
      <c r="F218" t="s">
        <v>78</v>
      </c>
      <c r="G218" t="s">
        <v>79</v>
      </c>
      <c r="H218" t="s">
        <v>80</v>
      </c>
      <c r="I218" t="s">
        <v>81</v>
      </c>
      <c r="J218" t="s">
        <v>82</v>
      </c>
      <c r="K218" t="s">
        <v>76</v>
      </c>
      <c r="L218" t="s">
        <v>8</v>
      </c>
      <c r="M218" t="s">
        <v>83</v>
      </c>
      <c r="N218" t="s">
        <v>93</v>
      </c>
      <c r="O218" t="s">
        <v>85</v>
      </c>
      <c r="P218">
        <v>261659</v>
      </c>
      <c r="Q218" t="s">
        <v>4</v>
      </c>
      <c r="R218" t="s">
        <v>94</v>
      </c>
      <c r="S218" t="s">
        <v>87</v>
      </c>
      <c r="T218">
        <v>90</v>
      </c>
      <c r="U218">
        <v>1</v>
      </c>
      <c r="V218" s="2">
        <v>4.1666666666666664E-2</v>
      </c>
      <c r="W218">
        <v>90</v>
      </c>
      <c r="X218">
        <v>120</v>
      </c>
      <c r="Y218">
        <v>30</v>
      </c>
      <c r="Z218" t="s">
        <v>188</v>
      </c>
      <c r="AA218" t="s">
        <v>88</v>
      </c>
      <c r="AB218" t="s">
        <v>100</v>
      </c>
      <c r="AC218" t="s">
        <v>204</v>
      </c>
      <c r="AD218" t="s">
        <v>90</v>
      </c>
    </row>
    <row r="219" spans="1:30" hidden="1">
      <c r="A219" s="1">
        <v>45464</v>
      </c>
      <c r="B219" t="s">
        <v>93</v>
      </c>
      <c r="C219" t="s">
        <v>75</v>
      </c>
      <c r="D219" t="s">
        <v>76</v>
      </c>
      <c r="E219" t="s">
        <v>91</v>
      </c>
      <c r="F219" t="s">
        <v>78</v>
      </c>
      <c r="G219" t="s">
        <v>79</v>
      </c>
      <c r="H219" t="s">
        <v>80</v>
      </c>
      <c r="I219" t="s">
        <v>81</v>
      </c>
      <c r="J219" t="s">
        <v>82</v>
      </c>
      <c r="K219" t="s">
        <v>76</v>
      </c>
      <c r="L219" t="s">
        <v>8</v>
      </c>
      <c r="M219" t="s">
        <v>83</v>
      </c>
      <c r="N219" t="s">
        <v>84</v>
      </c>
      <c r="O219" t="s">
        <v>85</v>
      </c>
      <c r="P219">
        <v>262243</v>
      </c>
      <c r="Q219" t="s">
        <v>4</v>
      </c>
      <c r="R219" t="s">
        <v>94</v>
      </c>
      <c r="S219" t="s">
        <v>87</v>
      </c>
      <c r="T219">
        <v>90</v>
      </c>
      <c r="U219">
        <v>1.5</v>
      </c>
      <c r="V219" s="2">
        <v>6.25E-2</v>
      </c>
      <c r="W219">
        <v>135</v>
      </c>
      <c r="X219">
        <v>180</v>
      </c>
      <c r="Y219">
        <v>45</v>
      </c>
      <c r="Z219" t="s">
        <v>188</v>
      </c>
      <c r="AA219" t="s">
        <v>88</v>
      </c>
      <c r="AB219" t="s">
        <v>100</v>
      </c>
      <c r="AC219" t="s">
        <v>205</v>
      </c>
      <c r="AD219" t="s">
        <v>90</v>
      </c>
    </row>
    <row r="220" spans="1:30" hidden="1">
      <c r="A220" s="1">
        <v>45467</v>
      </c>
      <c r="B220" t="s">
        <v>10</v>
      </c>
      <c r="C220" t="s">
        <v>92</v>
      </c>
      <c r="D220" t="s">
        <v>76</v>
      </c>
      <c r="E220" t="s">
        <v>91</v>
      </c>
      <c r="F220" t="s">
        <v>78</v>
      </c>
      <c r="G220" t="s">
        <v>79</v>
      </c>
      <c r="H220" t="s">
        <v>80</v>
      </c>
      <c r="I220" t="s">
        <v>81</v>
      </c>
      <c r="J220" t="s">
        <v>82</v>
      </c>
      <c r="K220" t="s">
        <v>76</v>
      </c>
      <c r="L220" t="s">
        <v>8</v>
      </c>
      <c r="M220" t="s">
        <v>83</v>
      </c>
      <c r="N220" t="s">
        <v>93</v>
      </c>
      <c r="O220" t="s">
        <v>85</v>
      </c>
      <c r="P220">
        <v>264019</v>
      </c>
      <c r="Q220" t="s">
        <v>5</v>
      </c>
      <c r="R220" t="s">
        <v>86</v>
      </c>
      <c r="S220" t="s">
        <v>87</v>
      </c>
      <c r="T220">
        <v>0</v>
      </c>
      <c r="U220">
        <v>2</v>
      </c>
      <c r="V220" s="2">
        <v>8.3333333333333329E-2</v>
      </c>
      <c r="W220">
        <v>0</v>
      </c>
      <c r="AA220" t="s">
        <v>88</v>
      </c>
      <c r="AB220" t="s">
        <v>100</v>
      </c>
      <c r="AC220" t="s">
        <v>206</v>
      </c>
      <c r="AD220" t="s">
        <v>90</v>
      </c>
    </row>
    <row r="221" spans="1:30" hidden="1">
      <c r="A221" s="1">
        <v>45467</v>
      </c>
      <c r="B221" t="s">
        <v>14</v>
      </c>
      <c r="C221" t="s">
        <v>75</v>
      </c>
      <c r="D221" t="s">
        <v>76</v>
      </c>
      <c r="E221" t="s">
        <v>77</v>
      </c>
      <c r="F221" t="s">
        <v>78</v>
      </c>
      <c r="G221" t="s">
        <v>79</v>
      </c>
      <c r="H221" t="s">
        <v>80</v>
      </c>
      <c r="I221" t="s">
        <v>81</v>
      </c>
      <c r="J221" t="s">
        <v>82</v>
      </c>
      <c r="K221" t="s">
        <v>76</v>
      </c>
      <c r="L221" t="s">
        <v>8</v>
      </c>
      <c r="M221" t="s">
        <v>83</v>
      </c>
      <c r="N221" t="s">
        <v>84</v>
      </c>
      <c r="O221" t="s">
        <v>85</v>
      </c>
      <c r="P221">
        <v>262521</v>
      </c>
      <c r="Q221" t="s">
        <v>5</v>
      </c>
      <c r="R221" t="s">
        <v>86</v>
      </c>
      <c r="S221" t="s">
        <v>87</v>
      </c>
      <c r="T221">
        <v>0</v>
      </c>
      <c r="U221">
        <v>0.25</v>
      </c>
      <c r="V221" s="2">
        <v>1.0416666666666666E-2</v>
      </c>
      <c r="W221">
        <v>0</v>
      </c>
      <c r="AA221" t="s">
        <v>88</v>
      </c>
      <c r="AB221" t="s">
        <v>100</v>
      </c>
      <c r="AC221" t="s">
        <v>200</v>
      </c>
      <c r="AD221" t="s">
        <v>90</v>
      </c>
    </row>
    <row r="222" spans="1:30" hidden="1">
      <c r="A222" s="1">
        <v>45467</v>
      </c>
      <c r="B222" t="s">
        <v>114</v>
      </c>
      <c r="C222" t="s">
        <v>75</v>
      </c>
      <c r="D222" t="s">
        <v>76</v>
      </c>
      <c r="E222" t="s">
        <v>91</v>
      </c>
      <c r="F222" t="s">
        <v>78</v>
      </c>
      <c r="G222" t="s">
        <v>79</v>
      </c>
      <c r="H222" t="s">
        <v>80</v>
      </c>
      <c r="I222" t="s">
        <v>81</v>
      </c>
      <c r="J222" t="s">
        <v>82</v>
      </c>
      <c r="K222" t="s">
        <v>76</v>
      </c>
      <c r="L222" t="s">
        <v>8</v>
      </c>
      <c r="M222" t="s">
        <v>83</v>
      </c>
      <c r="N222" t="s">
        <v>93</v>
      </c>
      <c r="O222" t="s">
        <v>85</v>
      </c>
      <c r="P222">
        <v>262812</v>
      </c>
      <c r="Q222" t="s">
        <v>5</v>
      </c>
      <c r="R222" t="s">
        <v>86</v>
      </c>
      <c r="S222" t="s">
        <v>87</v>
      </c>
      <c r="T222">
        <v>0</v>
      </c>
      <c r="U222">
        <v>0.25</v>
      </c>
      <c r="V222" s="2">
        <v>1.0416666666666666E-2</v>
      </c>
      <c r="W222">
        <v>0</v>
      </c>
      <c r="AA222" t="s">
        <v>88</v>
      </c>
      <c r="AB222" t="s">
        <v>100</v>
      </c>
      <c r="AC222" t="s">
        <v>179</v>
      </c>
      <c r="AD222" t="s">
        <v>90</v>
      </c>
    </row>
    <row r="223" spans="1:30" hidden="1">
      <c r="A223" s="1">
        <v>45468</v>
      </c>
      <c r="B223" t="s">
        <v>10</v>
      </c>
      <c r="C223" t="s">
        <v>92</v>
      </c>
      <c r="D223" t="s">
        <v>76</v>
      </c>
      <c r="E223" t="s">
        <v>91</v>
      </c>
      <c r="F223" t="s">
        <v>78</v>
      </c>
      <c r="G223" t="s">
        <v>79</v>
      </c>
      <c r="H223" t="s">
        <v>80</v>
      </c>
      <c r="I223" t="s">
        <v>81</v>
      </c>
      <c r="J223" t="s">
        <v>82</v>
      </c>
      <c r="K223" t="s">
        <v>76</v>
      </c>
      <c r="L223" t="s">
        <v>8</v>
      </c>
      <c r="M223" t="s">
        <v>83</v>
      </c>
      <c r="N223" t="s">
        <v>93</v>
      </c>
      <c r="O223" t="s">
        <v>85</v>
      </c>
      <c r="P223">
        <v>264018</v>
      </c>
      <c r="Q223" t="s">
        <v>5</v>
      </c>
      <c r="R223" t="s">
        <v>86</v>
      </c>
      <c r="S223" t="s">
        <v>87</v>
      </c>
      <c r="T223">
        <v>0</v>
      </c>
      <c r="U223">
        <v>2</v>
      </c>
      <c r="V223" s="2">
        <v>8.3333333333333329E-2</v>
      </c>
      <c r="W223">
        <v>0</v>
      </c>
      <c r="AA223" t="s">
        <v>88</v>
      </c>
      <c r="AB223" t="s">
        <v>100</v>
      </c>
      <c r="AC223" t="s">
        <v>207</v>
      </c>
      <c r="AD223" t="s">
        <v>90</v>
      </c>
    </row>
    <row r="224" spans="1:30" hidden="1">
      <c r="A224" s="1">
        <v>45468</v>
      </c>
      <c r="B224" t="s">
        <v>14</v>
      </c>
      <c r="C224" t="s">
        <v>75</v>
      </c>
      <c r="D224" t="s">
        <v>76</v>
      </c>
      <c r="E224" t="s">
        <v>77</v>
      </c>
      <c r="F224" t="s">
        <v>78</v>
      </c>
      <c r="G224" t="s">
        <v>79</v>
      </c>
      <c r="H224" t="s">
        <v>80</v>
      </c>
      <c r="I224" t="s">
        <v>81</v>
      </c>
      <c r="J224" t="s">
        <v>82</v>
      </c>
      <c r="K224" t="s">
        <v>76</v>
      </c>
      <c r="L224" t="s">
        <v>8</v>
      </c>
      <c r="M224" t="s">
        <v>83</v>
      </c>
      <c r="N224" t="s">
        <v>84</v>
      </c>
      <c r="O224" t="s">
        <v>85</v>
      </c>
      <c r="P224">
        <v>262927</v>
      </c>
      <c r="Q224" t="s">
        <v>5</v>
      </c>
      <c r="R224" t="s">
        <v>86</v>
      </c>
      <c r="S224" t="s">
        <v>87</v>
      </c>
      <c r="T224">
        <v>0</v>
      </c>
      <c r="U224">
        <v>0.5</v>
      </c>
      <c r="V224" s="2">
        <v>2.0833333333333332E-2</v>
      </c>
      <c r="W224">
        <v>0</v>
      </c>
      <c r="AA224" t="s">
        <v>88</v>
      </c>
      <c r="AB224" t="s">
        <v>100</v>
      </c>
      <c r="AC224" t="s">
        <v>208</v>
      </c>
      <c r="AD224" t="s">
        <v>90</v>
      </c>
    </row>
    <row r="225" spans="1:30" hidden="1">
      <c r="A225" s="1">
        <v>45468</v>
      </c>
      <c r="B225" t="s">
        <v>114</v>
      </c>
      <c r="C225" t="s">
        <v>75</v>
      </c>
      <c r="D225" t="s">
        <v>76</v>
      </c>
      <c r="E225" t="s">
        <v>91</v>
      </c>
      <c r="F225" t="s">
        <v>78</v>
      </c>
      <c r="G225" t="s">
        <v>79</v>
      </c>
      <c r="H225" t="s">
        <v>80</v>
      </c>
      <c r="I225" t="s">
        <v>81</v>
      </c>
      <c r="J225" t="s">
        <v>82</v>
      </c>
      <c r="K225" t="s">
        <v>76</v>
      </c>
      <c r="L225" t="s">
        <v>8</v>
      </c>
      <c r="M225" t="s">
        <v>83</v>
      </c>
      <c r="N225" t="s">
        <v>93</v>
      </c>
      <c r="O225" t="s">
        <v>85</v>
      </c>
      <c r="P225">
        <v>262816</v>
      </c>
      <c r="Q225" t="s">
        <v>5</v>
      </c>
      <c r="R225" t="s">
        <v>86</v>
      </c>
      <c r="S225" t="s">
        <v>87</v>
      </c>
      <c r="T225">
        <v>0</v>
      </c>
      <c r="U225">
        <v>0.25</v>
      </c>
      <c r="V225" s="2">
        <v>1.0416666666666666E-2</v>
      </c>
      <c r="W225">
        <v>0</v>
      </c>
      <c r="AA225" t="s">
        <v>88</v>
      </c>
      <c r="AB225" t="s">
        <v>100</v>
      </c>
      <c r="AC225" t="s">
        <v>179</v>
      </c>
      <c r="AD225" t="s">
        <v>90</v>
      </c>
    </row>
    <row r="226" spans="1:30" hidden="1">
      <c r="A226" s="1">
        <v>45468</v>
      </c>
      <c r="B226" t="s">
        <v>12</v>
      </c>
      <c r="C226" t="s">
        <v>75</v>
      </c>
      <c r="D226" t="s">
        <v>76</v>
      </c>
      <c r="E226" t="s">
        <v>91</v>
      </c>
      <c r="F226" t="s">
        <v>78</v>
      </c>
      <c r="G226" t="s">
        <v>79</v>
      </c>
      <c r="H226" t="s">
        <v>80</v>
      </c>
      <c r="I226" t="s">
        <v>81</v>
      </c>
      <c r="J226" t="s">
        <v>82</v>
      </c>
      <c r="K226" t="s">
        <v>76</v>
      </c>
      <c r="L226" t="s">
        <v>8</v>
      </c>
      <c r="M226" t="s">
        <v>83</v>
      </c>
      <c r="N226" t="s">
        <v>84</v>
      </c>
      <c r="O226" t="s">
        <v>85</v>
      </c>
      <c r="P226">
        <v>263608</v>
      </c>
      <c r="Q226" t="s">
        <v>5</v>
      </c>
      <c r="R226" t="s">
        <v>86</v>
      </c>
      <c r="S226" t="s">
        <v>87</v>
      </c>
      <c r="T226">
        <v>0</v>
      </c>
      <c r="U226">
        <v>0.25</v>
      </c>
      <c r="V226" s="2">
        <v>1.0416666666666666E-2</v>
      </c>
      <c r="W226">
        <v>0</v>
      </c>
      <c r="AA226" t="s">
        <v>88</v>
      </c>
      <c r="AB226" t="s">
        <v>100</v>
      </c>
      <c r="AC226" t="s">
        <v>84</v>
      </c>
      <c r="AD226" t="s">
        <v>90</v>
      </c>
    </row>
    <row r="227" spans="1:30" hidden="1">
      <c r="A227" s="1">
        <v>45468</v>
      </c>
      <c r="B227" t="s">
        <v>108</v>
      </c>
      <c r="C227" t="s">
        <v>75</v>
      </c>
      <c r="D227" t="s">
        <v>76</v>
      </c>
      <c r="E227" t="s">
        <v>91</v>
      </c>
      <c r="F227" t="s">
        <v>78</v>
      </c>
      <c r="G227" t="s">
        <v>79</v>
      </c>
      <c r="H227" t="s">
        <v>80</v>
      </c>
      <c r="I227" t="s">
        <v>81</v>
      </c>
      <c r="J227" t="s">
        <v>82</v>
      </c>
      <c r="K227" t="s">
        <v>76</v>
      </c>
      <c r="L227" t="s">
        <v>8</v>
      </c>
      <c r="M227" t="s">
        <v>83</v>
      </c>
      <c r="N227" t="s">
        <v>93</v>
      </c>
      <c r="O227" t="s">
        <v>85</v>
      </c>
      <c r="P227">
        <v>263365</v>
      </c>
      <c r="Q227" t="s">
        <v>5</v>
      </c>
      <c r="R227" t="s">
        <v>86</v>
      </c>
      <c r="S227" t="s">
        <v>87</v>
      </c>
      <c r="T227">
        <v>0</v>
      </c>
      <c r="U227">
        <v>4.75</v>
      </c>
      <c r="V227" s="2">
        <v>0.19791666666666666</v>
      </c>
      <c r="W227">
        <v>0</v>
      </c>
      <c r="AA227" t="s">
        <v>88</v>
      </c>
      <c r="AB227" t="s">
        <v>100</v>
      </c>
      <c r="AC227" t="s">
        <v>209</v>
      </c>
      <c r="AD227" t="s">
        <v>90</v>
      </c>
    </row>
    <row r="228" spans="1:30" hidden="1">
      <c r="A228" s="1">
        <v>45469</v>
      </c>
      <c r="B228" t="s">
        <v>14</v>
      </c>
      <c r="C228" t="s">
        <v>75</v>
      </c>
      <c r="D228" t="s">
        <v>76</v>
      </c>
      <c r="E228" t="s">
        <v>77</v>
      </c>
      <c r="F228" t="s">
        <v>78</v>
      </c>
      <c r="G228" t="s">
        <v>79</v>
      </c>
      <c r="H228" t="s">
        <v>80</v>
      </c>
      <c r="I228" t="s">
        <v>81</v>
      </c>
      <c r="J228" t="s">
        <v>82</v>
      </c>
      <c r="K228" t="s">
        <v>76</v>
      </c>
      <c r="L228" t="s">
        <v>8</v>
      </c>
      <c r="M228" t="s">
        <v>83</v>
      </c>
      <c r="N228" t="s">
        <v>84</v>
      </c>
      <c r="O228" t="s">
        <v>85</v>
      </c>
      <c r="P228">
        <v>263378</v>
      </c>
      <c r="Q228" t="s">
        <v>5</v>
      </c>
      <c r="R228" t="s">
        <v>86</v>
      </c>
      <c r="S228" t="s">
        <v>87</v>
      </c>
      <c r="T228">
        <v>0</v>
      </c>
      <c r="U228">
        <v>0.25</v>
      </c>
      <c r="V228" s="2">
        <v>1.0416666666666666E-2</v>
      </c>
      <c r="W228">
        <v>0</v>
      </c>
      <c r="AA228" t="s">
        <v>88</v>
      </c>
      <c r="AB228" t="s">
        <v>100</v>
      </c>
      <c r="AC228" t="s">
        <v>200</v>
      </c>
      <c r="AD228" t="s">
        <v>90</v>
      </c>
    </row>
    <row r="229" spans="1:30" hidden="1">
      <c r="A229" s="1">
        <v>45469</v>
      </c>
      <c r="B229" t="s">
        <v>114</v>
      </c>
      <c r="C229" t="s">
        <v>75</v>
      </c>
      <c r="D229" t="s">
        <v>76</v>
      </c>
      <c r="E229" t="s">
        <v>91</v>
      </c>
      <c r="F229" t="s">
        <v>78</v>
      </c>
      <c r="G229" t="s">
        <v>79</v>
      </c>
      <c r="H229" t="s">
        <v>80</v>
      </c>
      <c r="I229" t="s">
        <v>81</v>
      </c>
      <c r="J229" t="s">
        <v>82</v>
      </c>
      <c r="K229" t="s">
        <v>76</v>
      </c>
      <c r="L229" t="s">
        <v>8</v>
      </c>
      <c r="M229" t="s">
        <v>83</v>
      </c>
      <c r="N229" t="s">
        <v>93</v>
      </c>
      <c r="O229" t="s">
        <v>85</v>
      </c>
      <c r="P229">
        <v>263625</v>
      </c>
      <c r="Q229" t="s">
        <v>5</v>
      </c>
      <c r="R229" t="s">
        <v>86</v>
      </c>
      <c r="S229" t="s">
        <v>87</v>
      </c>
      <c r="T229">
        <v>0</v>
      </c>
      <c r="U229">
        <v>0.25</v>
      </c>
      <c r="V229" s="2">
        <v>1.0416666666666666E-2</v>
      </c>
      <c r="W229">
        <v>0</v>
      </c>
      <c r="AA229" t="s">
        <v>88</v>
      </c>
      <c r="AB229" t="s">
        <v>100</v>
      </c>
      <c r="AC229" t="s">
        <v>179</v>
      </c>
      <c r="AD229" t="s">
        <v>90</v>
      </c>
    </row>
    <row r="230" spans="1:30" hidden="1">
      <c r="A230" s="1">
        <v>45469</v>
      </c>
      <c r="B230" t="s">
        <v>12</v>
      </c>
      <c r="C230" t="s">
        <v>75</v>
      </c>
      <c r="D230" t="s">
        <v>76</v>
      </c>
      <c r="E230" t="s">
        <v>91</v>
      </c>
      <c r="F230" t="s">
        <v>78</v>
      </c>
      <c r="G230" t="s">
        <v>79</v>
      </c>
      <c r="H230" t="s">
        <v>80</v>
      </c>
      <c r="I230" t="s">
        <v>81</v>
      </c>
      <c r="J230" t="s">
        <v>82</v>
      </c>
      <c r="K230" t="s">
        <v>76</v>
      </c>
      <c r="L230" t="s">
        <v>8</v>
      </c>
      <c r="M230" t="s">
        <v>83</v>
      </c>
      <c r="N230" t="s">
        <v>84</v>
      </c>
      <c r="O230" t="s">
        <v>85</v>
      </c>
      <c r="P230">
        <v>263609</v>
      </c>
      <c r="Q230" t="s">
        <v>5</v>
      </c>
      <c r="R230" t="s">
        <v>86</v>
      </c>
      <c r="S230" t="s">
        <v>87</v>
      </c>
      <c r="T230">
        <v>0</v>
      </c>
      <c r="U230">
        <v>0.25</v>
      </c>
      <c r="V230" s="2">
        <v>1.0416666666666666E-2</v>
      </c>
      <c r="W230">
        <v>0</v>
      </c>
      <c r="AA230" t="s">
        <v>88</v>
      </c>
      <c r="AB230" t="s">
        <v>100</v>
      </c>
      <c r="AC230" t="s">
        <v>84</v>
      </c>
      <c r="AD230" t="s">
        <v>90</v>
      </c>
    </row>
    <row r="231" spans="1:30" hidden="1">
      <c r="A231" s="1">
        <v>45469</v>
      </c>
      <c r="B231" t="s">
        <v>108</v>
      </c>
      <c r="C231" t="s">
        <v>75</v>
      </c>
      <c r="D231" t="s">
        <v>76</v>
      </c>
      <c r="E231" t="s">
        <v>91</v>
      </c>
      <c r="F231" t="s">
        <v>78</v>
      </c>
      <c r="G231" t="s">
        <v>79</v>
      </c>
      <c r="H231" t="s">
        <v>80</v>
      </c>
      <c r="I231" t="s">
        <v>81</v>
      </c>
      <c r="J231" t="s">
        <v>82</v>
      </c>
      <c r="K231" t="s">
        <v>76</v>
      </c>
      <c r="L231" t="s">
        <v>8</v>
      </c>
      <c r="M231" t="s">
        <v>83</v>
      </c>
      <c r="N231" t="s">
        <v>93</v>
      </c>
      <c r="O231" t="s">
        <v>85</v>
      </c>
      <c r="P231">
        <v>263643</v>
      </c>
      <c r="Q231" t="s">
        <v>5</v>
      </c>
      <c r="R231" t="s">
        <v>86</v>
      </c>
      <c r="S231" t="s">
        <v>87</v>
      </c>
      <c r="T231">
        <v>0</v>
      </c>
      <c r="U231">
        <v>2.25</v>
      </c>
      <c r="V231" s="2">
        <v>9.375E-2</v>
      </c>
      <c r="W231">
        <v>0</v>
      </c>
      <c r="AA231" t="s">
        <v>88</v>
      </c>
      <c r="AB231" t="s">
        <v>100</v>
      </c>
      <c r="AC231" t="s">
        <v>84</v>
      </c>
      <c r="AD231" t="s">
        <v>90</v>
      </c>
    </row>
    <row r="232" spans="1:30" hidden="1">
      <c r="A232" s="1">
        <v>45470</v>
      </c>
      <c r="B232" t="s">
        <v>10</v>
      </c>
      <c r="C232" t="s">
        <v>92</v>
      </c>
      <c r="D232" t="s">
        <v>76</v>
      </c>
      <c r="E232" t="s">
        <v>91</v>
      </c>
      <c r="F232" t="s">
        <v>78</v>
      </c>
      <c r="G232" t="s">
        <v>79</v>
      </c>
      <c r="H232" t="s">
        <v>80</v>
      </c>
      <c r="I232" t="s">
        <v>81</v>
      </c>
      <c r="J232" t="s">
        <v>82</v>
      </c>
      <c r="K232" t="s">
        <v>76</v>
      </c>
      <c r="L232" t="s">
        <v>8</v>
      </c>
      <c r="M232" t="s">
        <v>83</v>
      </c>
      <c r="N232" t="s">
        <v>93</v>
      </c>
      <c r="O232" t="s">
        <v>85</v>
      </c>
      <c r="P232">
        <v>264056</v>
      </c>
      <c r="Q232" t="s">
        <v>5</v>
      </c>
      <c r="R232" t="s">
        <v>86</v>
      </c>
      <c r="S232" t="s">
        <v>87</v>
      </c>
      <c r="T232">
        <v>0</v>
      </c>
      <c r="U232">
        <v>0.5</v>
      </c>
      <c r="V232" s="2">
        <v>2.0833333333333332E-2</v>
      </c>
      <c r="W232">
        <v>0</v>
      </c>
      <c r="AA232" t="s">
        <v>88</v>
      </c>
      <c r="AB232" t="s">
        <v>100</v>
      </c>
      <c r="AC232" t="s">
        <v>210</v>
      </c>
      <c r="AD232" t="s">
        <v>90</v>
      </c>
    </row>
    <row r="233" spans="1:30" hidden="1">
      <c r="A233" s="1">
        <v>45470</v>
      </c>
      <c r="B233" t="s">
        <v>14</v>
      </c>
      <c r="C233" t="s">
        <v>75</v>
      </c>
      <c r="D233" t="s">
        <v>76</v>
      </c>
      <c r="E233" t="s">
        <v>77</v>
      </c>
      <c r="F233" t="s">
        <v>78</v>
      </c>
      <c r="G233" t="s">
        <v>79</v>
      </c>
      <c r="H233" t="s">
        <v>80</v>
      </c>
      <c r="I233" t="s">
        <v>81</v>
      </c>
      <c r="J233" t="s">
        <v>82</v>
      </c>
      <c r="K233" t="s">
        <v>76</v>
      </c>
      <c r="L233" t="s">
        <v>8</v>
      </c>
      <c r="M233" t="s">
        <v>83</v>
      </c>
      <c r="N233" t="s">
        <v>84</v>
      </c>
      <c r="O233" t="s">
        <v>85</v>
      </c>
      <c r="P233">
        <v>263933</v>
      </c>
      <c r="Q233" t="s">
        <v>5</v>
      </c>
      <c r="R233" t="s">
        <v>86</v>
      </c>
      <c r="S233" t="s">
        <v>87</v>
      </c>
      <c r="T233">
        <v>0</v>
      </c>
      <c r="U233">
        <v>0.25</v>
      </c>
      <c r="V233" s="2">
        <v>1.0416666666666666E-2</v>
      </c>
      <c r="W233">
        <v>0</v>
      </c>
      <c r="AA233" t="s">
        <v>88</v>
      </c>
      <c r="AB233" t="s">
        <v>100</v>
      </c>
      <c r="AC233" t="s">
        <v>166</v>
      </c>
      <c r="AD233" t="s">
        <v>90</v>
      </c>
    </row>
    <row r="234" spans="1:30" hidden="1">
      <c r="A234" s="1">
        <v>45470</v>
      </c>
      <c r="B234" t="s">
        <v>211</v>
      </c>
      <c r="C234" t="s">
        <v>75</v>
      </c>
      <c r="D234" t="s">
        <v>76</v>
      </c>
      <c r="E234" t="s">
        <v>91</v>
      </c>
      <c r="F234" t="s">
        <v>78</v>
      </c>
      <c r="G234" t="s">
        <v>79</v>
      </c>
      <c r="H234" t="s">
        <v>80</v>
      </c>
      <c r="I234" t="s">
        <v>81</v>
      </c>
      <c r="J234" t="s">
        <v>82</v>
      </c>
      <c r="K234" t="s">
        <v>76</v>
      </c>
      <c r="L234" t="s">
        <v>8</v>
      </c>
      <c r="M234" t="s">
        <v>83</v>
      </c>
      <c r="N234" t="s">
        <v>93</v>
      </c>
      <c r="O234" t="s">
        <v>85</v>
      </c>
      <c r="P234">
        <v>264888</v>
      </c>
      <c r="Q234" t="s">
        <v>5</v>
      </c>
      <c r="R234" t="s">
        <v>86</v>
      </c>
      <c r="S234" t="s">
        <v>87</v>
      </c>
      <c r="T234">
        <v>0</v>
      </c>
      <c r="U234">
        <v>0.5</v>
      </c>
      <c r="V234" s="2">
        <v>2.0833333333333332E-2</v>
      </c>
      <c r="W234">
        <v>0</v>
      </c>
      <c r="AA234" t="s">
        <v>88</v>
      </c>
      <c r="AB234" t="s">
        <v>100</v>
      </c>
      <c r="AC234" t="s">
        <v>84</v>
      </c>
      <c r="AD234" t="s">
        <v>90</v>
      </c>
    </row>
    <row r="235" spans="1:30" hidden="1">
      <c r="A235" s="1">
        <v>45470</v>
      </c>
      <c r="B235" t="s">
        <v>114</v>
      </c>
      <c r="C235" t="s">
        <v>75</v>
      </c>
      <c r="D235" t="s">
        <v>76</v>
      </c>
      <c r="E235" t="s">
        <v>91</v>
      </c>
      <c r="F235" t="s">
        <v>78</v>
      </c>
      <c r="G235" t="s">
        <v>79</v>
      </c>
      <c r="H235" t="s">
        <v>80</v>
      </c>
      <c r="I235" t="s">
        <v>81</v>
      </c>
      <c r="J235" t="s">
        <v>82</v>
      </c>
      <c r="K235" t="s">
        <v>76</v>
      </c>
      <c r="L235" t="s">
        <v>8</v>
      </c>
      <c r="M235" t="s">
        <v>83</v>
      </c>
      <c r="N235" t="s">
        <v>93</v>
      </c>
      <c r="O235" t="s">
        <v>85</v>
      </c>
      <c r="P235">
        <v>264219</v>
      </c>
      <c r="Q235" t="s">
        <v>5</v>
      </c>
      <c r="R235" t="s">
        <v>86</v>
      </c>
      <c r="S235" t="s">
        <v>87</v>
      </c>
      <c r="T235">
        <v>0</v>
      </c>
      <c r="U235">
        <v>0.25</v>
      </c>
      <c r="V235" s="2">
        <v>1.0416666666666666E-2</v>
      </c>
      <c r="W235">
        <v>0</v>
      </c>
      <c r="AA235" t="s">
        <v>88</v>
      </c>
      <c r="AB235" t="s">
        <v>100</v>
      </c>
      <c r="AC235" t="s">
        <v>179</v>
      </c>
      <c r="AD235" t="s">
        <v>90</v>
      </c>
    </row>
    <row r="236" spans="1:30" hidden="1">
      <c r="A236" s="1">
        <v>45470</v>
      </c>
      <c r="B236" t="s">
        <v>12</v>
      </c>
      <c r="C236" t="s">
        <v>75</v>
      </c>
      <c r="D236" t="s">
        <v>76</v>
      </c>
      <c r="E236" t="s">
        <v>91</v>
      </c>
      <c r="F236" t="s">
        <v>78</v>
      </c>
      <c r="G236" t="s">
        <v>79</v>
      </c>
      <c r="H236" t="s">
        <v>80</v>
      </c>
      <c r="I236" t="s">
        <v>81</v>
      </c>
      <c r="J236" t="s">
        <v>82</v>
      </c>
      <c r="K236" t="s">
        <v>76</v>
      </c>
      <c r="L236" t="s">
        <v>8</v>
      </c>
      <c r="M236" t="s">
        <v>83</v>
      </c>
      <c r="N236" t="s">
        <v>84</v>
      </c>
      <c r="O236" t="s">
        <v>85</v>
      </c>
      <c r="P236">
        <v>264829</v>
      </c>
      <c r="Q236" t="s">
        <v>5</v>
      </c>
      <c r="R236" t="s">
        <v>86</v>
      </c>
      <c r="S236" t="s">
        <v>87</v>
      </c>
      <c r="T236">
        <v>0</v>
      </c>
      <c r="U236">
        <v>0.25</v>
      </c>
      <c r="V236" s="2">
        <v>1.0416666666666666E-2</v>
      </c>
      <c r="W236">
        <v>0</v>
      </c>
      <c r="AA236" t="s">
        <v>88</v>
      </c>
      <c r="AB236" t="s">
        <v>100</v>
      </c>
      <c r="AC236" t="s">
        <v>84</v>
      </c>
      <c r="AD236" t="s">
        <v>90</v>
      </c>
    </row>
    <row r="237" spans="1:30" hidden="1">
      <c r="A237" s="1">
        <v>45470</v>
      </c>
      <c r="B237" t="s">
        <v>108</v>
      </c>
      <c r="C237" t="s">
        <v>75</v>
      </c>
      <c r="D237" t="s">
        <v>76</v>
      </c>
      <c r="E237" t="s">
        <v>91</v>
      </c>
      <c r="F237" t="s">
        <v>78</v>
      </c>
      <c r="G237" t="s">
        <v>79</v>
      </c>
      <c r="H237" t="s">
        <v>80</v>
      </c>
      <c r="I237" t="s">
        <v>81</v>
      </c>
      <c r="J237" t="s">
        <v>82</v>
      </c>
      <c r="K237" t="s">
        <v>76</v>
      </c>
      <c r="L237" t="s">
        <v>8</v>
      </c>
      <c r="M237" t="s">
        <v>83</v>
      </c>
      <c r="N237" t="s">
        <v>93</v>
      </c>
      <c r="O237" t="s">
        <v>85</v>
      </c>
      <c r="P237">
        <v>264349</v>
      </c>
      <c r="Q237" t="s">
        <v>5</v>
      </c>
      <c r="R237" t="s">
        <v>86</v>
      </c>
      <c r="S237" t="s">
        <v>87</v>
      </c>
      <c r="T237">
        <v>0</v>
      </c>
      <c r="U237">
        <v>0.25</v>
      </c>
      <c r="V237" s="2">
        <v>1.0416666666666666E-2</v>
      </c>
      <c r="W237">
        <v>0</v>
      </c>
      <c r="AA237" t="s">
        <v>88</v>
      </c>
      <c r="AB237" t="s">
        <v>100</v>
      </c>
      <c r="AC237" t="s">
        <v>84</v>
      </c>
      <c r="AD237" t="s">
        <v>90</v>
      </c>
    </row>
    <row r="238" spans="1:30" hidden="1">
      <c r="A238" s="1">
        <v>45471</v>
      </c>
      <c r="B238" t="s">
        <v>14</v>
      </c>
      <c r="C238" t="s">
        <v>75</v>
      </c>
      <c r="D238" t="s">
        <v>76</v>
      </c>
      <c r="E238" t="s">
        <v>77</v>
      </c>
      <c r="F238" t="s">
        <v>78</v>
      </c>
      <c r="G238" t="s">
        <v>79</v>
      </c>
      <c r="H238" t="s">
        <v>80</v>
      </c>
      <c r="I238" t="s">
        <v>81</v>
      </c>
      <c r="J238" t="s">
        <v>82</v>
      </c>
      <c r="K238" t="s">
        <v>76</v>
      </c>
      <c r="L238" t="s">
        <v>8</v>
      </c>
      <c r="M238" t="s">
        <v>83</v>
      </c>
      <c r="N238" t="s">
        <v>84</v>
      </c>
      <c r="O238" t="s">
        <v>85</v>
      </c>
      <c r="P238">
        <v>264673</v>
      </c>
      <c r="Q238" t="s">
        <v>5</v>
      </c>
      <c r="R238" t="s">
        <v>86</v>
      </c>
      <c r="S238" t="s">
        <v>87</v>
      </c>
      <c r="T238">
        <v>0</v>
      </c>
      <c r="U238">
        <v>0.25</v>
      </c>
      <c r="V238" s="2">
        <v>1.0416666666666666E-2</v>
      </c>
      <c r="W238">
        <v>0</v>
      </c>
      <c r="AA238" t="s">
        <v>88</v>
      </c>
      <c r="AB238" t="s">
        <v>100</v>
      </c>
      <c r="AC238" t="s">
        <v>212</v>
      </c>
      <c r="AD238" t="s">
        <v>90</v>
      </c>
    </row>
    <row r="239" spans="1:30" hidden="1">
      <c r="A239" s="1">
        <v>45471</v>
      </c>
      <c r="B239" t="s">
        <v>211</v>
      </c>
      <c r="C239" t="s">
        <v>75</v>
      </c>
      <c r="D239" t="s">
        <v>76</v>
      </c>
      <c r="E239" t="s">
        <v>91</v>
      </c>
      <c r="F239" t="s">
        <v>78</v>
      </c>
      <c r="G239" t="s">
        <v>79</v>
      </c>
      <c r="H239" t="s">
        <v>80</v>
      </c>
      <c r="I239" t="s">
        <v>81</v>
      </c>
      <c r="J239" t="s">
        <v>82</v>
      </c>
      <c r="K239" t="s">
        <v>76</v>
      </c>
      <c r="L239" t="s">
        <v>8</v>
      </c>
      <c r="M239" t="s">
        <v>83</v>
      </c>
      <c r="N239" t="s">
        <v>93</v>
      </c>
      <c r="O239" t="s">
        <v>85</v>
      </c>
      <c r="P239">
        <v>264887</v>
      </c>
      <c r="Q239" t="s">
        <v>5</v>
      </c>
      <c r="R239" t="s">
        <v>86</v>
      </c>
      <c r="S239" t="s">
        <v>87</v>
      </c>
      <c r="T239">
        <v>0</v>
      </c>
      <c r="U239">
        <v>0.5</v>
      </c>
      <c r="V239" s="2">
        <v>2.0833333333333332E-2</v>
      </c>
      <c r="W239">
        <v>0</v>
      </c>
      <c r="AA239" t="s">
        <v>88</v>
      </c>
      <c r="AB239" t="s">
        <v>100</v>
      </c>
      <c r="AC239" t="s">
        <v>84</v>
      </c>
      <c r="AD239" t="s">
        <v>90</v>
      </c>
    </row>
    <row r="240" spans="1:30" hidden="1">
      <c r="A240" s="1">
        <v>45471</v>
      </c>
      <c r="B240" t="s">
        <v>114</v>
      </c>
      <c r="C240" t="s">
        <v>75</v>
      </c>
      <c r="D240" t="s">
        <v>76</v>
      </c>
      <c r="E240" t="s">
        <v>91</v>
      </c>
      <c r="F240" t="s">
        <v>78</v>
      </c>
      <c r="G240" t="s">
        <v>79</v>
      </c>
      <c r="H240" t="s">
        <v>80</v>
      </c>
      <c r="I240" t="s">
        <v>81</v>
      </c>
      <c r="J240" t="s">
        <v>82</v>
      </c>
      <c r="K240" t="s">
        <v>76</v>
      </c>
      <c r="L240" t="s">
        <v>8</v>
      </c>
      <c r="M240" t="s">
        <v>83</v>
      </c>
      <c r="N240" t="s">
        <v>93</v>
      </c>
      <c r="O240" t="s">
        <v>85</v>
      </c>
      <c r="P240">
        <v>265160</v>
      </c>
      <c r="Q240" t="s">
        <v>5</v>
      </c>
      <c r="R240" t="s">
        <v>86</v>
      </c>
      <c r="S240" t="s">
        <v>87</v>
      </c>
      <c r="T240">
        <v>0</v>
      </c>
      <c r="U240">
        <v>0.25</v>
      </c>
      <c r="V240" s="2">
        <v>1.0416666666666666E-2</v>
      </c>
      <c r="W240">
        <v>0</v>
      </c>
      <c r="AA240" t="s">
        <v>88</v>
      </c>
      <c r="AB240" t="s">
        <v>100</v>
      </c>
      <c r="AC240" t="s">
        <v>213</v>
      </c>
      <c r="AD240" t="s">
        <v>90</v>
      </c>
    </row>
    <row r="241" spans="1:30" hidden="1">
      <c r="A241" s="1">
        <v>45471</v>
      </c>
      <c r="B241" t="s">
        <v>12</v>
      </c>
      <c r="C241" t="s">
        <v>75</v>
      </c>
      <c r="D241" t="s">
        <v>76</v>
      </c>
      <c r="E241" t="s">
        <v>91</v>
      </c>
      <c r="F241" t="s">
        <v>78</v>
      </c>
      <c r="G241" t="s">
        <v>79</v>
      </c>
      <c r="H241" t="s">
        <v>80</v>
      </c>
      <c r="I241" t="s">
        <v>81</v>
      </c>
      <c r="J241" t="s">
        <v>82</v>
      </c>
      <c r="K241" t="s">
        <v>76</v>
      </c>
      <c r="L241" t="s">
        <v>8</v>
      </c>
      <c r="M241" t="s">
        <v>83</v>
      </c>
      <c r="N241" t="s">
        <v>84</v>
      </c>
      <c r="O241" t="s">
        <v>85</v>
      </c>
      <c r="P241">
        <v>265186</v>
      </c>
      <c r="Q241" t="s">
        <v>5</v>
      </c>
      <c r="R241" t="s">
        <v>86</v>
      </c>
      <c r="S241" t="s">
        <v>87</v>
      </c>
      <c r="T241">
        <v>0</v>
      </c>
      <c r="U241">
        <v>0.25</v>
      </c>
      <c r="V241" s="2">
        <v>1.0416666666666666E-2</v>
      </c>
      <c r="W241">
        <v>0</v>
      </c>
      <c r="AA241" t="s">
        <v>88</v>
      </c>
      <c r="AB241" t="s">
        <v>100</v>
      </c>
      <c r="AC241" t="s">
        <v>84</v>
      </c>
      <c r="AD241" t="s">
        <v>90</v>
      </c>
    </row>
    <row r="242" spans="1:30" hidden="1">
      <c r="A242" s="1">
        <v>45471</v>
      </c>
      <c r="B242" t="s">
        <v>8</v>
      </c>
      <c r="C242" t="s">
        <v>75</v>
      </c>
      <c r="D242" t="s">
        <v>76</v>
      </c>
      <c r="E242" t="s">
        <v>77</v>
      </c>
      <c r="F242" t="s">
        <v>78</v>
      </c>
      <c r="G242" t="s">
        <v>79</v>
      </c>
      <c r="H242" t="s">
        <v>80</v>
      </c>
      <c r="I242" t="s">
        <v>81</v>
      </c>
      <c r="J242" t="s">
        <v>82</v>
      </c>
      <c r="K242" t="s">
        <v>76</v>
      </c>
      <c r="L242" t="s">
        <v>8</v>
      </c>
      <c r="M242" t="s">
        <v>83</v>
      </c>
      <c r="N242" t="s">
        <v>84</v>
      </c>
      <c r="O242" t="s">
        <v>85</v>
      </c>
      <c r="P242">
        <v>265120</v>
      </c>
      <c r="Q242" t="s">
        <v>5</v>
      </c>
      <c r="R242" t="s">
        <v>86</v>
      </c>
      <c r="S242" t="s">
        <v>87</v>
      </c>
      <c r="T242">
        <v>0</v>
      </c>
      <c r="U242">
        <v>0.25</v>
      </c>
      <c r="V242" s="2">
        <v>1.0416666666666666E-2</v>
      </c>
      <c r="W242">
        <v>0</v>
      </c>
      <c r="AA242" t="s">
        <v>88</v>
      </c>
      <c r="AB242" t="s">
        <v>100</v>
      </c>
      <c r="AC242" t="s">
        <v>84</v>
      </c>
      <c r="AD242" t="s">
        <v>90</v>
      </c>
    </row>
    <row r="243" spans="1:30" hidden="1">
      <c r="A243" s="1">
        <v>45471</v>
      </c>
      <c r="B243" t="s">
        <v>108</v>
      </c>
      <c r="C243" t="s">
        <v>75</v>
      </c>
      <c r="D243" t="s">
        <v>76</v>
      </c>
      <c r="E243" t="s">
        <v>91</v>
      </c>
      <c r="F243" t="s">
        <v>78</v>
      </c>
      <c r="G243" t="s">
        <v>79</v>
      </c>
      <c r="H243" t="s">
        <v>80</v>
      </c>
      <c r="I243" t="s">
        <v>81</v>
      </c>
      <c r="J243" t="s">
        <v>82</v>
      </c>
      <c r="K243" t="s">
        <v>76</v>
      </c>
      <c r="L243" t="s">
        <v>8</v>
      </c>
      <c r="M243" t="s">
        <v>83</v>
      </c>
      <c r="N243" t="s">
        <v>93</v>
      </c>
      <c r="O243" t="s">
        <v>85</v>
      </c>
      <c r="P243">
        <v>265399</v>
      </c>
      <c r="Q243" t="s">
        <v>5</v>
      </c>
      <c r="R243" t="s">
        <v>86</v>
      </c>
      <c r="S243" t="s">
        <v>87</v>
      </c>
      <c r="T243">
        <v>0</v>
      </c>
      <c r="U243">
        <v>0.75</v>
      </c>
      <c r="V243" s="2">
        <v>3.125E-2</v>
      </c>
      <c r="W243">
        <v>0</v>
      </c>
      <c r="AA243" t="s">
        <v>88</v>
      </c>
      <c r="AB243" t="s">
        <v>100</v>
      </c>
      <c r="AC243" t="s">
        <v>214</v>
      </c>
      <c r="AD243" t="s">
        <v>90</v>
      </c>
    </row>
    <row r="244" spans="1:30" hidden="1">
      <c r="A244" s="1">
        <v>45474</v>
      </c>
      <c r="B244" t="s">
        <v>14</v>
      </c>
      <c r="C244" t="s">
        <v>75</v>
      </c>
      <c r="D244" t="s">
        <v>76</v>
      </c>
      <c r="E244" t="s">
        <v>77</v>
      </c>
      <c r="F244" t="s">
        <v>78</v>
      </c>
      <c r="G244" t="s">
        <v>79</v>
      </c>
      <c r="H244" t="s">
        <v>80</v>
      </c>
      <c r="I244" t="s">
        <v>81</v>
      </c>
      <c r="J244" t="s">
        <v>82</v>
      </c>
      <c r="K244" t="s">
        <v>76</v>
      </c>
      <c r="L244" t="s">
        <v>8</v>
      </c>
      <c r="M244" t="s">
        <v>83</v>
      </c>
      <c r="N244" t="s">
        <v>84</v>
      </c>
      <c r="O244" t="s">
        <v>85</v>
      </c>
      <c r="P244">
        <v>266043</v>
      </c>
      <c r="Q244" t="s">
        <v>5</v>
      </c>
      <c r="R244" t="s">
        <v>86</v>
      </c>
      <c r="S244" t="s">
        <v>87</v>
      </c>
      <c r="T244">
        <v>0</v>
      </c>
      <c r="U244">
        <v>0.5</v>
      </c>
      <c r="V244" s="2">
        <v>2.0833333333333332E-2</v>
      </c>
      <c r="W244">
        <v>0</v>
      </c>
      <c r="AA244" t="s">
        <v>88</v>
      </c>
      <c r="AB244" t="s">
        <v>100</v>
      </c>
      <c r="AC244" t="s">
        <v>215</v>
      </c>
      <c r="AD244" t="s">
        <v>90</v>
      </c>
    </row>
    <row r="245" spans="1:30" hidden="1">
      <c r="A245" s="1">
        <v>45474</v>
      </c>
      <c r="B245" t="s">
        <v>211</v>
      </c>
      <c r="C245" t="s">
        <v>75</v>
      </c>
      <c r="D245" t="s">
        <v>76</v>
      </c>
      <c r="E245" t="s">
        <v>91</v>
      </c>
      <c r="F245" t="s">
        <v>78</v>
      </c>
      <c r="G245" t="s">
        <v>79</v>
      </c>
      <c r="H245" t="s">
        <v>80</v>
      </c>
      <c r="I245" t="s">
        <v>81</v>
      </c>
      <c r="J245" t="s">
        <v>82</v>
      </c>
      <c r="K245" t="s">
        <v>76</v>
      </c>
      <c r="L245" t="s">
        <v>8</v>
      </c>
      <c r="M245" t="s">
        <v>83</v>
      </c>
      <c r="N245" t="s">
        <v>93</v>
      </c>
      <c r="O245" t="s">
        <v>85</v>
      </c>
      <c r="P245">
        <v>265807</v>
      </c>
      <c r="Q245" t="s">
        <v>5</v>
      </c>
      <c r="R245" t="s">
        <v>86</v>
      </c>
      <c r="S245" t="s">
        <v>87</v>
      </c>
      <c r="T245">
        <v>0</v>
      </c>
      <c r="U245">
        <v>0.25</v>
      </c>
      <c r="V245" s="2">
        <v>1.0416666666666666E-2</v>
      </c>
      <c r="W245">
        <v>0</v>
      </c>
      <c r="AA245" t="s">
        <v>88</v>
      </c>
      <c r="AB245" t="s">
        <v>100</v>
      </c>
      <c r="AC245" t="s">
        <v>84</v>
      </c>
      <c r="AD245" t="s">
        <v>90</v>
      </c>
    </row>
    <row r="246" spans="1:30" hidden="1">
      <c r="A246" s="1">
        <v>45474</v>
      </c>
      <c r="B246" t="s">
        <v>114</v>
      </c>
      <c r="C246" t="s">
        <v>75</v>
      </c>
      <c r="D246" t="s">
        <v>76</v>
      </c>
      <c r="E246" t="s">
        <v>91</v>
      </c>
      <c r="F246" t="s">
        <v>78</v>
      </c>
      <c r="G246" t="s">
        <v>79</v>
      </c>
      <c r="H246" t="s">
        <v>80</v>
      </c>
      <c r="I246" t="s">
        <v>81</v>
      </c>
      <c r="J246" t="s">
        <v>82</v>
      </c>
      <c r="K246" t="s">
        <v>76</v>
      </c>
      <c r="L246" t="s">
        <v>8</v>
      </c>
      <c r="M246" t="s">
        <v>83</v>
      </c>
      <c r="N246" t="s">
        <v>93</v>
      </c>
      <c r="O246" t="s">
        <v>85</v>
      </c>
      <c r="P246">
        <v>270933</v>
      </c>
      <c r="Q246" t="s">
        <v>5</v>
      </c>
      <c r="R246" t="s">
        <v>86</v>
      </c>
      <c r="S246" t="s">
        <v>87</v>
      </c>
      <c r="T246">
        <v>0</v>
      </c>
      <c r="U246">
        <v>0.25</v>
      </c>
      <c r="V246" s="2">
        <v>1.0416666666666666E-2</v>
      </c>
      <c r="W246">
        <v>0</v>
      </c>
      <c r="AA246" t="s">
        <v>88</v>
      </c>
      <c r="AB246" t="s">
        <v>100</v>
      </c>
      <c r="AC246" t="s">
        <v>179</v>
      </c>
      <c r="AD246" t="s">
        <v>90</v>
      </c>
    </row>
    <row r="247" spans="1:30" hidden="1">
      <c r="A247" s="1">
        <v>45474</v>
      </c>
      <c r="B247" t="s">
        <v>108</v>
      </c>
      <c r="C247" t="s">
        <v>75</v>
      </c>
      <c r="D247" t="s">
        <v>76</v>
      </c>
      <c r="E247" t="s">
        <v>91</v>
      </c>
      <c r="F247" t="s">
        <v>78</v>
      </c>
      <c r="G247" t="s">
        <v>79</v>
      </c>
      <c r="H247" t="s">
        <v>80</v>
      </c>
      <c r="I247" t="s">
        <v>81</v>
      </c>
      <c r="J247" t="s">
        <v>82</v>
      </c>
      <c r="K247" t="s">
        <v>76</v>
      </c>
      <c r="L247" t="s">
        <v>8</v>
      </c>
      <c r="M247" t="s">
        <v>83</v>
      </c>
      <c r="N247" t="s">
        <v>93</v>
      </c>
      <c r="O247" t="s">
        <v>85</v>
      </c>
      <c r="P247">
        <v>265917</v>
      </c>
      <c r="Q247" t="s">
        <v>5</v>
      </c>
      <c r="R247" t="s">
        <v>86</v>
      </c>
      <c r="S247" t="s">
        <v>87</v>
      </c>
      <c r="T247">
        <v>0</v>
      </c>
      <c r="U247">
        <v>5.25</v>
      </c>
      <c r="V247" s="2">
        <v>0.21875</v>
      </c>
      <c r="W247">
        <v>0</v>
      </c>
      <c r="AA247" t="s">
        <v>88</v>
      </c>
      <c r="AB247" t="s">
        <v>100</v>
      </c>
      <c r="AC247" t="s">
        <v>216</v>
      </c>
      <c r="AD247" t="s">
        <v>90</v>
      </c>
    </row>
    <row r="248" spans="1:30" hidden="1">
      <c r="A248" s="1">
        <v>45475</v>
      </c>
      <c r="B248" t="s">
        <v>10</v>
      </c>
      <c r="C248" t="s">
        <v>92</v>
      </c>
      <c r="D248" t="s">
        <v>76</v>
      </c>
      <c r="E248" t="s">
        <v>91</v>
      </c>
      <c r="F248" t="s">
        <v>78</v>
      </c>
      <c r="G248" t="s">
        <v>79</v>
      </c>
      <c r="H248" t="s">
        <v>80</v>
      </c>
      <c r="I248" t="s">
        <v>81</v>
      </c>
      <c r="J248" t="s">
        <v>82</v>
      </c>
      <c r="K248" t="s">
        <v>76</v>
      </c>
      <c r="L248" t="s">
        <v>8</v>
      </c>
      <c r="M248" t="s">
        <v>83</v>
      </c>
      <c r="N248" t="s">
        <v>93</v>
      </c>
      <c r="O248" t="s">
        <v>85</v>
      </c>
      <c r="P248">
        <v>266355</v>
      </c>
      <c r="Q248" t="s">
        <v>4</v>
      </c>
      <c r="R248" t="s">
        <v>94</v>
      </c>
      <c r="S248" t="s">
        <v>87</v>
      </c>
      <c r="T248">
        <v>90</v>
      </c>
      <c r="U248">
        <v>5</v>
      </c>
      <c r="V248" s="2">
        <v>0.20833333333333334</v>
      </c>
      <c r="W248">
        <v>450</v>
      </c>
      <c r="X248">
        <v>600</v>
      </c>
      <c r="Y248">
        <v>150</v>
      </c>
      <c r="Z248" t="s">
        <v>217</v>
      </c>
      <c r="AA248" t="s">
        <v>88</v>
      </c>
      <c r="AB248" t="s">
        <v>100</v>
      </c>
      <c r="AC248" t="s">
        <v>218</v>
      </c>
      <c r="AD248" t="s">
        <v>90</v>
      </c>
    </row>
    <row r="249" spans="1:30" hidden="1">
      <c r="A249" s="1">
        <v>45475</v>
      </c>
      <c r="B249" t="s">
        <v>14</v>
      </c>
      <c r="C249" t="s">
        <v>75</v>
      </c>
      <c r="D249" t="s">
        <v>76</v>
      </c>
      <c r="E249" t="s">
        <v>77</v>
      </c>
      <c r="F249" t="s">
        <v>78</v>
      </c>
      <c r="G249" t="s">
        <v>79</v>
      </c>
      <c r="H249" t="s">
        <v>80</v>
      </c>
      <c r="I249" t="s">
        <v>81</v>
      </c>
      <c r="J249" t="s">
        <v>82</v>
      </c>
      <c r="K249" t="s">
        <v>76</v>
      </c>
      <c r="L249" t="s">
        <v>8</v>
      </c>
      <c r="M249" t="s">
        <v>83</v>
      </c>
      <c r="N249" t="s">
        <v>84</v>
      </c>
      <c r="O249" t="s">
        <v>85</v>
      </c>
      <c r="P249">
        <v>266440</v>
      </c>
      <c r="Q249" t="s">
        <v>5</v>
      </c>
      <c r="R249" t="s">
        <v>86</v>
      </c>
      <c r="S249" t="s">
        <v>87</v>
      </c>
      <c r="T249">
        <v>0</v>
      </c>
      <c r="U249">
        <v>0.25</v>
      </c>
      <c r="V249" s="2">
        <v>1.0416666666666666E-2</v>
      </c>
      <c r="W249">
        <v>0</v>
      </c>
      <c r="AA249" t="s">
        <v>88</v>
      </c>
      <c r="AB249" t="s">
        <v>100</v>
      </c>
      <c r="AC249" t="s">
        <v>166</v>
      </c>
      <c r="AD249" t="s">
        <v>90</v>
      </c>
    </row>
    <row r="250" spans="1:30" hidden="1">
      <c r="A250" s="1">
        <v>45475</v>
      </c>
      <c r="B250" t="s">
        <v>211</v>
      </c>
      <c r="C250" t="s">
        <v>75</v>
      </c>
      <c r="D250" t="s">
        <v>76</v>
      </c>
      <c r="E250" t="s">
        <v>91</v>
      </c>
      <c r="F250" t="s">
        <v>78</v>
      </c>
      <c r="G250" t="s">
        <v>79</v>
      </c>
      <c r="H250" t="s">
        <v>80</v>
      </c>
      <c r="I250" t="s">
        <v>81</v>
      </c>
      <c r="J250" t="s">
        <v>82</v>
      </c>
      <c r="K250" t="s">
        <v>76</v>
      </c>
      <c r="L250" t="s">
        <v>8</v>
      </c>
      <c r="M250" t="s">
        <v>83</v>
      </c>
      <c r="N250" t="s">
        <v>93</v>
      </c>
      <c r="O250" t="s">
        <v>85</v>
      </c>
      <c r="P250">
        <v>266728</v>
      </c>
      <c r="Q250" t="s">
        <v>5</v>
      </c>
      <c r="R250" t="s">
        <v>86</v>
      </c>
      <c r="S250" t="s">
        <v>87</v>
      </c>
      <c r="T250">
        <v>0</v>
      </c>
      <c r="U250">
        <v>0.25</v>
      </c>
      <c r="V250" s="2">
        <v>1.0416666666666666E-2</v>
      </c>
      <c r="W250">
        <v>0</v>
      </c>
      <c r="AA250" t="s">
        <v>88</v>
      </c>
      <c r="AB250" t="s">
        <v>100</v>
      </c>
      <c r="AC250" t="s">
        <v>84</v>
      </c>
      <c r="AD250" t="s">
        <v>90</v>
      </c>
    </row>
    <row r="251" spans="1:30" hidden="1">
      <c r="A251" s="1">
        <v>45475</v>
      </c>
      <c r="B251" t="s">
        <v>114</v>
      </c>
      <c r="C251" t="s">
        <v>75</v>
      </c>
      <c r="D251" t="s">
        <v>76</v>
      </c>
      <c r="E251" t="s">
        <v>91</v>
      </c>
      <c r="F251" t="s">
        <v>78</v>
      </c>
      <c r="G251" t="s">
        <v>79</v>
      </c>
      <c r="H251" t="s">
        <v>80</v>
      </c>
      <c r="I251" t="s">
        <v>81</v>
      </c>
      <c r="J251" t="s">
        <v>82</v>
      </c>
      <c r="K251" t="s">
        <v>76</v>
      </c>
      <c r="L251" t="s">
        <v>8</v>
      </c>
      <c r="M251" t="s">
        <v>83</v>
      </c>
      <c r="N251" t="s">
        <v>93</v>
      </c>
      <c r="O251" t="s">
        <v>85</v>
      </c>
      <c r="P251">
        <v>270934</v>
      </c>
      <c r="Q251" t="s">
        <v>5</v>
      </c>
      <c r="R251" t="s">
        <v>86</v>
      </c>
      <c r="S251" t="s">
        <v>87</v>
      </c>
      <c r="T251">
        <v>0</v>
      </c>
      <c r="U251">
        <v>0.25</v>
      </c>
      <c r="V251" s="2">
        <v>1.0416666666666666E-2</v>
      </c>
      <c r="W251">
        <v>0</v>
      </c>
      <c r="AA251" t="s">
        <v>88</v>
      </c>
      <c r="AB251" t="s">
        <v>100</v>
      </c>
      <c r="AC251" t="s">
        <v>179</v>
      </c>
      <c r="AD251" t="s">
        <v>90</v>
      </c>
    </row>
    <row r="252" spans="1:30" hidden="1">
      <c r="A252" s="1">
        <v>45475</v>
      </c>
      <c r="B252" t="s">
        <v>12</v>
      </c>
      <c r="C252" t="s">
        <v>75</v>
      </c>
      <c r="D252" t="s">
        <v>76</v>
      </c>
      <c r="E252" t="s">
        <v>91</v>
      </c>
      <c r="F252" t="s">
        <v>78</v>
      </c>
      <c r="G252" t="s">
        <v>79</v>
      </c>
      <c r="H252" t="s">
        <v>80</v>
      </c>
      <c r="I252" t="s">
        <v>81</v>
      </c>
      <c r="J252" t="s">
        <v>82</v>
      </c>
      <c r="K252" t="s">
        <v>76</v>
      </c>
      <c r="L252" t="s">
        <v>8</v>
      </c>
      <c r="M252" t="s">
        <v>83</v>
      </c>
      <c r="N252" t="s">
        <v>84</v>
      </c>
      <c r="O252" t="s">
        <v>85</v>
      </c>
      <c r="P252">
        <v>266212</v>
      </c>
      <c r="Q252" t="s">
        <v>5</v>
      </c>
      <c r="R252" t="s">
        <v>86</v>
      </c>
      <c r="S252" t="s">
        <v>87</v>
      </c>
      <c r="T252">
        <v>0</v>
      </c>
      <c r="U252">
        <v>0.25</v>
      </c>
      <c r="V252" s="2">
        <v>1.0416666666666666E-2</v>
      </c>
      <c r="W252">
        <v>0</v>
      </c>
      <c r="AA252" t="s">
        <v>88</v>
      </c>
      <c r="AB252" t="s">
        <v>100</v>
      </c>
      <c r="AC252" t="s">
        <v>84</v>
      </c>
      <c r="AD252" t="s">
        <v>90</v>
      </c>
    </row>
    <row r="253" spans="1:30" hidden="1">
      <c r="A253" s="1">
        <v>45475</v>
      </c>
      <c r="B253" t="s">
        <v>8</v>
      </c>
      <c r="C253" t="s">
        <v>75</v>
      </c>
      <c r="D253" t="s">
        <v>76</v>
      </c>
      <c r="E253" t="s">
        <v>77</v>
      </c>
      <c r="F253" t="s">
        <v>78</v>
      </c>
      <c r="G253" t="s">
        <v>79</v>
      </c>
      <c r="H253" t="s">
        <v>80</v>
      </c>
      <c r="I253" t="s">
        <v>81</v>
      </c>
      <c r="J253" t="s">
        <v>82</v>
      </c>
      <c r="K253" t="s">
        <v>76</v>
      </c>
      <c r="L253" t="s">
        <v>8</v>
      </c>
      <c r="M253" t="s">
        <v>83</v>
      </c>
      <c r="N253" t="s">
        <v>84</v>
      </c>
      <c r="O253" t="s">
        <v>85</v>
      </c>
      <c r="P253">
        <v>266630</v>
      </c>
      <c r="Q253" t="s">
        <v>5</v>
      </c>
      <c r="R253" t="s">
        <v>86</v>
      </c>
      <c r="S253" t="s">
        <v>87</v>
      </c>
      <c r="T253">
        <v>0</v>
      </c>
      <c r="U253">
        <v>0.25</v>
      </c>
      <c r="V253" s="2">
        <v>1.0416666666666666E-2</v>
      </c>
      <c r="W253">
        <v>0</v>
      </c>
      <c r="AA253" t="s">
        <v>88</v>
      </c>
      <c r="AB253" t="s">
        <v>100</v>
      </c>
      <c r="AC253" t="s">
        <v>84</v>
      </c>
      <c r="AD253" t="s">
        <v>90</v>
      </c>
    </row>
    <row r="254" spans="1:30" hidden="1">
      <c r="A254" s="1">
        <v>45475</v>
      </c>
      <c r="B254" t="s">
        <v>108</v>
      </c>
      <c r="C254" t="s">
        <v>75</v>
      </c>
      <c r="D254" t="s">
        <v>76</v>
      </c>
      <c r="E254" t="s">
        <v>91</v>
      </c>
      <c r="F254" t="s">
        <v>78</v>
      </c>
      <c r="G254" t="s">
        <v>79</v>
      </c>
      <c r="H254" t="s">
        <v>80</v>
      </c>
      <c r="I254" t="s">
        <v>81</v>
      </c>
      <c r="J254" t="s">
        <v>82</v>
      </c>
      <c r="K254" t="s">
        <v>76</v>
      </c>
      <c r="L254" t="s">
        <v>8</v>
      </c>
      <c r="M254" t="s">
        <v>83</v>
      </c>
      <c r="N254" t="s">
        <v>93</v>
      </c>
      <c r="O254" t="s">
        <v>85</v>
      </c>
      <c r="P254">
        <v>267065</v>
      </c>
      <c r="Q254" t="s">
        <v>5</v>
      </c>
      <c r="R254" t="s">
        <v>86</v>
      </c>
      <c r="S254" t="s">
        <v>87</v>
      </c>
      <c r="T254">
        <v>0</v>
      </c>
      <c r="U254">
        <v>0.25</v>
      </c>
      <c r="V254" s="2">
        <v>1.0416666666666666E-2</v>
      </c>
      <c r="W254">
        <v>0</v>
      </c>
      <c r="AA254" t="s">
        <v>88</v>
      </c>
      <c r="AB254" t="s">
        <v>100</v>
      </c>
      <c r="AC254" t="s">
        <v>84</v>
      </c>
      <c r="AD254" t="s">
        <v>90</v>
      </c>
    </row>
    <row r="255" spans="1:30" hidden="1">
      <c r="A255" s="1">
        <v>45476</v>
      </c>
      <c r="B255" t="s">
        <v>14</v>
      </c>
      <c r="C255" t="s">
        <v>75</v>
      </c>
      <c r="D255" t="s">
        <v>76</v>
      </c>
      <c r="E255" t="s">
        <v>77</v>
      </c>
      <c r="F255" t="s">
        <v>78</v>
      </c>
      <c r="G255" t="s">
        <v>79</v>
      </c>
      <c r="H255" t="s">
        <v>80</v>
      </c>
      <c r="I255" t="s">
        <v>81</v>
      </c>
      <c r="J255" t="s">
        <v>82</v>
      </c>
      <c r="K255" t="s">
        <v>76</v>
      </c>
      <c r="L255" t="s">
        <v>8</v>
      </c>
      <c r="M255" t="s">
        <v>83</v>
      </c>
      <c r="N255" t="s">
        <v>84</v>
      </c>
      <c r="O255" t="s">
        <v>85</v>
      </c>
      <c r="P255">
        <v>266586</v>
      </c>
      <c r="Q255" t="s">
        <v>5</v>
      </c>
      <c r="R255" t="s">
        <v>86</v>
      </c>
      <c r="S255" t="s">
        <v>87</v>
      </c>
      <c r="T255">
        <v>0</v>
      </c>
      <c r="U255">
        <v>0.25</v>
      </c>
      <c r="V255" s="2">
        <v>1.0416666666666666E-2</v>
      </c>
      <c r="W255">
        <v>0</v>
      </c>
      <c r="AA255" t="s">
        <v>88</v>
      </c>
      <c r="AB255" t="s">
        <v>100</v>
      </c>
      <c r="AC255" t="s">
        <v>200</v>
      </c>
      <c r="AD255" t="s">
        <v>90</v>
      </c>
    </row>
    <row r="256" spans="1:30" hidden="1">
      <c r="A256" s="1">
        <v>45476</v>
      </c>
      <c r="B256" t="s">
        <v>12</v>
      </c>
      <c r="C256" t="s">
        <v>75</v>
      </c>
      <c r="D256" t="s">
        <v>76</v>
      </c>
      <c r="E256" t="s">
        <v>91</v>
      </c>
      <c r="F256" t="s">
        <v>78</v>
      </c>
      <c r="G256" t="s">
        <v>79</v>
      </c>
      <c r="H256" t="s">
        <v>80</v>
      </c>
      <c r="I256" t="s">
        <v>81</v>
      </c>
      <c r="J256" t="s">
        <v>82</v>
      </c>
      <c r="K256" t="s">
        <v>76</v>
      </c>
      <c r="L256" t="s">
        <v>8</v>
      </c>
      <c r="M256" t="s">
        <v>83</v>
      </c>
      <c r="N256" t="s">
        <v>84</v>
      </c>
      <c r="O256" t="s">
        <v>85</v>
      </c>
      <c r="P256">
        <v>266739</v>
      </c>
      <c r="Q256" t="s">
        <v>5</v>
      </c>
      <c r="R256" t="s">
        <v>86</v>
      </c>
      <c r="S256" t="s">
        <v>87</v>
      </c>
      <c r="T256">
        <v>0</v>
      </c>
      <c r="U256">
        <v>0.25</v>
      </c>
      <c r="V256" s="2">
        <v>1.0416666666666666E-2</v>
      </c>
      <c r="W256">
        <v>0</v>
      </c>
      <c r="AA256" t="s">
        <v>88</v>
      </c>
      <c r="AB256" t="s">
        <v>100</v>
      </c>
      <c r="AC256" t="s">
        <v>84</v>
      </c>
      <c r="AD256" t="s">
        <v>90</v>
      </c>
    </row>
    <row r="257" spans="1:30" hidden="1">
      <c r="A257" s="1">
        <v>45476</v>
      </c>
      <c r="B257" t="s">
        <v>219</v>
      </c>
      <c r="C257" t="s">
        <v>75</v>
      </c>
      <c r="D257" t="s">
        <v>76</v>
      </c>
      <c r="E257" t="s">
        <v>77</v>
      </c>
      <c r="F257" t="s">
        <v>78</v>
      </c>
      <c r="G257" t="s">
        <v>79</v>
      </c>
      <c r="H257" t="s">
        <v>80</v>
      </c>
      <c r="I257" t="s">
        <v>81</v>
      </c>
      <c r="J257" t="s">
        <v>82</v>
      </c>
      <c r="K257" t="s">
        <v>76</v>
      </c>
      <c r="L257" t="s">
        <v>8</v>
      </c>
      <c r="M257" t="s">
        <v>83</v>
      </c>
      <c r="N257" t="s">
        <v>220</v>
      </c>
      <c r="O257" t="s">
        <v>85</v>
      </c>
      <c r="P257">
        <v>266698</v>
      </c>
      <c r="Q257" t="s">
        <v>4</v>
      </c>
      <c r="R257" t="s">
        <v>94</v>
      </c>
      <c r="S257" t="s">
        <v>87</v>
      </c>
      <c r="T257">
        <v>90</v>
      </c>
      <c r="U257">
        <v>0.25</v>
      </c>
      <c r="V257" s="2">
        <v>1.0416666666666666E-2</v>
      </c>
      <c r="W257">
        <v>22.5</v>
      </c>
      <c r="X257">
        <v>30</v>
      </c>
      <c r="Y257">
        <v>7.5</v>
      </c>
      <c r="Z257" t="s">
        <v>217</v>
      </c>
      <c r="AA257" t="s">
        <v>88</v>
      </c>
      <c r="AB257" t="s">
        <v>100</v>
      </c>
      <c r="AC257" t="s">
        <v>221</v>
      </c>
      <c r="AD257" t="s">
        <v>90</v>
      </c>
    </row>
    <row r="258" spans="1:30" hidden="1">
      <c r="A258" s="1">
        <v>45476</v>
      </c>
      <c r="B258" t="s">
        <v>8</v>
      </c>
      <c r="C258" t="s">
        <v>75</v>
      </c>
      <c r="D258" t="s">
        <v>76</v>
      </c>
      <c r="E258" t="s">
        <v>77</v>
      </c>
      <c r="F258" t="s">
        <v>78</v>
      </c>
      <c r="G258" t="s">
        <v>79</v>
      </c>
      <c r="H258" t="s">
        <v>80</v>
      </c>
      <c r="I258" t="s">
        <v>81</v>
      </c>
      <c r="J258" t="s">
        <v>82</v>
      </c>
      <c r="K258" t="s">
        <v>76</v>
      </c>
      <c r="L258" t="s">
        <v>8</v>
      </c>
      <c r="M258" t="s">
        <v>83</v>
      </c>
      <c r="N258" t="s">
        <v>84</v>
      </c>
      <c r="O258" t="s">
        <v>85</v>
      </c>
      <c r="P258">
        <v>266819</v>
      </c>
      <c r="Q258" t="s">
        <v>5</v>
      </c>
      <c r="R258" t="s">
        <v>86</v>
      </c>
      <c r="S258" t="s">
        <v>87</v>
      </c>
      <c r="T258">
        <v>0</v>
      </c>
      <c r="U258">
        <v>0.25</v>
      </c>
      <c r="V258" s="2">
        <v>1.0416666666666666E-2</v>
      </c>
      <c r="W258">
        <v>0</v>
      </c>
      <c r="AA258" t="s">
        <v>88</v>
      </c>
      <c r="AB258" t="s">
        <v>100</v>
      </c>
      <c r="AC258" t="s">
        <v>84</v>
      </c>
      <c r="AD258" t="s">
        <v>90</v>
      </c>
    </row>
    <row r="259" spans="1:30" hidden="1">
      <c r="A259" s="1">
        <v>45476</v>
      </c>
      <c r="B259" t="s">
        <v>108</v>
      </c>
      <c r="C259" t="s">
        <v>75</v>
      </c>
      <c r="D259" t="s">
        <v>76</v>
      </c>
      <c r="E259" t="s">
        <v>91</v>
      </c>
      <c r="F259" t="s">
        <v>78</v>
      </c>
      <c r="G259" t="s">
        <v>79</v>
      </c>
      <c r="H259" t="s">
        <v>80</v>
      </c>
      <c r="I259" t="s">
        <v>81</v>
      </c>
      <c r="J259" t="s">
        <v>82</v>
      </c>
      <c r="K259" t="s">
        <v>76</v>
      </c>
      <c r="L259" t="s">
        <v>8</v>
      </c>
      <c r="M259" t="s">
        <v>83</v>
      </c>
      <c r="N259" t="s">
        <v>93</v>
      </c>
      <c r="O259" t="s">
        <v>85</v>
      </c>
      <c r="P259">
        <v>267066</v>
      </c>
      <c r="Q259" t="s">
        <v>5</v>
      </c>
      <c r="R259" t="s">
        <v>86</v>
      </c>
      <c r="S259" t="s">
        <v>87</v>
      </c>
      <c r="T259">
        <v>0</v>
      </c>
      <c r="U259">
        <v>0.25</v>
      </c>
      <c r="V259" s="2">
        <v>1.0416666666666666E-2</v>
      </c>
      <c r="W259">
        <v>0</v>
      </c>
      <c r="AA259" t="s">
        <v>88</v>
      </c>
      <c r="AB259" t="s">
        <v>100</v>
      </c>
      <c r="AC259" t="s">
        <v>84</v>
      </c>
      <c r="AD259" t="s">
        <v>90</v>
      </c>
    </row>
    <row r="260" spans="1:30" hidden="1">
      <c r="A260" s="1">
        <v>45477</v>
      </c>
      <c r="B260" t="s">
        <v>14</v>
      </c>
      <c r="C260" t="s">
        <v>75</v>
      </c>
      <c r="D260" t="s">
        <v>76</v>
      </c>
      <c r="E260" t="s">
        <v>77</v>
      </c>
      <c r="F260" t="s">
        <v>78</v>
      </c>
      <c r="G260" t="s">
        <v>79</v>
      </c>
      <c r="H260" t="s">
        <v>80</v>
      </c>
      <c r="I260" t="s">
        <v>81</v>
      </c>
      <c r="J260" t="s">
        <v>82</v>
      </c>
      <c r="K260" t="s">
        <v>76</v>
      </c>
      <c r="L260" t="s">
        <v>8</v>
      </c>
      <c r="M260" t="s">
        <v>83</v>
      </c>
      <c r="N260" t="s">
        <v>84</v>
      </c>
      <c r="O260" t="s">
        <v>85</v>
      </c>
      <c r="P260">
        <v>267061</v>
      </c>
      <c r="Q260" t="s">
        <v>5</v>
      </c>
      <c r="R260" t="s">
        <v>86</v>
      </c>
      <c r="S260" t="s">
        <v>87</v>
      </c>
      <c r="T260">
        <v>0</v>
      </c>
      <c r="U260">
        <v>0.25</v>
      </c>
      <c r="V260" s="2">
        <v>1.0416666666666666E-2</v>
      </c>
      <c r="W260">
        <v>0</v>
      </c>
      <c r="AA260" t="s">
        <v>88</v>
      </c>
      <c r="AB260" t="s">
        <v>100</v>
      </c>
      <c r="AC260" t="s">
        <v>166</v>
      </c>
      <c r="AD260" t="s">
        <v>90</v>
      </c>
    </row>
    <row r="261" spans="1:30" hidden="1">
      <c r="A261" s="1">
        <v>45477</v>
      </c>
      <c r="B261" t="s">
        <v>211</v>
      </c>
      <c r="C261" t="s">
        <v>75</v>
      </c>
      <c r="D261" t="s">
        <v>76</v>
      </c>
      <c r="E261" t="s">
        <v>91</v>
      </c>
      <c r="F261" t="s">
        <v>78</v>
      </c>
      <c r="G261" t="s">
        <v>79</v>
      </c>
      <c r="H261" t="s">
        <v>80</v>
      </c>
      <c r="I261" t="s">
        <v>81</v>
      </c>
      <c r="J261" t="s">
        <v>82</v>
      </c>
      <c r="K261" t="s">
        <v>76</v>
      </c>
      <c r="L261" t="s">
        <v>8</v>
      </c>
      <c r="M261" t="s">
        <v>83</v>
      </c>
      <c r="N261" t="s">
        <v>93</v>
      </c>
      <c r="O261" t="s">
        <v>85</v>
      </c>
      <c r="P261">
        <v>267609</v>
      </c>
      <c r="Q261" t="s">
        <v>5</v>
      </c>
      <c r="R261" t="s">
        <v>86</v>
      </c>
      <c r="S261" t="s">
        <v>87</v>
      </c>
      <c r="T261">
        <v>0</v>
      </c>
      <c r="U261">
        <v>3.5</v>
      </c>
      <c r="V261" s="2">
        <v>0.14583333333333334</v>
      </c>
      <c r="W261">
        <v>0</v>
      </c>
      <c r="AA261" t="s">
        <v>88</v>
      </c>
      <c r="AB261" t="s">
        <v>100</v>
      </c>
      <c r="AC261" t="s">
        <v>84</v>
      </c>
      <c r="AD261" t="s">
        <v>90</v>
      </c>
    </row>
    <row r="262" spans="1:30" hidden="1">
      <c r="A262" s="1">
        <v>45477</v>
      </c>
      <c r="B262" t="s">
        <v>12</v>
      </c>
      <c r="C262" t="s">
        <v>75</v>
      </c>
      <c r="D262" t="s">
        <v>76</v>
      </c>
      <c r="E262" t="s">
        <v>91</v>
      </c>
      <c r="F262" t="s">
        <v>78</v>
      </c>
      <c r="G262" t="s">
        <v>79</v>
      </c>
      <c r="H262" t="s">
        <v>80</v>
      </c>
      <c r="I262" t="s">
        <v>81</v>
      </c>
      <c r="J262" t="s">
        <v>82</v>
      </c>
      <c r="K262" t="s">
        <v>76</v>
      </c>
      <c r="L262" t="s">
        <v>8</v>
      </c>
      <c r="M262" t="s">
        <v>83</v>
      </c>
      <c r="N262" t="s">
        <v>84</v>
      </c>
      <c r="O262" t="s">
        <v>85</v>
      </c>
      <c r="P262">
        <v>267669</v>
      </c>
      <c r="Q262" t="s">
        <v>5</v>
      </c>
      <c r="R262" t="s">
        <v>86</v>
      </c>
      <c r="S262" t="s">
        <v>87</v>
      </c>
      <c r="T262">
        <v>0</v>
      </c>
      <c r="U262">
        <v>0.25</v>
      </c>
      <c r="V262" s="2">
        <v>1.0416666666666666E-2</v>
      </c>
      <c r="W262">
        <v>0</v>
      </c>
      <c r="AA262" t="s">
        <v>88</v>
      </c>
      <c r="AB262" t="s">
        <v>100</v>
      </c>
      <c r="AC262" t="s">
        <v>84</v>
      </c>
      <c r="AD262" t="s">
        <v>90</v>
      </c>
    </row>
    <row r="263" spans="1:30" hidden="1">
      <c r="A263" s="1">
        <v>45477</v>
      </c>
      <c r="B263" t="s">
        <v>8</v>
      </c>
      <c r="C263" t="s">
        <v>75</v>
      </c>
      <c r="D263" t="s">
        <v>76</v>
      </c>
      <c r="E263" t="s">
        <v>77</v>
      </c>
      <c r="F263" t="s">
        <v>78</v>
      </c>
      <c r="G263" t="s">
        <v>79</v>
      </c>
      <c r="H263" t="s">
        <v>80</v>
      </c>
      <c r="I263" t="s">
        <v>81</v>
      </c>
      <c r="J263" t="s">
        <v>82</v>
      </c>
      <c r="K263" t="s">
        <v>76</v>
      </c>
      <c r="L263" t="s">
        <v>8</v>
      </c>
      <c r="M263" t="s">
        <v>83</v>
      </c>
      <c r="N263" t="s">
        <v>84</v>
      </c>
      <c r="O263" t="s">
        <v>85</v>
      </c>
      <c r="P263">
        <v>267318</v>
      </c>
      <c r="Q263" t="s">
        <v>5</v>
      </c>
      <c r="R263" t="s">
        <v>86</v>
      </c>
      <c r="S263" t="s">
        <v>87</v>
      </c>
      <c r="T263">
        <v>0</v>
      </c>
      <c r="U263">
        <v>0.25</v>
      </c>
      <c r="V263" s="2">
        <v>1.0416666666666666E-2</v>
      </c>
      <c r="W263">
        <v>0</v>
      </c>
      <c r="AA263" t="s">
        <v>88</v>
      </c>
      <c r="AB263" t="s">
        <v>100</v>
      </c>
      <c r="AC263" t="s">
        <v>84</v>
      </c>
      <c r="AD263" t="s">
        <v>90</v>
      </c>
    </row>
    <row r="264" spans="1:30" hidden="1">
      <c r="A264" s="1">
        <v>45477</v>
      </c>
      <c r="B264" t="s">
        <v>108</v>
      </c>
      <c r="C264" t="s">
        <v>75</v>
      </c>
      <c r="D264" t="s">
        <v>76</v>
      </c>
      <c r="E264" t="s">
        <v>91</v>
      </c>
      <c r="F264" t="s">
        <v>78</v>
      </c>
      <c r="G264" t="s">
        <v>79</v>
      </c>
      <c r="H264" t="s">
        <v>80</v>
      </c>
      <c r="I264" t="s">
        <v>81</v>
      </c>
      <c r="J264" t="s">
        <v>82</v>
      </c>
      <c r="K264" t="s">
        <v>76</v>
      </c>
      <c r="L264" t="s">
        <v>8</v>
      </c>
      <c r="M264" t="s">
        <v>83</v>
      </c>
      <c r="N264" t="s">
        <v>93</v>
      </c>
      <c r="O264" t="s">
        <v>85</v>
      </c>
      <c r="P264">
        <v>267068</v>
      </c>
      <c r="Q264" t="s">
        <v>5</v>
      </c>
      <c r="R264" t="s">
        <v>86</v>
      </c>
      <c r="S264" t="s">
        <v>87</v>
      </c>
      <c r="T264">
        <v>0</v>
      </c>
      <c r="U264">
        <v>0.25</v>
      </c>
      <c r="V264" s="2">
        <v>1.0416666666666666E-2</v>
      </c>
      <c r="W264">
        <v>0</v>
      </c>
      <c r="AA264" t="s">
        <v>88</v>
      </c>
      <c r="AB264" t="s">
        <v>100</v>
      </c>
      <c r="AC264" t="s">
        <v>84</v>
      </c>
      <c r="AD264" t="s">
        <v>90</v>
      </c>
    </row>
    <row r="265" spans="1:30" hidden="1">
      <c r="A265" s="1">
        <v>45478</v>
      </c>
      <c r="B265" t="s">
        <v>14</v>
      </c>
      <c r="C265" t="s">
        <v>75</v>
      </c>
      <c r="D265" t="s">
        <v>76</v>
      </c>
      <c r="E265" t="s">
        <v>77</v>
      </c>
      <c r="F265" t="s">
        <v>78</v>
      </c>
      <c r="G265" t="s">
        <v>79</v>
      </c>
      <c r="H265" t="s">
        <v>80</v>
      </c>
      <c r="I265" t="s">
        <v>81</v>
      </c>
      <c r="J265" t="s">
        <v>82</v>
      </c>
      <c r="K265" t="s">
        <v>76</v>
      </c>
      <c r="L265" t="s">
        <v>8</v>
      </c>
      <c r="M265" t="s">
        <v>83</v>
      </c>
      <c r="N265" t="s">
        <v>84</v>
      </c>
      <c r="O265" t="s">
        <v>85</v>
      </c>
      <c r="P265">
        <v>267549</v>
      </c>
      <c r="Q265" t="s">
        <v>5</v>
      </c>
      <c r="R265" t="s">
        <v>86</v>
      </c>
      <c r="S265" t="s">
        <v>87</v>
      </c>
      <c r="T265">
        <v>0</v>
      </c>
      <c r="U265">
        <v>0.25</v>
      </c>
      <c r="V265" s="2">
        <v>1.0416666666666666E-2</v>
      </c>
      <c r="W265">
        <v>0</v>
      </c>
      <c r="AA265" t="s">
        <v>88</v>
      </c>
      <c r="AB265" t="s">
        <v>100</v>
      </c>
      <c r="AC265" t="s">
        <v>200</v>
      </c>
      <c r="AD265" t="s">
        <v>90</v>
      </c>
    </row>
    <row r="266" spans="1:30" hidden="1">
      <c r="A266" s="1">
        <v>45478</v>
      </c>
      <c r="B266" t="s">
        <v>211</v>
      </c>
      <c r="C266" t="s">
        <v>75</v>
      </c>
      <c r="D266" t="s">
        <v>76</v>
      </c>
      <c r="E266" t="s">
        <v>91</v>
      </c>
      <c r="F266" t="s">
        <v>78</v>
      </c>
      <c r="G266" t="s">
        <v>79</v>
      </c>
      <c r="H266" t="s">
        <v>80</v>
      </c>
      <c r="I266" t="s">
        <v>81</v>
      </c>
      <c r="J266" t="s">
        <v>82</v>
      </c>
      <c r="K266" t="s">
        <v>76</v>
      </c>
      <c r="L266" t="s">
        <v>8</v>
      </c>
      <c r="M266" t="s">
        <v>83</v>
      </c>
      <c r="N266" t="s">
        <v>93</v>
      </c>
      <c r="O266" t="s">
        <v>85</v>
      </c>
      <c r="P266">
        <v>267604</v>
      </c>
      <c r="Q266" t="s">
        <v>5</v>
      </c>
      <c r="R266" t="s">
        <v>86</v>
      </c>
      <c r="S266" t="s">
        <v>87</v>
      </c>
      <c r="T266">
        <v>0</v>
      </c>
      <c r="U266">
        <v>1</v>
      </c>
      <c r="V266" s="2">
        <v>4.1666666666666664E-2</v>
      </c>
      <c r="W266">
        <v>0</v>
      </c>
      <c r="AA266" t="s">
        <v>88</v>
      </c>
      <c r="AB266" t="s">
        <v>100</v>
      </c>
      <c r="AC266" t="s">
        <v>84</v>
      </c>
      <c r="AD266" t="s">
        <v>90</v>
      </c>
    </row>
    <row r="267" spans="1:30" hidden="1">
      <c r="A267" s="1">
        <v>45478</v>
      </c>
      <c r="B267" t="s">
        <v>114</v>
      </c>
      <c r="C267" t="s">
        <v>75</v>
      </c>
      <c r="D267" t="s">
        <v>76</v>
      </c>
      <c r="E267" t="s">
        <v>91</v>
      </c>
      <c r="F267" t="s">
        <v>78</v>
      </c>
      <c r="G267" t="s">
        <v>79</v>
      </c>
      <c r="H267" t="s">
        <v>80</v>
      </c>
      <c r="I267" t="s">
        <v>81</v>
      </c>
      <c r="J267" t="s">
        <v>82</v>
      </c>
      <c r="K267" t="s">
        <v>76</v>
      </c>
      <c r="L267" t="s">
        <v>8</v>
      </c>
      <c r="M267" t="s">
        <v>83</v>
      </c>
      <c r="N267" t="s">
        <v>93</v>
      </c>
      <c r="O267" t="s">
        <v>85</v>
      </c>
      <c r="P267">
        <v>270935</v>
      </c>
      <c r="Q267" t="s">
        <v>5</v>
      </c>
      <c r="R267" t="s">
        <v>86</v>
      </c>
      <c r="S267" t="s">
        <v>87</v>
      </c>
      <c r="T267">
        <v>0</v>
      </c>
      <c r="U267">
        <v>0.25</v>
      </c>
      <c r="V267" s="2">
        <v>1.0416666666666666E-2</v>
      </c>
      <c r="W267">
        <v>0</v>
      </c>
      <c r="AA267" t="s">
        <v>88</v>
      </c>
      <c r="AB267" t="s">
        <v>100</v>
      </c>
      <c r="AC267" t="s">
        <v>179</v>
      </c>
      <c r="AD267" t="s">
        <v>90</v>
      </c>
    </row>
    <row r="268" spans="1:30" hidden="1">
      <c r="A268" s="1">
        <v>45478</v>
      </c>
      <c r="B268" t="s">
        <v>12</v>
      </c>
      <c r="C268" t="s">
        <v>75</v>
      </c>
      <c r="D268" t="s">
        <v>76</v>
      </c>
      <c r="E268" t="s">
        <v>91</v>
      </c>
      <c r="F268" t="s">
        <v>78</v>
      </c>
      <c r="G268" t="s">
        <v>79</v>
      </c>
      <c r="H268" t="s">
        <v>80</v>
      </c>
      <c r="I268" t="s">
        <v>81</v>
      </c>
      <c r="J268" t="s">
        <v>82</v>
      </c>
      <c r="K268" t="s">
        <v>76</v>
      </c>
      <c r="L268" t="s">
        <v>8</v>
      </c>
      <c r="M268" t="s">
        <v>83</v>
      </c>
      <c r="N268" t="s">
        <v>84</v>
      </c>
      <c r="O268" t="s">
        <v>85</v>
      </c>
      <c r="P268">
        <v>267780</v>
      </c>
      <c r="Q268" t="s">
        <v>5</v>
      </c>
      <c r="R268" t="s">
        <v>86</v>
      </c>
      <c r="S268" t="s">
        <v>87</v>
      </c>
      <c r="T268">
        <v>0</v>
      </c>
      <c r="U268">
        <v>0.25</v>
      </c>
      <c r="V268" s="2">
        <v>1.0416666666666666E-2</v>
      </c>
      <c r="W268">
        <v>0</v>
      </c>
      <c r="AA268" t="s">
        <v>88</v>
      </c>
      <c r="AB268" t="s">
        <v>100</v>
      </c>
      <c r="AC268" t="s">
        <v>84</v>
      </c>
      <c r="AD268" t="s">
        <v>90</v>
      </c>
    </row>
    <row r="269" spans="1:30" hidden="1">
      <c r="A269" s="1">
        <v>45478</v>
      </c>
      <c r="B269" t="s">
        <v>8</v>
      </c>
      <c r="C269" t="s">
        <v>75</v>
      </c>
      <c r="D269" t="s">
        <v>76</v>
      </c>
      <c r="E269" t="s">
        <v>77</v>
      </c>
      <c r="F269" t="s">
        <v>78</v>
      </c>
      <c r="G269" t="s">
        <v>79</v>
      </c>
      <c r="H269" t="s">
        <v>80</v>
      </c>
      <c r="I269" t="s">
        <v>81</v>
      </c>
      <c r="J269" t="s">
        <v>82</v>
      </c>
      <c r="K269" t="s">
        <v>76</v>
      </c>
      <c r="L269" t="s">
        <v>8</v>
      </c>
      <c r="M269" t="s">
        <v>83</v>
      </c>
      <c r="N269" t="s">
        <v>84</v>
      </c>
      <c r="O269" t="s">
        <v>85</v>
      </c>
      <c r="P269">
        <v>267936</v>
      </c>
      <c r="Q269" t="s">
        <v>5</v>
      </c>
      <c r="R269" t="s">
        <v>86</v>
      </c>
      <c r="S269" t="s">
        <v>87</v>
      </c>
      <c r="T269">
        <v>0</v>
      </c>
      <c r="U269">
        <v>0.25</v>
      </c>
      <c r="V269" s="2">
        <v>1.0416666666666666E-2</v>
      </c>
      <c r="W269">
        <v>0</v>
      </c>
      <c r="AA269" t="s">
        <v>88</v>
      </c>
      <c r="AB269" t="s">
        <v>100</v>
      </c>
      <c r="AC269" t="s">
        <v>84</v>
      </c>
      <c r="AD269" t="s">
        <v>90</v>
      </c>
    </row>
    <row r="270" spans="1:30" hidden="1">
      <c r="A270" s="1">
        <v>45478</v>
      </c>
      <c r="B270" t="s">
        <v>108</v>
      </c>
      <c r="C270" t="s">
        <v>75</v>
      </c>
      <c r="D270" t="s">
        <v>76</v>
      </c>
      <c r="E270" t="s">
        <v>91</v>
      </c>
      <c r="F270" t="s">
        <v>78</v>
      </c>
      <c r="G270" t="s">
        <v>79</v>
      </c>
      <c r="H270" t="s">
        <v>80</v>
      </c>
      <c r="I270" t="s">
        <v>81</v>
      </c>
      <c r="J270" t="s">
        <v>82</v>
      </c>
      <c r="K270" t="s">
        <v>76</v>
      </c>
      <c r="L270" t="s">
        <v>8</v>
      </c>
      <c r="M270" t="s">
        <v>83</v>
      </c>
      <c r="N270" t="s">
        <v>93</v>
      </c>
      <c r="O270" t="s">
        <v>85</v>
      </c>
      <c r="P270">
        <v>268119</v>
      </c>
      <c r="Q270" t="s">
        <v>5</v>
      </c>
      <c r="R270" t="s">
        <v>86</v>
      </c>
      <c r="S270" t="s">
        <v>87</v>
      </c>
      <c r="T270">
        <v>0</v>
      </c>
      <c r="U270">
        <v>0.75</v>
      </c>
      <c r="V270" s="2">
        <v>3.125E-2</v>
      </c>
      <c r="W270">
        <v>0</v>
      </c>
      <c r="AA270" t="s">
        <v>88</v>
      </c>
      <c r="AB270" t="s">
        <v>100</v>
      </c>
      <c r="AC270" t="s">
        <v>222</v>
      </c>
      <c r="AD270" t="s">
        <v>90</v>
      </c>
    </row>
    <row r="271" spans="1:30" hidden="1">
      <c r="A271" s="1">
        <v>45481</v>
      </c>
      <c r="B271" t="s">
        <v>14</v>
      </c>
      <c r="C271" t="s">
        <v>75</v>
      </c>
      <c r="D271" t="s">
        <v>76</v>
      </c>
      <c r="E271" t="s">
        <v>77</v>
      </c>
      <c r="F271" t="s">
        <v>78</v>
      </c>
      <c r="G271" t="s">
        <v>79</v>
      </c>
      <c r="H271" t="s">
        <v>80</v>
      </c>
      <c r="I271" t="s">
        <v>81</v>
      </c>
      <c r="J271" t="s">
        <v>82</v>
      </c>
      <c r="K271" t="s">
        <v>76</v>
      </c>
      <c r="L271" t="s">
        <v>8</v>
      </c>
      <c r="M271" t="s">
        <v>83</v>
      </c>
      <c r="N271" t="s">
        <v>84</v>
      </c>
      <c r="O271" t="s">
        <v>85</v>
      </c>
      <c r="P271">
        <v>268400</v>
      </c>
      <c r="Q271" t="s">
        <v>5</v>
      </c>
      <c r="R271" t="s">
        <v>86</v>
      </c>
      <c r="S271" t="s">
        <v>87</v>
      </c>
      <c r="T271">
        <v>0</v>
      </c>
      <c r="U271">
        <v>0.5</v>
      </c>
      <c r="V271" s="2">
        <v>2.0833333333333332E-2</v>
      </c>
      <c r="W271">
        <v>0</v>
      </c>
      <c r="AA271" t="s">
        <v>88</v>
      </c>
      <c r="AB271" t="s">
        <v>100</v>
      </c>
      <c r="AC271" t="s">
        <v>223</v>
      </c>
      <c r="AD271" t="s">
        <v>90</v>
      </c>
    </row>
    <row r="272" spans="1:30" hidden="1">
      <c r="A272" s="1">
        <v>45481</v>
      </c>
      <c r="B272" t="s">
        <v>211</v>
      </c>
      <c r="C272" t="s">
        <v>75</v>
      </c>
      <c r="D272" t="s">
        <v>76</v>
      </c>
      <c r="E272" t="s">
        <v>91</v>
      </c>
      <c r="F272" t="s">
        <v>78</v>
      </c>
      <c r="G272" t="s">
        <v>79</v>
      </c>
      <c r="H272" t="s">
        <v>80</v>
      </c>
      <c r="I272" t="s">
        <v>81</v>
      </c>
      <c r="J272" t="s">
        <v>82</v>
      </c>
      <c r="K272" t="s">
        <v>76</v>
      </c>
      <c r="L272" t="s">
        <v>8</v>
      </c>
      <c r="M272" t="s">
        <v>83</v>
      </c>
      <c r="N272" t="s">
        <v>93</v>
      </c>
      <c r="O272" t="s">
        <v>85</v>
      </c>
      <c r="P272">
        <v>268404</v>
      </c>
      <c r="Q272" t="s">
        <v>5</v>
      </c>
      <c r="R272" t="s">
        <v>86</v>
      </c>
      <c r="S272" t="s">
        <v>87</v>
      </c>
      <c r="T272">
        <v>0</v>
      </c>
      <c r="U272">
        <v>2.5</v>
      </c>
      <c r="V272" s="2">
        <v>0.10416666666666667</v>
      </c>
      <c r="W272">
        <v>0</v>
      </c>
      <c r="AA272" t="s">
        <v>88</v>
      </c>
      <c r="AB272" t="s">
        <v>100</v>
      </c>
      <c r="AC272" t="s">
        <v>84</v>
      </c>
      <c r="AD272" t="s">
        <v>90</v>
      </c>
    </row>
    <row r="273" spans="1:30" hidden="1">
      <c r="A273" s="1">
        <v>45481</v>
      </c>
      <c r="B273" t="s">
        <v>12</v>
      </c>
      <c r="C273" t="s">
        <v>75</v>
      </c>
      <c r="D273" t="s">
        <v>76</v>
      </c>
      <c r="E273" t="s">
        <v>91</v>
      </c>
      <c r="F273" t="s">
        <v>78</v>
      </c>
      <c r="G273" t="s">
        <v>79</v>
      </c>
      <c r="H273" t="s">
        <v>80</v>
      </c>
      <c r="I273" t="s">
        <v>81</v>
      </c>
      <c r="J273" t="s">
        <v>82</v>
      </c>
      <c r="K273" t="s">
        <v>76</v>
      </c>
      <c r="L273" t="s">
        <v>8</v>
      </c>
      <c r="M273" t="s">
        <v>83</v>
      </c>
      <c r="N273" t="s">
        <v>84</v>
      </c>
      <c r="O273" t="s">
        <v>85</v>
      </c>
      <c r="P273">
        <v>268966</v>
      </c>
      <c r="Q273" t="s">
        <v>5</v>
      </c>
      <c r="R273" t="s">
        <v>86</v>
      </c>
      <c r="S273" t="s">
        <v>87</v>
      </c>
      <c r="T273">
        <v>0</v>
      </c>
      <c r="U273">
        <v>0.25</v>
      </c>
      <c r="V273" s="2">
        <v>1.0416666666666666E-2</v>
      </c>
      <c r="W273">
        <v>0</v>
      </c>
      <c r="AA273" t="s">
        <v>88</v>
      </c>
      <c r="AB273" t="s">
        <v>100</v>
      </c>
      <c r="AC273" t="s">
        <v>84</v>
      </c>
      <c r="AD273" t="s">
        <v>90</v>
      </c>
    </row>
    <row r="274" spans="1:30" hidden="1">
      <c r="A274" s="1">
        <v>45481</v>
      </c>
      <c r="B274" t="s">
        <v>8</v>
      </c>
      <c r="C274" t="s">
        <v>75</v>
      </c>
      <c r="D274" t="s">
        <v>76</v>
      </c>
      <c r="E274" t="s">
        <v>77</v>
      </c>
      <c r="F274" t="s">
        <v>78</v>
      </c>
      <c r="G274" t="s">
        <v>79</v>
      </c>
      <c r="H274" t="s">
        <v>80</v>
      </c>
      <c r="I274" t="s">
        <v>81</v>
      </c>
      <c r="J274" t="s">
        <v>82</v>
      </c>
      <c r="K274" t="s">
        <v>76</v>
      </c>
      <c r="L274" t="s">
        <v>8</v>
      </c>
      <c r="M274" t="s">
        <v>83</v>
      </c>
      <c r="N274" t="s">
        <v>84</v>
      </c>
      <c r="O274" t="s">
        <v>85</v>
      </c>
      <c r="P274">
        <v>268576</v>
      </c>
      <c r="Q274" t="s">
        <v>5</v>
      </c>
      <c r="R274" t="s">
        <v>86</v>
      </c>
      <c r="S274" t="s">
        <v>87</v>
      </c>
      <c r="T274">
        <v>0</v>
      </c>
      <c r="U274">
        <v>0.25</v>
      </c>
      <c r="V274" s="2">
        <v>1.0416666666666666E-2</v>
      </c>
      <c r="W274">
        <v>0</v>
      </c>
      <c r="AA274" t="s">
        <v>88</v>
      </c>
      <c r="AB274" t="s">
        <v>100</v>
      </c>
      <c r="AC274" t="s">
        <v>84</v>
      </c>
      <c r="AD274" t="s">
        <v>90</v>
      </c>
    </row>
    <row r="275" spans="1:30" hidden="1">
      <c r="A275" s="1">
        <v>45481</v>
      </c>
      <c r="B275" t="s">
        <v>108</v>
      </c>
      <c r="C275" t="s">
        <v>75</v>
      </c>
      <c r="D275" t="s">
        <v>76</v>
      </c>
      <c r="E275" t="s">
        <v>91</v>
      </c>
      <c r="F275" t="s">
        <v>78</v>
      </c>
      <c r="G275" t="s">
        <v>79</v>
      </c>
      <c r="H275" t="s">
        <v>80</v>
      </c>
      <c r="I275" t="s">
        <v>81</v>
      </c>
      <c r="J275" t="s">
        <v>82</v>
      </c>
      <c r="K275" t="s">
        <v>76</v>
      </c>
      <c r="L275" t="s">
        <v>8</v>
      </c>
      <c r="M275" t="s">
        <v>83</v>
      </c>
      <c r="N275" t="s">
        <v>93</v>
      </c>
      <c r="O275" t="s">
        <v>85</v>
      </c>
      <c r="P275">
        <v>269624</v>
      </c>
      <c r="Q275" t="s">
        <v>5</v>
      </c>
      <c r="R275" t="s">
        <v>86</v>
      </c>
      <c r="S275" t="s">
        <v>87</v>
      </c>
      <c r="T275">
        <v>0</v>
      </c>
      <c r="U275">
        <v>0.25</v>
      </c>
      <c r="V275" s="2">
        <v>1.0416666666666666E-2</v>
      </c>
      <c r="W275">
        <v>0</v>
      </c>
      <c r="AA275" t="s">
        <v>88</v>
      </c>
      <c r="AB275" t="s">
        <v>100</v>
      </c>
      <c r="AC275" t="s">
        <v>84</v>
      </c>
      <c r="AD275" t="s">
        <v>90</v>
      </c>
    </row>
    <row r="276" spans="1:30" hidden="1">
      <c r="A276" s="1">
        <v>45482</v>
      </c>
      <c r="B276" t="s">
        <v>10</v>
      </c>
      <c r="C276" t="s">
        <v>92</v>
      </c>
      <c r="D276" t="s">
        <v>76</v>
      </c>
      <c r="E276" t="s">
        <v>91</v>
      </c>
      <c r="F276" t="s">
        <v>78</v>
      </c>
      <c r="G276" t="s">
        <v>79</v>
      </c>
      <c r="H276" t="s">
        <v>80</v>
      </c>
      <c r="I276" t="s">
        <v>81</v>
      </c>
      <c r="J276" t="s">
        <v>82</v>
      </c>
      <c r="K276" t="s">
        <v>76</v>
      </c>
      <c r="L276" t="s">
        <v>8</v>
      </c>
      <c r="M276" t="s">
        <v>83</v>
      </c>
      <c r="N276" t="s">
        <v>93</v>
      </c>
      <c r="O276" t="s">
        <v>85</v>
      </c>
      <c r="P276">
        <v>269273</v>
      </c>
      <c r="Q276" t="s">
        <v>4</v>
      </c>
      <c r="R276" t="s">
        <v>94</v>
      </c>
      <c r="S276" t="s">
        <v>87</v>
      </c>
      <c r="T276">
        <v>90</v>
      </c>
      <c r="U276">
        <v>8</v>
      </c>
      <c r="V276" s="2">
        <v>0.33333333333333331</v>
      </c>
      <c r="W276">
        <v>720</v>
      </c>
      <c r="X276">
        <v>960</v>
      </c>
      <c r="Y276">
        <v>240</v>
      </c>
      <c r="Z276" t="s">
        <v>217</v>
      </c>
      <c r="AA276" t="s">
        <v>88</v>
      </c>
      <c r="AB276" t="s">
        <v>100</v>
      </c>
      <c r="AC276" t="s">
        <v>224</v>
      </c>
      <c r="AD276" t="s">
        <v>90</v>
      </c>
    </row>
    <row r="277" spans="1:30" hidden="1">
      <c r="A277" s="1">
        <v>45482</v>
      </c>
      <c r="B277" t="s">
        <v>14</v>
      </c>
      <c r="C277" t="s">
        <v>75</v>
      </c>
      <c r="D277" t="s">
        <v>76</v>
      </c>
      <c r="E277" t="s">
        <v>77</v>
      </c>
      <c r="F277" t="s">
        <v>78</v>
      </c>
      <c r="G277" t="s">
        <v>79</v>
      </c>
      <c r="H277" t="s">
        <v>80</v>
      </c>
      <c r="I277" t="s">
        <v>81</v>
      </c>
      <c r="J277" t="s">
        <v>82</v>
      </c>
      <c r="K277" t="s">
        <v>76</v>
      </c>
      <c r="L277" t="s">
        <v>8</v>
      </c>
      <c r="M277" t="s">
        <v>83</v>
      </c>
      <c r="N277" t="s">
        <v>84</v>
      </c>
      <c r="O277" t="s">
        <v>85</v>
      </c>
      <c r="P277">
        <v>268959</v>
      </c>
      <c r="Q277" t="s">
        <v>5</v>
      </c>
      <c r="R277" t="s">
        <v>86</v>
      </c>
      <c r="S277" t="s">
        <v>87</v>
      </c>
      <c r="T277">
        <v>0</v>
      </c>
      <c r="U277">
        <v>0.25</v>
      </c>
      <c r="V277" s="2">
        <v>1.0416666666666666E-2</v>
      </c>
      <c r="W277">
        <v>0</v>
      </c>
      <c r="AA277" t="s">
        <v>88</v>
      </c>
      <c r="AB277" t="s">
        <v>100</v>
      </c>
      <c r="AC277" t="s">
        <v>200</v>
      </c>
      <c r="AD277" t="s">
        <v>90</v>
      </c>
    </row>
    <row r="278" spans="1:30" hidden="1">
      <c r="A278" s="1">
        <v>45482</v>
      </c>
      <c r="B278" t="s">
        <v>211</v>
      </c>
      <c r="C278" t="s">
        <v>75</v>
      </c>
      <c r="D278" t="s">
        <v>76</v>
      </c>
      <c r="E278" t="s">
        <v>91</v>
      </c>
      <c r="F278" t="s">
        <v>78</v>
      </c>
      <c r="G278" t="s">
        <v>79</v>
      </c>
      <c r="H278" t="s">
        <v>80</v>
      </c>
      <c r="I278" t="s">
        <v>81</v>
      </c>
      <c r="J278" t="s">
        <v>82</v>
      </c>
      <c r="K278" t="s">
        <v>76</v>
      </c>
      <c r="L278" t="s">
        <v>8</v>
      </c>
      <c r="M278" t="s">
        <v>83</v>
      </c>
      <c r="N278" t="s">
        <v>93</v>
      </c>
      <c r="O278" t="s">
        <v>85</v>
      </c>
      <c r="P278">
        <v>268843</v>
      </c>
      <c r="Q278" t="s">
        <v>5</v>
      </c>
      <c r="R278" t="s">
        <v>86</v>
      </c>
      <c r="S278" t="s">
        <v>87</v>
      </c>
      <c r="T278">
        <v>0</v>
      </c>
      <c r="U278">
        <v>0.25</v>
      </c>
      <c r="V278" s="2">
        <v>1.0416666666666666E-2</v>
      </c>
      <c r="W278">
        <v>0</v>
      </c>
      <c r="AA278" t="s">
        <v>88</v>
      </c>
      <c r="AB278" t="s">
        <v>100</v>
      </c>
      <c r="AC278" t="s">
        <v>84</v>
      </c>
      <c r="AD278" t="s">
        <v>90</v>
      </c>
    </row>
    <row r="279" spans="1:30" hidden="1">
      <c r="A279" s="1">
        <v>45482</v>
      </c>
      <c r="B279" t="s">
        <v>114</v>
      </c>
      <c r="C279" t="s">
        <v>75</v>
      </c>
      <c r="D279" t="s">
        <v>76</v>
      </c>
      <c r="E279" t="s">
        <v>91</v>
      </c>
      <c r="F279" t="s">
        <v>78</v>
      </c>
      <c r="G279" t="s">
        <v>79</v>
      </c>
      <c r="H279" t="s">
        <v>80</v>
      </c>
      <c r="I279" t="s">
        <v>81</v>
      </c>
      <c r="J279" t="s">
        <v>82</v>
      </c>
      <c r="K279" t="s">
        <v>76</v>
      </c>
      <c r="L279" t="s">
        <v>8</v>
      </c>
      <c r="M279" t="s">
        <v>83</v>
      </c>
      <c r="N279" t="s">
        <v>93</v>
      </c>
      <c r="O279" t="s">
        <v>85</v>
      </c>
      <c r="P279">
        <v>270937</v>
      </c>
      <c r="Q279" t="s">
        <v>5</v>
      </c>
      <c r="R279" t="s">
        <v>86</v>
      </c>
      <c r="S279" t="s">
        <v>87</v>
      </c>
      <c r="T279">
        <v>0</v>
      </c>
      <c r="U279">
        <v>0.25</v>
      </c>
      <c r="V279" s="2">
        <v>1.0416666666666666E-2</v>
      </c>
      <c r="W279">
        <v>0</v>
      </c>
      <c r="AA279" t="s">
        <v>88</v>
      </c>
      <c r="AB279" t="s">
        <v>100</v>
      </c>
      <c r="AC279" t="s">
        <v>179</v>
      </c>
      <c r="AD279" t="s">
        <v>90</v>
      </c>
    </row>
    <row r="280" spans="1:30" hidden="1">
      <c r="A280" s="1">
        <v>45482</v>
      </c>
      <c r="B280" t="s">
        <v>16</v>
      </c>
      <c r="C280" t="s">
        <v>75</v>
      </c>
      <c r="D280" t="s">
        <v>76</v>
      </c>
      <c r="E280" t="s">
        <v>91</v>
      </c>
      <c r="F280" t="s">
        <v>78</v>
      </c>
      <c r="G280" t="s">
        <v>79</v>
      </c>
      <c r="H280" t="s">
        <v>80</v>
      </c>
      <c r="I280" t="s">
        <v>81</v>
      </c>
      <c r="J280" t="s">
        <v>82</v>
      </c>
      <c r="K280" t="s">
        <v>76</v>
      </c>
      <c r="L280" t="s">
        <v>8</v>
      </c>
      <c r="M280" t="s">
        <v>83</v>
      </c>
      <c r="N280" t="s">
        <v>93</v>
      </c>
      <c r="O280" t="s">
        <v>85</v>
      </c>
      <c r="P280">
        <v>268724</v>
      </c>
      <c r="Q280" t="s">
        <v>5</v>
      </c>
      <c r="R280" t="s">
        <v>86</v>
      </c>
      <c r="S280" t="s">
        <v>87</v>
      </c>
      <c r="T280">
        <v>0</v>
      </c>
      <c r="U280" s="19" t="s">
        <v>225</v>
      </c>
      <c r="V280" s="2">
        <v>1.7361111111111112E-2</v>
      </c>
      <c r="W280">
        <v>0</v>
      </c>
      <c r="AA280" t="s">
        <v>88</v>
      </c>
      <c r="AB280" t="s">
        <v>100</v>
      </c>
      <c r="AC280" t="s">
        <v>84</v>
      </c>
      <c r="AD280" t="s">
        <v>90</v>
      </c>
    </row>
    <row r="281" spans="1:30" hidden="1">
      <c r="A281" s="1">
        <v>45482</v>
      </c>
      <c r="B281" t="s">
        <v>12</v>
      </c>
      <c r="C281" t="s">
        <v>75</v>
      </c>
      <c r="D281" t="s">
        <v>76</v>
      </c>
      <c r="E281" t="s">
        <v>91</v>
      </c>
      <c r="F281" t="s">
        <v>78</v>
      </c>
      <c r="G281" t="s">
        <v>79</v>
      </c>
      <c r="H281" t="s">
        <v>80</v>
      </c>
      <c r="I281" t="s">
        <v>81</v>
      </c>
      <c r="J281" t="s">
        <v>82</v>
      </c>
      <c r="K281" t="s">
        <v>76</v>
      </c>
      <c r="L281" t="s">
        <v>8</v>
      </c>
      <c r="M281" t="s">
        <v>83</v>
      </c>
      <c r="N281" t="s">
        <v>84</v>
      </c>
      <c r="O281" t="s">
        <v>85</v>
      </c>
      <c r="P281">
        <v>268967</v>
      </c>
      <c r="Q281" t="s">
        <v>5</v>
      </c>
      <c r="R281" t="s">
        <v>86</v>
      </c>
      <c r="S281" t="s">
        <v>87</v>
      </c>
      <c r="T281">
        <v>0</v>
      </c>
      <c r="U281">
        <v>0.25</v>
      </c>
      <c r="V281" s="2">
        <v>1.0416666666666666E-2</v>
      </c>
      <c r="W281">
        <v>0</v>
      </c>
      <c r="AA281" t="s">
        <v>88</v>
      </c>
      <c r="AB281" t="s">
        <v>100</v>
      </c>
      <c r="AC281" t="s">
        <v>84</v>
      </c>
      <c r="AD281" t="s">
        <v>90</v>
      </c>
    </row>
    <row r="282" spans="1:30" hidden="1">
      <c r="A282" s="1">
        <v>45482</v>
      </c>
      <c r="B282" t="s">
        <v>93</v>
      </c>
      <c r="C282" t="s">
        <v>75</v>
      </c>
      <c r="D282" t="s">
        <v>76</v>
      </c>
      <c r="E282" t="s">
        <v>91</v>
      </c>
      <c r="F282" t="s">
        <v>78</v>
      </c>
      <c r="G282" t="s">
        <v>79</v>
      </c>
      <c r="H282" t="s">
        <v>80</v>
      </c>
      <c r="I282" t="s">
        <v>81</v>
      </c>
      <c r="J282" t="s">
        <v>82</v>
      </c>
      <c r="K282" t="s">
        <v>76</v>
      </c>
      <c r="L282" t="s">
        <v>8</v>
      </c>
      <c r="M282" t="s">
        <v>83</v>
      </c>
      <c r="N282" t="s">
        <v>84</v>
      </c>
      <c r="O282" t="s">
        <v>85</v>
      </c>
      <c r="P282">
        <v>270723</v>
      </c>
      <c r="Q282" t="s">
        <v>4</v>
      </c>
      <c r="R282" t="s">
        <v>94</v>
      </c>
      <c r="S282" t="s">
        <v>87</v>
      </c>
      <c r="T282">
        <v>90</v>
      </c>
      <c r="U282">
        <v>1</v>
      </c>
      <c r="V282" s="2">
        <v>4.1666666666666664E-2</v>
      </c>
      <c r="W282">
        <v>90</v>
      </c>
      <c r="X282">
        <v>120</v>
      </c>
      <c r="Y282">
        <v>30</v>
      </c>
      <c r="Z282" t="s">
        <v>217</v>
      </c>
      <c r="AA282" t="s">
        <v>88</v>
      </c>
      <c r="AB282" t="s">
        <v>100</v>
      </c>
      <c r="AC282" t="s">
        <v>226</v>
      </c>
      <c r="AD282" t="s">
        <v>90</v>
      </c>
    </row>
    <row r="283" spans="1:30" hidden="1">
      <c r="A283" s="1">
        <v>45482</v>
      </c>
      <c r="B283" t="s">
        <v>8</v>
      </c>
      <c r="C283" t="s">
        <v>75</v>
      </c>
      <c r="D283" t="s">
        <v>76</v>
      </c>
      <c r="E283" t="s">
        <v>77</v>
      </c>
      <c r="F283" t="s">
        <v>78</v>
      </c>
      <c r="G283" t="s">
        <v>79</v>
      </c>
      <c r="H283" t="s">
        <v>80</v>
      </c>
      <c r="I283" t="s">
        <v>81</v>
      </c>
      <c r="J283" t="s">
        <v>82</v>
      </c>
      <c r="K283" t="s">
        <v>76</v>
      </c>
      <c r="L283" t="s">
        <v>8</v>
      </c>
      <c r="M283" t="s">
        <v>83</v>
      </c>
      <c r="N283" t="s">
        <v>84</v>
      </c>
      <c r="O283" t="s">
        <v>85</v>
      </c>
      <c r="P283">
        <v>269042</v>
      </c>
      <c r="Q283" t="s">
        <v>5</v>
      </c>
      <c r="R283" t="s">
        <v>86</v>
      </c>
      <c r="S283" t="s">
        <v>87</v>
      </c>
      <c r="T283">
        <v>0</v>
      </c>
      <c r="U283">
        <v>0.75</v>
      </c>
      <c r="V283" s="2">
        <v>3.125E-2</v>
      </c>
      <c r="W283">
        <v>0</v>
      </c>
      <c r="AA283" t="s">
        <v>88</v>
      </c>
      <c r="AB283" t="s">
        <v>100</v>
      </c>
      <c r="AC283" t="s">
        <v>84</v>
      </c>
      <c r="AD283" t="s">
        <v>90</v>
      </c>
    </row>
    <row r="284" spans="1:30" hidden="1">
      <c r="A284" s="1">
        <v>45482</v>
      </c>
      <c r="B284" t="s">
        <v>108</v>
      </c>
      <c r="C284" t="s">
        <v>75</v>
      </c>
      <c r="D284" t="s">
        <v>76</v>
      </c>
      <c r="E284" t="s">
        <v>91</v>
      </c>
      <c r="F284" t="s">
        <v>78</v>
      </c>
      <c r="G284" t="s">
        <v>79</v>
      </c>
      <c r="H284" t="s">
        <v>80</v>
      </c>
      <c r="I284" t="s">
        <v>81</v>
      </c>
      <c r="J284" t="s">
        <v>82</v>
      </c>
      <c r="K284" t="s">
        <v>76</v>
      </c>
      <c r="L284" t="s">
        <v>8</v>
      </c>
      <c r="M284" t="s">
        <v>83</v>
      </c>
      <c r="N284" t="s">
        <v>93</v>
      </c>
      <c r="O284" t="s">
        <v>85</v>
      </c>
      <c r="P284">
        <v>269627</v>
      </c>
      <c r="Q284" t="s">
        <v>5</v>
      </c>
      <c r="R284" t="s">
        <v>86</v>
      </c>
      <c r="S284" t="s">
        <v>87</v>
      </c>
      <c r="T284">
        <v>0</v>
      </c>
      <c r="U284">
        <v>0.25</v>
      </c>
      <c r="V284" s="2">
        <v>1.0416666666666666E-2</v>
      </c>
      <c r="W284">
        <v>0</v>
      </c>
      <c r="AA284" t="s">
        <v>88</v>
      </c>
      <c r="AB284" t="s">
        <v>100</v>
      </c>
      <c r="AC284" t="s">
        <v>84</v>
      </c>
      <c r="AD284" t="s">
        <v>90</v>
      </c>
    </row>
    <row r="285" spans="1:30" hidden="1">
      <c r="A285" s="1">
        <v>45483</v>
      </c>
      <c r="B285" t="s">
        <v>10</v>
      </c>
      <c r="C285" t="s">
        <v>92</v>
      </c>
      <c r="D285" t="s">
        <v>76</v>
      </c>
      <c r="E285" t="s">
        <v>91</v>
      </c>
      <c r="F285" t="s">
        <v>78</v>
      </c>
      <c r="G285" t="s">
        <v>79</v>
      </c>
      <c r="H285" t="s">
        <v>80</v>
      </c>
      <c r="I285" t="s">
        <v>81</v>
      </c>
      <c r="J285" t="s">
        <v>82</v>
      </c>
      <c r="K285" t="s">
        <v>76</v>
      </c>
      <c r="L285" t="s">
        <v>8</v>
      </c>
      <c r="M285" t="s">
        <v>83</v>
      </c>
      <c r="N285" t="s">
        <v>93</v>
      </c>
      <c r="O285" t="s">
        <v>85</v>
      </c>
      <c r="P285">
        <v>269274</v>
      </c>
      <c r="Q285" t="s">
        <v>4</v>
      </c>
      <c r="R285" t="s">
        <v>94</v>
      </c>
      <c r="S285" t="s">
        <v>87</v>
      </c>
      <c r="T285">
        <v>90</v>
      </c>
      <c r="U285">
        <v>5</v>
      </c>
      <c r="V285" s="2">
        <v>0.20833333333333334</v>
      </c>
      <c r="W285">
        <v>450</v>
      </c>
      <c r="X285">
        <v>600</v>
      </c>
      <c r="Y285">
        <v>150</v>
      </c>
      <c r="Z285" t="s">
        <v>217</v>
      </c>
      <c r="AA285" t="s">
        <v>88</v>
      </c>
      <c r="AB285" t="s">
        <v>100</v>
      </c>
      <c r="AC285" t="s">
        <v>227</v>
      </c>
      <c r="AD285" t="s">
        <v>90</v>
      </c>
    </row>
    <row r="286" spans="1:30" hidden="1">
      <c r="A286" s="1">
        <v>45483</v>
      </c>
      <c r="B286" t="s">
        <v>211</v>
      </c>
      <c r="C286" t="s">
        <v>75</v>
      </c>
      <c r="D286" t="s">
        <v>76</v>
      </c>
      <c r="E286" t="s">
        <v>91</v>
      </c>
      <c r="F286" t="s">
        <v>78</v>
      </c>
      <c r="G286" t="s">
        <v>79</v>
      </c>
      <c r="H286" t="s">
        <v>80</v>
      </c>
      <c r="I286" t="s">
        <v>81</v>
      </c>
      <c r="J286" t="s">
        <v>82</v>
      </c>
      <c r="K286" t="s">
        <v>76</v>
      </c>
      <c r="L286" t="s">
        <v>8</v>
      </c>
      <c r="M286" t="s">
        <v>83</v>
      </c>
      <c r="N286" t="s">
        <v>93</v>
      </c>
      <c r="O286" t="s">
        <v>85</v>
      </c>
      <c r="P286">
        <v>269267</v>
      </c>
      <c r="Q286" t="s">
        <v>5</v>
      </c>
      <c r="R286" t="s">
        <v>86</v>
      </c>
      <c r="S286" t="s">
        <v>87</v>
      </c>
      <c r="T286">
        <v>0</v>
      </c>
      <c r="U286">
        <v>3.25</v>
      </c>
      <c r="V286" s="2">
        <v>0.13541666666666666</v>
      </c>
      <c r="W286">
        <v>0</v>
      </c>
      <c r="AA286" t="s">
        <v>88</v>
      </c>
      <c r="AB286" t="s">
        <v>100</v>
      </c>
      <c r="AC286" t="s">
        <v>84</v>
      </c>
      <c r="AD286" t="s">
        <v>90</v>
      </c>
    </row>
    <row r="287" spans="1:30" hidden="1">
      <c r="A287" s="1">
        <v>45483</v>
      </c>
      <c r="B287" t="s">
        <v>114</v>
      </c>
      <c r="C287" t="s">
        <v>75</v>
      </c>
      <c r="D287" t="s">
        <v>76</v>
      </c>
      <c r="E287" t="s">
        <v>91</v>
      </c>
      <c r="F287" t="s">
        <v>78</v>
      </c>
      <c r="G287" t="s">
        <v>79</v>
      </c>
      <c r="H287" t="s">
        <v>80</v>
      </c>
      <c r="I287" t="s">
        <v>81</v>
      </c>
      <c r="J287" t="s">
        <v>82</v>
      </c>
      <c r="K287" t="s">
        <v>76</v>
      </c>
      <c r="L287" t="s">
        <v>8</v>
      </c>
      <c r="M287" t="s">
        <v>83</v>
      </c>
      <c r="N287" t="s">
        <v>93</v>
      </c>
      <c r="O287" t="s">
        <v>85</v>
      </c>
      <c r="P287">
        <v>270940</v>
      </c>
      <c r="Q287" t="s">
        <v>5</v>
      </c>
      <c r="R287" t="s">
        <v>86</v>
      </c>
      <c r="S287" t="s">
        <v>87</v>
      </c>
      <c r="T287">
        <v>0</v>
      </c>
      <c r="U287">
        <v>0.25</v>
      </c>
      <c r="V287" s="2">
        <v>1.0416666666666666E-2</v>
      </c>
      <c r="W287">
        <v>0</v>
      </c>
      <c r="AA287" t="s">
        <v>88</v>
      </c>
      <c r="AB287" t="s">
        <v>100</v>
      </c>
      <c r="AC287" t="s">
        <v>179</v>
      </c>
      <c r="AD287" t="s">
        <v>90</v>
      </c>
    </row>
    <row r="288" spans="1:30" hidden="1">
      <c r="A288" s="1">
        <v>45483</v>
      </c>
      <c r="B288" t="s">
        <v>12</v>
      </c>
      <c r="C288" t="s">
        <v>75</v>
      </c>
      <c r="D288" t="s">
        <v>76</v>
      </c>
      <c r="E288" t="s">
        <v>91</v>
      </c>
      <c r="F288" t="s">
        <v>78</v>
      </c>
      <c r="G288" t="s">
        <v>79</v>
      </c>
      <c r="H288" t="s">
        <v>80</v>
      </c>
      <c r="I288" t="s">
        <v>81</v>
      </c>
      <c r="J288" t="s">
        <v>82</v>
      </c>
      <c r="K288" t="s">
        <v>76</v>
      </c>
      <c r="L288" t="s">
        <v>8</v>
      </c>
      <c r="M288" t="s">
        <v>83</v>
      </c>
      <c r="N288" t="s">
        <v>84</v>
      </c>
      <c r="O288" t="s">
        <v>85</v>
      </c>
      <c r="P288">
        <v>269385</v>
      </c>
      <c r="Q288" t="s">
        <v>5</v>
      </c>
      <c r="R288" t="s">
        <v>86</v>
      </c>
      <c r="S288" t="s">
        <v>87</v>
      </c>
      <c r="T288">
        <v>0</v>
      </c>
      <c r="U288">
        <v>0.25</v>
      </c>
      <c r="V288" s="2">
        <v>1.0416666666666666E-2</v>
      </c>
      <c r="W288">
        <v>0</v>
      </c>
      <c r="AA288" t="s">
        <v>88</v>
      </c>
      <c r="AB288" t="s">
        <v>100</v>
      </c>
      <c r="AC288" t="s">
        <v>84</v>
      </c>
      <c r="AD288" t="s">
        <v>90</v>
      </c>
    </row>
    <row r="289" spans="1:30" hidden="1">
      <c r="A289" s="1">
        <v>45483</v>
      </c>
      <c r="B289" t="s">
        <v>93</v>
      </c>
      <c r="C289" t="s">
        <v>75</v>
      </c>
      <c r="D289" t="s">
        <v>76</v>
      </c>
      <c r="E289" t="s">
        <v>91</v>
      </c>
      <c r="F289" t="s">
        <v>78</v>
      </c>
      <c r="G289" t="s">
        <v>79</v>
      </c>
      <c r="H289" t="s">
        <v>80</v>
      </c>
      <c r="I289" t="s">
        <v>81</v>
      </c>
      <c r="J289" t="s">
        <v>82</v>
      </c>
      <c r="K289" t="s">
        <v>76</v>
      </c>
      <c r="L289" t="s">
        <v>8</v>
      </c>
      <c r="M289" t="s">
        <v>83</v>
      </c>
      <c r="N289" t="s">
        <v>84</v>
      </c>
      <c r="O289" t="s">
        <v>85</v>
      </c>
      <c r="P289">
        <v>270724</v>
      </c>
      <c r="Q289" t="s">
        <v>4</v>
      </c>
      <c r="R289" t="s">
        <v>94</v>
      </c>
      <c r="S289" t="s">
        <v>87</v>
      </c>
      <c r="T289">
        <v>90</v>
      </c>
      <c r="U289">
        <v>1</v>
      </c>
      <c r="V289" s="2">
        <v>4.1666666666666664E-2</v>
      </c>
      <c r="W289">
        <v>90</v>
      </c>
      <c r="X289">
        <v>120</v>
      </c>
      <c r="Y289">
        <v>30</v>
      </c>
      <c r="Z289" t="s">
        <v>217</v>
      </c>
      <c r="AA289" t="s">
        <v>88</v>
      </c>
      <c r="AB289" t="s">
        <v>100</v>
      </c>
      <c r="AC289" t="s">
        <v>226</v>
      </c>
      <c r="AD289" t="s">
        <v>90</v>
      </c>
    </row>
    <row r="290" spans="1:30" hidden="1">
      <c r="A290" s="1">
        <v>45483</v>
      </c>
      <c r="B290" t="s">
        <v>8</v>
      </c>
      <c r="C290" t="s">
        <v>75</v>
      </c>
      <c r="D290" t="s">
        <v>76</v>
      </c>
      <c r="E290" t="s">
        <v>77</v>
      </c>
      <c r="F290" t="s">
        <v>78</v>
      </c>
      <c r="G290" t="s">
        <v>79</v>
      </c>
      <c r="H290" t="s">
        <v>80</v>
      </c>
      <c r="I290" t="s">
        <v>81</v>
      </c>
      <c r="J290" t="s">
        <v>82</v>
      </c>
      <c r="K290" t="s">
        <v>76</v>
      </c>
      <c r="L290" t="s">
        <v>8</v>
      </c>
      <c r="M290" t="s">
        <v>83</v>
      </c>
      <c r="N290" t="s">
        <v>84</v>
      </c>
      <c r="O290" t="s">
        <v>85</v>
      </c>
      <c r="P290">
        <v>269554</v>
      </c>
      <c r="Q290" t="s">
        <v>5</v>
      </c>
      <c r="R290" t="s">
        <v>86</v>
      </c>
      <c r="S290" t="s">
        <v>87</v>
      </c>
      <c r="T290">
        <v>0</v>
      </c>
      <c r="U290">
        <v>0.25</v>
      </c>
      <c r="V290" s="2">
        <v>1.0416666666666666E-2</v>
      </c>
      <c r="W290">
        <v>0</v>
      </c>
      <c r="AA290" t="s">
        <v>88</v>
      </c>
      <c r="AB290" t="s">
        <v>100</v>
      </c>
      <c r="AC290" t="s">
        <v>84</v>
      </c>
      <c r="AD290" t="s">
        <v>90</v>
      </c>
    </row>
    <row r="291" spans="1:30" hidden="1">
      <c r="A291" s="1">
        <v>45483</v>
      </c>
      <c r="B291" t="s">
        <v>108</v>
      </c>
      <c r="C291" t="s">
        <v>75</v>
      </c>
      <c r="D291" t="s">
        <v>76</v>
      </c>
      <c r="E291" t="s">
        <v>91</v>
      </c>
      <c r="F291" t="s">
        <v>78</v>
      </c>
      <c r="G291" t="s">
        <v>79</v>
      </c>
      <c r="H291" t="s">
        <v>80</v>
      </c>
      <c r="I291" t="s">
        <v>81</v>
      </c>
      <c r="J291" t="s">
        <v>82</v>
      </c>
      <c r="K291" t="s">
        <v>76</v>
      </c>
      <c r="L291" t="s">
        <v>8</v>
      </c>
      <c r="M291" t="s">
        <v>83</v>
      </c>
      <c r="N291" t="s">
        <v>93</v>
      </c>
      <c r="O291" t="s">
        <v>85</v>
      </c>
      <c r="P291">
        <v>269628</v>
      </c>
      <c r="Q291" t="s">
        <v>5</v>
      </c>
      <c r="R291" t="s">
        <v>86</v>
      </c>
      <c r="S291" t="s">
        <v>87</v>
      </c>
      <c r="T291">
        <v>0</v>
      </c>
      <c r="U291">
        <v>0.25</v>
      </c>
      <c r="V291" s="2">
        <v>1.0416666666666666E-2</v>
      </c>
      <c r="W291">
        <v>0</v>
      </c>
      <c r="AA291" t="s">
        <v>88</v>
      </c>
      <c r="AB291" t="s">
        <v>100</v>
      </c>
      <c r="AC291" t="s">
        <v>84</v>
      </c>
      <c r="AD291" t="s">
        <v>90</v>
      </c>
    </row>
    <row r="292" spans="1:30" hidden="1">
      <c r="A292" s="1">
        <v>45484</v>
      </c>
      <c r="B292" t="s">
        <v>14</v>
      </c>
      <c r="C292" t="s">
        <v>75</v>
      </c>
      <c r="D292" t="s">
        <v>76</v>
      </c>
      <c r="E292" t="s">
        <v>77</v>
      </c>
      <c r="F292" t="s">
        <v>78</v>
      </c>
      <c r="G292" t="s">
        <v>79</v>
      </c>
      <c r="H292" t="s">
        <v>80</v>
      </c>
      <c r="I292" t="s">
        <v>81</v>
      </c>
      <c r="J292" t="s">
        <v>82</v>
      </c>
      <c r="K292" t="s">
        <v>76</v>
      </c>
      <c r="L292" t="s">
        <v>8</v>
      </c>
      <c r="M292" t="s">
        <v>83</v>
      </c>
      <c r="N292" t="s">
        <v>84</v>
      </c>
      <c r="O292" t="s">
        <v>85</v>
      </c>
      <c r="P292">
        <v>269953</v>
      </c>
      <c r="Q292" t="s">
        <v>5</v>
      </c>
      <c r="R292" t="s">
        <v>86</v>
      </c>
      <c r="S292" t="s">
        <v>87</v>
      </c>
      <c r="T292">
        <v>0</v>
      </c>
      <c r="U292">
        <v>0.25</v>
      </c>
      <c r="V292" s="2">
        <v>1.0416666666666666E-2</v>
      </c>
      <c r="W292">
        <v>0</v>
      </c>
      <c r="AA292" t="s">
        <v>88</v>
      </c>
      <c r="AB292" t="s">
        <v>100</v>
      </c>
      <c r="AC292" t="s">
        <v>84</v>
      </c>
      <c r="AD292" t="s">
        <v>90</v>
      </c>
    </row>
    <row r="293" spans="1:30" hidden="1">
      <c r="A293" s="1">
        <v>45484</v>
      </c>
      <c r="B293" t="s">
        <v>211</v>
      </c>
      <c r="C293" t="s">
        <v>75</v>
      </c>
      <c r="D293" t="s">
        <v>76</v>
      </c>
      <c r="E293" t="s">
        <v>91</v>
      </c>
      <c r="F293" t="s">
        <v>78</v>
      </c>
      <c r="G293" t="s">
        <v>79</v>
      </c>
      <c r="H293" t="s">
        <v>80</v>
      </c>
      <c r="I293" t="s">
        <v>81</v>
      </c>
      <c r="J293" t="s">
        <v>82</v>
      </c>
      <c r="K293" t="s">
        <v>76</v>
      </c>
      <c r="L293" t="s">
        <v>8</v>
      </c>
      <c r="M293" t="s">
        <v>83</v>
      </c>
      <c r="N293" t="s">
        <v>93</v>
      </c>
      <c r="O293" t="s">
        <v>85</v>
      </c>
      <c r="P293">
        <v>270762</v>
      </c>
      <c r="Q293" t="s">
        <v>5</v>
      </c>
      <c r="R293" t="s">
        <v>86</v>
      </c>
      <c r="S293" t="s">
        <v>87</v>
      </c>
      <c r="T293">
        <v>0</v>
      </c>
      <c r="U293">
        <v>0.5</v>
      </c>
      <c r="V293" s="2">
        <v>2.0833333333333332E-2</v>
      </c>
      <c r="W293">
        <v>0</v>
      </c>
      <c r="AA293" t="s">
        <v>88</v>
      </c>
      <c r="AB293" t="s">
        <v>100</v>
      </c>
      <c r="AC293" t="s">
        <v>84</v>
      </c>
      <c r="AD293" t="s">
        <v>90</v>
      </c>
    </row>
    <row r="294" spans="1:30" hidden="1">
      <c r="A294" s="1">
        <v>45484</v>
      </c>
      <c r="B294" t="s">
        <v>114</v>
      </c>
      <c r="C294" t="s">
        <v>75</v>
      </c>
      <c r="D294" t="s">
        <v>76</v>
      </c>
      <c r="E294" t="s">
        <v>91</v>
      </c>
      <c r="F294" t="s">
        <v>78</v>
      </c>
      <c r="G294" t="s">
        <v>79</v>
      </c>
      <c r="H294" t="s">
        <v>80</v>
      </c>
      <c r="I294" t="s">
        <v>81</v>
      </c>
      <c r="J294" t="s">
        <v>82</v>
      </c>
      <c r="K294" t="s">
        <v>76</v>
      </c>
      <c r="L294" t="s">
        <v>8</v>
      </c>
      <c r="M294" t="s">
        <v>83</v>
      </c>
      <c r="N294" t="s">
        <v>93</v>
      </c>
      <c r="O294" t="s">
        <v>85</v>
      </c>
      <c r="P294">
        <v>270944</v>
      </c>
      <c r="Q294" t="s">
        <v>5</v>
      </c>
      <c r="R294" t="s">
        <v>86</v>
      </c>
      <c r="S294" t="s">
        <v>87</v>
      </c>
      <c r="T294">
        <v>0</v>
      </c>
      <c r="U294">
        <v>0.25</v>
      </c>
      <c r="V294" s="2">
        <v>1.0416666666666666E-2</v>
      </c>
      <c r="W294">
        <v>0</v>
      </c>
      <c r="AA294" t="s">
        <v>88</v>
      </c>
      <c r="AB294" t="s">
        <v>100</v>
      </c>
      <c r="AC294" t="s">
        <v>179</v>
      </c>
      <c r="AD294" t="s">
        <v>90</v>
      </c>
    </row>
    <row r="295" spans="1:30" hidden="1">
      <c r="A295" s="1">
        <v>45484</v>
      </c>
      <c r="B295" t="s">
        <v>12</v>
      </c>
      <c r="C295" t="s">
        <v>75</v>
      </c>
      <c r="D295" t="s">
        <v>76</v>
      </c>
      <c r="E295" t="s">
        <v>91</v>
      </c>
      <c r="F295" t="s">
        <v>78</v>
      </c>
      <c r="G295" t="s">
        <v>79</v>
      </c>
      <c r="H295" t="s">
        <v>80</v>
      </c>
      <c r="I295" t="s">
        <v>81</v>
      </c>
      <c r="J295" t="s">
        <v>82</v>
      </c>
      <c r="K295" t="s">
        <v>76</v>
      </c>
      <c r="L295" t="s">
        <v>8</v>
      </c>
      <c r="M295" t="s">
        <v>83</v>
      </c>
      <c r="N295" t="s">
        <v>84</v>
      </c>
      <c r="O295" t="s">
        <v>85</v>
      </c>
      <c r="P295">
        <v>270549</v>
      </c>
      <c r="Q295" t="s">
        <v>5</v>
      </c>
      <c r="R295" t="s">
        <v>86</v>
      </c>
      <c r="S295" t="s">
        <v>87</v>
      </c>
      <c r="T295">
        <v>0</v>
      </c>
      <c r="U295">
        <v>0.25</v>
      </c>
      <c r="V295" s="2">
        <v>1.0416666666666666E-2</v>
      </c>
      <c r="W295">
        <v>0</v>
      </c>
      <c r="AA295" t="s">
        <v>88</v>
      </c>
      <c r="AB295" t="s">
        <v>100</v>
      </c>
      <c r="AC295" t="s">
        <v>84</v>
      </c>
      <c r="AD295" t="s">
        <v>90</v>
      </c>
    </row>
    <row r="296" spans="1:30" hidden="1">
      <c r="A296" s="1">
        <v>45484</v>
      </c>
      <c r="B296" t="s">
        <v>8</v>
      </c>
      <c r="C296" t="s">
        <v>75</v>
      </c>
      <c r="D296" t="s">
        <v>76</v>
      </c>
      <c r="E296" t="s">
        <v>77</v>
      </c>
      <c r="F296" t="s">
        <v>78</v>
      </c>
      <c r="G296" t="s">
        <v>79</v>
      </c>
      <c r="H296" t="s">
        <v>80</v>
      </c>
      <c r="I296" t="s">
        <v>81</v>
      </c>
      <c r="J296" t="s">
        <v>82</v>
      </c>
      <c r="K296" t="s">
        <v>76</v>
      </c>
      <c r="L296" t="s">
        <v>8</v>
      </c>
      <c r="M296" t="s">
        <v>83</v>
      </c>
      <c r="N296" t="s">
        <v>84</v>
      </c>
      <c r="O296" t="s">
        <v>85</v>
      </c>
      <c r="P296">
        <v>269993</v>
      </c>
      <c r="Q296" t="s">
        <v>5</v>
      </c>
      <c r="R296" t="s">
        <v>86</v>
      </c>
      <c r="S296" t="s">
        <v>87</v>
      </c>
      <c r="T296">
        <v>0</v>
      </c>
      <c r="U296">
        <v>0.25</v>
      </c>
      <c r="V296" s="2">
        <v>1.0416666666666666E-2</v>
      </c>
      <c r="W296">
        <v>0</v>
      </c>
      <c r="AA296" t="s">
        <v>88</v>
      </c>
      <c r="AB296" t="s">
        <v>100</v>
      </c>
      <c r="AC296" t="s">
        <v>84</v>
      </c>
      <c r="AD296" t="s">
        <v>90</v>
      </c>
    </row>
    <row r="297" spans="1:30" hidden="1">
      <c r="A297" s="1">
        <v>45484</v>
      </c>
      <c r="B297" t="s">
        <v>108</v>
      </c>
      <c r="C297" t="s">
        <v>75</v>
      </c>
      <c r="D297" t="s">
        <v>76</v>
      </c>
      <c r="E297" t="s">
        <v>91</v>
      </c>
      <c r="F297" t="s">
        <v>78</v>
      </c>
      <c r="G297" t="s">
        <v>79</v>
      </c>
      <c r="H297" t="s">
        <v>80</v>
      </c>
      <c r="I297" t="s">
        <v>81</v>
      </c>
      <c r="J297" t="s">
        <v>82</v>
      </c>
      <c r="K297" t="s">
        <v>76</v>
      </c>
      <c r="L297" t="s">
        <v>8</v>
      </c>
      <c r="M297" t="s">
        <v>83</v>
      </c>
      <c r="N297" t="s">
        <v>93</v>
      </c>
      <c r="O297" t="s">
        <v>85</v>
      </c>
      <c r="P297">
        <v>269629</v>
      </c>
      <c r="Q297" t="s">
        <v>5</v>
      </c>
      <c r="R297" t="s">
        <v>86</v>
      </c>
      <c r="S297" t="s">
        <v>87</v>
      </c>
      <c r="T297">
        <v>0</v>
      </c>
      <c r="U297">
        <v>0.25</v>
      </c>
      <c r="V297" s="2">
        <v>1.0416666666666666E-2</v>
      </c>
      <c r="W297">
        <v>0</v>
      </c>
      <c r="AA297" t="s">
        <v>88</v>
      </c>
      <c r="AB297" t="s">
        <v>100</v>
      </c>
      <c r="AC297" t="s">
        <v>84</v>
      </c>
      <c r="AD297" t="s">
        <v>90</v>
      </c>
    </row>
    <row r="298" spans="1:30" hidden="1">
      <c r="A298" s="1">
        <v>45485</v>
      </c>
      <c r="B298" t="s">
        <v>211</v>
      </c>
      <c r="C298" t="s">
        <v>75</v>
      </c>
      <c r="D298" t="s">
        <v>76</v>
      </c>
      <c r="E298" t="s">
        <v>91</v>
      </c>
      <c r="F298" t="s">
        <v>78</v>
      </c>
      <c r="G298" t="s">
        <v>79</v>
      </c>
      <c r="H298" t="s">
        <v>80</v>
      </c>
      <c r="I298" t="s">
        <v>81</v>
      </c>
      <c r="J298" t="s">
        <v>82</v>
      </c>
      <c r="K298" t="s">
        <v>76</v>
      </c>
      <c r="L298" t="s">
        <v>8</v>
      </c>
      <c r="M298" t="s">
        <v>83</v>
      </c>
      <c r="N298" t="s">
        <v>93</v>
      </c>
      <c r="O298" t="s">
        <v>85</v>
      </c>
      <c r="P298">
        <v>270473</v>
      </c>
      <c r="Q298" t="s">
        <v>5</v>
      </c>
      <c r="R298" t="s">
        <v>86</v>
      </c>
      <c r="S298" t="s">
        <v>87</v>
      </c>
      <c r="T298">
        <v>0</v>
      </c>
      <c r="U298">
        <v>1.5</v>
      </c>
      <c r="V298" s="2">
        <v>6.25E-2</v>
      </c>
      <c r="W298">
        <v>0</v>
      </c>
      <c r="AA298" t="s">
        <v>88</v>
      </c>
      <c r="AB298" t="s">
        <v>100</v>
      </c>
      <c r="AC298" t="s">
        <v>84</v>
      </c>
      <c r="AD298" t="s">
        <v>90</v>
      </c>
    </row>
    <row r="299" spans="1:30" hidden="1">
      <c r="A299" s="1">
        <v>45485</v>
      </c>
      <c r="B299" t="s">
        <v>114</v>
      </c>
      <c r="C299" t="s">
        <v>75</v>
      </c>
      <c r="D299" t="s">
        <v>76</v>
      </c>
      <c r="E299" t="s">
        <v>91</v>
      </c>
      <c r="F299" t="s">
        <v>78</v>
      </c>
      <c r="G299" t="s">
        <v>79</v>
      </c>
      <c r="H299" t="s">
        <v>80</v>
      </c>
      <c r="I299" t="s">
        <v>81</v>
      </c>
      <c r="J299" t="s">
        <v>82</v>
      </c>
      <c r="K299" t="s">
        <v>76</v>
      </c>
      <c r="L299" t="s">
        <v>8</v>
      </c>
      <c r="M299" t="s">
        <v>83</v>
      </c>
      <c r="N299" t="s">
        <v>93</v>
      </c>
      <c r="O299" t="s">
        <v>85</v>
      </c>
      <c r="P299">
        <v>270945</v>
      </c>
      <c r="Q299" t="s">
        <v>5</v>
      </c>
      <c r="R299" t="s">
        <v>86</v>
      </c>
      <c r="S299" t="s">
        <v>87</v>
      </c>
      <c r="T299">
        <v>0</v>
      </c>
      <c r="U299">
        <v>0.25</v>
      </c>
      <c r="V299" s="2">
        <v>1.0416666666666666E-2</v>
      </c>
      <c r="W299">
        <v>0</v>
      </c>
      <c r="AA299" t="s">
        <v>88</v>
      </c>
      <c r="AB299" t="s">
        <v>100</v>
      </c>
      <c r="AC299" t="s">
        <v>179</v>
      </c>
      <c r="AD299" t="s">
        <v>90</v>
      </c>
    </row>
    <row r="300" spans="1:30" hidden="1">
      <c r="A300" s="1">
        <v>45485</v>
      </c>
      <c r="B300" t="s">
        <v>93</v>
      </c>
      <c r="C300" t="s">
        <v>75</v>
      </c>
      <c r="D300" t="s">
        <v>76</v>
      </c>
      <c r="E300" t="s">
        <v>91</v>
      </c>
      <c r="F300" t="s">
        <v>78</v>
      </c>
      <c r="G300" t="s">
        <v>79</v>
      </c>
      <c r="H300" t="s">
        <v>80</v>
      </c>
      <c r="I300" t="s">
        <v>81</v>
      </c>
      <c r="J300" t="s">
        <v>82</v>
      </c>
      <c r="K300" t="s">
        <v>76</v>
      </c>
      <c r="L300" t="s">
        <v>8</v>
      </c>
      <c r="M300" t="s">
        <v>83</v>
      </c>
      <c r="N300" t="s">
        <v>84</v>
      </c>
      <c r="O300" t="s">
        <v>85</v>
      </c>
      <c r="P300">
        <v>270744</v>
      </c>
      <c r="Q300" t="s">
        <v>4</v>
      </c>
      <c r="R300" t="s">
        <v>94</v>
      </c>
      <c r="S300" t="s">
        <v>87</v>
      </c>
      <c r="T300">
        <v>90</v>
      </c>
      <c r="U300">
        <v>0.25</v>
      </c>
      <c r="V300" s="2">
        <v>1.0416666666666666E-2</v>
      </c>
      <c r="W300">
        <v>22.5</v>
      </c>
      <c r="X300">
        <v>30</v>
      </c>
      <c r="Y300">
        <v>7.5</v>
      </c>
      <c r="Z300" t="s">
        <v>217</v>
      </c>
      <c r="AA300" t="s">
        <v>88</v>
      </c>
      <c r="AB300" t="s">
        <v>100</v>
      </c>
      <c r="AC300" t="s">
        <v>228</v>
      </c>
      <c r="AD300" t="s">
        <v>90</v>
      </c>
    </row>
    <row r="301" spans="1:30" hidden="1">
      <c r="A301" s="1">
        <v>45485</v>
      </c>
      <c r="B301" t="s">
        <v>8</v>
      </c>
      <c r="C301" t="s">
        <v>75</v>
      </c>
      <c r="D301" t="s">
        <v>76</v>
      </c>
      <c r="E301" t="s">
        <v>77</v>
      </c>
      <c r="F301" t="s">
        <v>78</v>
      </c>
      <c r="G301" t="s">
        <v>79</v>
      </c>
      <c r="H301" t="s">
        <v>80</v>
      </c>
      <c r="I301" t="s">
        <v>81</v>
      </c>
      <c r="J301" t="s">
        <v>82</v>
      </c>
      <c r="K301" t="s">
        <v>76</v>
      </c>
      <c r="L301" t="s">
        <v>8</v>
      </c>
      <c r="M301" t="s">
        <v>83</v>
      </c>
      <c r="N301" t="s">
        <v>84</v>
      </c>
      <c r="O301" t="s">
        <v>85</v>
      </c>
      <c r="P301">
        <v>270566</v>
      </c>
      <c r="Q301" t="s">
        <v>5</v>
      </c>
      <c r="R301" t="s">
        <v>86</v>
      </c>
      <c r="S301" t="s">
        <v>87</v>
      </c>
      <c r="T301">
        <v>0</v>
      </c>
      <c r="U301">
        <v>0.25</v>
      </c>
      <c r="V301" s="2">
        <v>1.0416666666666666E-2</v>
      </c>
      <c r="W301">
        <v>0</v>
      </c>
      <c r="AA301" t="s">
        <v>88</v>
      </c>
      <c r="AB301" t="s">
        <v>100</v>
      </c>
      <c r="AC301" t="s">
        <v>84</v>
      </c>
      <c r="AD301" t="s">
        <v>90</v>
      </c>
    </row>
    <row r="302" spans="1:30" hidden="1">
      <c r="A302" s="1">
        <v>45485</v>
      </c>
      <c r="B302" t="s">
        <v>108</v>
      </c>
      <c r="C302" t="s">
        <v>75</v>
      </c>
      <c r="D302" t="s">
        <v>76</v>
      </c>
      <c r="E302" t="s">
        <v>91</v>
      </c>
      <c r="F302" t="s">
        <v>78</v>
      </c>
      <c r="G302" t="s">
        <v>79</v>
      </c>
      <c r="H302" t="s">
        <v>80</v>
      </c>
      <c r="I302" t="s">
        <v>81</v>
      </c>
      <c r="J302" t="s">
        <v>82</v>
      </c>
      <c r="K302" t="s">
        <v>76</v>
      </c>
      <c r="L302" t="s">
        <v>8</v>
      </c>
      <c r="M302" t="s">
        <v>83</v>
      </c>
      <c r="N302" t="s">
        <v>93</v>
      </c>
      <c r="O302" t="s">
        <v>85</v>
      </c>
      <c r="P302">
        <v>270851</v>
      </c>
      <c r="Q302" t="s">
        <v>5</v>
      </c>
      <c r="R302" t="s">
        <v>86</v>
      </c>
      <c r="S302" t="s">
        <v>87</v>
      </c>
      <c r="T302">
        <v>0</v>
      </c>
      <c r="U302">
        <v>0.25</v>
      </c>
      <c r="V302" s="2">
        <v>1.0416666666666666E-2</v>
      </c>
      <c r="W302">
        <v>0</v>
      </c>
      <c r="AA302" t="s">
        <v>88</v>
      </c>
      <c r="AB302" t="s">
        <v>100</v>
      </c>
      <c r="AC302" t="s">
        <v>84</v>
      </c>
      <c r="AD302" t="s">
        <v>90</v>
      </c>
    </row>
    <row r="303" spans="1:30" hidden="1">
      <c r="A303" s="1">
        <v>45488</v>
      </c>
      <c r="B303" t="s">
        <v>14</v>
      </c>
      <c r="C303" t="s">
        <v>75</v>
      </c>
      <c r="D303" t="s">
        <v>76</v>
      </c>
      <c r="E303" t="s">
        <v>77</v>
      </c>
      <c r="F303" t="s">
        <v>78</v>
      </c>
      <c r="G303" t="s">
        <v>79</v>
      </c>
      <c r="H303" t="s">
        <v>80</v>
      </c>
      <c r="I303" t="s">
        <v>81</v>
      </c>
      <c r="J303" t="s">
        <v>82</v>
      </c>
      <c r="K303" t="s">
        <v>76</v>
      </c>
      <c r="L303" t="s">
        <v>8</v>
      </c>
      <c r="M303" t="s">
        <v>83</v>
      </c>
      <c r="N303" t="s">
        <v>84</v>
      </c>
      <c r="O303" t="s">
        <v>85</v>
      </c>
      <c r="P303">
        <v>271335</v>
      </c>
      <c r="Q303" t="s">
        <v>5</v>
      </c>
      <c r="R303" t="s">
        <v>86</v>
      </c>
      <c r="S303" t="s">
        <v>87</v>
      </c>
      <c r="T303">
        <v>0</v>
      </c>
      <c r="U303">
        <v>0.25</v>
      </c>
      <c r="V303" s="2">
        <v>1.0416666666666666E-2</v>
      </c>
      <c r="W303">
        <v>0</v>
      </c>
      <c r="AA303" t="s">
        <v>88</v>
      </c>
      <c r="AB303" t="s">
        <v>100</v>
      </c>
      <c r="AC303" t="s">
        <v>229</v>
      </c>
      <c r="AD303" t="s">
        <v>90</v>
      </c>
    </row>
    <row r="304" spans="1:30" hidden="1">
      <c r="A304" s="1">
        <v>45488</v>
      </c>
      <c r="B304" t="s">
        <v>211</v>
      </c>
      <c r="C304" t="s">
        <v>75</v>
      </c>
      <c r="D304" t="s">
        <v>76</v>
      </c>
      <c r="E304" t="s">
        <v>91</v>
      </c>
      <c r="F304" t="s">
        <v>78</v>
      </c>
      <c r="G304" t="s">
        <v>79</v>
      </c>
      <c r="H304" t="s">
        <v>80</v>
      </c>
      <c r="I304" t="s">
        <v>81</v>
      </c>
      <c r="J304" t="s">
        <v>82</v>
      </c>
      <c r="K304" t="s">
        <v>76</v>
      </c>
      <c r="L304" t="s">
        <v>8</v>
      </c>
      <c r="M304" t="s">
        <v>83</v>
      </c>
      <c r="N304" t="s">
        <v>93</v>
      </c>
      <c r="O304" t="s">
        <v>85</v>
      </c>
      <c r="P304">
        <v>271376</v>
      </c>
      <c r="Q304" t="s">
        <v>5</v>
      </c>
      <c r="R304" t="s">
        <v>86</v>
      </c>
      <c r="S304" t="s">
        <v>87</v>
      </c>
      <c r="T304">
        <v>0</v>
      </c>
      <c r="U304">
        <v>0.75</v>
      </c>
      <c r="V304" s="2">
        <v>3.125E-2</v>
      </c>
      <c r="W304">
        <v>0</v>
      </c>
      <c r="AA304" t="s">
        <v>88</v>
      </c>
      <c r="AB304" t="s">
        <v>100</v>
      </c>
      <c r="AC304" t="s">
        <v>84</v>
      </c>
      <c r="AD304" t="s">
        <v>90</v>
      </c>
    </row>
    <row r="305" spans="1:30" hidden="1">
      <c r="A305" s="1">
        <v>45488</v>
      </c>
      <c r="B305" t="s">
        <v>12</v>
      </c>
      <c r="C305" t="s">
        <v>75</v>
      </c>
      <c r="D305" t="s">
        <v>76</v>
      </c>
      <c r="E305" t="s">
        <v>91</v>
      </c>
      <c r="F305" t="s">
        <v>78</v>
      </c>
      <c r="G305" t="s">
        <v>79</v>
      </c>
      <c r="H305" t="s">
        <v>80</v>
      </c>
      <c r="I305" t="s">
        <v>81</v>
      </c>
      <c r="J305" t="s">
        <v>82</v>
      </c>
      <c r="K305" t="s">
        <v>76</v>
      </c>
      <c r="L305" t="s">
        <v>8</v>
      </c>
      <c r="M305" t="s">
        <v>83</v>
      </c>
      <c r="N305" t="s">
        <v>84</v>
      </c>
      <c r="O305" t="s">
        <v>85</v>
      </c>
      <c r="P305">
        <v>271698</v>
      </c>
      <c r="Q305" t="s">
        <v>5</v>
      </c>
      <c r="R305" t="s">
        <v>86</v>
      </c>
      <c r="S305" t="s">
        <v>87</v>
      </c>
      <c r="T305">
        <v>0</v>
      </c>
      <c r="U305">
        <v>0.25</v>
      </c>
      <c r="V305" s="2">
        <v>1.0416666666666666E-2</v>
      </c>
      <c r="W305">
        <v>0</v>
      </c>
      <c r="AA305" t="s">
        <v>88</v>
      </c>
      <c r="AB305" t="s">
        <v>100</v>
      </c>
      <c r="AC305" t="s">
        <v>84</v>
      </c>
      <c r="AD305" t="s">
        <v>90</v>
      </c>
    </row>
    <row r="306" spans="1:30" hidden="1">
      <c r="A306" s="1">
        <v>45488</v>
      </c>
      <c r="B306" t="s">
        <v>180</v>
      </c>
      <c r="C306" t="s">
        <v>75</v>
      </c>
      <c r="D306" t="s">
        <v>76</v>
      </c>
      <c r="E306" t="s">
        <v>91</v>
      </c>
      <c r="F306" t="s">
        <v>78</v>
      </c>
      <c r="G306" t="s">
        <v>79</v>
      </c>
      <c r="H306" t="s">
        <v>80</v>
      </c>
      <c r="I306" t="s">
        <v>81</v>
      </c>
      <c r="J306" t="s">
        <v>82</v>
      </c>
      <c r="K306" t="s">
        <v>76</v>
      </c>
      <c r="L306" t="s">
        <v>8</v>
      </c>
      <c r="M306" t="s">
        <v>83</v>
      </c>
      <c r="N306" t="s">
        <v>84</v>
      </c>
      <c r="O306" t="s">
        <v>85</v>
      </c>
      <c r="P306">
        <v>271381</v>
      </c>
      <c r="Q306" t="s">
        <v>5</v>
      </c>
      <c r="R306" t="s">
        <v>86</v>
      </c>
      <c r="S306" t="s">
        <v>87</v>
      </c>
      <c r="T306">
        <v>0</v>
      </c>
      <c r="U306">
        <v>0.75</v>
      </c>
      <c r="V306" s="2">
        <v>3.125E-2</v>
      </c>
      <c r="W306">
        <v>0</v>
      </c>
      <c r="AA306" t="s">
        <v>88</v>
      </c>
      <c r="AB306" t="s">
        <v>100</v>
      </c>
      <c r="AC306" t="s">
        <v>230</v>
      </c>
      <c r="AD306" t="s">
        <v>90</v>
      </c>
    </row>
    <row r="307" spans="1:30" hidden="1">
      <c r="A307" s="1">
        <v>45488</v>
      </c>
      <c r="B307" t="s">
        <v>8</v>
      </c>
      <c r="C307" t="s">
        <v>75</v>
      </c>
      <c r="D307" t="s">
        <v>76</v>
      </c>
      <c r="E307" t="s">
        <v>77</v>
      </c>
      <c r="F307" t="s">
        <v>78</v>
      </c>
      <c r="G307" t="s">
        <v>79</v>
      </c>
      <c r="H307" t="s">
        <v>80</v>
      </c>
      <c r="I307" t="s">
        <v>81</v>
      </c>
      <c r="J307" t="s">
        <v>82</v>
      </c>
      <c r="K307" t="s">
        <v>76</v>
      </c>
      <c r="L307" t="s">
        <v>8</v>
      </c>
      <c r="M307" t="s">
        <v>83</v>
      </c>
      <c r="N307" t="s">
        <v>84</v>
      </c>
      <c r="O307" t="s">
        <v>85</v>
      </c>
      <c r="P307">
        <v>271450</v>
      </c>
      <c r="Q307" t="s">
        <v>5</v>
      </c>
      <c r="R307" t="s">
        <v>86</v>
      </c>
      <c r="S307" t="s">
        <v>87</v>
      </c>
      <c r="T307">
        <v>0</v>
      </c>
      <c r="U307">
        <v>0.75</v>
      </c>
      <c r="V307" s="2">
        <v>3.125E-2</v>
      </c>
      <c r="W307">
        <v>0</v>
      </c>
      <c r="AA307" t="s">
        <v>88</v>
      </c>
      <c r="AB307" t="s">
        <v>100</v>
      </c>
      <c r="AC307" t="s">
        <v>84</v>
      </c>
      <c r="AD307" t="s">
        <v>90</v>
      </c>
    </row>
    <row r="308" spans="1:30" hidden="1">
      <c r="A308" s="1">
        <v>45488</v>
      </c>
      <c r="B308" t="s">
        <v>108</v>
      </c>
      <c r="C308" t="s">
        <v>75</v>
      </c>
      <c r="D308" t="s">
        <v>76</v>
      </c>
      <c r="E308" t="s">
        <v>91</v>
      </c>
      <c r="F308" t="s">
        <v>78</v>
      </c>
      <c r="G308" t="s">
        <v>79</v>
      </c>
      <c r="H308" t="s">
        <v>80</v>
      </c>
      <c r="I308" t="s">
        <v>81</v>
      </c>
      <c r="J308" t="s">
        <v>82</v>
      </c>
      <c r="K308" t="s">
        <v>76</v>
      </c>
      <c r="L308" t="s">
        <v>8</v>
      </c>
      <c r="M308" t="s">
        <v>83</v>
      </c>
      <c r="N308" t="s">
        <v>93</v>
      </c>
      <c r="O308" t="s">
        <v>85</v>
      </c>
      <c r="P308">
        <v>271635</v>
      </c>
      <c r="Q308" t="s">
        <v>5</v>
      </c>
      <c r="R308" t="s">
        <v>86</v>
      </c>
      <c r="S308" t="s">
        <v>87</v>
      </c>
      <c r="T308">
        <v>0</v>
      </c>
      <c r="U308">
        <v>0.25</v>
      </c>
      <c r="V308" s="2">
        <v>1.0416666666666666E-2</v>
      </c>
      <c r="W308">
        <v>0</v>
      </c>
      <c r="AA308" t="s">
        <v>88</v>
      </c>
      <c r="AB308" t="s">
        <v>100</v>
      </c>
      <c r="AC308" t="s">
        <v>84</v>
      </c>
      <c r="AD308" t="s">
        <v>90</v>
      </c>
    </row>
    <row r="309" spans="1:30" hidden="1">
      <c r="A309" s="1">
        <v>45489</v>
      </c>
      <c r="B309" t="s">
        <v>10</v>
      </c>
      <c r="C309" t="s">
        <v>92</v>
      </c>
      <c r="D309" t="s">
        <v>76</v>
      </c>
      <c r="E309" t="s">
        <v>91</v>
      </c>
      <c r="F309" t="s">
        <v>78</v>
      </c>
      <c r="G309" t="s">
        <v>79</v>
      </c>
      <c r="H309" t="s">
        <v>80</v>
      </c>
      <c r="I309" t="s">
        <v>81</v>
      </c>
      <c r="J309" t="s">
        <v>82</v>
      </c>
      <c r="K309" t="s">
        <v>76</v>
      </c>
      <c r="L309" t="s">
        <v>8</v>
      </c>
      <c r="M309" t="s">
        <v>83</v>
      </c>
      <c r="N309" t="s">
        <v>93</v>
      </c>
      <c r="O309" t="s">
        <v>85</v>
      </c>
      <c r="P309">
        <v>271768</v>
      </c>
      <c r="Q309" t="s">
        <v>4</v>
      </c>
      <c r="R309" t="s">
        <v>94</v>
      </c>
      <c r="S309" t="s">
        <v>87</v>
      </c>
      <c r="T309">
        <v>90</v>
      </c>
      <c r="U309">
        <v>8</v>
      </c>
      <c r="V309" s="2">
        <v>0.33333333333333331</v>
      </c>
      <c r="W309">
        <v>720</v>
      </c>
      <c r="X309">
        <v>960</v>
      </c>
      <c r="Y309">
        <v>240</v>
      </c>
      <c r="Z309" t="s">
        <v>217</v>
      </c>
      <c r="AA309" t="s">
        <v>88</v>
      </c>
      <c r="AB309" t="s">
        <v>100</v>
      </c>
      <c r="AC309" t="s">
        <v>231</v>
      </c>
      <c r="AD309" t="s">
        <v>90</v>
      </c>
    </row>
    <row r="310" spans="1:30" hidden="1">
      <c r="A310" s="1">
        <v>45489</v>
      </c>
      <c r="B310" t="s">
        <v>14</v>
      </c>
      <c r="C310" t="s">
        <v>75</v>
      </c>
      <c r="D310" t="s">
        <v>76</v>
      </c>
      <c r="E310" t="s">
        <v>77</v>
      </c>
      <c r="F310" t="s">
        <v>78</v>
      </c>
      <c r="G310" t="s">
        <v>79</v>
      </c>
      <c r="H310" t="s">
        <v>80</v>
      </c>
      <c r="I310" t="s">
        <v>81</v>
      </c>
      <c r="J310" t="s">
        <v>82</v>
      </c>
      <c r="K310" t="s">
        <v>76</v>
      </c>
      <c r="L310" t="s">
        <v>8</v>
      </c>
      <c r="M310" t="s">
        <v>83</v>
      </c>
      <c r="N310" t="s">
        <v>84</v>
      </c>
      <c r="O310" t="s">
        <v>85</v>
      </c>
      <c r="P310">
        <v>272037</v>
      </c>
      <c r="Q310" t="s">
        <v>5</v>
      </c>
      <c r="R310" t="s">
        <v>86</v>
      </c>
      <c r="S310" t="s">
        <v>87</v>
      </c>
      <c r="T310">
        <v>0</v>
      </c>
      <c r="U310">
        <v>0.25</v>
      </c>
      <c r="V310" s="2">
        <v>1.0416666666666666E-2</v>
      </c>
      <c r="W310">
        <v>0</v>
      </c>
      <c r="AA310" t="s">
        <v>88</v>
      </c>
      <c r="AB310" t="s">
        <v>100</v>
      </c>
      <c r="AC310" t="s">
        <v>200</v>
      </c>
      <c r="AD310" t="s">
        <v>90</v>
      </c>
    </row>
    <row r="311" spans="1:30" hidden="1">
      <c r="A311" s="1">
        <v>45489</v>
      </c>
      <c r="B311" t="s">
        <v>211</v>
      </c>
      <c r="C311" t="s">
        <v>75</v>
      </c>
      <c r="D311" t="s">
        <v>76</v>
      </c>
      <c r="E311" t="s">
        <v>91</v>
      </c>
      <c r="F311" t="s">
        <v>78</v>
      </c>
      <c r="G311" t="s">
        <v>79</v>
      </c>
      <c r="H311" t="s">
        <v>80</v>
      </c>
      <c r="I311" t="s">
        <v>81</v>
      </c>
      <c r="J311" t="s">
        <v>82</v>
      </c>
      <c r="K311" t="s">
        <v>76</v>
      </c>
      <c r="L311" t="s">
        <v>8</v>
      </c>
      <c r="M311" t="s">
        <v>83</v>
      </c>
      <c r="N311" t="s">
        <v>93</v>
      </c>
      <c r="O311" t="s">
        <v>85</v>
      </c>
      <c r="P311">
        <v>271834</v>
      </c>
      <c r="Q311" t="s">
        <v>5</v>
      </c>
      <c r="R311" t="s">
        <v>86</v>
      </c>
      <c r="S311" t="s">
        <v>87</v>
      </c>
      <c r="T311">
        <v>0</v>
      </c>
      <c r="U311">
        <v>0.75</v>
      </c>
      <c r="V311" s="2">
        <v>3.125E-2</v>
      </c>
      <c r="W311">
        <v>0</v>
      </c>
      <c r="AA311" t="s">
        <v>88</v>
      </c>
      <c r="AB311" t="s">
        <v>100</v>
      </c>
      <c r="AC311" t="s">
        <v>84</v>
      </c>
      <c r="AD311" t="s">
        <v>90</v>
      </c>
    </row>
    <row r="312" spans="1:30" hidden="1">
      <c r="A312" s="1">
        <v>45489</v>
      </c>
      <c r="B312" t="s">
        <v>114</v>
      </c>
      <c r="C312" t="s">
        <v>75</v>
      </c>
      <c r="D312" t="s">
        <v>76</v>
      </c>
      <c r="E312" t="s">
        <v>91</v>
      </c>
      <c r="F312" t="s">
        <v>78</v>
      </c>
      <c r="G312" t="s">
        <v>79</v>
      </c>
      <c r="H312" t="s">
        <v>80</v>
      </c>
      <c r="I312" t="s">
        <v>81</v>
      </c>
      <c r="J312" t="s">
        <v>82</v>
      </c>
      <c r="K312" t="s">
        <v>76</v>
      </c>
      <c r="L312" t="s">
        <v>8</v>
      </c>
      <c r="M312" t="s">
        <v>83</v>
      </c>
      <c r="N312" t="s">
        <v>93</v>
      </c>
      <c r="O312" t="s">
        <v>85</v>
      </c>
      <c r="P312">
        <v>271639</v>
      </c>
      <c r="Q312" t="s">
        <v>5</v>
      </c>
      <c r="R312" t="s">
        <v>86</v>
      </c>
      <c r="S312" t="s">
        <v>87</v>
      </c>
      <c r="T312">
        <v>0</v>
      </c>
      <c r="U312">
        <v>0.25</v>
      </c>
      <c r="V312" s="2">
        <v>1.0416666666666666E-2</v>
      </c>
      <c r="W312">
        <v>0</v>
      </c>
      <c r="AA312" t="s">
        <v>88</v>
      </c>
      <c r="AB312" t="s">
        <v>100</v>
      </c>
      <c r="AC312" t="s">
        <v>179</v>
      </c>
      <c r="AD312" t="s">
        <v>90</v>
      </c>
    </row>
    <row r="313" spans="1:30" hidden="1">
      <c r="A313" s="1">
        <v>45489</v>
      </c>
      <c r="B313" t="s">
        <v>12</v>
      </c>
      <c r="C313" t="s">
        <v>75</v>
      </c>
      <c r="D313" t="s">
        <v>76</v>
      </c>
      <c r="E313" t="s">
        <v>91</v>
      </c>
      <c r="F313" t="s">
        <v>78</v>
      </c>
      <c r="G313" t="s">
        <v>79</v>
      </c>
      <c r="H313" t="s">
        <v>80</v>
      </c>
      <c r="I313" t="s">
        <v>81</v>
      </c>
      <c r="J313" t="s">
        <v>82</v>
      </c>
      <c r="K313" t="s">
        <v>76</v>
      </c>
      <c r="L313" t="s">
        <v>8</v>
      </c>
      <c r="M313" t="s">
        <v>83</v>
      </c>
      <c r="N313" t="s">
        <v>84</v>
      </c>
      <c r="O313" t="s">
        <v>85</v>
      </c>
      <c r="P313">
        <v>271907</v>
      </c>
      <c r="Q313" t="s">
        <v>5</v>
      </c>
      <c r="R313" t="s">
        <v>86</v>
      </c>
      <c r="S313" t="s">
        <v>87</v>
      </c>
      <c r="T313">
        <v>0</v>
      </c>
      <c r="U313">
        <v>0.25</v>
      </c>
      <c r="V313" s="2">
        <v>1.0416666666666666E-2</v>
      </c>
      <c r="W313">
        <v>0</v>
      </c>
      <c r="AA313" t="s">
        <v>88</v>
      </c>
      <c r="AB313" t="s">
        <v>100</v>
      </c>
      <c r="AC313" t="s">
        <v>84</v>
      </c>
      <c r="AD313" t="s">
        <v>90</v>
      </c>
    </row>
    <row r="314" spans="1:30" hidden="1">
      <c r="A314" s="1">
        <v>45489</v>
      </c>
      <c r="B314" t="s">
        <v>8</v>
      </c>
      <c r="C314" t="s">
        <v>75</v>
      </c>
      <c r="D314" t="s">
        <v>76</v>
      </c>
      <c r="E314" t="s">
        <v>77</v>
      </c>
      <c r="F314" t="s">
        <v>78</v>
      </c>
      <c r="G314" t="s">
        <v>79</v>
      </c>
      <c r="H314" t="s">
        <v>80</v>
      </c>
      <c r="I314" t="s">
        <v>81</v>
      </c>
      <c r="J314" t="s">
        <v>82</v>
      </c>
      <c r="K314" t="s">
        <v>76</v>
      </c>
      <c r="L314" t="s">
        <v>8</v>
      </c>
      <c r="M314" t="s">
        <v>83</v>
      </c>
      <c r="N314" t="s">
        <v>84</v>
      </c>
      <c r="O314" t="s">
        <v>85</v>
      </c>
      <c r="P314">
        <v>271999</v>
      </c>
      <c r="Q314" t="s">
        <v>5</v>
      </c>
      <c r="R314" t="s">
        <v>86</v>
      </c>
      <c r="S314" t="s">
        <v>87</v>
      </c>
      <c r="T314">
        <v>0</v>
      </c>
      <c r="U314">
        <v>0.25</v>
      </c>
      <c r="V314" s="2">
        <v>1.0416666666666666E-2</v>
      </c>
      <c r="W314">
        <v>0</v>
      </c>
      <c r="AA314" t="s">
        <v>88</v>
      </c>
      <c r="AB314" t="s">
        <v>100</v>
      </c>
      <c r="AC314" t="s">
        <v>84</v>
      </c>
      <c r="AD314" t="s">
        <v>90</v>
      </c>
    </row>
    <row r="315" spans="1:30" hidden="1">
      <c r="A315" s="1">
        <v>45489</v>
      </c>
      <c r="B315" t="s">
        <v>108</v>
      </c>
      <c r="C315" t="s">
        <v>75</v>
      </c>
      <c r="D315" t="s">
        <v>76</v>
      </c>
      <c r="E315" t="s">
        <v>91</v>
      </c>
      <c r="F315" t="s">
        <v>78</v>
      </c>
      <c r="G315" t="s">
        <v>79</v>
      </c>
      <c r="H315" t="s">
        <v>80</v>
      </c>
      <c r="I315" t="s">
        <v>81</v>
      </c>
      <c r="J315" t="s">
        <v>82</v>
      </c>
      <c r="K315" t="s">
        <v>76</v>
      </c>
      <c r="L315" t="s">
        <v>8</v>
      </c>
      <c r="M315" t="s">
        <v>83</v>
      </c>
      <c r="N315" t="s">
        <v>93</v>
      </c>
      <c r="O315" t="s">
        <v>85</v>
      </c>
      <c r="P315">
        <v>272014</v>
      </c>
      <c r="Q315" t="s">
        <v>5</v>
      </c>
      <c r="R315" t="s">
        <v>86</v>
      </c>
      <c r="S315" t="s">
        <v>87</v>
      </c>
      <c r="T315">
        <v>0</v>
      </c>
      <c r="U315">
        <v>0.25</v>
      </c>
      <c r="V315" s="2">
        <v>1.0416666666666666E-2</v>
      </c>
      <c r="W315">
        <v>0</v>
      </c>
      <c r="AA315" t="s">
        <v>88</v>
      </c>
      <c r="AB315" t="s">
        <v>100</v>
      </c>
      <c r="AC315" t="s">
        <v>84</v>
      </c>
      <c r="AD315" t="s">
        <v>90</v>
      </c>
    </row>
    <row r="316" spans="1:30" hidden="1">
      <c r="A316" s="1">
        <v>45490</v>
      </c>
      <c r="B316" t="s">
        <v>14</v>
      </c>
      <c r="C316" t="s">
        <v>75</v>
      </c>
      <c r="D316" t="s">
        <v>76</v>
      </c>
      <c r="E316" t="s">
        <v>77</v>
      </c>
      <c r="F316" t="s">
        <v>78</v>
      </c>
      <c r="G316" t="s">
        <v>79</v>
      </c>
      <c r="H316" t="s">
        <v>80</v>
      </c>
      <c r="I316" t="s">
        <v>81</v>
      </c>
      <c r="J316" t="s">
        <v>82</v>
      </c>
      <c r="K316" t="s">
        <v>76</v>
      </c>
      <c r="L316" t="s">
        <v>8</v>
      </c>
      <c r="M316" t="s">
        <v>83</v>
      </c>
      <c r="N316" t="s">
        <v>84</v>
      </c>
      <c r="O316" t="s">
        <v>85</v>
      </c>
      <c r="P316">
        <v>272342</v>
      </c>
      <c r="Q316" t="s">
        <v>5</v>
      </c>
      <c r="R316" t="s">
        <v>86</v>
      </c>
      <c r="S316" t="s">
        <v>87</v>
      </c>
      <c r="T316">
        <v>0</v>
      </c>
      <c r="U316">
        <v>0.25</v>
      </c>
      <c r="V316" s="2">
        <v>1.0416666666666666E-2</v>
      </c>
      <c r="W316">
        <v>0</v>
      </c>
      <c r="AA316" t="s">
        <v>88</v>
      </c>
      <c r="AB316" t="s">
        <v>100</v>
      </c>
      <c r="AC316" t="s">
        <v>84</v>
      </c>
      <c r="AD316" t="s">
        <v>90</v>
      </c>
    </row>
    <row r="317" spans="1:30" hidden="1">
      <c r="A317" s="1">
        <v>45490</v>
      </c>
      <c r="B317" t="s">
        <v>211</v>
      </c>
      <c r="C317" t="s">
        <v>75</v>
      </c>
      <c r="D317" t="s">
        <v>76</v>
      </c>
      <c r="E317" t="s">
        <v>91</v>
      </c>
      <c r="F317" t="s">
        <v>78</v>
      </c>
      <c r="G317" t="s">
        <v>79</v>
      </c>
      <c r="H317" t="s">
        <v>80</v>
      </c>
      <c r="I317" t="s">
        <v>81</v>
      </c>
      <c r="J317" t="s">
        <v>82</v>
      </c>
      <c r="K317" t="s">
        <v>76</v>
      </c>
      <c r="L317" t="s">
        <v>8</v>
      </c>
      <c r="M317" t="s">
        <v>83</v>
      </c>
      <c r="N317" t="s">
        <v>93</v>
      </c>
      <c r="O317" t="s">
        <v>85</v>
      </c>
      <c r="P317">
        <v>272296</v>
      </c>
      <c r="Q317" t="s">
        <v>5</v>
      </c>
      <c r="R317" t="s">
        <v>86</v>
      </c>
      <c r="S317" t="s">
        <v>87</v>
      </c>
      <c r="T317">
        <v>0</v>
      </c>
      <c r="U317">
        <v>0.5</v>
      </c>
      <c r="V317" s="2">
        <v>2.0833333333333332E-2</v>
      </c>
      <c r="W317">
        <v>0</v>
      </c>
      <c r="AA317" t="s">
        <v>88</v>
      </c>
      <c r="AB317" t="s">
        <v>100</v>
      </c>
      <c r="AC317" t="s">
        <v>84</v>
      </c>
      <c r="AD317" t="s">
        <v>90</v>
      </c>
    </row>
    <row r="318" spans="1:30" hidden="1">
      <c r="A318" s="1">
        <v>45490</v>
      </c>
      <c r="B318" t="s">
        <v>114</v>
      </c>
      <c r="C318" t="s">
        <v>75</v>
      </c>
      <c r="D318" t="s">
        <v>76</v>
      </c>
      <c r="E318" t="s">
        <v>91</v>
      </c>
      <c r="F318" t="s">
        <v>78</v>
      </c>
      <c r="G318" t="s">
        <v>79</v>
      </c>
      <c r="H318" t="s">
        <v>80</v>
      </c>
      <c r="I318" t="s">
        <v>81</v>
      </c>
      <c r="J318" t="s">
        <v>82</v>
      </c>
      <c r="K318" t="s">
        <v>76</v>
      </c>
      <c r="L318" t="s">
        <v>8</v>
      </c>
      <c r="M318" t="s">
        <v>83</v>
      </c>
      <c r="N318" t="s">
        <v>93</v>
      </c>
      <c r="O318" t="s">
        <v>85</v>
      </c>
      <c r="P318">
        <v>272343</v>
      </c>
      <c r="Q318" t="s">
        <v>5</v>
      </c>
      <c r="R318" t="s">
        <v>86</v>
      </c>
      <c r="S318" t="s">
        <v>87</v>
      </c>
      <c r="T318">
        <v>0</v>
      </c>
      <c r="U318">
        <v>0.25</v>
      </c>
      <c r="V318" s="2">
        <v>1.0416666666666666E-2</v>
      </c>
      <c r="W318">
        <v>0</v>
      </c>
      <c r="AA318" t="s">
        <v>88</v>
      </c>
      <c r="AB318" t="s">
        <v>100</v>
      </c>
      <c r="AC318" t="s">
        <v>84</v>
      </c>
      <c r="AD318" t="s">
        <v>90</v>
      </c>
    </row>
    <row r="319" spans="1:30" hidden="1">
      <c r="A319" s="1">
        <v>45490</v>
      </c>
      <c r="B319" t="s">
        <v>12</v>
      </c>
      <c r="C319" t="s">
        <v>75</v>
      </c>
      <c r="D319" t="s">
        <v>76</v>
      </c>
      <c r="E319" t="s">
        <v>91</v>
      </c>
      <c r="F319" t="s">
        <v>78</v>
      </c>
      <c r="G319" t="s">
        <v>79</v>
      </c>
      <c r="H319" t="s">
        <v>80</v>
      </c>
      <c r="I319" t="s">
        <v>81</v>
      </c>
      <c r="J319" t="s">
        <v>82</v>
      </c>
      <c r="K319" t="s">
        <v>76</v>
      </c>
      <c r="L319" t="s">
        <v>8</v>
      </c>
      <c r="M319" t="s">
        <v>83</v>
      </c>
      <c r="N319" t="s">
        <v>84</v>
      </c>
      <c r="O319" t="s">
        <v>85</v>
      </c>
      <c r="P319">
        <v>272360</v>
      </c>
      <c r="Q319" t="s">
        <v>5</v>
      </c>
      <c r="R319" t="s">
        <v>86</v>
      </c>
      <c r="S319" t="s">
        <v>87</v>
      </c>
      <c r="T319">
        <v>0</v>
      </c>
      <c r="U319">
        <v>0.25</v>
      </c>
      <c r="V319" s="2">
        <v>1.0416666666666666E-2</v>
      </c>
      <c r="W319">
        <v>0</v>
      </c>
      <c r="AA319" t="s">
        <v>88</v>
      </c>
      <c r="AB319" t="s">
        <v>100</v>
      </c>
      <c r="AC319" t="s">
        <v>84</v>
      </c>
      <c r="AD319" t="s">
        <v>90</v>
      </c>
    </row>
    <row r="320" spans="1:30" hidden="1">
      <c r="A320" s="1">
        <v>45490</v>
      </c>
      <c r="B320" t="s">
        <v>8</v>
      </c>
      <c r="C320" t="s">
        <v>75</v>
      </c>
      <c r="D320" t="s">
        <v>76</v>
      </c>
      <c r="E320" t="s">
        <v>77</v>
      </c>
      <c r="F320" t="s">
        <v>78</v>
      </c>
      <c r="G320" t="s">
        <v>79</v>
      </c>
      <c r="H320" t="s">
        <v>80</v>
      </c>
      <c r="I320" t="s">
        <v>81</v>
      </c>
      <c r="J320" t="s">
        <v>82</v>
      </c>
      <c r="K320" t="s">
        <v>76</v>
      </c>
      <c r="L320" t="s">
        <v>8</v>
      </c>
      <c r="M320" t="s">
        <v>83</v>
      </c>
      <c r="N320" t="s">
        <v>84</v>
      </c>
      <c r="O320" t="s">
        <v>85</v>
      </c>
      <c r="P320">
        <v>272504</v>
      </c>
      <c r="Q320" t="s">
        <v>5</v>
      </c>
      <c r="R320" t="s">
        <v>86</v>
      </c>
      <c r="S320" t="s">
        <v>87</v>
      </c>
      <c r="T320">
        <v>0</v>
      </c>
      <c r="U320">
        <v>0.75</v>
      </c>
      <c r="V320" s="2">
        <v>3.125E-2</v>
      </c>
      <c r="W320">
        <v>0</v>
      </c>
      <c r="AA320" t="s">
        <v>88</v>
      </c>
      <c r="AB320" t="s">
        <v>100</v>
      </c>
      <c r="AC320" t="s">
        <v>84</v>
      </c>
      <c r="AD320" t="s">
        <v>90</v>
      </c>
    </row>
    <row r="321" spans="1:30" hidden="1">
      <c r="A321" s="1">
        <v>45490</v>
      </c>
      <c r="B321" t="s">
        <v>108</v>
      </c>
      <c r="C321" t="s">
        <v>75</v>
      </c>
      <c r="D321" t="s">
        <v>76</v>
      </c>
      <c r="E321" t="s">
        <v>91</v>
      </c>
      <c r="F321" t="s">
        <v>78</v>
      </c>
      <c r="G321" t="s">
        <v>79</v>
      </c>
      <c r="H321" t="s">
        <v>80</v>
      </c>
      <c r="I321" t="s">
        <v>81</v>
      </c>
      <c r="J321" t="s">
        <v>82</v>
      </c>
      <c r="K321" t="s">
        <v>76</v>
      </c>
      <c r="L321" t="s">
        <v>8</v>
      </c>
      <c r="M321" t="s">
        <v>83</v>
      </c>
      <c r="N321" t="s">
        <v>93</v>
      </c>
      <c r="O321" t="s">
        <v>85</v>
      </c>
      <c r="P321">
        <v>273019</v>
      </c>
      <c r="Q321" t="s">
        <v>5</v>
      </c>
      <c r="R321" t="s">
        <v>86</v>
      </c>
      <c r="S321" t="s">
        <v>87</v>
      </c>
      <c r="T321">
        <v>0</v>
      </c>
      <c r="U321">
        <v>0.25</v>
      </c>
      <c r="V321" s="2">
        <v>1.0416666666666666E-2</v>
      </c>
      <c r="W321">
        <v>0</v>
      </c>
      <c r="AA321" t="s">
        <v>88</v>
      </c>
      <c r="AB321" t="s">
        <v>100</v>
      </c>
      <c r="AC321" t="s">
        <v>84</v>
      </c>
      <c r="AD321" t="s">
        <v>90</v>
      </c>
    </row>
    <row r="322" spans="1:30" hidden="1">
      <c r="A322" s="1">
        <v>45491</v>
      </c>
      <c r="B322" t="s">
        <v>10</v>
      </c>
      <c r="C322" t="s">
        <v>92</v>
      </c>
      <c r="D322" t="s">
        <v>76</v>
      </c>
      <c r="E322" t="s">
        <v>91</v>
      </c>
      <c r="F322" t="s">
        <v>78</v>
      </c>
      <c r="G322" t="s">
        <v>79</v>
      </c>
      <c r="H322" t="s">
        <v>80</v>
      </c>
      <c r="I322" t="s">
        <v>81</v>
      </c>
      <c r="J322" t="s">
        <v>82</v>
      </c>
      <c r="K322" t="s">
        <v>76</v>
      </c>
      <c r="L322" t="s">
        <v>8</v>
      </c>
      <c r="M322" t="s">
        <v>83</v>
      </c>
      <c r="N322" t="s">
        <v>93</v>
      </c>
      <c r="O322" t="s">
        <v>85</v>
      </c>
      <c r="P322">
        <v>272792</v>
      </c>
      <c r="Q322" t="s">
        <v>4</v>
      </c>
      <c r="R322" t="s">
        <v>94</v>
      </c>
      <c r="S322" t="s">
        <v>87</v>
      </c>
      <c r="T322">
        <v>90</v>
      </c>
      <c r="U322">
        <v>0.5</v>
      </c>
      <c r="V322" s="2">
        <v>2.0833333333333332E-2</v>
      </c>
      <c r="W322">
        <v>45</v>
      </c>
      <c r="X322">
        <v>60</v>
      </c>
      <c r="Y322">
        <v>15</v>
      </c>
      <c r="Z322" t="s">
        <v>217</v>
      </c>
      <c r="AA322" t="s">
        <v>88</v>
      </c>
      <c r="AB322" t="s">
        <v>100</v>
      </c>
      <c r="AC322" t="s">
        <v>232</v>
      </c>
      <c r="AD322" t="s">
        <v>90</v>
      </c>
    </row>
    <row r="323" spans="1:30" hidden="1">
      <c r="A323" s="1">
        <v>45491</v>
      </c>
      <c r="B323" t="s">
        <v>14</v>
      </c>
      <c r="C323" t="s">
        <v>75</v>
      </c>
      <c r="D323" t="s">
        <v>76</v>
      </c>
      <c r="E323" t="s">
        <v>77</v>
      </c>
      <c r="F323" t="s">
        <v>78</v>
      </c>
      <c r="G323" t="s">
        <v>79</v>
      </c>
      <c r="H323" t="s">
        <v>80</v>
      </c>
      <c r="I323" t="s">
        <v>81</v>
      </c>
      <c r="J323" t="s">
        <v>82</v>
      </c>
      <c r="K323" t="s">
        <v>76</v>
      </c>
      <c r="L323" t="s">
        <v>8</v>
      </c>
      <c r="M323" t="s">
        <v>83</v>
      </c>
      <c r="N323" t="s">
        <v>84</v>
      </c>
      <c r="O323" t="s">
        <v>85</v>
      </c>
      <c r="P323">
        <v>272908</v>
      </c>
      <c r="Q323" t="s">
        <v>5</v>
      </c>
      <c r="R323" t="s">
        <v>86</v>
      </c>
      <c r="S323" t="s">
        <v>87</v>
      </c>
      <c r="T323">
        <v>0</v>
      </c>
      <c r="U323">
        <v>0.25</v>
      </c>
      <c r="V323" s="2">
        <v>1.0416666666666666E-2</v>
      </c>
      <c r="W323">
        <v>0</v>
      </c>
      <c r="AA323" t="s">
        <v>88</v>
      </c>
      <c r="AB323" t="s">
        <v>100</v>
      </c>
      <c r="AC323" t="s">
        <v>84</v>
      </c>
      <c r="AD323" t="s">
        <v>90</v>
      </c>
    </row>
    <row r="324" spans="1:30" hidden="1">
      <c r="A324" s="1">
        <v>45491</v>
      </c>
      <c r="B324" t="s">
        <v>211</v>
      </c>
      <c r="C324" t="s">
        <v>75</v>
      </c>
      <c r="D324" t="s">
        <v>76</v>
      </c>
      <c r="E324" t="s">
        <v>91</v>
      </c>
      <c r="F324" t="s">
        <v>78</v>
      </c>
      <c r="G324" t="s">
        <v>79</v>
      </c>
      <c r="H324" t="s">
        <v>80</v>
      </c>
      <c r="I324" t="s">
        <v>81</v>
      </c>
      <c r="J324" t="s">
        <v>82</v>
      </c>
      <c r="K324" t="s">
        <v>76</v>
      </c>
      <c r="L324" t="s">
        <v>8</v>
      </c>
      <c r="M324" t="s">
        <v>83</v>
      </c>
      <c r="N324" t="s">
        <v>93</v>
      </c>
      <c r="O324" t="s">
        <v>85</v>
      </c>
      <c r="P324">
        <v>273362</v>
      </c>
      <c r="Q324" t="s">
        <v>5</v>
      </c>
      <c r="R324" t="s">
        <v>86</v>
      </c>
      <c r="S324" t="s">
        <v>87</v>
      </c>
      <c r="T324">
        <v>0</v>
      </c>
      <c r="U324">
        <v>1</v>
      </c>
      <c r="V324" s="2">
        <v>4.1666666666666664E-2</v>
      </c>
      <c r="W324">
        <v>0</v>
      </c>
      <c r="AA324" t="s">
        <v>88</v>
      </c>
      <c r="AB324" t="s">
        <v>100</v>
      </c>
      <c r="AC324" t="s">
        <v>84</v>
      </c>
      <c r="AD324" t="s">
        <v>90</v>
      </c>
    </row>
    <row r="325" spans="1:30" hidden="1">
      <c r="A325" s="1">
        <v>45491</v>
      </c>
      <c r="B325" t="s">
        <v>114</v>
      </c>
      <c r="C325" t="s">
        <v>75</v>
      </c>
      <c r="D325" t="s">
        <v>76</v>
      </c>
      <c r="E325" t="s">
        <v>91</v>
      </c>
      <c r="F325" t="s">
        <v>78</v>
      </c>
      <c r="G325" t="s">
        <v>79</v>
      </c>
      <c r="H325" t="s">
        <v>80</v>
      </c>
      <c r="I325" t="s">
        <v>81</v>
      </c>
      <c r="J325" t="s">
        <v>82</v>
      </c>
      <c r="K325" t="s">
        <v>76</v>
      </c>
      <c r="L325" t="s">
        <v>8</v>
      </c>
      <c r="M325" t="s">
        <v>83</v>
      </c>
      <c r="N325" t="s">
        <v>93</v>
      </c>
      <c r="O325" t="s">
        <v>85</v>
      </c>
      <c r="P325">
        <v>272876</v>
      </c>
      <c r="Q325" t="s">
        <v>5</v>
      </c>
      <c r="R325" t="s">
        <v>86</v>
      </c>
      <c r="S325" t="s">
        <v>87</v>
      </c>
      <c r="T325">
        <v>0</v>
      </c>
      <c r="U325">
        <v>0.25</v>
      </c>
      <c r="V325" s="2">
        <v>1.0416666666666666E-2</v>
      </c>
      <c r="W325">
        <v>0</v>
      </c>
      <c r="AA325" t="s">
        <v>88</v>
      </c>
      <c r="AB325" t="s">
        <v>100</v>
      </c>
      <c r="AC325" t="s">
        <v>84</v>
      </c>
      <c r="AD325" t="s">
        <v>90</v>
      </c>
    </row>
    <row r="326" spans="1:30" hidden="1">
      <c r="A326" s="1">
        <v>45491</v>
      </c>
      <c r="B326" t="s">
        <v>12</v>
      </c>
      <c r="C326" t="s">
        <v>75</v>
      </c>
      <c r="D326" t="s">
        <v>76</v>
      </c>
      <c r="E326" t="s">
        <v>91</v>
      </c>
      <c r="F326" t="s">
        <v>78</v>
      </c>
      <c r="G326" t="s">
        <v>79</v>
      </c>
      <c r="H326" t="s">
        <v>80</v>
      </c>
      <c r="I326" t="s">
        <v>81</v>
      </c>
      <c r="J326" t="s">
        <v>82</v>
      </c>
      <c r="K326" t="s">
        <v>76</v>
      </c>
      <c r="L326" t="s">
        <v>8</v>
      </c>
      <c r="M326" t="s">
        <v>83</v>
      </c>
      <c r="N326" t="s">
        <v>84</v>
      </c>
      <c r="O326" t="s">
        <v>85</v>
      </c>
      <c r="P326">
        <v>272946</v>
      </c>
      <c r="Q326" t="s">
        <v>5</v>
      </c>
      <c r="R326" t="s">
        <v>86</v>
      </c>
      <c r="S326" t="s">
        <v>87</v>
      </c>
      <c r="T326">
        <v>0</v>
      </c>
      <c r="U326">
        <v>0.25</v>
      </c>
      <c r="V326" s="2">
        <v>1.0416666666666666E-2</v>
      </c>
      <c r="W326">
        <v>0</v>
      </c>
      <c r="AA326" t="s">
        <v>88</v>
      </c>
      <c r="AB326" t="s">
        <v>100</v>
      </c>
      <c r="AC326" t="s">
        <v>84</v>
      </c>
      <c r="AD326" t="s">
        <v>90</v>
      </c>
    </row>
    <row r="327" spans="1:30" hidden="1">
      <c r="A327" s="1">
        <v>45491</v>
      </c>
      <c r="B327" t="s">
        <v>8</v>
      </c>
      <c r="C327" t="s">
        <v>75</v>
      </c>
      <c r="D327" t="s">
        <v>76</v>
      </c>
      <c r="E327" t="s">
        <v>77</v>
      </c>
      <c r="F327" t="s">
        <v>78</v>
      </c>
      <c r="G327" t="s">
        <v>79</v>
      </c>
      <c r="H327" t="s">
        <v>80</v>
      </c>
      <c r="I327" t="s">
        <v>81</v>
      </c>
      <c r="J327" t="s">
        <v>82</v>
      </c>
      <c r="K327" t="s">
        <v>76</v>
      </c>
      <c r="L327" t="s">
        <v>8</v>
      </c>
      <c r="M327" t="s">
        <v>83</v>
      </c>
      <c r="N327" t="s">
        <v>84</v>
      </c>
      <c r="O327" t="s">
        <v>85</v>
      </c>
      <c r="P327">
        <v>273046</v>
      </c>
      <c r="Q327" t="s">
        <v>5</v>
      </c>
      <c r="R327" t="s">
        <v>86</v>
      </c>
      <c r="S327" t="s">
        <v>87</v>
      </c>
      <c r="T327">
        <v>0</v>
      </c>
      <c r="U327">
        <v>0.5</v>
      </c>
      <c r="V327" s="2">
        <v>2.0833333333333332E-2</v>
      </c>
      <c r="W327">
        <v>0</v>
      </c>
      <c r="AA327" t="s">
        <v>88</v>
      </c>
      <c r="AB327" t="s">
        <v>100</v>
      </c>
      <c r="AC327" t="s">
        <v>84</v>
      </c>
      <c r="AD327" t="s">
        <v>90</v>
      </c>
    </row>
    <row r="328" spans="1:30" hidden="1">
      <c r="A328" s="1">
        <v>45491</v>
      </c>
      <c r="B328" t="s">
        <v>108</v>
      </c>
      <c r="C328" t="s">
        <v>75</v>
      </c>
      <c r="D328" t="s">
        <v>76</v>
      </c>
      <c r="E328" t="s">
        <v>91</v>
      </c>
      <c r="F328" t="s">
        <v>78</v>
      </c>
      <c r="G328" t="s">
        <v>79</v>
      </c>
      <c r="H328" t="s">
        <v>80</v>
      </c>
      <c r="I328" t="s">
        <v>81</v>
      </c>
      <c r="J328" t="s">
        <v>82</v>
      </c>
      <c r="K328" t="s">
        <v>76</v>
      </c>
      <c r="L328" t="s">
        <v>8</v>
      </c>
      <c r="M328" t="s">
        <v>83</v>
      </c>
      <c r="N328" t="s">
        <v>93</v>
      </c>
      <c r="O328" t="s">
        <v>85</v>
      </c>
      <c r="P328">
        <v>273021</v>
      </c>
      <c r="Q328" t="s">
        <v>5</v>
      </c>
      <c r="R328" t="s">
        <v>86</v>
      </c>
      <c r="S328" t="s">
        <v>87</v>
      </c>
      <c r="T328">
        <v>0</v>
      </c>
      <c r="U328">
        <v>0.25</v>
      </c>
      <c r="V328" s="2">
        <v>1.0416666666666666E-2</v>
      </c>
      <c r="W328">
        <v>0</v>
      </c>
      <c r="AA328" t="s">
        <v>88</v>
      </c>
      <c r="AB328" t="s">
        <v>100</v>
      </c>
      <c r="AC328" t="s">
        <v>84</v>
      </c>
      <c r="AD328" t="s">
        <v>90</v>
      </c>
    </row>
    <row r="329" spans="1:30" hidden="1">
      <c r="A329" s="1">
        <v>45492</v>
      </c>
      <c r="B329" t="s">
        <v>211</v>
      </c>
      <c r="C329" t="s">
        <v>75</v>
      </c>
      <c r="D329" t="s">
        <v>76</v>
      </c>
      <c r="E329" t="s">
        <v>91</v>
      </c>
      <c r="F329" t="s">
        <v>78</v>
      </c>
      <c r="G329" t="s">
        <v>79</v>
      </c>
      <c r="H329" t="s">
        <v>80</v>
      </c>
      <c r="I329" t="s">
        <v>81</v>
      </c>
      <c r="J329" t="s">
        <v>82</v>
      </c>
      <c r="K329" t="s">
        <v>76</v>
      </c>
      <c r="L329" t="s">
        <v>8</v>
      </c>
      <c r="M329" t="s">
        <v>83</v>
      </c>
      <c r="N329" t="s">
        <v>93</v>
      </c>
      <c r="O329" t="s">
        <v>85</v>
      </c>
      <c r="P329">
        <v>273368</v>
      </c>
      <c r="Q329" t="s">
        <v>5</v>
      </c>
      <c r="R329" t="s">
        <v>86</v>
      </c>
      <c r="S329" t="s">
        <v>87</v>
      </c>
      <c r="T329">
        <v>0</v>
      </c>
      <c r="U329">
        <v>0.25</v>
      </c>
      <c r="V329" s="2">
        <v>1.0416666666666666E-2</v>
      </c>
      <c r="W329">
        <v>0</v>
      </c>
      <c r="AA329" t="s">
        <v>88</v>
      </c>
      <c r="AB329" t="s">
        <v>100</v>
      </c>
      <c r="AC329" t="s">
        <v>84</v>
      </c>
      <c r="AD329" t="s">
        <v>90</v>
      </c>
    </row>
    <row r="330" spans="1:30" hidden="1">
      <c r="A330" s="1">
        <v>45492</v>
      </c>
      <c r="B330" t="s">
        <v>8</v>
      </c>
      <c r="C330" t="s">
        <v>75</v>
      </c>
      <c r="D330" t="s">
        <v>76</v>
      </c>
      <c r="E330" t="s">
        <v>77</v>
      </c>
      <c r="F330" t="s">
        <v>78</v>
      </c>
      <c r="G330" t="s">
        <v>79</v>
      </c>
      <c r="H330" t="s">
        <v>80</v>
      </c>
      <c r="I330" t="s">
        <v>81</v>
      </c>
      <c r="J330" t="s">
        <v>82</v>
      </c>
      <c r="K330" t="s">
        <v>76</v>
      </c>
      <c r="L330" t="s">
        <v>8</v>
      </c>
      <c r="M330" t="s">
        <v>83</v>
      </c>
      <c r="N330" t="s">
        <v>84</v>
      </c>
      <c r="O330" t="s">
        <v>85</v>
      </c>
      <c r="P330">
        <v>273587</v>
      </c>
      <c r="Q330" t="s">
        <v>5</v>
      </c>
      <c r="R330" t="s">
        <v>86</v>
      </c>
      <c r="S330" t="s">
        <v>87</v>
      </c>
      <c r="T330">
        <v>0</v>
      </c>
      <c r="U330">
        <v>0.25</v>
      </c>
      <c r="V330" s="2">
        <v>1.0416666666666666E-2</v>
      </c>
      <c r="W330">
        <v>0</v>
      </c>
      <c r="AA330" t="s">
        <v>88</v>
      </c>
      <c r="AB330" t="s">
        <v>100</v>
      </c>
      <c r="AC330" t="s">
        <v>84</v>
      </c>
      <c r="AD330" t="s">
        <v>90</v>
      </c>
    </row>
    <row r="331" spans="1:30" hidden="1">
      <c r="A331" s="1">
        <v>45492</v>
      </c>
      <c r="B331" t="s">
        <v>108</v>
      </c>
      <c r="C331" t="s">
        <v>75</v>
      </c>
      <c r="D331" t="s">
        <v>76</v>
      </c>
      <c r="E331" t="s">
        <v>91</v>
      </c>
      <c r="F331" t="s">
        <v>78</v>
      </c>
      <c r="G331" t="s">
        <v>79</v>
      </c>
      <c r="H331" t="s">
        <v>80</v>
      </c>
      <c r="I331" t="s">
        <v>81</v>
      </c>
      <c r="J331" t="s">
        <v>82</v>
      </c>
      <c r="K331" t="s">
        <v>76</v>
      </c>
      <c r="L331" t="s">
        <v>8</v>
      </c>
      <c r="M331" t="s">
        <v>83</v>
      </c>
      <c r="N331" t="s">
        <v>93</v>
      </c>
      <c r="O331" t="s">
        <v>85</v>
      </c>
      <c r="P331">
        <v>273804</v>
      </c>
      <c r="Q331" t="s">
        <v>5</v>
      </c>
      <c r="R331" t="s">
        <v>86</v>
      </c>
      <c r="S331" t="s">
        <v>87</v>
      </c>
      <c r="T331">
        <v>0</v>
      </c>
      <c r="U331">
        <v>0.25</v>
      </c>
      <c r="V331" s="2">
        <v>1.0416666666666666E-2</v>
      </c>
      <c r="W331">
        <v>0</v>
      </c>
      <c r="AA331" t="s">
        <v>88</v>
      </c>
      <c r="AB331" t="s">
        <v>100</v>
      </c>
      <c r="AC331" t="s">
        <v>84</v>
      </c>
      <c r="AD331" t="s">
        <v>90</v>
      </c>
    </row>
    <row r="332" spans="1:30" hidden="1">
      <c r="A332" s="1">
        <v>45495</v>
      </c>
      <c r="B332" t="s">
        <v>10</v>
      </c>
      <c r="C332" t="s">
        <v>92</v>
      </c>
      <c r="D332" t="s">
        <v>76</v>
      </c>
      <c r="E332" t="s">
        <v>91</v>
      </c>
      <c r="F332" t="s">
        <v>78</v>
      </c>
      <c r="G332" t="s">
        <v>79</v>
      </c>
      <c r="H332" t="s">
        <v>80</v>
      </c>
      <c r="I332" t="s">
        <v>81</v>
      </c>
      <c r="J332" t="s">
        <v>82</v>
      </c>
      <c r="K332" t="s">
        <v>76</v>
      </c>
      <c r="L332" t="s">
        <v>8</v>
      </c>
      <c r="M332" t="s">
        <v>83</v>
      </c>
      <c r="N332" t="s">
        <v>93</v>
      </c>
      <c r="O332" t="s">
        <v>85</v>
      </c>
      <c r="P332">
        <v>274533</v>
      </c>
      <c r="Q332" t="s">
        <v>5</v>
      </c>
      <c r="R332" t="s">
        <v>86</v>
      </c>
      <c r="S332" t="s">
        <v>87</v>
      </c>
      <c r="T332">
        <v>0</v>
      </c>
      <c r="U332">
        <v>3.5</v>
      </c>
      <c r="V332" s="2">
        <v>0.14583333333333334</v>
      </c>
      <c r="W332">
        <v>0</v>
      </c>
      <c r="AA332" t="s">
        <v>88</v>
      </c>
      <c r="AB332" t="s">
        <v>100</v>
      </c>
      <c r="AC332" t="s">
        <v>233</v>
      </c>
      <c r="AD332" t="s">
        <v>90</v>
      </c>
    </row>
    <row r="333" spans="1:30" hidden="1">
      <c r="A333" s="1">
        <v>45495</v>
      </c>
      <c r="B333" t="s">
        <v>14</v>
      </c>
      <c r="C333" t="s">
        <v>75</v>
      </c>
      <c r="D333" t="s">
        <v>76</v>
      </c>
      <c r="E333" t="s">
        <v>77</v>
      </c>
      <c r="F333" t="s">
        <v>78</v>
      </c>
      <c r="G333" t="s">
        <v>79</v>
      </c>
      <c r="H333" t="s">
        <v>80</v>
      </c>
      <c r="I333" t="s">
        <v>81</v>
      </c>
      <c r="J333" t="s">
        <v>82</v>
      </c>
      <c r="K333" t="s">
        <v>76</v>
      </c>
      <c r="L333" t="s">
        <v>8</v>
      </c>
      <c r="M333" t="s">
        <v>83</v>
      </c>
      <c r="N333" t="s">
        <v>84</v>
      </c>
      <c r="O333" t="s">
        <v>85</v>
      </c>
      <c r="P333">
        <v>274558</v>
      </c>
      <c r="Q333" t="s">
        <v>5</v>
      </c>
      <c r="R333" t="s">
        <v>86</v>
      </c>
      <c r="S333" t="s">
        <v>87</v>
      </c>
      <c r="T333">
        <v>0</v>
      </c>
      <c r="U333">
        <v>0.5</v>
      </c>
      <c r="V333" s="2">
        <v>2.0833333333333332E-2</v>
      </c>
      <c r="W333">
        <v>0</v>
      </c>
      <c r="AA333" t="s">
        <v>88</v>
      </c>
      <c r="AB333" t="s">
        <v>100</v>
      </c>
      <c r="AC333" t="s">
        <v>171</v>
      </c>
      <c r="AD333" t="s">
        <v>90</v>
      </c>
    </row>
    <row r="334" spans="1:30" hidden="1">
      <c r="A334" s="1">
        <v>45495</v>
      </c>
      <c r="B334" t="s">
        <v>211</v>
      </c>
      <c r="C334" t="s">
        <v>75</v>
      </c>
      <c r="D334" t="s">
        <v>76</v>
      </c>
      <c r="E334" t="s">
        <v>91</v>
      </c>
      <c r="F334" t="s">
        <v>78</v>
      </c>
      <c r="G334" t="s">
        <v>79</v>
      </c>
      <c r="H334" t="s">
        <v>80</v>
      </c>
      <c r="I334" t="s">
        <v>81</v>
      </c>
      <c r="J334" t="s">
        <v>82</v>
      </c>
      <c r="K334" t="s">
        <v>76</v>
      </c>
      <c r="L334" t="s">
        <v>8</v>
      </c>
      <c r="M334" t="s">
        <v>83</v>
      </c>
      <c r="N334" t="s">
        <v>93</v>
      </c>
      <c r="O334" t="s">
        <v>85</v>
      </c>
      <c r="P334">
        <v>274322</v>
      </c>
      <c r="Q334" t="s">
        <v>5</v>
      </c>
      <c r="R334" t="s">
        <v>86</v>
      </c>
      <c r="S334" t="s">
        <v>87</v>
      </c>
      <c r="T334">
        <v>0</v>
      </c>
      <c r="U334">
        <v>3.5</v>
      </c>
      <c r="V334" s="2">
        <v>0.14583333333333334</v>
      </c>
      <c r="W334">
        <v>0</v>
      </c>
      <c r="AA334" t="s">
        <v>88</v>
      </c>
      <c r="AB334" t="s">
        <v>100</v>
      </c>
      <c r="AC334" t="s">
        <v>84</v>
      </c>
      <c r="AD334" t="s">
        <v>90</v>
      </c>
    </row>
    <row r="335" spans="1:30" hidden="1">
      <c r="A335" s="1">
        <v>45495</v>
      </c>
      <c r="B335" t="s">
        <v>16</v>
      </c>
      <c r="C335" t="s">
        <v>75</v>
      </c>
      <c r="D335" t="s">
        <v>76</v>
      </c>
      <c r="E335" t="s">
        <v>91</v>
      </c>
      <c r="F335" t="s">
        <v>78</v>
      </c>
      <c r="G335" t="s">
        <v>79</v>
      </c>
      <c r="H335" t="s">
        <v>80</v>
      </c>
      <c r="I335" t="s">
        <v>81</v>
      </c>
      <c r="J335" t="s">
        <v>82</v>
      </c>
      <c r="K335" t="s">
        <v>76</v>
      </c>
      <c r="L335" t="s">
        <v>8</v>
      </c>
      <c r="M335" t="s">
        <v>83</v>
      </c>
      <c r="N335" t="s">
        <v>93</v>
      </c>
      <c r="O335" t="s">
        <v>85</v>
      </c>
      <c r="P335">
        <v>274236</v>
      </c>
      <c r="Q335" t="s">
        <v>5</v>
      </c>
      <c r="R335" t="s">
        <v>86</v>
      </c>
      <c r="S335" t="s">
        <v>87</v>
      </c>
      <c r="T335">
        <v>0</v>
      </c>
      <c r="U335">
        <v>0.5</v>
      </c>
      <c r="V335" s="2">
        <v>2.0833333333333332E-2</v>
      </c>
      <c r="W335">
        <v>0</v>
      </c>
      <c r="AA335" t="s">
        <v>88</v>
      </c>
      <c r="AB335" t="s">
        <v>100</v>
      </c>
      <c r="AC335" t="s">
        <v>84</v>
      </c>
      <c r="AD335" t="s">
        <v>90</v>
      </c>
    </row>
    <row r="336" spans="1:30" hidden="1">
      <c r="A336" s="1">
        <v>45495</v>
      </c>
      <c r="B336" t="s">
        <v>12</v>
      </c>
      <c r="C336" t="s">
        <v>75</v>
      </c>
      <c r="D336" t="s">
        <v>76</v>
      </c>
      <c r="E336" t="s">
        <v>91</v>
      </c>
      <c r="F336" t="s">
        <v>78</v>
      </c>
      <c r="G336" t="s">
        <v>79</v>
      </c>
      <c r="H336" t="s">
        <v>80</v>
      </c>
      <c r="I336" t="s">
        <v>81</v>
      </c>
      <c r="J336" t="s">
        <v>82</v>
      </c>
      <c r="K336" t="s">
        <v>76</v>
      </c>
      <c r="L336" t="s">
        <v>8</v>
      </c>
      <c r="M336" t="s">
        <v>83</v>
      </c>
      <c r="N336" t="s">
        <v>84</v>
      </c>
      <c r="O336" t="s">
        <v>85</v>
      </c>
      <c r="P336">
        <v>274958</v>
      </c>
      <c r="Q336" t="s">
        <v>5</v>
      </c>
      <c r="R336" t="s">
        <v>86</v>
      </c>
      <c r="S336" t="s">
        <v>87</v>
      </c>
      <c r="T336">
        <v>0</v>
      </c>
      <c r="U336">
        <v>0.25</v>
      </c>
      <c r="V336" s="2">
        <v>1.0416666666666666E-2</v>
      </c>
      <c r="W336">
        <v>0</v>
      </c>
      <c r="AA336" t="s">
        <v>88</v>
      </c>
      <c r="AB336" t="s">
        <v>100</v>
      </c>
      <c r="AC336" t="s">
        <v>84</v>
      </c>
      <c r="AD336" t="s">
        <v>90</v>
      </c>
    </row>
    <row r="337" spans="1:30" hidden="1">
      <c r="A337" s="1">
        <v>45495</v>
      </c>
      <c r="B337" t="s">
        <v>93</v>
      </c>
      <c r="C337" t="s">
        <v>75</v>
      </c>
      <c r="D337" t="s">
        <v>76</v>
      </c>
      <c r="E337" t="s">
        <v>91</v>
      </c>
      <c r="F337" t="s">
        <v>78</v>
      </c>
      <c r="G337" t="s">
        <v>79</v>
      </c>
      <c r="H337" t="s">
        <v>80</v>
      </c>
      <c r="I337" t="s">
        <v>81</v>
      </c>
      <c r="J337" t="s">
        <v>82</v>
      </c>
      <c r="K337" t="s">
        <v>76</v>
      </c>
      <c r="L337" t="s">
        <v>8</v>
      </c>
      <c r="M337" t="s">
        <v>83</v>
      </c>
      <c r="N337" t="s">
        <v>84</v>
      </c>
      <c r="O337" t="s">
        <v>85</v>
      </c>
      <c r="P337">
        <v>277425</v>
      </c>
      <c r="Q337" t="s">
        <v>4</v>
      </c>
      <c r="R337" t="s">
        <v>94</v>
      </c>
      <c r="S337" t="s">
        <v>87</v>
      </c>
      <c r="T337">
        <v>90</v>
      </c>
      <c r="U337">
        <v>0.5</v>
      </c>
      <c r="V337" s="2">
        <v>2.0833333333333332E-2</v>
      </c>
      <c r="W337">
        <v>45</v>
      </c>
      <c r="X337">
        <v>60</v>
      </c>
      <c r="Y337">
        <v>15</v>
      </c>
      <c r="Z337" t="s">
        <v>217</v>
      </c>
      <c r="AA337" t="s">
        <v>88</v>
      </c>
      <c r="AB337" t="s">
        <v>100</v>
      </c>
      <c r="AC337" t="s">
        <v>234</v>
      </c>
      <c r="AD337" t="s">
        <v>90</v>
      </c>
    </row>
    <row r="338" spans="1:30" hidden="1">
      <c r="A338" s="1">
        <v>45495</v>
      </c>
      <c r="B338" t="s">
        <v>8</v>
      </c>
      <c r="C338" t="s">
        <v>75</v>
      </c>
      <c r="D338" t="s">
        <v>76</v>
      </c>
      <c r="E338" t="s">
        <v>77</v>
      </c>
      <c r="F338" t="s">
        <v>78</v>
      </c>
      <c r="G338" t="s">
        <v>79</v>
      </c>
      <c r="H338" t="s">
        <v>80</v>
      </c>
      <c r="I338" t="s">
        <v>81</v>
      </c>
      <c r="J338" t="s">
        <v>82</v>
      </c>
      <c r="K338" t="s">
        <v>76</v>
      </c>
      <c r="L338" t="s">
        <v>8</v>
      </c>
      <c r="M338" t="s">
        <v>83</v>
      </c>
      <c r="N338" t="s">
        <v>84</v>
      </c>
      <c r="O338" t="s">
        <v>85</v>
      </c>
      <c r="P338">
        <v>274622</v>
      </c>
      <c r="Q338" t="s">
        <v>5</v>
      </c>
      <c r="R338" t="s">
        <v>86</v>
      </c>
      <c r="S338" t="s">
        <v>87</v>
      </c>
      <c r="T338">
        <v>0</v>
      </c>
      <c r="U338">
        <v>1</v>
      </c>
      <c r="V338" s="2">
        <v>4.1666666666666664E-2</v>
      </c>
      <c r="W338">
        <v>0</v>
      </c>
      <c r="AA338" t="s">
        <v>88</v>
      </c>
      <c r="AB338" t="s">
        <v>100</v>
      </c>
      <c r="AC338" t="s">
        <v>84</v>
      </c>
      <c r="AD338" t="s">
        <v>90</v>
      </c>
    </row>
    <row r="339" spans="1:30" hidden="1">
      <c r="A339" s="1">
        <v>45495</v>
      </c>
      <c r="B339" t="s">
        <v>108</v>
      </c>
      <c r="C339" t="s">
        <v>75</v>
      </c>
      <c r="D339" t="s">
        <v>76</v>
      </c>
      <c r="E339" t="s">
        <v>91</v>
      </c>
      <c r="F339" t="s">
        <v>78</v>
      </c>
      <c r="G339" t="s">
        <v>79</v>
      </c>
      <c r="H339" t="s">
        <v>80</v>
      </c>
      <c r="I339" t="s">
        <v>81</v>
      </c>
      <c r="J339" t="s">
        <v>82</v>
      </c>
      <c r="K339" t="s">
        <v>76</v>
      </c>
      <c r="L339" t="s">
        <v>8</v>
      </c>
      <c r="M339" t="s">
        <v>83</v>
      </c>
      <c r="N339" t="s">
        <v>93</v>
      </c>
      <c r="O339" t="s">
        <v>85</v>
      </c>
      <c r="P339">
        <v>275176</v>
      </c>
      <c r="Q339" t="s">
        <v>5</v>
      </c>
      <c r="R339" t="s">
        <v>86</v>
      </c>
      <c r="S339" t="s">
        <v>87</v>
      </c>
      <c r="T339">
        <v>0</v>
      </c>
      <c r="U339">
        <v>0.25</v>
      </c>
      <c r="V339" s="2">
        <v>1.0416666666666666E-2</v>
      </c>
      <c r="W339">
        <v>0</v>
      </c>
      <c r="AA339" t="s">
        <v>88</v>
      </c>
      <c r="AB339" t="s">
        <v>100</v>
      </c>
      <c r="AC339" t="s">
        <v>84</v>
      </c>
      <c r="AD339" t="s">
        <v>90</v>
      </c>
    </row>
    <row r="340" spans="1:30" hidden="1">
      <c r="A340" s="1">
        <v>45496</v>
      </c>
      <c r="B340" t="s">
        <v>10</v>
      </c>
      <c r="C340" t="s">
        <v>92</v>
      </c>
      <c r="D340" t="s">
        <v>76</v>
      </c>
      <c r="E340" t="s">
        <v>91</v>
      </c>
      <c r="F340" t="s">
        <v>78</v>
      </c>
      <c r="G340" t="s">
        <v>79</v>
      </c>
      <c r="H340" t="s">
        <v>80</v>
      </c>
      <c r="I340" t="s">
        <v>81</v>
      </c>
      <c r="J340" t="s">
        <v>82</v>
      </c>
      <c r="K340" t="s">
        <v>76</v>
      </c>
      <c r="L340" t="s">
        <v>8</v>
      </c>
      <c r="M340" t="s">
        <v>83</v>
      </c>
      <c r="N340" t="s">
        <v>93</v>
      </c>
      <c r="O340" t="s">
        <v>85</v>
      </c>
      <c r="P340">
        <v>274716</v>
      </c>
      <c r="Q340" t="s">
        <v>4</v>
      </c>
      <c r="R340" t="s">
        <v>94</v>
      </c>
      <c r="S340" t="s">
        <v>87</v>
      </c>
      <c r="T340">
        <v>90</v>
      </c>
      <c r="U340">
        <v>1</v>
      </c>
      <c r="V340" s="2">
        <v>4.1666666666666664E-2</v>
      </c>
      <c r="W340">
        <v>90</v>
      </c>
      <c r="X340">
        <v>120</v>
      </c>
      <c r="Y340">
        <v>30</v>
      </c>
      <c r="Z340" t="s">
        <v>217</v>
      </c>
      <c r="AA340" t="s">
        <v>88</v>
      </c>
      <c r="AB340" t="s">
        <v>100</v>
      </c>
      <c r="AC340" t="s">
        <v>235</v>
      </c>
      <c r="AD340" t="s">
        <v>90</v>
      </c>
    </row>
    <row r="341" spans="1:30" hidden="1">
      <c r="A341" s="1">
        <v>45496</v>
      </c>
      <c r="B341" t="s">
        <v>10</v>
      </c>
      <c r="C341" t="s">
        <v>92</v>
      </c>
      <c r="D341" t="s">
        <v>76</v>
      </c>
      <c r="E341" t="s">
        <v>91</v>
      </c>
      <c r="F341" t="s">
        <v>78</v>
      </c>
      <c r="G341" t="s">
        <v>79</v>
      </c>
      <c r="H341" t="s">
        <v>80</v>
      </c>
      <c r="I341" t="s">
        <v>81</v>
      </c>
      <c r="J341" t="s">
        <v>82</v>
      </c>
      <c r="K341" t="s">
        <v>76</v>
      </c>
      <c r="L341" t="s">
        <v>8</v>
      </c>
      <c r="M341" t="s">
        <v>83</v>
      </c>
      <c r="N341" t="s">
        <v>93</v>
      </c>
      <c r="O341" t="s">
        <v>85</v>
      </c>
      <c r="P341">
        <v>274789</v>
      </c>
      <c r="Q341" t="s">
        <v>5</v>
      </c>
      <c r="R341" t="s">
        <v>86</v>
      </c>
      <c r="S341" t="s">
        <v>87</v>
      </c>
      <c r="T341">
        <v>0</v>
      </c>
      <c r="U341">
        <v>2</v>
      </c>
      <c r="V341" s="2">
        <v>8.3333333333333329E-2</v>
      </c>
      <c r="W341">
        <v>0</v>
      </c>
      <c r="AA341" t="s">
        <v>88</v>
      </c>
      <c r="AB341" t="s">
        <v>100</v>
      </c>
      <c r="AC341" t="s">
        <v>236</v>
      </c>
      <c r="AD341" t="s">
        <v>90</v>
      </c>
    </row>
    <row r="342" spans="1:30" hidden="1">
      <c r="A342" s="1">
        <v>45496</v>
      </c>
      <c r="B342" t="s">
        <v>14</v>
      </c>
      <c r="C342" t="s">
        <v>75</v>
      </c>
      <c r="D342" t="s">
        <v>76</v>
      </c>
      <c r="E342" t="s">
        <v>77</v>
      </c>
      <c r="F342" t="s">
        <v>78</v>
      </c>
      <c r="G342" t="s">
        <v>79</v>
      </c>
      <c r="H342" t="s">
        <v>80</v>
      </c>
      <c r="I342" t="s">
        <v>81</v>
      </c>
      <c r="J342" t="s">
        <v>82</v>
      </c>
      <c r="K342" t="s">
        <v>76</v>
      </c>
      <c r="L342" t="s">
        <v>8</v>
      </c>
      <c r="M342" t="s">
        <v>83</v>
      </c>
      <c r="N342" t="s">
        <v>84</v>
      </c>
      <c r="O342" t="s">
        <v>85</v>
      </c>
      <c r="P342">
        <v>275230</v>
      </c>
      <c r="Q342" t="s">
        <v>5</v>
      </c>
      <c r="R342" t="s">
        <v>86</v>
      </c>
      <c r="S342" t="s">
        <v>87</v>
      </c>
      <c r="T342">
        <v>0</v>
      </c>
      <c r="U342">
        <v>1</v>
      </c>
      <c r="V342" s="2">
        <v>4.1666666666666664E-2</v>
      </c>
      <c r="W342">
        <v>0</v>
      </c>
      <c r="AA342" t="s">
        <v>88</v>
      </c>
      <c r="AB342" t="s">
        <v>100</v>
      </c>
      <c r="AC342" t="s">
        <v>237</v>
      </c>
      <c r="AD342" t="s">
        <v>90</v>
      </c>
    </row>
    <row r="343" spans="1:30" hidden="1">
      <c r="A343" s="1">
        <v>45496</v>
      </c>
      <c r="B343" t="s">
        <v>114</v>
      </c>
      <c r="C343" t="s">
        <v>75</v>
      </c>
      <c r="D343" t="s">
        <v>76</v>
      </c>
      <c r="E343" t="s">
        <v>91</v>
      </c>
      <c r="F343" t="s">
        <v>78</v>
      </c>
      <c r="G343" t="s">
        <v>79</v>
      </c>
      <c r="H343" t="s">
        <v>80</v>
      </c>
      <c r="I343" t="s">
        <v>81</v>
      </c>
      <c r="J343" t="s">
        <v>82</v>
      </c>
      <c r="K343" t="s">
        <v>76</v>
      </c>
      <c r="L343" t="s">
        <v>8</v>
      </c>
      <c r="M343" t="s">
        <v>83</v>
      </c>
      <c r="N343" t="s">
        <v>93</v>
      </c>
      <c r="O343" t="s">
        <v>85</v>
      </c>
      <c r="P343">
        <v>274935</v>
      </c>
      <c r="Q343" t="s">
        <v>5</v>
      </c>
      <c r="R343" t="s">
        <v>86</v>
      </c>
      <c r="S343" t="s">
        <v>87</v>
      </c>
      <c r="T343">
        <v>0</v>
      </c>
      <c r="U343">
        <v>0.25</v>
      </c>
      <c r="V343" s="2">
        <v>1.0416666666666666E-2</v>
      </c>
      <c r="W343">
        <v>0</v>
      </c>
      <c r="AA343" t="s">
        <v>88</v>
      </c>
      <c r="AB343" t="s">
        <v>100</v>
      </c>
      <c r="AC343" t="s">
        <v>213</v>
      </c>
      <c r="AD343" t="s">
        <v>90</v>
      </c>
    </row>
    <row r="344" spans="1:30" hidden="1">
      <c r="A344" s="1">
        <v>45496</v>
      </c>
      <c r="B344" t="s">
        <v>12</v>
      </c>
      <c r="C344" t="s">
        <v>75</v>
      </c>
      <c r="D344" t="s">
        <v>76</v>
      </c>
      <c r="E344" t="s">
        <v>91</v>
      </c>
      <c r="F344" t="s">
        <v>78</v>
      </c>
      <c r="G344" t="s">
        <v>79</v>
      </c>
      <c r="H344" t="s">
        <v>80</v>
      </c>
      <c r="I344" t="s">
        <v>81</v>
      </c>
      <c r="J344" t="s">
        <v>82</v>
      </c>
      <c r="K344" t="s">
        <v>76</v>
      </c>
      <c r="L344" t="s">
        <v>8</v>
      </c>
      <c r="M344" t="s">
        <v>83</v>
      </c>
      <c r="N344" t="s">
        <v>84</v>
      </c>
      <c r="O344" t="s">
        <v>85</v>
      </c>
      <c r="P344">
        <v>274959</v>
      </c>
      <c r="Q344" t="s">
        <v>5</v>
      </c>
      <c r="R344" t="s">
        <v>86</v>
      </c>
      <c r="S344" t="s">
        <v>87</v>
      </c>
      <c r="T344">
        <v>0</v>
      </c>
      <c r="U344">
        <v>0.25</v>
      </c>
      <c r="V344" s="2">
        <v>1.0416666666666666E-2</v>
      </c>
      <c r="W344">
        <v>0</v>
      </c>
      <c r="AA344" t="s">
        <v>88</v>
      </c>
      <c r="AB344" t="s">
        <v>100</v>
      </c>
      <c r="AC344" t="s">
        <v>84</v>
      </c>
      <c r="AD344" t="s">
        <v>90</v>
      </c>
    </row>
    <row r="345" spans="1:30" hidden="1">
      <c r="A345" s="1">
        <v>45496</v>
      </c>
      <c r="B345" t="s">
        <v>8</v>
      </c>
      <c r="C345" t="s">
        <v>75</v>
      </c>
      <c r="D345" t="s">
        <v>76</v>
      </c>
      <c r="E345" t="s">
        <v>77</v>
      </c>
      <c r="F345" t="s">
        <v>78</v>
      </c>
      <c r="G345" t="s">
        <v>79</v>
      </c>
      <c r="H345" t="s">
        <v>80</v>
      </c>
      <c r="I345" t="s">
        <v>81</v>
      </c>
      <c r="J345" t="s">
        <v>82</v>
      </c>
      <c r="K345" t="s">
        <v>76</v>
      </c>
      <c r="L345" t="s">
        <v>8</v>
      </c>
      <c r="M345" t="s">
        <v>83</v>
      </c>
      <c r="N345" t="s">
        <v>84</v>
      </c>
      <c r="O345" t="s">
        <v>85</v>
      </c>
      <c r="P345">
        <v>274614</v>
      </c>
      <c r="Q345" t="s">
        <v>5</v>
      </c>
      <c r="R345" t="s">
        <v>86</v>
      </c>
      <c r="S345" t="s">
        <v>87</v>
      </c>
      <c r="T345">
        <v>0</v>
      </c>
      <c r="U345">
        <v>0.5</v>
      </c>
      <c r="V345" s="2">
        <v>2.0833333333333332E-2</v>
      </c>
      <c r="W345">
        <v>0</v>
      </c>
      <c r="AA345" t="s">
        <v>88</v>
      </c>
      <c r="AB345" t="s">
        <v>100</v>
      </c>
      <c r="AC345" t="s">
        <v>84</v>
      </c>
      <c r="AD345" t="s">
        <v>90</v>
      </c>
    </row>
    <row r="346" spans="1:30" hidden="1">
      <c r="A346" s="1">
        <v>45496</v>
      </c>
      <c r="B346" t="s">
        <v>108</v>
      </c>
      <c r="C346" t="s">
        <v>75</v>
      </c>
      <c r="D346" t="s">
        <v>76</v>
      </c>
      <c r="E346" t="s">
        <v>91</v>
      </c>
      <c r="F346" t="s">
        <v>78</v>
      </c>
      <c r="G346" t="s">
        <v>79</v>
      </c>
      <c r="H346" t="s">
        <v>80</v>
      </c>
      <c r="I346" t="s">
        <v>81</v>
      </c>
      <c r="J346" t="s">
        <v>82</v>
      </c>
      <c r="K346" t="s">
        <v>76</v>
      </c>
      <c r="L346" t="s">
        <v>8</v>
      </c>
      <c r="M346" t="s">
        <v>83</v>
      </c>
      <c r="N346" t="s">
        <v>93</v>
      </c>
      <c r="O346" t="s">
        <v>85</v>
      </c>
      <c r="P346">
        <v>275178</v>
      </c>
      <c r="Q346" t="s">
        <v>5</v>
      </c>
      <c r="R346" t="s">
        <v>86</v>
      </c>
      <c r="S346" t="s">
        <v>87</v>
      </c>
      <c r="T346">
        <v>0</v>
      </c>
      <c r="U346">
        <v>0.25</v>
      </c>
      <c r="V346" s="2">
        <v>1.0416666666666666E-2</v>
      </c>
      <c r="W346">
        <v>0</v>
      </c>
      <c r="AA346" t="s">
        <v>88</v>
      </c>
      <c r="AB346" t="s">
        <v>100</v>
      </c>
      <c r="AC346" t="s">
        <v>84</v>
      </c>
      <c r="AD346" t="s">
        <v>90</v>
      </c>
    </row>
    <row r="347" spans="1:30" hidden="1">
      <c r="A347" s="1">
        <v>45497</v>
      </c>
      <c r="B347" t="s">
        <v>10</v>
      </c>
      <c r="C347" t="s">
        <v>92</v>
      </c>
      <c r="D347" t="s">
        <v>76</v>
      </c>
      <c r="E347" t="s">
        <v>91</v>
      </c>
      <c r="F347" t="s">
        <v>78</v>
      </c>
      <c r="G347" t="s">
        <v>79</v>
      </c>
      <c r="H347" t="s">
        <v>80</v>
      </c>
      <c r="I347" t="s">
        <v>81</v>
      </c>
      <c r="J347" t="s">
        <v>82</v>
      </c>
      <c r="K347" t="s">
        <v>76</v>
      </c>
      <c r="L347" t="s">
        <v>8</v>
      </c>
      <c r="M347" t="s">
        <v>83</v>
      </c>
      <c r="N347" t="s">
        <v>93</v>
      </c>
      <c r="O347" t="s">
        <v>85</v>
      </c>
      <c r="P347">
        <v>277174</v>
      </c>
      <c r="Q347" t="s">
        <v>5</v>
      </c>
      <c r="R347" t="s">
        <v>86</v>
      </c>
      <c r="S347" t="s">
        <v>87</v>
      </c>
      <c r="T347">
        <v>0</v>
      </c>
      <c r="U347">
        <v>6</v>
      </c>
      <c r="V347" s="2">
        <v>0.25</v>
      </c>
      <c r="W347">
        <v>0</v>
      </c>
      <c r="AA347" t="s">
        <v>88</v>
      </c>
      <c r="AB347" t="s">
        <v>100</v>
      </c>
      <c r="AC347" t="s">
        <v>238</v>
      </c>
      <c r="AD347" t="s">
        <v>90</v>
      </c>
    </row>
    <row r="348" spans="1:30" hidden="1">
      <c r="A348" s="1">
        <v>45497</v>
      </c>
      <c r="B348" t="s">
        <v>14</v>
      </c>
      <c r="C348" t="s">
        <v>75</v>
      </c>
      <c r="D348" t="s">
        <v>76</v>
      </c>
      <c r="E348" t="s">
        <v>77</v>
      </c>
      <c r="F348" t="s">
        <v>78</v>
      </c>
      <c r="G348" t="s">
        <v>79</v>
      </c>
      <c r="H348" t="s">
        <v>80</v>
      </c>
      <c r="I348" t="s">
        <v>81</v>
      </c>
      <c r="J348" t="s">
        <v>82</v>
      </c>
      <c r="K348" t="s">
        <v>76</v>
      </c>
      <c r="L348" t="s">
        <v>8</v>
      </c>
      <c r="M348" t="s">
        <v>83</v>
      </c>
      <c r="N348" t="s">
        <v>84</v>
      </c>
      <c r="O348" t="s">
        <v>85</v>
      </c>
      <c r="P348">
        <v>275581</v>
      </c>
      <c r="Q348" t="s">
        <v>5</v>
      </c>
      <c r="R348" t="s">
        <v>86</v>
      </c>
      <c r="S348" t="s">
        <v>87</v>
      </c>
      <c r="T348">
        <v>0</v>
      </c>
      <c r="U348">
        <v>0.75</v>
      </c>
      <c r="V348" s="2">
        <v>3.125E-2</v>
      </c>
      <c r="W348">
        <v>0</v>
      </c>
      <c r="AA348" t="s">
        <v>88</v>
      </c>
      <c r="AB348" t="s">
        <v>100</v>
      </c>
      <c r="AC348" t="s">
        <v>239</v>
      </c>
      <c r="AD348" t="s">
        <v>90</v>
      </c>
    </row>
    <row r="349" spans="1:30" hidden="1">
      <c r="A349" s="1">
        <v>45497</v>
      </c>
      <c r="B349" t="s">
        <v>211</v>
      </c>
      <c r="C349" t="s">
        <v>75</v>
      </c>
      <c r="D349" t="s">
        <v>76</v>
      </c>
      <c r="E349" t="s">
        <v>91</v>
      </c>
      <c r="F349" t="s">
        <v>78</v>
      </c>
      <c r="G349" t="s">
        <v>79</v>
      </c>
      <c r="H349" t="s">
        <v>80</v>
      </c>
      <c r="I349" t="s">
        <v>81</v>
      </c>
      <c r="J349" t="s">
        <v>82</v>
      </c>
      <c r="K349" t="s">
        <v>76</v>
      </c>
      <c r="L349" t="s">
        <v>8</v>
      </c>
      <c r="M349" t="s">
        <v>83</v>
      </c>
      <c r="N349" t="s">
        <v>93</v>
      </c>
      <c r="O349" t="s">
        <v>85</v>
      </c>
      <c r="P349">
        <v>275506</v>
      </c>
      <c r="Q349" t="s">
        <v>5</v>
      </c>
      <c r="R349" t="s">
        <v>86</v>
      </c>
      <c r="S349" t="s">
        <v>87</v>
      </c>
      <c r="T349">
        <v>0</v>
      </c>
      <c r="U349">
        <v>0.25</v>
      </c>
      <c r="V349" s="2">
        <v>1.0416666666666666E-2</v>
      </c>
      <c r="W349">
        <v>0</v>
      </c>
      <c r="AA349" t="s">
        <v>88</v>
      </c>
      <c r="AB349" t="s">
        <v>100</v>
      </c>
      <c r="AC349" t="s">
        <v>84</v>
      </c>
      <c r="AD349" t="s">
        <v>90</v>
      </c>
    </row>
    <row r="350" spans="1:30" hidden="1">
      <c r="A350" s="1">
        <v>45497</v>
      </c>
      <c r="B350" t="s">
        <v>114</v>
      </c>
      <c r="C350" t="s">
        <v>75</v>
      </c>
      <c r="D350" t="s">
        <v>76</v>
      </c>
      <c r="E350" t="s">
        <v>91</v>
      </c>
      <c r="F350" t="s">
        <v>78</v>
      </c>
      <c r="G350" t="s">
        <v>79</v>
      </c>
      <c r="H350" t="s">
        <v>80</v>
      </c>
      <c r="I350" t="s">
        <v>81</v>
      </c>
      <c r="J350" t="s">
        <v>82</v>
      </c>
      <c r="K350" t="s">
        <v>76</v>
      </c>
      <c r="L350" t="s">
        <v>8</v>
      </c>
      <c r="M350" t="s">
        <v>83</v>
      </c>
      <c r="N350" t="s">
        <v>93</v>
      </c>
      <c r="O350" t="s">
        <v>85</v>
      </c>
      <c r="P350">
        <v>275595</v>
      </c>
      <c r="Q350" t="s">
        <v>5</v>
      </c>
      <c r="R350" t="s">
        <v>86</v>
      </c>
      <c r="S350" t="s">
        <v>87</v>
      </c>
      <c r="T350">
        <v>0</v>
      </c>
      <c r="U350">
        <v>0.25</v>
      </c>
      <c r="V350" s="2">
        <v>1.0416666666666666E-2</v>
      </c>
      <c r="W350">
        <v>0</v>
      </c>
      <c r="AA350" t="s">
        <v>88</v>
      </c>
      <c r="AB350" t="s">
        <v>100</v>
      </c>
      <c r="AC350" t="s">
        <v>179</v>
      </c>
      <c r="AD350" t="s">
        <v>90</v>
      </c>
    </row>
    <row r="351" spans="1:30" hidden="1">
      <c r="A351" s="1">
        <v>45497</v>
      </c>
      <c r="B351" t="s">
        <v>12</v>
      </c>
      <c r="C351" t="s">
        <v>75</v>
      </c>
      <c r="D351" t="s">
        <v>76</v>
      </c>
      <c r="E351" t="s">
        <v>91</v>
      </c>
      <c r="F351" t="s">
        <v>78</v>
      </c>
      <c r="G351" t="s">
        <v>79</v>
      </c>
      <c r="H351" t="s">
        <v>80</v>
      </c>
      <c r="I351" t="s">
        <v>81</v>
      </c>
      <c r="J351" t="s">
        <v>82</v>
      </c>
      <c r="K351" t="s">
        <v>76</v>
      </c>
      <c r="L351" t="s">
        <v>8</v>
      </c>
      <c r="M351" t="s">
        <v>83</v>
      </c>
      <c r="N351" t="s">
        <v>84</v>
      </c>
      <c r="O351" t="s">
        <v>85</v>
      </c>
      <c r="P351">
        <v>277232</v>
      </c>
      <c r="Q351" t="s">
        <v>5</v>
      </c>
      <c r="R351" t="s">
        <v>86</v>
      </c>
      <c r="S351" t="s">
        <v>87</v>
      </c>
      <c r="T351">
        <v>0</v>
      </c>
      <c r="U351">
        <v>0.25</v>
      </c>
      <c r="V351" s="2">
        <v>1.0416666666666666E-2</v>
      </c>
      <c r="W351">
        <v>0</v>
      </c>
      <c r="AA351" t="s">
        <v>88</v>
      </c>
      <c r="AB351" t="s">
        <v>100</v>
      </c>
      <c r="AC351" t="s">
        <v>84</v>
      </c>
      <c r="AD351" t="s">
        <v>90</v>
      </c>
    </row>
    <row r="352" spans="1:30" hidden="1">
      <c r="A352" s="1">
        <v>45497</v>
      </c>
      <c r="B352" t="s">
        <v>8</v>
      </c>
      <c r="C352" t="s">
        <v>75</v>
      </c>
      <c r="D352" t="s">
        <v>76</v>
      </c>
      <c r="E352" t="s">
        <v>77</v>
      </c>
      <c r="F352" t="s">
        <v>78</v>
      </c>
      <c r="G352" t="s">
        <v>79</v>
      </c>
      <c r="H352" t="s">
        <v>80</v>
      </c>
      <c r="I352" t="s">
        <v>81</v>
      </c>
      <c r="J352" t="s">
        <v>82</v>
      </c>
      <c r="K352" t="s">
        <v>76</v>
      </c>
      <c r="L352" t="s">
        <v>8</v>
      </c>
      <c r="M352" t="s">
        <v>83</v>
      </c>
      <c r="N352" t="s">
        <v>84</v>
      </c>
      <c r="O352" t="s">
        <v>85</v>
      </c>
      <c r="P352">
        <v>275844</v>
      </c>
      <c r="Q352" t="s">
        <v>5</v>
      </c>
      <c r="R352" t="s">
        <v>86</v>
      </c>
      <c r="S352" t="s">
        <v>87</v>
      </c>
      <c r="T352">
        <v>0</v>
      </c>
      <c r="U352">
        <v>0.25</v>
      </c>
      <c r="V352" s="2">
        <v>1.0416666666666666E-2</v>
      </c>
      <c r="W352">
        <v>0</v>
      </c>
      <c r="AA352" t="s">
        <v>88</v>
      </c>
      <c r="AB352" t="s">
        <v>100</v>
      </c>
      <c r="AC352" t="s">
        <v>84</v>
      </c>
      <c r="AD352" t="s">
        <v>90</v>
      </c>
    </row>
    <row r="353" spans="1:30" hidden="1">
      <c r="A353" s="1">
        <v>45497</v>
      </c>
      <c r="B353" t="s">
        <v>108</v>
      </c>
      <c r="C353" t="s">
        <v>75</v>
      </c>
      <c r="D353" t="s">
        <v>76</v>
      </c>
      <c r="E353" t="s">
        <v>91</v>
      </c>
      <c r="F353" t="s">
        <v>78</v>
      </c>
      <c r="G353" t="s">
        <v>79</v>
      </c>
      <c r="H353" t="s">
        <v>80</v>
      </c>
      <c r="I353" t="s">
        <v>81</v>
      </c>
      <c r="J353" t="s">
        <v>82</v>
      </c>
      <c r="K353" t="s">
        <v>76</v>
      </c>
      <c r="L353" t="s">
        <v>8</v>
      </c>
      <c r="M353" t="s">
        <v>83</v>
      </c>
      <c r="N353" t="s">
        <v>93</v>
      </c>
      <c r="O353" t="s">
        <v>85</v>
      </c>
      <c r="P353">
        <v>275815</v>
      </c>
      <c r="Q353" t="s">
        <v>5</v>
      </c>
      <c r="R353" t="s">
        <v>86</v>
      </c>
      <c r="S353" t="s">
        <v>87</v>
      </c>
      <c r="T353">
        <v>0</v>
      </c>
      <c r="U353">
        <v>0.25</v>
      </c>
      <c r="V353" s="2">
        <v>1.0416666666666666E-2</v>
      </c>
      <c r="W353">
        <v>0</v>
      </c>
      <c r="AA353" t="s">
        <v>88</v>
      </c>
      <c r="AB353" t="s">
        <v>100</v>
      </c>
      <c r="AC353" t="s">
        <v>84</v>
      </c>
      <c r="AD353" t="s">
        <v>90</v>
      </c>
    </row>
    <row r="354" spans="1:30" hidden="1">
      <c r="A354" s="1">
        <v>45498</v>
      </c>
      <c r="B354" t="s">
        <v>10</v>
      </c>
      <c r="C354" t="s">
        <v>92</v>
      </c>
      <c r="D354" t="s">
        <v>76</v>
      </c>
      <c r="E354" t="s">
        <v>91</v>
      </c>
      <c r="F354" t="s">
        <v>78</v>
      </c>
      <c r="G354" t="s">
        <v>79</v>
      </c>
      <c r="H354" t="s">
        <v>80</v>
      </c>
      <c r="I354" t="s">
        <v>81</v>
      </c>
      <c r="J354" t="s">
        <v>82</v>
      </c>
      <c r="K354" t="s">
        <v>76</v>
      </c>
      <c r="L354" t="s">
        <v>8</v>
      </c>
      <c r="M354" t="s">
        <v>83</v>
      </c>
      <c r="N354" t="s">
        <v>93</v>
      </c>
      <c r="O354" t="s">
        <v>85</v>
      </c>
      <c r="P354">
        <v>277175</v>
      </c>
      <c r="Q354" t="s">
        <v>5</v>
      </c>
      <c r="R354" t="s">
        <v>86</v>
      </c>
      <c r="S354" t="s">
        <v>87</v>
      </c>
      <c r="T354">
        <v>0</v>
      </c>
      <c r="U354">
        <v>7.5</v>
      </c>
      <c r="V354" s="2">
        <v>0.3125</v>
      </c>
      <c r="W354">
        <v>0</v>
      </c>
      <c r="AA354" t="s">
        <v>88</v>
      </c>
      <c r="AB354" t="s">
        <v>100</v>
      </c>
      <c r="AC354" t="s">
        <v>240</v>
      </c>
      <c r="AD354" t="s">
        <v>90</v>
      </c>
    </row>
    <row r="355" spans="1:30" hidden="1">
      <c r="A355" s="1">
        <v>45498</v>
      </c>
      <c r="B355" t="s">
        <v>14</v>
      </c>
      <c r="C355" t="s">
        <v>75</v>
      </c>
      <c r="D355" t="s">
        <v>76</v>
      </c>
      <c r="E355" t="s">
        <v>77</v>
      </c>
      <c r="F355" t="s">
        <v>78</v>
      </c>
      <c r="G355" t="s">
        <v>79</v>
      </c>
      <c r="H355" t="s">
        <v>80</v>
      </c>
      <c r="I355" t="s">
        <v>81</v>
      </c>
      <c r="J355" t="s">
        <v>82</v>
      </c>
      <c r="K355" t="s">
        <v>76</v>
      </c>
      <c r="L355" t="s">
        <v>8</v>
      </c>
      <c r="M355" t="s">
        <v>83</v>
      </c>
      <c r="N355" t="s">
        <v>84</v>
      </c>
      <c r="O355" t="s">
        <v>85</v>
      </c>
      <c r="P355">
        <v>276415</v>
      </c>
      <c r="Q355" t="s">
        <v>5</v>
      </c>
      <c r="R355" t="s">
        <v>86</v>
      </c>
      <c r="S355" t="s">
        <v>87</v>
      </c>
      <c r="T355">
        <v>0</v>
      </c>
      <c r="U355">
        <v>0.25</v>
      </c>
      <c r="V355" s="2">
        <v>1.0416666666666666E-2</v>
      </c>
      <c r="W355">
        <v>0</v>
      </c>
      <c r="AA355" t="s">
        <v>88</v>
      </c>
      <c r="AB355" t="s">
        <v>100</v>
      </c>
      <c r="AC355" t="s">
        <v>84</v>
      </c>
      <c r="AD355" t="s">
        <v>90</v>
      </c>
    </row>
    <row r="356" spans="1:30" hidden="1">
      <c r="A356" s="1">
        <v>45498</v>
      </c>
      <c r="B356" t="s">
        <v>114</v>
      </c>
      <c r="C356" t="s">
        <v>75</v>
      </c>
      <c r="D356" t="s">
        <v>76</v>
      </c>
      <c r="E356" t="s">
        <v>91</v>
      </c>
      <c r="F356" t="s">
        <v>78</v>
      </c>
      <c r="G356" t="s">
        <v>79</v>
      </c>
      <c r="H356" t="s">
        <v>80</v>
      </c>
      <c r="I356" t="s">
        <v>81</v>
      </c>
      <c r="J356" t="s">
        <v>82</v>
      </c>
      <c r="K356" t="s">
        <v>76</v>
      </c>
      <c r="L356" t="s">
        <v>8</v>
      </c>
      <c r="M356" t="s">
        <v>83</v>
      </c>
      <c r="N356" t="s">
        <v>93</v>
      </c>
      <c r="O356" t="s">
        <v>85</v>
      </c>
      <c r="P356">
        <v>276626</v>
      </c>
      <c r="Q356" t="s">
        <v>5</v>
      </c>
      <c r="R356" t="s">
        <v>86</v>
      </c>
      <c r="S356" t="s">
        <v>87</v>
      </c>
      <c r="T356">
        <v>0</v>
      </c>
      <c r="U356">
        <v>0.25</v>
      </c>
      <c r="V356" s="2">
        <v>1.0416666666666666E-2</v>
      </c>
      <c r="W356">
        <v>0</v>
      </c>
      <c r="AA356" t="s">
        <v>88</v>
      </c>
      <c r="AB356" t="s">
        <v>100</v>
      </c>
      <c r="AC356" t="s">
        <v>84</v>
      </c>
      <c r="AD356" t="s">
        <v>90</v>
      </c>
    </row>
    <row r="357" spans="1:30" hidden="1">
      <c r="A357" s="1">
        <v>45498</v>
      </c>
      <c r="B357" t="s">
        <v>12</v>
      </c>
      <c r="C357" t="s">
        <v>75</v>
      </c>
      <c r="D357" t="s">
        <v>76</v>
      </c>
      <c r="E357" t="s">
        <v>91</v>
      </c>
      <c r="F357" t="s">
        <v>78</v>
      </c>
      <c r="G357" t="s">
        <v>79</v>
      </c>
      <c r="H357" t="s">
        <v>80</v>
      </c>
      <c r="I357" t="s">
        <v>81</v>
      </c>
      <c r="J357" t="s">
        <v>82</v>
      </c>
      <c r="K357" t="s">
        <v>76</v>
      </c>
      <c r="L357" t="s">
        <v>8</v>
      </c>
      <c r="M357" t="s">
        <v>83</v>
      </c>
      <c r="N357" t="s">
        <v>84</v>
      </c>
      <c r="O357" t="s">
        <v>85</v>
      </c>
      <c r="P357">
        <v>277233</v>
      </c>
      <c r="Q357" t="s">
        <v>5</v>
      </c>
      <c r="R357" t="s">
        <v>86</v>
      </c>
      <c r="S357" t="s">
        <v>87</v>
      </c>
      <c r="T357">
        <v>0</v>
      </c>
      <c r="U357">
        <v>0.25</v>
      </c>
      <c r="V357" s="2">
        <v>1.0416666666666666E-2</v>
      </c>
      <c r="W357">
        <v>0</v>
      </c>
      <c r="AA357" t="s">
        <v>88</v>
      </c>
      <c r="AB357" t="s">
        <v>100</v>
      </c>
      <c r="AC357" t="s">
        <v>84</v>
      </c>
      <c r="AD357" t="s">
        <v>90</v>
      </c>
    </row>
    <row r="358" spans="1:30" hidden="1">
      <c r="A358" s="1">
        <v>45498</v>
      </c>
      <c r="B358" t="s">
        <v>8</v>
      </c>
      <c r="C358" t="s">
        <v>75</v>
      </c>
      <c r="D358" t="s">
        <v>76</v>
      </c>
      <c r="E358" t="s">
        <v>77</v>
      </c>
      <c r="F358" t="s">
        <v>78</v>
      </c>
      <c r="G358" t="s">
        <v>79</v>
      </c>
      <c r="H358" t="s">
        <v>80</v>
      </c>
      <c r="I358" t="s">
        <v>81</v>
      </c>
      <c r="J358" t="s">
        <v>82</v>
      </c>
      <c r="K358" t="s">
        <v>76</v>
      </c>
      <c r="L358" t="s">
        <v>8</v>
      </c>
      <c r="M358" t="s">
        <v>83</v>
      </c>
      <c r="N358" t="s">
        <v>84</v>
      </c>
      <c r="O358" t="s">
        <v>85</v>
      </c>
      <c r="P358">
        <v>276232</v>
      </c>
      <c r="Q358" t="s">
        <v>5</v>
      </c>
      <c r="R358" t="s">
        <v>86</v>
      </c>
      <c r="S358" t="s">
        <v>87</v>
      </c>
      <c r="T358">
        <v>0</v>
      </c>
      <c r="U358">
        <v>0.5</v>
      </c>
      <c r="V358" s="2">
        <v>2.0833333333333332E-2</v>
      </c>
      <c r="W358">
        <v>0</v>
      </c>
      <c r="AA358" t="s">
        <v>88</v>
      </c>
      <c r="AB358" t="s">
        <v>100</v>
      </c>
      <c r="AC358" t="s">
        <v>84</v>
      </c>
      <c r="AD358" t="s">
        <v>90</v>
      </c>
    </row>
    <row r="359" spans="1:30" hidden="1">
      <c r="A359" s="1">
        <v>45498</v>
      </c>
      <c r="B359" t="s">
        <v>108</v>
      </c>
      <c r="C359" t="s">
        <v>75</v>
      </c>
      <c r="D359" t="s">
        <v>76</v>
      </c>
      <c r="E359" t="s">
        <v>91</v>
      </c>
      <c r="F359" t="s">
        <v>78</v>
      </c>
      <c r="G359" t="s">
        <v>79</v>
      </c>
      <c r="H359" t="s">
        <v>80</v>
      </c>
      <c r="I359" t="s">
        <v>81</v>
      </c>
      <c r="J359" t="s">
        <v>82</v>
      </c>
      <c r="K359" t="s">
        <v>76</v>
      </c>
      <c r="L359" t="s">
        <v>8</v>
      </c>
      <c r="M359" t="s">
        <v>83</v>
      </c>
      <c r="N359" t="s">
        <v>93</v>
      </c>
      <c r="O359" t="s">
        <v>85</v>
      </c>
      <c r="P359">
        <v>277261</v>
      </c>
      <c r="Q359" t="s">
        <v>5</v>
      </c>
      <c r="R359" t="s">
        <v>86</v>
      </c>
      <c r="S359" t="s">
        <v>87</v>
      </c>
      <c r="T359">
        <v>0</v>
      </c>
      <c r="U359">
        <v>0.25</v>
      </c>
      <c r="V359" s="2">
        <v>1.0416666666666666E-2</v>
      </c>
      <c r="W359">
        <v>0</v>
      </c>
      <c r="AA359" t="s">
        <v>88</v>
      </c>
      <c r="AB359" t="s">
        <v>100</v>
      </c>
      <c r="AC359" t="s">
        <v>84</v>
      </c>
      <c r="AD359" t="s">
        <v>90</v>
      </c>
    </row>
    <row r="360" spans="1:30" hidden="1">
      <c r="A360" s="1">
        <v>45499</v>
      </c>
      <c r="B360" t="s">
        <v>10</v>
      </c>
      <c r="C360" t="s">
        <v>92</v>
      </c>
      <c r="D360" t="s">
        <v>76</v>
      </c>
      <c r="E360" t="s">
        <v>91</v>
      </c>
      <c r="F360" t="s">
        <v>78</v>
      </c>
      <c r="G360" t="s">
        <v>79</v>
      </c>
      <c r="H360" t="s">
        <v>80</v>
      </c>
      <c r="I360" t="s">
        <v>81</v>
      </c>
      <c r="J360" t="s">
        <v>82</v>
      </c>
      <c r="K360" t="s">
        <v>76</v>
      </c>
      <c r="L360" t="s">
        <v>8</v>
      </c>
      <c r="M360" t="s">
        <v>83</v>
      </c>
      <c r="N360" t="s">
        <v>93</v>
      </c>
      <c r="O360" t="s">
        <v>85</v>
      </c>
      <c r="P360">
        <v>276676</v>
      </c>
      <c r="Q360" t="s">
        <v>5</v>
      </c>
      <c r="R360" t="s">
        <v>86</v>
      </c>
      <c r="S360" t="s">
        <v>87</v>
      </c>
      <c r="T360">
        <v>0</v>
      </c>
      <c r="U360">
        <v>3</v>
      </c>
      <c r="V360" s="2">
        <v>0.125</v>
      </c>
      <c r="W360">
        <v>0</v>
      </c>
      <c r="AA360" t="s">
        <v>88</v>
      </c>
      <c r="AB360" t="s">
        <v>100</v>
      </c>
      <c r="AC360" t="s">
        <v>241</v>
      </c>
      <c r="AD360" t="s">
        <v>90</v>
      </c>
    </row>
    <row r="361" spans="1:30" hidden="1">
      <c r="A361" s="1">
        <v>45499</v>
      </c>
      <c r="B361" t="s">
        <v>211</v>
      </c>
      <c r="C361" t="s">
        <v>75</v>
      </c>
      <c r="D361" t="s">
        <v>76</v>
      </c>
      <c r="E361" t="s">
        <v>91</v>
      </c>
      <c r="F361" t="s">
        <v>78</v>
      </c>
      <c r="G361" t="s">
        <v>79</v>
      </c>
      <c r="H361" t="s">
        <v>80</v>
      </c>
      <c r="I361" t="s">
        <v>81</v>
      </c>
      <c r="J361" t="s">
        <v>82</v>
      </c>
      <c r="K361" t="s">
        <v>76</v>
      </c>
      <c r="L361" t="s">
        <v>8</v>
      </c>
      <c r="M361" t="s">
        <v>83</v>
      </c>
      <c r="N361" t="s">
        <v>93</v>
      </c>
      <c r="O361" t="s">
        <v>85</v>
      </c>
      <c r="P361">
        <v>276768</v>
      </c>
      <c r="Q361" t="s">
        <v>5</v>
      </c>
      <c r="R361" t="s">
        <v>86</v>
      </c>
      <c r="S361" t="s">
        <v>87</v>
      </c>
      <c r="T361">
        <v>0</v>
      </c>
      <c r="U361">
        <v>0.5</v>
      </c>
      <c r="V361" s="2">
        <v>2.0833333333333332E-2</v>
      </c>
      <c r="W361">
        <v>0</v>
      </c>
      <c r="AA361" t="s">
        <v>88</v>
      </c>
      <c r="AB361" t="s">
        <v>100</v>
      </c>
      <c r="AC361" t="s">
        <v>84</v>
      </c>
      <c r="AD361" t="s">
        <v>90</v>
      </c>
    </row>
    <row r="362" spans="1:30" hidden="1">
      <c r="A362" s="1">
        <v>45499</v>
      </c>
      <c r="B362" t="s">
        <v>12</v>
      </c>
      <c r="C362" t="s">
        <v>75</v>
      </c>
      <c r="D362" t="s">
        <v>76</v>
      </c>
      <c r="E362" t="s">
        <v>91</v>
      </c>
      <c r="F362" t="s">
        <v>78</v>
      </c>
      <c r="G362" t="s">
        <v>79</v>
      </c>
      <c r="H362" t="s">
        <v>80</v>
      </c>
      <c r="I362" t="s">
        <v>81</v>
      </c>
      <c r="J362" t="s">
        <v>82</v>
      </c>
      <c r="K362" t="s">
        <v>76</v>
      </c>
      <c r="L362" t="s">
        <v>8</v>
      </c>
      <c r="M362" t="s">
        <v>83</v>
      </c>
      <c r="N362" t="s">
        <v>84</v>
      </c>
      <c r="O362" t="s">
        <v>85</v>
      </c>
      <c r="P362">
        <v>277257</v>
      </c>
      <c r="Q362" t="s">
        <v>5</v>
      </c>
      <c r="R362" t="s">
        <v>86</v>
      </c>
      <c r="S362" t="s">
        <v>87</v>
      </c>
      <c r="T362">
        <v>0</v>
      </c>
      <c r="U362">
        <v>0.25</v>
      </c>
      <c r="V362" s="2">
        <v>1.0416666666666666E-2</v>
      </c>
      <c r="W362">
        <v>0</v>
      </c>
      <c r="AA362" t="s">
        <v>88</v>
      </c>
      <c r="AB362" t="s">
        <v>100</v>
      </c>
      <c r="AC362" t="s">
        <v>84</v>
      </c>
      <c r="AD362" t="s">
        <v>90</v>
      </c>
    </row>
    <row r="363" spans="1:30" hidden="1">
      <c r="A363" s="1">
        <v>45499</v>
      </c>
      <c r="B363" t="s">
        <v>8</v>
      </c>
      <c r="C363" t="s">
        <v>75</v>
      </c>
      <c r="D363" t="s">
        <v>76</v>
      </c>
      <c r="E363" t="s">
        <v>77</v>
      </c>
      <c r="F363" t="s">
        <v>78</v>
      </c>
      <c r="G363" t="s">
        <v>79</v>
      </c>
      <c r="H363" t="s">
        <v>80</v>
      </c>
      <c r="I363" t="s">
        <v>81</v>
      </c>
      <c r="J363" t="s">
        <v>82</v>
      </c>
      <c r="K363" t="s">
        <v>76</v>
      </c>
      <c r="L363" t="s">
        <v>8</v>
      </c>
      <c r="M363" t="s">
        <v>83</v>
      </c>
      <c r="N363" t="s">
        <v>84</v>
      </c>
      <c r="O363" t="s">
        <v>85</v>
      </c>
      <c r="P363">
        <v>277001</v>
      </c>
      <c r="Q363" t="s">
        <v>5</v>
      </c>
      <c r="R363" t="s">
        <v>86</v>
      </c>
      <c r="S363" t="s">
        <v>87</v>
      </c>
      <c r="T363">
        <v>0</v>
      </c>
      <c r="U363">
        <v>0.25</v>
      </c>
      <c r="V363" s="2">
        <v>1.0416666666666666E-2</v>
      </c>
      <c r="W363">
        <v>0</v>
      </c>
      <c r="AA363" t="s">
        <v>88</v>
      </c>
      <c r="AB363" t="s">
        <v>100</v>
      </c>
      <c r="AC363" t="s">
        <v>84</v>
      </c>
      <c r="AD363" t="s">
        <v>90</v>
      </c>
    </row>
    <row r="364" spans="1:30" hidden="1">
      <c r="A364" s="1">
        <v>45499</v>
      </c>
      <c r="B364" t="s">
        <v>108</v>
      </c>
      <c r="C364" t="s">
        <v>75</v>
      </c>
      <c r="D364" t="s">
        <v>76</v>
      </c>
      <c r="E364" t="s">
        <v>91</v>
      </c>
      <c r="F364" t="s">
        <v>78</v>
      </c>
      <c r="G364" t="s">
        <v>79</v>
      </c>
      <c r="H364" t="s">
        <v>80</v>
      </c>
      <c r="I364" t="s">
        <v>81</v>
      </c>
      <c r="J364" t="s">
        <v>82</v>
      </c>
      <c r="K364" t="s">
        <v>76</v>
      </c>
      <c r="L364" t="s">
        <v>8</v>
      </c>
      <c r="M364" t="s">
        <v>83</v>
      </c>
      <c r="N364" t="s">
        <v>93</v>
      </c>
      <c r="O364" t="s">
        <v>85</v>
      </c>
      <c r="P364">
        <v>277262</v>
      </c>
      <c r="Q364" t="s">
        <v>5</v>
      </c>
      <c r="R364" t="s">
        <v>86</v>
      </c>
      <c r="S364" t="s">
        <v>87</v>
      </c>
      <c r="T364">
        <v>0</v>
      </c>
      <c r="U364">
        <v>0.25</v>
      </c>
      <c r="V364" s="2">
        <v>1.0416666666666666E-2</v>
      </c>
      <c r="W364">
        <v>0</v>
      </c>
      <c r="AA364" t="s">
        <v>88</v>
      </c>
      <c r="AB364" t="s">
        <v>100</v>
      </c>
      <c r="AC364" t="s">
        <v>84</v>
      </c>
      <c r="AD364" t="s">
        <v>90</v>
      </c>
    </row>
    <row r="365" spans="1:30" hidden="1">
      <c r="A365" s="1">
        <v>45502</v>
      </c>
      <c r="B365" t="s">
        <v>10</v>
      </c>
      <c r="C365" t="s">
        <v>92</v>
      </c>
      <c r="D365" t="s">
        <v>76</v>
      </c>
      <c r="E365" t="s">
        <v>91</v>
      </c>
      <c r="F365" t="s">
        <v>78</v>
      </c>
      <c r="G365" t="s">
        <v>79</v>
      </c>
      <c r="H365" t="s">
        <v>80</v>
      </c>
      <c r="I365" t="s">
        <v>81</v>
      </c>
      <c r="J365" t="s">
        <v>82</v>
      </c>
      <c r="K365" t="s">
        <v>76</v>
      </c>
      <c r="L365" t="s">
        <v>8</v>
      </c>
      <c r="M365" t="s">
        <v>83</v>
      </c>
      <c r="N365" t="s">
        <v>93</v>
      </c>
      <c r="O365" t="s">
        <v>85</v>
      </c>
      <c r="P365">
        <v>277528</v>
      </c>
      <c r="Q365" t="s">
        <v>4</v>
      </c>
      <c r="R365" t="s">
        <v>94</v>
      </c>
      <c r="S365" t="s">
        <v>87</v>
      </c>
      <c r="T365">
        <v>90</v>
      </c>
      <c r="U365">
        <v>4.5</v>
      </c>
      <c r="V365" s="2">
        <v>0.1875</v>
      </c>
      <c r="W365">
        <v>405</v>
      </c>
      <c r="X365">
        <v>540</v>
      </c>
      <c r="Y365">
        <v>135</v>
      </c>
      <c r="Z365" t="s">
        <v>217</v>
      </c>
      <c r="AA365" t="s">
        <v>88</v>
      </c>
      <c r="AB365" t="s">
        <v>100</v>
      </c>
      <c r="AC365" t="s">
        <v>242</v>
      </c>
      <c r="AD365" t="s">
        <v>90</v>
      </c>
    </row>
    <row r="366" spans="1:30" hidden="1">
      <c r="A366" s="1">
        <v>45502</v>
      </c>
      <c r="B366" t="s">
        <v>10</v>
      </c>
      <c r="C366" t="s">
        <v>92</v>
      </c>
      <c r="D366" t="s">
        <v>76</v>
      </c>
      <c r="E366" t="s">
        <v>91</v>
      </c>
      <c r="F366" t="s">
        <v>78</v>
      </c>
      <c r="G366" t="s">
        <v>79</v>
      </c>
      <c r="H366" t="s">
        <v>80</v>
      </c>
      <c r="I366" t="s">
        <v>81</v>
      </c>
      <c r="J366" t="s">
        <v>82</v>
      </c>
      <c r="K366" t="s">
        <v>76</v>
      </c>
      <c r="L366" t="s">
        <v>8</v>
      </c>
      <c r="M366" t="s">
        <v>83</v>
      </c>
      <c r="N366" t="s">
        <v>93</v>
      </c>
      <c r="O366" t="s">
        <v>85</v>
      </c>
      <c r="P366">
        <v>277527</v>
      </c>
      <c r="Q366" t="s">
        <v>5</v>
      </c>
      <c r="R366" t="s">
        <v>86</v>
      </c>
      <c r="S366" t="s">
        <v>87</v>
      </c>
      <c r="T366">
        <v>0</v>
      </c>
      <c r="U366">
        <v>3.5</v>
      </c>
      <c r="V366" s="2">
        <v>0.14583333333333334</v>
      </c>
      <c r="W366">
        <v>0</v>
      </c>
      <c r="AA366" t="s">
        <v>88</v>
      </c>
      <c r="AB366" t="s">
        <v>100</v>
      </c>
      <c r="AC366" t="s">
        <v>243</v>
      </c>
      <c r="AD366" t="s">
        <v>90</v>
      </c>
    </row>
    <row r="367" spans="1:30" hidden="1">
      <c r="A367" s="1">
        <v>45502</v>
      </c>
      <c r="B367" t="s">
        <v>14</v>
      </c>
      <c r="C367" t="s">
        <v>75</v>
      </c>
      <c r="D367" t="s">
        <v>76</v>
      </c>
      <c r="E367" t="s">
        <v>77</v>
      </c>
      <c r="F367" t="s">
        <v>78</v>
      </c>
      <c r="G367" t="s">
        <v>79</v>
      </c>
      <c r="H367" t="s">
        <v>80</v>
      </c>
      <c r="I367" t="s">
        <v>81</v>
      </c>
      <c r="J367" t="s">
        <v>82</v>
      </c>
      <c r="K367" t="s">
        <v>76</v>
      </c>
      <c r="L367" t="s">
        <v>8</v>
      </c>
      <c r="M367" t="s">
        <v>83</v>
      </c>
      <c r="N367" t="s">
        <v>84</v>
      </c>
      <c r="O367" t="s">
        <v>85</v>
      </c>
      <c r="P367">
        <v>277809</v>
      </c>
      <c r="Q367" t="s">
        <v>5</v>
      </c>
      <c r="R367" t="s">
        <v>86</v>
      </c>
      <c r="S367" t="s">
        <v>87</v>
      </c>
      <c r="T367">
        <v>0</v>
      </c>
      <c r="U367">
        <v>0.5</v>
      </c>
      <c r="V367" s="2">
        <v>2.0833333333333332E-2</v>
      </c>
      <c r="W367">
        <v>0</v>
      </c>
      <c r="AA367" t="s">
        <v>88</v>
      </c>
      <c r="AB367" t="s">
        <v>100</v>
      </c>
      <c r="AC367" t="s">
        <v>244</v>
      </c>
      <c r="AD367" t="s">
        <v>90</v>
      </c>
    </row>
    <row r="368" spans="1:30" hidden="1">
      <c r="A368" s="1">
        <v>45502</v>
      </c>
      <c r="B368" t="s">
        <v>211</v>
      </c>
      <c r="C368" t="s">
        <v>75</v>
      </c>
      <c r="D368" t="s">
        <v>76</v>
      </c>
      <c r="E368" t="s">
        <v>91</v>
      </c>
      <c r="F368" t="s">
        <v>78</v>
      </c>
      <c r="G368" t="s">
        <v>79</v>
      </c>
      <c r="H368" t="s">
        <v>80</v>
      </c>
      <c r="I368" t="s">
        <v>81</v>
      </c>
      <c r="J368" t="s">
        <v>82</v>
      </c>
      <c r="K368" t="s">
        <v>76</v>
      </c>
      <c r="L368" t="s">
        <v>8</v>
      </c>
      <c r="M368" t="s">
        <v>83</v>
      </c>
      <c r="N368" t="s">
        <v>93</v>
      </c>
      <c r="O368" t="s">
        <v>85</v>
      </c>
      <c r="P368">
        <v>277493</v>
      </c>
      <c r="Q368" t="s">
        <v>5</v>
      </c>
      <c r="R368" t="s">
        <v>86</v>
      </c>
      <c r="S368" t="s">
        <v>87</v>
      </c>
      <c r="T368">
        <v>0</v>
      </c>
      <c r="U368">
        <v>0.25</v>
      </c>
      <c r="V368" s="2">
        <v>1.0416666666666666E-2</v>
      </c>
      <c r="W368">
        <v>0</v>
      </c>
      <c r="AA368" t="s">
        <v>88</v>
      </c>
      <c r="AB368" t="s">
        <v>100</v>
      </c>
      <c r="AC368" t="s">
        <v>84</v>
      </c>
      <c r="AD368" t="s">
        <v>90</v>
      </c>
    </row>
    <row r="369" spans="1:30" hidden="1">
      <c r="A369" s="1">
        <v>45502</v>
      </c>
      <c r="B369" t="s">
        <v>114</v>
      </c>
      <c r="C369" t="s">
        <v>75</v>
      </c>
      <c r="D369" t="s">
        <v>76</v>
      </c>
      <c r="E369" t="s">
        <v>91</v>
      </c>
      <c r="F369" t="s">
        <v>78</v>
      </c>
      <c r="G369" t="s">
        <v>79</v>
      </c>
      <c r="H369" t="s">
        <v>80</v>
      </c>
      <c r="I369" t="s">
        <v>81</v>
      </c>
      <c r="J369" t="s">
        <v>82</v>
      </c>
      <c r="K369" t="s">
        <v>76</v>
      </c>
      <c r="L369" t="s">
        <v>8</v>
      </c>
      <c r="M369" t="s">
        <v>83</v>
      </c>
      <c r="N369" t="s">
        <v>93</v>
      </c>
      <c r="O369" t="s">
        <v>85</v>
      </c>
      <c r="P369">
        <v>277869</v>
      </c>
      <c r="Q369" t="s">
        <v>5</v>
      </c>
      <c r="R369" t="s">
        <v>86</v>
      </c>
      <c r="S369" t="s">
        <v>87</v>
      </c>
      <c r="T369">
        <v>0</v>
      </c>
      <c r="U369">
        <v>0.25</v>
      </c>
      <c r="V369" s="2">
        <v>1.0416666666666666E-2</v>
      </c>
      <c r="W369">
        <v>0</v>
      </c>
      <c r="AA369" t="s">
        <v>88</v>
      </c>
      <c r="AB369" t="s">
        <v>100</v>
      </c>
      <c r="AC369" t="s">
        <v>84</v>
      </c>
      <c r="AD369" t="s">
        <v>90</v>
      </c>
    </row>
    <row r="370" spans="1:30" hidden="1">
      <c r="A370" s="1">
        <v>45502</v>
      </c>
      <c r="B370" t="s">
        <v>12</v>
      </c>
      <c r="C370" t="s">
        <v>75</v>
      </c>
      <c r="D370" t="s">
        <v>76</v>
      </c>
      <c r="E370" t="s">
        <v>91</v>
      </c>
      <c r="F370" t="s">
        <v>78</v>
      </c>
      <c r="G370" t="s">
        <v>79</v>
      </c>
      <c r="H370" t="s">
        <v>80</v>
      </c>
      <c r="I370" t="s">
        <v>81</v>
      </c>
      <c r="J370" t="s">
        <v>82</v>
      </c>
      <c r="K370" t="s">
        <v>76</v>
      </c>
      <c r="L370" t="s">
        <v>8</v>
      </c>
      <c r="M370" t="s">
        <v>83</v>
      </c>
      <c r="N370" t="s">
        <v>84</v>
      </c>
      <c r="O370" t="s">
        <v>85</v>
      </c>
      <c r="P370">
        <v>277658</v>
      </c>
      <c r="Q370" t="s">
        <v>5</v>
      </c>
      <c r="R370" t="s">
        <v>86</v>
      </c>
      <c r="S370" t="s">
        <v>87</v>
      </c>
      <c r="T370">
        <v>0</v>
      </c>
      <c r="U370">
        <v>0.25</v>
      </c>
      <c r="V370" s="2">
        <v>1.0416666666666666E-2</v>
      </c>
      <c r="W370">
        <v>0</v>
      </c>
      <c r="AA370" t="s">
        <v>88</v>
      </c>
      <c r="AB370" t="s">
        <v>100</v>
      </c>
      <c r="AC370" t="s">
        <v>84</v>
      </c>
      <c r="AD370" t="s">
        <v>90</v>
      </c>
    </row>
    <row r="371" spans="1:30" hidden="1">
      <c r="A371" s="1">
        <v>45502</v>
      </c>
      <c r="B371" t="s">
        <v>8</v>
      </c>
      <c r="C371" t="s">
        <v>75</v>
      </c>
      <c r="D371" t="s">
        <v>76</v>
      </c>
      <c r="E371" t="s">
        <v>77</v>
      </c>
      <c r="F371" t="s">
        <v>78</v>
      </c>
      <c r="G371" t="s">
        <v>79</v>
      </c>
      <c r="H371" t="s">
        <v>80</v>
      </c>
      <c r="I371" t="s">
        <v>81</v>
      </c>
      <c r="J371" t="s">
        <v>82</v>
      </c>
      <c r="K371" t="s">
        <v>76</v>
      </c>
      <c r="L371" t="s">
        <v>8</v>
      </c>
      <c r="M371" t="s">
        <v>83</v>
      </c>
      <c r="N371" t="s">
        <v>84</v>
      </c>
      <c r="O371" t="s">
        <v>85</v>
      </c>
      <c r="P371">
        <v>277747</v>
      </c>
      <c r="Q371" t="s">
        <v>5</v>
      </c>
      <c r="R371" t="s">
        <v>86</v>
      </c>
      <c r="S371" t="s">
        <v>87</v>
      </c>
      <c r="T371">
        <v>0</v>
      </c>
      <c r="U371">
        <v>0.25</v>
      </c>
      <c r="V371" s="2">
        <v>1.0416666666666666E-2</v>
      </c>
      <c r="W371">
        <v>0</v>
      </c>
      <c r="AA371" t="s">
        <v>88</v>
      </c>
      <c r="AB371" t="s">
        <v>100</v>
      </c>
      <c r="AC371" t="s">
        <v>84</v>
      </c>
      <c r="AD371" t="s">
        <v>90</v>
      </c>
    </row>
    <row r="372" spans="1:30" hidden="1">
      <c r="A372" s="1">
        <v>45502</v>
      </c>
      <c r="B372" t="s">
        <v>108</v>
      </c>
      <c r="C372" t="s">
        <v>75</v>
      </c>
      <c r="D372" t="s">
        <v>76</v>
      </c>
      <c r="E372" t="s">
        <v>91</v>
      </c>
      <c r="F372" t="s">
        <v>78</v>
      </c>
      <c r="G372" t="s">
        <v>79</v>
      </c>
      <c r="H372" t="s">
        <v>80</v>
      </c>
      <c r="I372" t="s">
        <v>81</v>
      </c>
      <c r="J372" t="s">
        <v>82</v>
      </c>
      <c r="K372" t="s">
        <v>76</v>
      </c>
      <c r="L372" t="s">
        <v>8</v>
      </c>
      <c r="M372" t="s">
        <v>83</v>
      </c>
      <c r="N372" t="s">
        <v>93</v>
      </c>
      <c r="O372" t="s">
        <v>85</v>
      </c>
      <c r="P372">
        <v>278550</v>
      </c>
      <c r="Q372" t="s">
        <v>5</v>
      </c>
      <c r="R372" t="s">
        <v>86</v>
      </c>
      <c r="S372" t="s">
        <v>87</v>
      </c>
      <c r="T372">
        <v>0</v>
      </c>
      <c r="U372">
        <v>0.25</v>
      </c>
      <c r="V372" s="2">
        <v>1.0416666666666666E-2</v>
      </c>
      <c r="W372">
        <v>0</v>
      </c>
      <c r="AA372" t="s">
        <v>88</v>
      </c>
      <c r="AB372" t="s">
        <v>100</v>
      </c>
      <c r="AC372" t="s">
        <v>84</v>
      </c>
      <c r="AD372" t="s">
        <v>90</v>
      </c>
    </row>
    <row r="373" spans="1:30" hidden="1">
      <c r="A373" s="1">
        <v>45503</v>
      </c>
      <c r="B373" t="s">
        <v>10</v>
      </c>
      <c r="C373" t="s">
        <v>92</v>
      </c>
      <c r="D373" t="s">
        <v>76</v>
      </c>
      <c r="E373" t="s">
        <v>91</v>
      </c>
      <c r="F373" t="s">
        <v>78</v>
      </c>
      <c r="G373" t="s">
        <v>79</v>
      </c>
      <c r="H373" t="s">
        <v>80</v>
      </c>
      <c r="I373" t="s">
        <v>81</v>
      </c>
      <c r="J373" t="s">
        <v>82</v>
      </c>
      <c r="K373" t="s">
        <v>76</v>
      </c>
      <c r="L373" t="s">
        <v>8</v>
      </c>
      <c r="M373" t="s">
        <v>83</v>
      </c>
      <c r="N373" t="s">
        <v>93</v>
      </c>
      <c r="O373" t="s">
        <v>85</v>
      </c>
      <c r="P373">
        <v>278527</v>
      </c>
      <c r="Q373" t="s">
        <v>5</v>
      </c>
      <c r="R373" t="s">
        <v>86</v>
      </c>
      <c r="S373" t="s">
        <v>87</v>
      </c>
      <c r="T373">
        <v>0</v>
      </c>
      <c r="U373">
        <v>8</v>
      </c>
      <c r="V373" s="2">
        <v>0.33333333333333331</v>
      </c>
      <c r="W373">
        <v>0</v>
      </c>
      <c r="AA373" t="s">
        <v>88</v>
      </c>
      <c r="AB373" t="s">
        <v>100</v>
      </c>
      <c r="AC373" t="s">
        <v>245</v>
      </c>
      <c r="AD373" t="s">
        <v>90</v>
      </c>
    </row>
    <row r="374" spans="1:30" hidden="1">
      <c r="A374" s="1">
        <v>45503</v>
      </c>
      <c r="B374" t="s">
        <v>14</v>
      </c>
      <c r="C374" t="s">
        <v>75</v>
      </c>
      <c r="D374" t="s">
        <v>76</v>
      </c>
      <c r="E374" t="s">
        <v>77</v>
      </c>
      <c r="F374" t="s">
        <v>78</v>
      </c>
      <c r="G374" t="s">
        <v>79</v>
      </c>
      <c r="H374" t="s">
        <v>80</v>
      </c>
      <c r="I374" t="s">
        <v>81</v>
      </c>
      <c r="J374" t="s">
        <v>82</v>
      </c>
      <c r="K374" t="s">
        <v>76</v>
      </c>
      <c r="L374" t="s">
        <v>8</v>
      </c>
      <c r="M374" t="s">
        <v>83</v>
      </c>
      <c r="N374" t="s">
        <v>84</v>
      </c>
      <c r="O374" t="s">
        <v>85</v>
      </c>
      <c r="P374">
        <v>278261</v>
      </c>
      <c r="Q374" t="s">
        <v>5</v>
      </c>
      <c r="R374" t="s">
        <v>86</v>
      </c>
      <c r="S374" t="s">
        <v>87</v>
      </c>
      <c r="T374">
        <v>0</v>
      </c>
      <c r="U374">
        <v>0.5</v>
      </c>
      <c r="V374" s="2">
        <v>2.0833333333333332E-2</v>
      </c>
      <c r="W374">
        <v>0</v>
      </c>
      <c r="AA374" t="s">
        <v>88</v>
      </c>
      <c r="AB374" t="s">
        <v>100</v>
      </c>
      <c r="AC374" t="s">
        <v>246</v>
      </c>
      <c r="AD374" t="s">
        <v>90</v>
      </c>
    </row>
    <row r="375" spans="1:30" hidden="1">
      <c r="A375" s="1">
        <v>45503</v>
      </c>
      <c r="B375" t="s">
        <v>211</v>
      </c>
      <c r="C375" t="s">
        <v>75</v>
      </c>
      <c r="D375" t="s">
        <v>76</v>
      </c>
      <c r="E375" t="s">
        <v>91</v>
      </c>
      <c r="F375" t="s">
        <v>78</v>
      </c>
      <c r="G375" t="s">
        <v>79</v>
      </c>
      <c r="H375" t="s">
        <v>80</v>
      </c>
      <c r="I375" t="s">
        <v>81</v>
      </c>
      <c r="J375" t="s">
        <v>82</v>
      </c>
      <c r="K375" t="s">
        <v>76</v>
      </c>
      <c r="L375" t="s">
        <v>8</v>
      </c>
      <c r="M375" t="s">
        <v>83</v>
      </c>
      <c r="N375" t="s">
        <v>93</v>
      </c>
      <c r="O375" t="s">
        <v>85</v>
      </c>
      <c r="P375">
        <v>278083</v>
      </c>
      <c r="Q375" t="s">
        <v>5</v>
      </c>
      <c r="R375" t="s">
        <v>86</v>
      </c>
      <c r="S375" t="s">
        <v>87</v>
      </c>
      <c r="T375">
        <v>0</v>
      </c>
      <c r="U375">
        <v>0.25</v>
      </c>
      <c r="V375" s="2">
        <v>1.0416666666666666E-2</v>
      </c>
      <c r="W375">
        <v>0</v>
      </c>
      <c r="AA375" t="s">
        <v>88</v>
      </c>
      <c r="AB375" t="s">
        <v>100</v>
      </c>
      <c r="AC375" t="s">
        <v>84</v>
      </c>
      <c r="AD375" t="s">
        <v>90</v>
      </c>
    </row>
    <row r="376" spans="1:30" hidden="1">
      <c r="A376" s="1">
        <v>45503</v>
      </c>
      <c r="B376" t="s">
        <v>114</v>
      </c>
      <c r="C376" t="s">
        <v>75</v>
      </c>
      <c r="D376" t="s">
        <v>76</v>
      </c>
      <c r="E376" t="s">
        <v>91</v>
      </c>
      <c r="F376" t="s">
        <v>78</v>
      </c>
      <c r="G376" t="s">
        <v>79</v>
      </c>
      <c r="H376" t="s">
        <v>80</v>
      </c>
      <c r="I376" t="s">
        <v>81</v>
      </c>
      <c r="J376" t="s">
        <v>82</v>
      </c>
      <c r="K376" t="s">
        <v>76</v>
      </c>
      <c r="L376" t="s">
        <v>8</v>
      </c>
      <c r="M376" t="s">
        <v>83</v>
      </c>
      <c r="N376" t="s">
        <v>93</v>
      </c>
      <c r="O376" t="s">
        <v>85</v>
      </c>
      <c r="P376">
        <v>278535</v>
      </c>
      <c r="Q376" t="s">
        <v>5</v>
      </c>
      <c r="R376" t="s">
        <v>86</v>
      </c>
      <c r="S376" t="s">
        <v>87</v>
      </c>
      <c r="T376">
        <v>0</v>
      </c>
      <c r="U376">
        <v>0.25</v>
      </c>
      <c r="V376" s="2">
        <v>1.0416666666666666E-2</v>
      </c>
      <c r="W376">
        <v>0</v>
      </c>
      <c r="AA376" t="s">
        <v>88</v>
      </c>
      <c r="AB376" t="s">
        <v>100</v>
      </c>
      <c r="AC376" t="s">
        <v>84</v>
      </c>
      <c r="AD376" t="s">
        <v>90</v>
      </c>
    </row>
    <row r="377" spans="1:30" hidden="1">
      <c r="A377" s="1">
        <v>45503</v>
      </c>
      <c r="B377" t="s">
        <v>12</v>
      </c>
      <c r="C377" t="s">
        <v>75</v>
      </c>
      <c r="D377" t="s">
        <v>76</v>
      </c>
      <c r="E377" t="s">
        <v>91</v>
      </c>
      <c r="F377" t="s">
        <v>78</v>
      </c>
      <c r="G377" t="s">
        <v>79</v>
      </c>
      <c r="H377" t="s">
        <v>80</v>
      </c>
      <c r="I377" t="s">
        <v>81</v>
      </c>
      <c r="J377" t="s">
        <v>82</v>
      </c>
      <c r="K377" t="s">
        <v>76</v>
      </c>
      <c r="L377" t="s">
        <v>8</v>
      </c>
      <c r="M377" t="s">
        <v>83</v>
      </c>
      <c r="N377" t="s">
        <v>84</v>
      </c>
      <c r="O377" t="s">
        <v>85</v>
      </c>
      <c r="P377">
        <v>278189</v>
      </c>
      <c r="Q377" t="s">
        <v>5</v>
      </c>
      <c r="R377" t="s">
        <v>86</v>
      </c>
      <c r="S377" t="s">
        <v>87</v>
      </c>
      <c r="T377">
        <v>0</v>
      </c>
      <c r="U377">
        <v>0.25</v>
      </c>
      <c r="V377" s="2">
        <v>1.0416666666666666E-2</v>
      </c>
      <c r="W377">
        <v>0</v>
      </c>
      <c r="AA377" t="s">
        <v>88</v>
      </c>
      <c r="AB377" t="s">
        <v>100</v>
      </c>
      <c r="AC377" t="s">
        <v>84</v>
      </c>
      <c r="AD377" t="s">
        <v>90</v>
      </c>
    </row>
    <row r="378" spans="1:30" hidden="1">
      <c r="A378" s="1">
        <v>45503</v>
      </c>
      <c r="B378" t="s">
        <v>8</v>
      </c>
      <c r="C378" t="s">
        <v>75</v>
      </c>
      <c r="D378" t="s">
        <v>76</v>
      </c>
      <c r="E378" t="s">
        <v>77</v>
      </c>
      <c r="F378" t="s">
        <v>78</v>
      </c>
      <c r="G378" t="s">
        <v>79</v>
      </c>
      <c r="H378" t="s">
        <v>80</v>
      </c>
      <c r="I378" t="s">
        <v>81</v>
      </c>
      <c r="J378" t="s">
        <v>82</v>
      </c>
      <c r="K378" t="s">
        <v>76</v>
      </c>
      <c r="L378" t="s">
        <v>8</v>
      </c>
      <c r="M378" t="s">
        <v>83</v>
      </c>
      <c r="N378" t="s">
        <v>84</v>
      </c>
      <c r="O378" t="s">
        <v>85</v>
      </c>
      <c r="P378">
        <v>278239</v>
      </c>
      <c r="Q378" t="s">
        <v>5</v>
      </c>
      <c r="R378" t="s">
        <v>86</v>
      </c>
      <c r="S378" t="s">
        <v>87</v>
      </c>
      <c r="T378">
        <v>0</v>
      </c>
      <c r="U378">
        <v>0.25</v>
      </c>
      <c r="V378" s="2">
        <v>1.0416666666666666E-2</v>
      </c>
      <c r="W378">
        <v>0</v>
      </c>
      <c r="AA378" t="s">
        <v>88</v>
      </c>
      <c r="AB378" t="s">
        <v>100</v>
      </c>
      <c r="AC378" t="s">
        <v>84</v>
      </c>
      <c r="AD378" t="s">
        <v>90</v>
      </c>
    </row>
    <row r="379" spans="1:30" hidden="1">
      <c r="A379" s="1">
        <v>45503</v>
      </c>
      <c r="B379" t="s">
        <v>108</v>
      </c>
      <c r="C379" t="s">
        <v>75</v>
      </c>
      <c r="D379" t="s">
        <v>76</v>
      </c>
      <c r="E379" t="s">
        <v>91</v>
      </c>
      <c r="F379" t="s">
        <v>78</v>
      </c>
      <c r="G379" t="s">
        <v>79</v>
      </c>
      <c r="H379" t="s">
        <v>80</v>
      </c>
      <c r="I379" t="s">
        <v>81</v>
      </c>
      <c r="J379" t="s">
        <v>82</v>
      </c>
      <c r="K379" t="s">
        <v>76</v>
      </c>
      <c r="L379" t="s">
        <v>8</v>
      </c>
      <c r="M379" t="s">
        <v>83</v>
      </c>
      <c r="N379" t="s">
        <v>93</v>
      </c>
      <c r="O379" t="s">
        <v>85</v>
      </c>
      <c r="P379">
        <v>278556</v>
      </c>
      <c r="Q379" t="s">
        <v>5</v>
      </c>
      <c r="R379" t="s">
        <v>86</v>
      </c>
      <c r="S379" t="s">
        <v>87</v>
      </c>
      <c r="T379">
        <v>0</v>
      </c>
      <c r="U379">
        <v>0.25</v>
      </c>
      <c r="V379" s="2">
        <v>1.0416666666666666E-2</v>
      </c>
      <c r="W379">
        <v>0</v>
      </c>
      <c r="AA379" t="s">
        <v>88</v>
      </c>
      <c r="AB379" t="s">
        <v>100</v>
      </c>
      <c r="AC379" t="s">
        <v>84</v>
      </c>
      <c r="AD379" t="s">
        <v>90</v>
      </c>
    </row>
    <row r="380" spans="1:30" hidden="1">
      <c r="A380" s="1">
        <v>45504</v>
      </c>
      <c r="B380" t="s">
        <v>10</v>
      </c>
      <c r="C380" t="s">
        <v>92</v>
      </c>
      <c r="D380" t="s">
        <v>76</v>
      </c>
      <c r="E380" t="s">
        <v>91</v>
      </c>
      <c r="F380" t="s">
        <v>78</v>
      </c>
      <c r="G380" t="s">
        <v>79</v>
      </c>
      <c r="H380" t="s">
        <v>80</v>
      </c>
      <c r="I380" t="s">
        <v>81</v>
      </c>
      <c r="J380" t="s">
        <v>82</v>
      </c>
      <c r="K380" t="s">
        <v>76</v>
      </c>
      <c r="L380" t="s">
        <v>8</v>
      </c>
      <c r="M380" t="s">
        <v>83</v>
      </c>
      <c r="N380" t="s">
        <v>93</v>
      </c>
      <c r="O380" t="s">
        <v>85</v>
      </c>
      <c r="P380">
        <v>279399</v>
      </c>
      <c r="Q380" t="s">
        <v>5</v>
      </c>
      <c r="R380" t="s">
        <v>86</v>
      </c>
      <c r="S380" t="s">
        <v>87</v>
      </c>
      <c r="T380">
        <v>0</v>
      </c>
      <c r="U380">
        <v>7</v>
      </c>
      <c r="V380" s="2">
        <v>0.29166666666666669</v>
      </c>
      <c r="W380">
        <v>0</v>
      </c>
      <c r="AA380" t="s">
        <v>88</v>
      </c>
      <c r="AB380" t="s">
        <v>100</v>
      </c>
      <c r="AC380" t="s">
        <v>247</v>
      </c>
      <c r="AD380" t="s">
        <v>90</v>
      </c>
    </row>
    <row r="381" spans="1:30" hidden="1">
      <c r="A381" s="1">
        <v>45504</v>
      </c>
      <c r="B381" t="s">
        <v>14</v>
      </c>
      <c r="C381" t="s">
        <v>75</v>
      </c>
      <c r="D381" t="s">
        <v>76</v>
      </c>
      <c r="E381" t="s">
        <v>77</v>
      </c>
      <c r="F381" t="s">
        <v>78</v>
      </c>
      <c r="G381" t="s">
        <v>79</v>
      </c>
      <c r="H381" t="s">
        <v>80</v>
      </c>
      <c r="I381" t="s">
        <v>81</v>
      </c>
      <c r="J381" t="s">
        <v>82</v>
      </c>
      <c r="K381" t="s">
        <v>76</v>
      </c>
      <c r="L381" t="s">
        <v>8</v>
      </c>
      <c r="M381" t="s">
        <v>83</v>
      </c>
      <c r="N381" t="s">
        <v>84</v>
      </c>
      <c r="O381" t="s">
        <v>85</v>
      </c>
      <c r="P381">
        <v>279286</v>
      </c>
      <c r="Q381" t="s">
        <v>5</v>
      </c>
      <c r="R381" t="s">
        <v>86</v>
      </c>
      <c r="S381" t="s">
        <v>87</v>
      </c>
      <c r="T381">
        <v>0</v>
      </c>
      <c r="U381">
        <v>0.25</v>
      </c>
      <c r="V381" s="2">
        <v>1.0416666666666666E-2</v>
      </c>
      <c r="W381">
        <v>0</v>
      </c>
      <c r="AA381" t="s">
        <v>88</v>
      </c>
      <c r="AB381" t="s">
        <v>100</v>
      </c>
      <c r="AC381" t="s">
        <v>200</v>
      </c>
      <c r="AD381" t="s">
        <v>90</v>
      </c>
    </row>
    <row r="382" spans="1:30" hidden="1">
      <c r="A382" s="1">
        <v>45504</v>
      </c>
      <c r="B382" t="s">
        <v>211</v>
      </c>
      <c r="C382" t="s">
        <v>75</v>
      </c>
      <c r="D382" t="s">
        <v>76</v>
      </c>
      <c r="E382" t="s">
        <v>91</v>
      </c>
      <c r="F382" t="s">
        <v>78</v>
      </c>
      <c r="G382" t="s">
        <v>79</v>
      </c>
      <c r="H382" t="s">
        <v>80</v>
      </c>
      <c r="I382" t="s">
        <v>81</v>
      </c>
      <c r="J382" t="s">
        <v>82</v>
      </c>
      <c r="K382" t="s">
        <v>76</v>
      </c>
      <c r="L382" t="s">
        <v>8</v>
      </c>
      <c r="M382" t="s">
        <v>83</v>
      </c>
      <c r="N382" t="s">
        <v>93</v>
      </c>
      <c r="O382" t="s">
        <v>85</v>
      </c>
      <c r="P382">
        <v>278827</v>
      </c>
      <c r="Q382" t="s">
        <v>5</v>
      </c>
      <c r="R382" t="s">
        <v>86</v>
      </c>
      <c r="S382" t="s">
        <v>87</v>
      </c>
      <c r="T382">
        <v>0</v>
      </c>
      <c r="U382">
        <v>0.25</v>
      </c>
      <c r="V382" s="2">
        <v>1.0416666666666666E-2</v>
      </c>
      <c r="W382">
        <v>0</v>
      </c>
      <c r="AA382" t="s">
        <v>88</v>
      </c>
      <c r="AB382" t="s">
        <v>100</v>
      </c>
      <c r="AC382" t="s">
        <v>84</v>
      </c>
      <c r="AD382" t="s">
        <v>90</v>
      </c>
    </row>
    <row r="383" spans="1:30" hidden="1">
      <c r="A383" s="1">
        <v>45504</v>
      </c>
      <c r="B383" t="s">
        <v>114</v>
      </c>
      <c r="C383" t="s">
        <v>75</v>
      </c>
      <c r="D383" t="s">
        <v>76</v>
      </c>
      <c r="E383" t="s">
        <v>91</v>
      </c>
      <c r="F383" t="s">
        <v>78</v>
      </c>
      <c r="G383" t="s">
        <v>79</v>
      </c>
      <c r="H383" t="s">
        <v>80</v>
      </c>
      <c r="I383" t="s">
        <v>81</v>
      </c>
      <c r="J383" t="s">
        <v>82</v>
      </c>
      <c r="K383" t="s">
        <v>76</v>
      </c>
      <c r="L383" t="s">
        <v>8</v>
      </c>
      <c r="M383" t="s">
        <v>83</v>
      </c>
      <c r="N383" t="s">
        <v>93</v>
      </c>
      <c r="O383" t="s">
        <v>85</v>
      </c>
      <c r="P383">
        <v>279709</v>
      </c>
      <c r="Q383" t="s">
        <v>5</v>
      </c>
      <c r="R383" t="s">
        <v>86</v>
      </c>
      <c r="S383" t="s">
        <v>87</v>
      </c>
      <c r="T383">
        <v>0</v>
      </c>
      <c r="U383">
        <v>0.25</v>
      </c>
      <c r="V383" s="2">
        <v>1.0416666666666666E-2</v>
      </c>
      <c r="W383">
        <v>0</v>
      </c>
      <c r="AA383" t="s">
        <v>88</v>
      </c>
      <c r="AB383" t="s">
        <v>100</v>
      </c>
      <c r="AC383" t="s">
        <v>84</v>
      </c>
      <c r="AD383" t="s">
        <v>90</v>
      </c>
    </row>
    <row r="384" spans="1:30" hidden="1">
      <c r="A384" s="1">
        <v>45504</v>
      </c>
      <c r="B384" t="s">
        <v>12</v>
      </c>
      <c r="C384" t="s">
        <v>75</v>
      </c>
      <c r="D384" t="s">
        <v>76</v>
      </c>
      <c r="E384" t="s">
        <v>91</v>
      </c>
      <c r="F384" t="s">
        <v>78</v>
      </c>
      <c r="G384" t="s">
        <v>79</v>
      </c>
      <c r="H384" t="s">
        <v>80</v>
      </c>
      <c r="I384" t="s">
        <v>81</v>
      </c>
      <c r="J384" t="s">
        <v>82</v>
      </c>
      <c r="K384" t="s">
        <v>76</v>
      </c>
      <c r="L384" t="s">
        <v>8</v>
      </c>
      <c r="M384" t="s">
        <v>83</v>
      </c>
      <c r="N384" t="s">
        <v>84</v>
      </c>
      <c r="O384" t="s">
        <v>85</v>
      </c>
      <c r="P384">
        <v>279141</v>
      </c>
      <c r="Q384" t="s">
        <v>5</v>
      </c>
      <c r="R384" t="s">
        <v>86</v>
      </c>
      <c r="S384" t="s">
        <v>87</v>
      </c>
      <c r="T384">
        <v>0</v>
      </c>
      <c r="U384">
        <v>0.25</v>
      </c>
      <c r="V384" s="2">
        <v>1.0416666666666666E-2</v>
      </c>
      <c r="W384">
        <v>0</v>
      </c>
      <c r="AA384" t="s">
        <v>88</v>
      </c>
      <c r="AB384" t="s">
        <v>100</v>
      </c>
      <c r="AC384" t="s">
        <v>84</v>
      </c>
      <c r="AD384" t="s">
        <v>90</v>
      </c>
    </row>
    <row r="385" spans="1:30" hidden="1">
      <c r="A385" s="1">
        <v>45504</v>
      </c>
      <c r="B385" t="s">
        <v>108</v>
      </c>
      <c r="C385" t="s">
        <v>75</v>
      </c>
      <c r="D385" t="s">
        <v>76</v>
      </c>
      <c r="E385" t="s">
        <v>91</v>
      </c>
      <c r="F385" t="s">
        <v>78</v>
      </c>
      <c r="G385" t="s">
        <v>79</v>
      </c>
      <c r="H385" t="s">
        <v>80</v>
      </c>
      <c r="I385" t="s">
        <v>81</v>
      </c>
      <c r="J385" t="s">
        <v>82</v>
      </c>
      <c r="K385" t="s">
        <v>76</v>
      </c>
      <c r="L385" t="s">
        <v>8</v>
      </c>
      <c r="M385" t="s">
        <v>83</v>
      </c>
      <c r="N385" t="s">
        <v>93</v>
      </c>
      <c r="O385" t="s">
        <v>85</v>
      </c>
      <c r="P385">
        <v>278690</v>
      </c>
      <c r="Q385" t="s">
        <v>5</v>
      </c>
      <c r="R385" t="s">
        <v>86</v>
      </c>
      <c r="S385" t="s">
        <v>87</v>
      </c>
      <c r="T385">
        <v>0</v>
      </c>
      <c r="U385">
        <v>0.25</v>
      </c>
      <c r="V385" s="2">
        <v>1.0416666666666666E-2</v>
      </c>
      <c r="W385">
        <v>0</v>
      </c>
      <c r="AA385" t="s">
        <v>88</v>
      </c>
      <c r="AB385" t="s">
        <v>100</v>
      </c>
      <c r="AC385" t="s">
        <v>84</v>
      </c>
      <c r="AD385" t="s">
        <v>90</v>
      </c>
    </row>
    <row r="386" spans="1:30" hidden="1">
      <c r="A386" s="1">
        <v>45505</v>
      </c>
      <c r="B386" t="s">
        <v>10</v>
      </c>
      <c r="C386" t="s">
        <v>92</v>
      </c>
      <c r="D386" t="s">
        <v>76</v>
      </c>
      <c r="E386" t="s">
        <v>91</v>
      </c>
      <c r="F386" t="s">
        <v>78</v>
      </c>
      <c r="G386" t="s">
        <v>79</v>
      </c>
      <c r="H386" t="s">
        <v>80</v>
      </c>
      <c r="I386" t="s">
        <v>81</v>
      </c>
      <c r="J386" t="s">
        <v>82</v>
      </c>
      <c r="K386" t="s">
        <v>76</v>
      </c>
      <c r="L386" t="s">
        <v>8</v>
      </c>
      <c r="M386" t="s">
        <v>83</v>
      </c>
      <c r="N386" t="s">
        <v>93</v>
      </c>
      <c r="O386" t="s">
        <v>85</v>
      </c>
      <c r="P386">
        <v>280759</v>
      </c>
      <c r="Q386" t="s">
        <v>5</v>
      </c>
      <c r="R386" t="s">
        <v>86</v>
      </c>
      <c r="S386" t="s">
        <v>87</v>
      </c>
      <c r="T386">
        <v>0</v>
      </c>
      <c r="U386">
        <v>8</v>
      </c>
      <c r="V386" s="2">
        <v>0.33333333333333331</v>
      </c>
      <c r="W386">
        <v>0</v>
      </c>
      <c r="AA386" t="s">
        <v>88</v>
      </c>
      <c r="AB386" t="s">
        <v>100</v>
      </c>
      <c r="AC386" t="s">
        <v>247</v>
      </c>
      <c r="AD386" t="s">
        <v>90</v>
      </c>
    </row>
    <row r="387" spans="1:30" hidden="1">
      <c r="A387" s="1">
        <v>45505</v>
      </c>
      <c r="B387" t="s">
        <v>211</v>
      </c>
      <c r="C387" t="s">
        <v>75</v>
      </c>
      <c r="D387" t="s">
        <v>76</v>
      </c>
      <c r="E387" t="s">
        <v>91</v>
      </c>
      <c r="F387" t="s">
        <v>78</v>
      </c>
      <c r="G387" t="s">
        <v>79</v>
      </c>
      <c r="H387" t="s">
        <v>80</v>
      </c>
      <c r="I387" t="s">
        <v>81</v>
      </c>
      <c r="J387" t="s">
        <v>82</v>
      </c>
      <c r="K387" t="s">
        <v>76</v>
      </c>
      <c r="L387" t="s">
        <v>8</v>
      </c>
      <c r="M387" t="s">
        <v>83</v>
      </c>
      <c r="N387" t="s">
        <v>93</v>
      </c>
      <c r="O387" t="s">
        <v>85</v>
      </c>
      <c r="P387">
        <v>280349</v>
      </c>
      <c r="Q387" t="s">
        <v>5</v>
      </c>
      <c r="R387" t="s">
        <v>86</v>
      </c>
      <c r="S387" t="s">
        <v>87</v>
      </c>
      <c r="T387">
        <v>0</v>
      </c>
      <c r="U387">
        <v>0.75</v>
      </c>
      <c r="V387" s="2">
        <v>3.125E-2</v>
      </c>
      <c r="W387">
        <v>0</v>
      </c>
      <c r="AA387" t="s">
        <v>88</v>
      </c>
      <c r="AB387" t="s">
        <v>100</v>
      </c>
      <c r="AC387" t="s">
        <v>84</v>
      </c>
      <c r="AD387" t="s">
        <v>90</v>
      </c>
    </row>
    <row r="388" spans="1:30" hidden="1">
      <c r="A388" s="1">
        <v>45505</v>
      </c>
      <c r="B388" t="s">
        <v>114</v>
      </c>
      <c r="C388" t="s">
        <v>75</v>
      </c>
      <c r="D388" t="s">
        <v>76</v>
      </c>
      <c r="E388" t="s">
        <v>91</v>
      </c>
      <c r="F388" t="s">
        <v>78</v>
      </c>
      <c r="G388" t="s">
        <v>79</v>
      </c>
      <c r="H388" t="s">
        <v>80</v>
      </c>
      <c r="I388" t="s">
        <v>81</v>
      </c>
      <c r="J388" t="s">
        <v>82</v>
      </c>
      <c r="K388" t="s">
        <v>76</v>
      </c>
      <c r="L388" t="s">
        <v>8</v>
      </c>
      <c r="M388" t="s">
        <v>83</v>
      </c>
      <c r="N388" t="s">
        <v>93</v>
      </c>
      <c r="O388" t="s">
        <v>85</v>
      </c>
      <c r="P388">
        <v>280308</v>
      </c>
      <c r="Q388" t="s">
        <v>5</v>
      </c>
      <c r="R388" t="s">
        <v>86</v>
      </c>
      <c r="S388" t="s">
        <v>87</v>
      </c>
      <c r="T388">
        <v>0</v>
      </c>
      <c r="U388">
        <v>0.25</v>
      </c>
      <c r="V388" s="2">
        <v>1.0416666666666666E-2</v>
      </c>
      <c r="W388">
        <v>0</v>
      </c>
      <c r="AA388" t="s">
        <v>88</v>
      </c>
      <c r="AB388" t="s">
        <v>100</v>
      </c>
      <c r="AC388" t="s">
        <v>84</v>
      </c>
      <c r="AD388" t="s">
        <v>90</v>
      </c>
    </row>
    <row r="389" spans="1:30" hidden="1">
      <c r="A389" s="1">
        <v>45505</v>
      </c>
      <c r="B389" t="s">
        <v>12</v>
      </c>
      <c r="C389" t="s">
        <v>75</v>
      </c>
      <c r="D389" t="s">
        <v>76</v>
      </c>
      <c r="E389" t="s">
        <v>91</v>
      </c>
      <c r="F389" t="s">
        <v>78</v>
      </c>
      <c r="G389" t="s">
        <v>79</v>
      </c>
      <c r="H389" t="s">
        <v>80</v>
      </c>
      <c r="I389" t="s">
        <v>81</v>
      </c>
      <c r="J389" t="s">
        <v>82</v>
      </c>
      <c r="K389" t="s">
        <v>76</v>
      </c>
      <c r="L389" t="s">
        <v>8</v>
      </c>
      <c r="M389" t="s">
        <v>83</v>
      </c>
      <c r="N389" t="s">
        <v>84</v>
      </c>
      <c r="O389" t="s">
        <v>85</v>
      </c>
      <c r="P389">
        <v>280400</v>
      </c>
      <c r="Q389" t="s">
        <v>5</v>
      </c>
      <c r="R389" t="s">
        <v>86</v>
      </c>
      <c r="S389" t="s">
        <v>87</v>
      </c>
      <c r="T389">
        <v>0</v>
      </c>
      <c r="U389">
        <v>0.25</v>
      </c>
      <c r="V389" s="2">
        <v>1.0416666666666666E-2</v>
      </c>
      <c r="W389">
        <v>0</v>
      </c>
      <c r="AA389" t="s">
        <v>88</v>
      </c>
      <c r="AB389" t="s">
        <v>100</v>
      </c>
      <c r="AC389" t="s">
        <v>84</v>
      </c>
      <c r="AD389" t="s">
        <v>90</v>
      </c>
    </row>
    <row r="390" spans="1:30" hidden="1">
      <c r="A390" s="1">
        <v>45505</v>
      </c>
      <c r="B390" t="s">
        <v>8</v>
      </c>
      <c r="C390" t="s">
        <v>75</v>
      </c>
      <c r="D390" t="s">
        <v>76</v>
      </c>
      <c r="E390" t="s">
        <v>91</v>
      </c>
      <c r="F390" t="s">
        <v>78</v>
      </c>
      <c r="G390" t="s">
        <v>79</v>
      </c>
      <c r="H390" t="s">
        <v>80</v>
      </c>
      <c r="I390" t="s">
        <v>81</v>
      </c>
      <c r="J390" t="s">
        <v>82</v>
      </c>
      <c r="K390" t="s">
        <v>76</v>
      </c>
      <c r="L390" t="s">
        <v>8</v>
      </c>
      <c r="M390" t="s">
        <v>83</v>
      </c>
      <c r="N390" t="s">
        <v>84</v>
      </c>
      <c r="O390" t="s">
        <v>85</v>
      </c>
      <c r="P390">
        <v>280271</v>
      </c>
      <c r="Q390" t="s">
        <v>5</v>
      </c>
      <c r="R390" t="s">
        <v>86</v>
      </c>
      <c r="S390" t="s">
        <v>87</v>
      </c>
      <c r="T390">
        <v>0</v>
      </c>
      <c r="U390">
        <v>0.5</v>
      </c>
      <c r="V390" s="2">
        <v>2.0833333333333332E-2</v>
      </c>
      <c r="W390">
        <v>0</v>
      </c>
      <c r="AA390" t="s">
        <v>88</v>
      </c>
      <c r="AB390" t="s">
        <v>100</v>
      </c>
      <c r="AC390" t="s">
        <v>84</v>
      </c>
      <c r="AD390" t="s">
        <v>90</v>
      </c>
    </row>
    <row r="391" spans="1:30" hidden="1">
      <c r="A391" s="1">
        <v>45505</v>
      </c>
      <c r="B391" t="s">
        <v>108</v>
      </c>
      <c r="C391" t="s">
        <v>75</v>
      </c>
      <c r="D391" t="s">
        <v>76</v>
      </c>
      <c r="E391" t="s">
        <v>91</v>
      </c>
      <c r="F391" t="s">
        <v>78</v>
      </c>
      <c r="G391" t="s">
        <v>79</v>
      </c>
      <c r="H391" t="s">
        <v>80</v>
      </c>
      <c r="I391" t="s">
        <v>81</v>
      </c>
      <c r="J391" t="s">
        <v>82</v>
      </c>
      <c r="K391" t="s">
        <v>76</v>
      </c>
      <c r="L391" t="s">
        <v>8</v>
      </c>
      <c r="M391" t="s">
        <v>83</v>
      </c>
      <c r="N391" t="s">
        <v>93</v>
      </c>
      <c r="O391" t="s">
        <v>85</v>
      </c>
      <c r="P391">
        <v>280631</v>
      </c>
      <c r="Q391" t="s">
        <v>5</v>
      </c>
      <c r="R391" t="s">
        <v>86</v>
      </c>
      <c r="S391" t="s">
        <v>87</v>
      </c>
      <c r="T391">
        <v>0</v>
      </c>
      <c r="U391">
        <v>0.25</v>
      </c>
      <c r="V391" s="2">
        <v>1.0416666666666666E-2</v>
      </c>
      <c r="W391">
        <v>0</v>
      </c>
      <c r="AA391" t="s">
        <v>88</v>
      </c>
      <c r="AB391" t="s">
        <v>100</v>
      </c>
      <c r="AC391" t="s">
        <v>84</v>
      </c>
      <c r="AD391" t="s">
        <v>90</v>
      </c>
    </row>
    <row r="392" spans="1:30" hidden="1">
      <c r="A392" s="1">
        <v>45506</v>
      </c>
      <c r="B392" t="s">
        <v>10</v>
      </c>
      <c r="C392" t="s">
        <v>92</v>
      </c>
      <c r="D392" t="s">
        <v>76</v>
      </c>
      <c r="E392" t="s">
        <v>91</v>
      </c>
      <c r="F392" t="s">
        <v>78</v>
      </c>
      <c r="G392" t="s">
        <v>79</v>
      </c>
      <c r="H392" t="s">
        <v>80</v>
      </c>
      <c r="I392" t="s">
        <v>81</v>
      </c>
      <c r="J392" t="s">
        <v>82</v>
      </c>
      <c r="K392" t="s">
        <v>76</v>
      </c>
      <c r="L392" t="s">
        <v>8</v>
      </c>
      <c r="M392" t="s">
        <v>83</v>
      </c>
      <c r="N392" t="s">
        <v>93</v>
      </c>
      <c r="O392" t="s">
        <v>85</v>
      </c>
      <c r="P392">
        <v>280263</v>
      </c>
      <c r="Q392" t="s">
        <v>5</v>
      </c>
      <c r="R392" t="s">
        <v>86</v>
      </c>
      <c r="S392" t="s">
        <v>87</v>
      </c>
      <c r="T392">
        <v>0</v>
      </c>
      <c r="U392">
        <v>1</v>
      </c>
      <c r="V392" s="2">
        <v>4.1666666666666664E-2</v>
      </c>
      <c r="W392">
        <v>0</v>
      </c>
      <c r="AA392" t="s">
        <v>88</v>
      </c>
      <c r="AB392" t="s">
        <v>100</v>
      </c>
      <c r="AC392" t="s">
        <v>248</v>
      </c>
      <c r="AD392" t="s">
        <v>90</v>
      </c>
    </row>
    <row r="393" spans="1:30" hidden="1">
      <c r="A393" s="1">
        <v>45506</v>
      </c>
      <c r="B393" t="s">
        <v>14</v>
      </c>
      <c r="C393" t="s">
        <v>75</v>
      </c>
      <c r="D393" t="s">
        <v>76</v>
      </c>
      <c r="E393" t="s">
        <v>77</v>
      </c>
      <c r="F393" t="s">
        <v>78</v>
      </c>
      <c r="G393" t="s">
        <v>79</v>
      </c>
      <c r="H393" t="s">
        <v>80</v>
      </c>
      <c r="I393" t="s">
        <v>81</v>
      </c>
      <c r="J393" t="s">
        <v>82</v>
      </c>
      <c r="K393" t="s">
        <v>76</v>
      </c>
      <c r="L393" t="s">
        <v>8</v>
      </c>
      <c r="M393" t="s">
        <v>83</v>
      </c>
      <c r="N393" t="s">
        <v>84</v>
      </c>
      <c r="O393" t="s">
        <v>85</v>
      </c>
      <c r="P393">
        <v>280536</v>
      </c>
      <c r="Q393" t="s">
        <v>5</v>
      </c>
      <c r="R393" t="s">
        <v>86</v>
      </c>
      <c r="S393" t="s">
        <v>87</v>
      </c>
      <c r="T393">
        <v>0</v>
      </c>
      <c r="U393">
        <v>0.5</v>
      </c>
      <c r="V393" s="2">
        <v>2.0833333333333332E-2</v>
      </c>
      <c r="W393">
        <v>0</v>
      </c>
      <c r="AA393" t="s">
        <v>88</v>
      </c>
      <c r="AB393" t="s">
        <v>100</v>
      </c>
      <c r="AC393" t="s">
        <v>249</v>
      </c>
      <c r="AD393" t="s">
        <v>90</v>
      </c>
    </row>
    <row r="394" spans="1:30" hidden="1">
      <c r="A394" s="1">
        <v>45506</v>
      </c>
      <c r="B394" t="s">
        <v>211</v>
      </c>
      <c r="C394" t="s">
        <v>75</v>
      </c>
      <c r="D394" t="s">
        <v>76</v>
      </c>
      <c r="E394" t="s">
        <v>91</v>
      </c>
      <c r="F394" t="s">
        <v>78</v>
      </c>
      <c r="G394" t="s">
        <v>79</v>
      </c>
      <c r="H394" t="s">
        <v>80</v>
      </c>
      <c r="I394" t="s">
        <v>81</v>
      </c>
      <c r="J394" t="s">
        <v>82</v>
      </c>
      <c r="K394" t="s">
        <v>76</v>
      </c>
      <c r="L394" t="s">
        <v>8</v>
      </c>
      <c r="M394" t="s">
        <v>83</v>
      </c>
      <c r="N394" t="s">
        <v>93</v>
      </c>
      <c r="O394" t="s">
        <v>85</v>
      </c>
      <c r="P394">
        <v>280340</v>
      </c>
      <c r="Q394" t="s">
        <v>5</v>
      </c>
      <c r="R394" t="s">
        <v>86</v>
      </c>
      <c r="S394" t="s">
        <v>87</v>
      </c>
      <c r="T394">
        <v>0</v>
      </c>
      <c r="U394">
        <v>1</v>
      </c>
      <c r="V394" s="2">
        <v>4.1666666666666664E-2</v>
      </c>
      <c r="W394">
        <v>0</v>
      </c>
      <c r="AA394" t="s">
        <v>88</v>
      </c>
      <c r="AB394" t="s">
        <v>100</v>
      </c>
      <c r="AC394" t="s">
        <v>84</v>
      </c>
      <c r="AD394" t="s">
        <v>90</v>
      </c>
    </row>
    <row r="395" spans="1:30" hidden="1">
      <c r="A395" s="1">
        <v>45506</v>
      </c>
      <c r="B395" t="s">
        <v>12</v>
      </c>
      <c r="C395" t="s">
        <v>75</v>
      </c>
      <c r="D395" t="s">
        <v>76</v>
      </c>
      <c r="E395" t="s">
        <v>91</v>
      </c>
      <c r="F395" t="s">
        <v>78</v>
      </c>
      <c r="G395" t="s">
        <v>79</v>
      </c>
      <c r="H395" t="s">
        <v>80</v>
      </c>
      <c r="I395" t="s">
        <v>81</v>
      </c>
      <c r="J395" t="s">
        <v>82</v>
      </c>
      <c r="K395" t="s">
        <v>76</v>
      </c>
      <c r="L395" t="s">
        <v>8</v>
      </c>
      <c r="M395" t="s">
        <v>83</v>
      </c>
      <c r="N395" t="s">
        <v>84</v>
      </c>
      <c r="O395" t="s">
        <v>85</v>
      </c>
      <c r="P395">
        <v>280410</v>
      </c>
      <c r="Q395" t="s">
        <v>5</v>
      </c>
      <c r="R395" t="s">
        <v>86</v>
      </c>
      <c r="S395" t="s">
        <v>87</v>
      </c>
      <c r="T395">
        <v>0</v>
      </c>
      <c r="U395">
        <v>0.25</v>
      </c>
      <c r="V395" s="2">
        <v>1.0416666666666666E-2</v>
      </c>
      <c r="W395">
        <v>0</v>
      </c>
      <c r="AA395" t="s">
        <v>88</v>
      </c>
      <c r="AB395" t="s">
        <v>100</v>
      </c>
      <c r="AC395" t="s">
        <v>84</v>
      </c>
      <c r="AD395" t="s">
        <v>90</v>
      </c>
    </row>
    <row r="396" spans="1:30" hidden="1">
      <c r="A396" s="1">
        <v>45506</v>
      </c>
      <c r="B396" t="s">
        <v>8</v>
      </c>
      <c r="C396" t="s">
        <v>75</v>
      </c>
      <c r="D396" t="s">
        <v>76</v>
      </c>
      <c r="E396" t="s">
        <v>91</v>
      </c>
      <c r="F396" t="s">
        <v>78</v>
      </c>
      <c r="G396" t="s">
        <v>79</v>
      </c>
      <c r="H396" t="s">
        <v>80</v>
      </c>
      <c r="I396" t="s">
        <v>81</v>
      </c>
      <c r="J396" t="s">
        <v>82</v>
      </c>
      <c r="K396" t="s">
        <v>76</v>
      </c>
      <c r="L396" t="s">
        <v>8</v>
      </c>
      <c r="M396" t="s">
        <v>83</v>
      </c>
      <c r="N396" t="s">
        <v>84</v>
      </c>
      <c r="O396" t="s">
        <v>85</v>
      </c>
      <c r="P396">
        <v>280788</v>
      </c>
      <c r="Q396" t="s">
        <v>5</v>
      </c>
      <c r="R396" t="s">
        <v>86</v>
      </c>
      <c r="S396" t="s">
        <v>87</v>
      </c>
      <c r="T396">
        <v>0</v>
      </c>
      <c r="U396">
        <v>0.5</v>
      </c>
      <c r="V396" s="2">
        <v>2.0833333333333332E-2</v>
      </c>
      <c r="W396">
        <v>0</v>
      </c>
      <c r="AA396" t="s">
        <v>88</v>
      </c>
      <c r="AB396" t="s">
        <v>100</v>
      </c>
      <c r="AC396" t="s">
        <v>84</v>
      </c>
      <c r="AD396" t="s">
        <v>90</v>
      </c>
    </row>
    <row r="397" spans="1:30" hidden="1">
      <c r="A397" s="1">
        <v>45506</v>
      </c>
      <c r="B397" t="s">
        <v>108</v>
      </c>
      <c r="C397" t="s">
        <v>75</v>
      </c>
      <c r="D397" t="s">
        <v>76</v>
      </c>
      <c r="E397" t="s">
        <v>91</v>
      </c>
      <c r="F397" t="s">
        <v>78</v>
      </c>
      <c r="G397" t="s">
        <v>79</v>
      </c>
      <c r="H397" t="s">
        <v>80</v>
      </c>
      <c r="I397" t="s">
        <v>81</v>
      </c>
      <c r="J397" t="s">
        <v>82</v>
      </c>
      <c r="K397" t="s">
        <v>76</v>
      </c>
      <c r="L397" t="s">
        <v>8</v>
      </c>
      <c r="M397" t="s">
        <v>83</v>
      </c>
      <c r="N397" t="s">
        <v>93</v>
      </c>
      <c r="O397" t="s">
        <v>85</v>
      </c>
      <c r="P397">
        <v>280634</v>
      </c>
      <c r="Q397" t="s">
        <v>5</v>
      </c>
      <c r="R397" t="s">
        <v>86</v>
      </c>
      <c r="S397" t="s">
        <v>87</v>
      </c>
      <c r="T397">
        <v>0</v>
      </c>
      <c r="U397">
        <v>0.25</v>
      </c>
      <c r="V397" s="2">
        <v>1.0416666666666666E-2</v>
      </c>
      <c r="W397">
        <v>0</v>
      </c>
      <c r="AA397" t="s">
        <v>88</v>
      </c>
      <c r="AB397" t="s">
        <v>100</v>
      </c>
      <c r="AC397" t="s">
        <v>84</v>
      </c>
      <c r="AD397" t="s">
        <v>90</v>
      </c>
    </row>
    <row r="398" spans="1:30" hidden="1">
      <c r="A398" s="1">
        <v>45507</v>
      </c>
      <c r="B398" t="s">
        <v>14</v>
      </c>
      <c r="C398" t="s">
        <v>75</v>
      </c>
      <c r="D398" t="s">
        <v>76</v>
      </c>
      <c r="E398" t="s">
        <v>77</v>
      </c>
      <c r="F398" t="s">
        <v>78</v>
      </c>
      <c r="G398" t="s">
        <v>79</v>
      </c>
      <c r="H398" t="s">
        <v>80</v>
      </c>
      <c r="I398" t="s">
        <v>81</v>
      </c>
      <c r="J398" t="s">
        <v>82</v>
      </c>
      <c r="K398" t="s">
        <v>76</v>
      </c>
      <c r="L398" t="s">
        <v>8</v>
      </c>
      <c r="M398" t="s">
        <v>83</v>
      </c>
      <c r="N398" t="s">
        <v>84</v>
      </c>
      <c r="O398" t="s">
        <v>85</v>
      </c>
      <c r="P398">
        <v>280537</v>
      </c>
      <c r="Q398" t="s">
        <v>5</v>
      </c>
      <c r="R398" t="s">
        <v>86</v>
      </c>
      <c r="S398" t="s">
        <v>87</v>
      </c>
      <c r="T398">
        <v>0</v>
      </c>
      <c r="U398">
        <v>0.5</v>
      </c>
      <c r="V398" s="2">
        <v>2.0833333333333332E-2</v>
      </c>
      <c r="W398">
        <v>0</v>
      </c>
      <c r="AA398" t="s">
        <v>88</v>
      </c>
      <c r="AB398" t="s">
        <v>100</v>
      </c>
      <c r="AC398" t="s">
        <v>250</v>
      </c>
      <c r="AD398" t="s">
        <v>90</v>
      </c>
    </row>
    <row r="399" spans="1:30" hidden="1">
      <c r="A399" s="1">
        <v>45509</v>
      </c>
      <c r="B399" t="s">
        <v>10</v>
      </c>
      <c r="C399" t="s">
        <v>92</v>
      </c>
      <c r="D399" t="s">
        <v>76</v>
      </c>
      <c r="E399" t="s">
        <v>91</v>
      </c>
      <c r="F399" t="s">
        <v>78</v>
      </c>
      <c r="G399" t="s">
        <v>79</v>
      </c>
      <c r="H399" t="s">
        <v>80</v>
      </c>
      <c r="I399" t="s">
        <v>81</v>
      </c>
      <c r="J399" t="s">
        <v>82</v>
      </c>
      <c r="K399" t="s">
        <v>76</v>
      </c>
      <c r="L399" t="s">
        <v>8</v>
      </c>
      <c r="M399" t="s">
        <v>83</v>
      </c>
      <c r="N399" t="s">
        <v>93</v>
      </c>
      <c r="O399" t="s">
        <v>85</v>
      </c>
      <c r="P399">
        <v>280760</v>
      </c>
      <c r="Q399" t="s">
        <v>4</v>
      </c>
      <c r="R399" t="s">
        <v>94</v>
      </c>
      <c r="S399" t="s">
        <v>87</v>
      </c>
      <c r="T399">
        <v>90</v>
      </c>
      <c r="U399">
        <v>3.5</v>
      </c>
      <c r="V399" s="2">
        <v>0.14583333333333334</v>
      </c>
      <c r="W399">
        <v>315</v>
      </c>
      <c r="X399">
        <v>420</v>
      </c>
      <c r="Y399">
        <v>105</v>
      </c>
      <c r="Z399" t="s">
        <v>251</v>
      </c>
      <c r="AA399" t="s">
        <v>88</v>
      </c>
      <c r="AB399" t="s">
        <v>100</v>
      </c>
      <c r="AC399" t="s">
        <v>252</v>
      </c>
      <c r="AD399" t="s">
        <v>90</v>
      </c>
    </row>
    <row r="400" spans="1:30" hidden="1">
      <c r="A400" s="1">
        <v>45509</v>
      </c>
      <c r="B400" t="s">
        <v>10</v>
      </c>
      <c r="C400" t="s">
        <v>92</v>
      </c>
      <c r="D400" t="s">
        <v>76</v>
      </c>
      <c r="E400" t="s">
        <v>91</v>
      </c>
      <c r="F400" t="s">
        <v>78</v>
      </c>
      <c r="G400" t="s">
        <v>79</v>
      </c>
      <c r="H400" t="s">
        <v>80</v>
      </c>
      <c r="I400" t="s">
        <v>81</v>
      </c>
      <c r="J400" t="s">
        <v>82</v>
      </c>
      <c r="K400" t="s">
        <v>76</v>
      </c>
      <c r="L400" t="s">
        <v>8</v>
      </c>
      <c r="M400" t="s">
        <v>83</v>
      </c>
      <c r="N400" t="s">
        <v>93</v>
      </c>
      <c r="O400" t="s">
        <v>85</v>
      </c>
      <c r="P400">
        <v>280839</v>
      </c>
      <c r="Q400" t="s">
        <v>5</v>
      </c>
      <c r="R400" t="s">
        <v>86</v>
      </c>
      <c r="S400" t="s">
        <v>87</v>
      </c>
      <c r="T400">
        <v>0</v>
      </c>
      <c r="U400">
        <v>1.5</v>
      </c>
      <c r="V400" s="2">
        <v>6.25E-2</v>
      </c>
      <c r="W400">
        <v>0</v>
      </c>
      <c r="AA400" t="s">
        <v>88</v>
      </c>
      <c r="AB400" t="s">
        <v>100</v>
      </c>
      <c r="AC400" t="s">
        <v>253</v>
      </c>
      <c r="AD400" t="s">
        <v>90</v>
      </c>
    </row>
    <row r="401" spans="1:30" hidden="1">
      <c r="A401" s="1">
        <v>45509</v>
      </c>
      <c r="B401" t="s">
        <v>14</v>
      </c>
      <c r="C401" t="s">
        <v>75</v>
      </c>
      <c r="D401" t="s">
        <v>76</v>
      </c>
      <c r="E401" t="s">
        <v>77</v>
      </c>
      <c r="F401" t="s">
        <v>78</v>
      </c>
      <c r="G401" t="s">
        <v>79</v>
      </c>
      <c r="H401" t="s">
        <v>80</v>
      </c>
      <c r="I401" t="s">
        <v>81</v>
      </c>
      <c r="J401" t="s">
        <v>82</v>
      </c>
      <c r="K401" t="s">
        <v>76</v>
      </c>
      <c r="L401" t="s">
        <v>8</v>
      </c>
      <c r="M401" t="s">
        <v>83</v>
      </c>
      <c r="N401" t="s">
        <v>84</v>
      </c>
      <c r="O401" t="s">
        <v>85</v>
      </c>
      <c r="P401">
        <v>281111</v>
      </c>
      <c r="Q401" t="s">
        <v>5</v>
      </c>
      <c r="R401" t="s">
        <v>86</v>
      </c>
      <c r="S401" t="s">
        <v>87</v>
      </c>
      <c r="T401">
        <v>0</v>
      </c>
      <c r="U401">
        <v>0.5</v>
      </c>
      <c r="V401" s="2">
        <v>2.0833333333333332E-2</v>
      </c>
      <c r="W401">
        <v>0</v>
      </c>
      <c r="AA401" t="s">
        <v>88</v>
      </c>
      <c r="AB401" t="s">
        <v>100</v>
      </c>
      <c r="AC401" t="s">
        <v>223</v>
      </c>
      <c r="AD401" t="s">
        <v>90</v>
      </c>
    </row>
    <row r="402" spans="1:30" hidden="1">
      <c r="A402" s="1">
        <v>45509</v>
      </c>
      <c r="B402" t="s">
        <v>211</v>
      </c>
      <c r="C402" t="s">
        <v>75</v>
      </c>
      <c r="D402" t="s">
        <v>76</v>
      </c>
      <c r="E402" t="s">
        <v>91</v>
      </c>
      <c r="F402" t="s">
        <v>78</v>
      </c>
      <c r="G402" t="s">
        <v>79</v>
      </c>
      <c r="H402" t="s">
        <v>80</v>
      </c>
      <c r="I402" t="s">
        <v>81</v>
      </c>
      <c r="J402" t="s">
        <v>82</v>
      </c>
      <c r="K402" t="s">
        <v>76</v>
      </c>
      <c r="L402" t="s">
        <v>8</v>
      </c>
      <c r="M402" t="s">
        <v>83</v>
      </c>
      <c r="N402" t="s">
        <v>93</v>
      </c>
      <c r="O402" t="s">
        <v>85</v>
      </c>
      <c r="P402">
        <v>280887</v>
      </c>
      <c r="Q402" t="s">
        <v>5</v>
      </c>
      <c r="R402" t="s">
        <v>86</v>
      </c>
      <c r="S402" t="s">
        <v>87</v>
      </c>
      <c r="T402">
        <v>0</v>
      </c>
      <c r="U402">
        <v>1</v>
      </c>
      <c r="V402" s="2">
        <v>4.1666666666666664E-2</v>
      </c>
      <c r="W402">
        <v>0</v>
      </c>
      <c r="AA402" t="s">
        <v>88</v>
      </c>
      <c r="AB402" t="s">
        <v>100</v>
      </c>
      <c r="AC402" t="s">
        <v>84</v>
      </c>
      <c r="AD402" t="s">
        <v>90</v>
      </c>
    </row>
    <row r="403" spans="1:30" hidden="1">
      <c r="A403" s="1">
        <v>45509</v>
      </c>
      <c r="B403" t="s">
        <v>12</v>
      </c>
      <c r="C403" t="s">
        <v>75</v>
      </c>
      <c r="D403" t="s">
        <v>76</v>
      </c>
      <c r="E403" t="s">
        <v>91</v>
      </c>
      <c r="F403" t="s">
        <v>78</v>
      </c>
      <c r="G403" t="s">
        <v>79</v>
      </c>
      <c r="H403" t="s">
        <v>80</v>
      </c>
      <c r="I403" t="s">
        <v>81</v>
      </c>
      <c r="J403" t="s">
        <v>82</v>
      </c>
      <c r="K403" t="s">
        <v>76</v>
      </c>
      <c r="L403" t="s">
        <v>8</v>
      </c>
      <c r="M403" t="s">
        <v>83</v>
      </c>
      <c r="N403" t="s">
        <v>84</v>
      </c>
      <c r="O403" t="s">
        <v>85</v>
      </c>
      <c r="P403">
        <v>280980</v>
      </c>
      <c r="Q403" t="s">
        <v>5</v>
      </c>
      <c r="R403" t="s">
        <v>86</v>
      </c>
      <c r="S403" t="s">
        <v>87</v>
      </c>
      <c r="T403">
        <v>0</v>
      </c>
      <c r="U403">
        <v>0.25</v>
      </c>
      <c r="V403" s="2">
        <v>1.0416666666666666E-2</v>
      </c>
      <c r="W403">
        <v>0</v>
      </c>
      <c r="AA403" t="s">
        <v>88</v>
      </c>
      <c r="AB403" t="s">
        <v>100</v>
      </c>
      <c r="AC403" t="s">
        <v>84</v>
      </c>
      <c r="AD403" t="s">
        <v>90</v>
      </c>
    </row>
    <row r="404" spans="1:30" hidden="1">
      <c r="A404" s="1">
        <v>45509</v>
      </c>
      <c r="B404" t="s">
        <v>254</v>
      </c>
      <c r="C404" t="s">
        <v>75</v>
      </c>
      <c r="D404" t="s">
        <v>76</v>
      </c>
      <c r="E404" t="s">
        <v>77</v>
      </c>
      <c r="F404" t="s">
        <v>78</v>
      </c>
      <c r="G404" t="s">
        <v>79</v>
      </c>
      <c r="H404" t="s">
        <v>80</v>
      </c>
      <c r="I404" t="s">
        <v>81</v>
      </c>
      <c r="J404" t="s">
        <v>82</v>
      </c>
      <c r="K404" t="s">
        <v>76</v>
      </c>
      <c r="L404" t="s">
        <v>8</v>
      </c>
      <c r="M404" t="s">
        <v>83</v>
      </c>
      <c r="N404" t="s">
        <v>84</v>
      </c>
      <c r="O404" t="s">
        <v>85</v>
      </c>
      <c r="P404">
        <v>283000</v>
      </c>
      <c r="Q404" t="s">
        <v>5</v>
      </c>
      <c r="R404" t="s">
        <v>86</v>
      </c>
      <c r="S404" t="s">
        <v>87</v>
      </c>
      <c r="T404">
        <v>0</v>
      </c>
      <c r="U404">
        <v>4</v>
      </c>
      <c r="V404" s="2">
        <v>0.16666666666666666</v>
      </c>
      <c r="W404">
        <v>0</v>
      </c>
      <c r="AA404" t="s">
        <v>88</v>
      </c>
      <c r="AB404" t="s">
        <v>100</v>
      </c>
      <c r="AC404" t="s">
        <v>84</v>
      </c>
      <c r="AD404" t="s">
        <v>90</v>
      </c>
    </row>
    <row r="405" spans="1:30" hidden="1">
      <c r="A405" s="1">
        <v>45509</v>
      </c>
      <c r="B405" t="s">
        <v>8</v>
      </c>
      <c r="C405" t="s">
        <v>75</v>
      </c>
      <c r="D405" t="s">
        <v>76</v>
      </c>
      <c r="E405" t="s">
        <v>91</v>
      </c>
      <c r="F405" t="s">
        <v>78</v>
      </c>
      <c r="G405" t="s">
        <v>79</v>
      </c>
      <c r="H405" t="s">
        <v>80</v>
      </c>
      <c r="I405" t="s">
        <v>81</v>
      </c>
      <c r="J405" t="s">
        <v>82</v>
      </c>
      <c r="K405" t="s">
        <v>76</v>
      </c>
      <c r="L405" t="s">
        <v>8</v>
      </c>
      <c r="M405" t="s">
        <v>83</v>
      </c>
      <c r="N405" t="s">
        <v>84</v>
      </c>
      <c r="O405" t="s">
        <v>85</v>
      </c>
      <c r="P405">
        <v>281281</v>
      </c>
      <c r="Q405" t="s">
        <v>5</v>
      </c>
      <c r="R405" t="s">
        <v>86</v>
      </c>
      <c r="S405" t="s">
        <v>87</v>
      </c>
      <c r="T405">
        <v>0</v>
      </c>
      <c r="U405">
        <v>0.25</v>
      </c>
      <c r="V405" s="2">
        <v>1.0416666666666666E-2</v>
      </c>
      <c r="W405">
        <v>0</v>
      </c>
      <c r="AA405" t="s">
        <v>88</v>
      </c>
      <c r="AB405" t="s">
        <v>100</v>
      </c>
      <c r="AC405" t="s">
        <v>84</v>
      </c>
      <c r="AD405" t="s">
        <v>90</v>
      </c>
    </row>
    <row r="406" spans="1:30" hidden="1">
      <c r="A406" s="1">
        <v>45509</v>
      </c>
      <c r="B406" t="s">
        <v>108</v>
      </c>
      <c r="C406" t="s">
        <v>75</v>
      </c>
      <c r="D406" t="s">
        <v>76</v>
      </c>
      <c r="E406" t="s">
        <v>91</v>
      </c>
      <c r="F406" t="s">
        <v>78</v>
      </c>
      <c r="G406" t="s">
        <v>79</v>
      </c>
      <c r="H406" t="s">
        <v>80</v>
      </c>
      <c r="I406" t="s">
        <v>81</v>
      </c>
      <c r="J406" t="s">
        <v>82</v>
      </c>
      <c r="K406" t="s">
        <v>76</v>
      </c>
      <c r="L406" t="s">
        <v>8</v>
      </c>
      <c r="M406" t="s">
        <v>83</v>
      </c>
      <c r="N406" t="s">
        <v>93</v>
      </c>
      <c r="O406" t="s">
        <v>85</v>
      </c>
      <c r="P406">
        <v>282244</v>
      </c>
      <c r="Q406" t="s">
        <v>5</v>
      </c>
      <c r="R406" t="s">
        <v>86</v>
      </c>
      <c r="S406" t="s">
        <v>87</v>
      </c>
      <c r="T406">
        <v>0</v>
      </c>
      <c r="U406">
        <v>0.25</v>
      </c>
      <c r="V406" s="2">
        <v>1.0416666666666666E-2</v>
      </c>
      <c r="W406">
        <v>0</v>
      </c>
      <c r="AA406" t="s">
        <v>88</v>
      </c>
      <c r="AB406" t="s">
        <v>100</v>
      </c>
      <c r="AC406" t="s">
        <v>84</v>
      </c>
      <c r="AD406" t="s">
        <v>90</v>
      </c>
    </row>
    <row r="407" spans="1:30" hidden="1">
      <c r="A407" s="1">
        <v>45510</v>
      </c>
      <c r="B407" t="s">
        <v>10</v>
      </c>
      <c r="C407" t="s">
        <v>92</v>
      </c>
      <c r="D407" t="s">
        <v>76</v>
      </c>
      <c r="E407" t="s">
        <v>91</v>
      </c>
      <c r="F407" t="s">
        <v>78</v>
      </c>
      <c r="G407" t="s">
        <v>79</v>
      </c>
      <c r="H407" t="s">
        <v>80</v>
      </c>
      <c r="I407" t="s">
        <v>81</v>
      </c>
      <c r="J407" t="s">
        <v>82</v>
      </c>
      <c r="K407" t="s">
        <v>76</v>
      </c>
      <c r="L407" t="s">
        <v>8</v>
      </c>
      <c r="M407" t="s">
        <v>83</v>
      </c>
      <c r="N407" t="s">
        <v>93</v>
      </c>
      <c r="O407" t="s">
        <v>85</v>
      </c>
      <c r="P407">
        <v>281744</v>
      </c>
      <c r="Q407" t="s">
        <v>4</v>
      </c>
      <c r="R407" t="s">
        <v>94</v>
      </c>
      <c r="S407" t="s">
        <v>87</v>
      </c>
      <c r="T407">
        <v>90</v>
      </c>
      <c r="U407">
        <v>4</v>
      </c>
      <c r="V407" s="2">
        <v>0.16666666666666666</v>
      </c>
      <c r="W407">
        <v>360</v>
      </c>
      <c r="X407">
        <v>480</v>
      </c>
      <c r="Y407">
        <v>120</v>
      </c>
      <c r="Z407" t="s">
        <v>251</v>
      </c>
      <c r="AA407" t="s">
        <v>88</v>
      </c>
      <c r="AB407" t="s">
        <v>100</v>
      </c>
      <c r="AC407" t="s">
        <v>255</v>
      </c>
      <c r="AD407" t="s">
        <v>90</v>
      </c>
    </row>
    <row r="408" spans="1:30" hidden="1">
      <c r="A408" s="1">
        <v>45510</v>
      </c>
      <c r="B408" t="s">
        <v>10</v>
      </c>
      <c r="C408" t="s">
        <v>92</v>
      </c>
      <c r="D408" t="s">
        <v>76</v>
      </c>
      <c r="E408" t="s">
        <v>91</v>
      </c>
      <c r="F408" t="s">
        <v>78</v>
      </c>
      <c r="G408" t="s">
        <v>79</v>
      </c>
      <c r="H408" t="s">
        <v>80</v>
      </c>
      <c r="I408" t="s">
        <v>81</v>
      </c>
      <c r="J408" t="s">
        <v>82</v>
      </c>
      <c r="K408" t="s">
        <v>76</v>
      </c>
      <c r="L408" t="s">
        <v>8</v>
      </c>
      <c r="M408" t="s">
        <v>83</v>
      </c>
      <c r="N408" t="s">
        <v>93</v>
      </c>
      <c r="O408" t="s">
        <v>85</v>
      </c>
      <c r="P408">
        <v>281294</v>
      </c>
      <c r="Q408" t="s">
        <v>5</v>
      </c>
      <c r="R408" t="s">
        <v>86</v>
      </c>
      <c r="S408" t="s">
        <v>87</v>
      </c>
      <c r="T408">
        <v>0</v>
      </c>
      <c r="U408">
        <v>0.5</v>
      </c>
      <c r="V408" s="2">
        <v>2.0833333333333332E-2</v>
      </c>
      <c r="W408">
        <v>0</v>
      </c>
      <c r="AA408" t="s">
        <v>88</v>
      </c>
      <c r="AB408" t="s">
        <v>100</v>
      </c>
      <c r="AC408" t="s">
        <v>256</v>
      </c>
      <c r="AD408" t="s">
        <v>90</v>
      </c>
    </row>
    <row r="409" spans="1:30" hidden="1">
      <c r="A409" s="1">
        <v>45510</v>
      </c>
      <c r="B409" t="s">
        <v>14</v>
      </c>
      <c r="C409" t="s">
        <v>75</v>
      </c>
      <c r="D409" t="s">
        <v>76</v>
      </c>
      <c r="E409" t="s">
        <v>77</v>
      </c>
      <c r="F409" t="s">
        <v>78</v>
      </c>
      <c r="G409" t="s">
        <v>79</v>
      </c>
      <c r="H409" t="s">
        <v>80</v>
      </c>
      <c r="I409" t="s">
        <v>81</v>
      </c>
      <c r="J409" t="s">
        <v>82</v>
      </c>
      <c r="K409" t="s">
        <v>76</v>
      </c>
      <c r="L409" t="s">
        <v>8</v>
      </c>
      <c r="M409" t="s">
        <v>83</v>
      </c>
      <c r="N409" t="s">
        <v>84</v>
      </c>
      <c r="O409" t="s">
        <v>85</v>
      </c>
      <c r="P409">
        <v>281654</v>
      </c>
      <c r="Q409" t="s">
        <v>5</v>
      </c>
      <c r="R409" t="s">
        <v>86</v>
      </c>
      <c r="S409" t="s">
        <v>87</v>
      </c>
      <c r="T409">
        <v>0</v>
      </c>
      <c r="U409">
        <v>0.5</v>
      </c>
      <c r="V409" s="2">
        <v>2.0833333333333332E-2</v>
      </c>
      <c r="W409">
        <v>0</v>
      </c>
      <c r="AA409" t="s">
        <v>88</v>
      </c>
      <c r="AB409" t="s">
        <v>100</v>
      </c>
      <c r="AC409" t="s">
        <v>84</v>
      </c>
      <c r="AD409" t="s">
        <v>90</v>
      </c>
    </row>
    <row r="410" spans="1:30" hidden="1">
      <c r="A410" s="1">
        <v>45510</v>
      </c>
      <c r="B410" t="s">
        <v>211</v>
      </c>
      <c r="C410" t="s">
        <v>75</v>
      </c>
      <c r="D410" t="s">
        <v>76</v>
      </c>
      <c r="E410" t="s">
        <v>91</v>
      </c>
      <c r="F410" t="s">
        <v>78</v>
      </c>
      <c r="G410" t="s">
        <v>79</v>
      </c>
      <c r="H410" t="s">
        <v>80</v>
      </c>
      <c r="I410" t="s">
        <v>81</v>
      </c>
      <c r="J410" t="s">
        <v>82</v>
      </c>
      <c r="K410" t="s">
        <v>76</v>
      </c>
      <c r="L410" t="s">
        <v>8</v>
      </c>
      <c r="M410" t="s">
        <v>83</v>
      </c>
      <c r="N410" t="s">
        <v>93</v>
      </c>
      <c r="O410" t="s">
        <v>85</v>
      </c>
      <c r="P410">
        <v>281269</v>
      </c>
      <c r="Q410" t="s">
        <v>5</v>
      </c>
      <c r="R410" t="s">
        <v>86</v>
      </c>
      <c r="S410" t="s">
        <v>87</v>
      </c>
      <c r="T410">
        <v>0</v>
      </c>
      <c r="U410">
        <v>1.25</v>
      </c>
      <c r="V410" s="2">
        <v>5.2083333333333336E-2</v>
      </c>
      <c r="W410">
        <v>0</v>
      </c>
      <c r="AA410" t="s">
        <v>88</v>
      </c>
      <c r="AB410" t="s">
        <v>100</v>
      </c>
      <c r="AC410" t="s">
        <v>84</v>
      </c>
      <c r="AD410" t="s">
        <v>90</v>
      </c>
    </row>
    <row r="411" spans="1:30" hidden="1">
      <c r="A411" s="1">
        <v>45510</v>
      </c>
      <c r="B411" t="s">
        <v>12</v>
      </c>
      <c r="C411" t="s">
        <v>75</v>
      </c>
      <c r="D411" t="s">
        <v>76</v>
      </c>
      <c r="E411" t="s">
        <v>91</v>
      </c>
      <c r="F411" t="s">
        <v>78</v>
      </c>
      <c r="G411" t="s">
        <v>79</v>
      </c>
      <c r="H411" t="s">
        <v>80</v>
      </c>
      <c r="I411" t="s">
        <v>81</v>
      </c>
      <c r="J411" t="s">
        <v>82</v>
      </c>
      <c r="K411" t="s">
        <v>76</v>
      </c>
      <c r="L411" t="s">
        <v>8</v>
      </c>
      <c r="M411" t="s">
        <v>83</v>
      </c>
      <c r="N411" t="s">
        <v>84</v>
      </c>
      <c r="O411" t="s">
        <v>85</v>
      </c>
      <c r="P411">
        <v>281515</v>
      </c>
      <c r="Q411" t="s">
        <v>5</v>
      </c>
      <c r="R411" t="s">
        <v>86</v>
      </c>
      <c r="S411" t="s">
        <v>87</v>
      </c>
      <c r="T411">
        <v>0</v>
      </c>
      <c r="U411">
        <v>0.25</v>
      </c>
      <c r="V411" s="2">
        <v>1.0416666666666666E-2</v>
      </c>
      <c r="W411">
        <v>0</v>
      </c>
      <c r="AA411" t="s">
        <v>88</v>
      </c>
      <c r="AB411" t="s">
        <v>100</v>
      </c>
      <c r="AC411" t="s">
        <v>84</v>
      </c>
      <c r="AD411" t="s">
        <v>90</v>
      </c>
    </row>
    <row r="412" spans="1:30" hidden="1">
      <c r="A412" s="1">
        <v>45510</v>
      </c>
      <c r="B412" t="s">
        <v>254</v>
      </c>
      <c r="C412" t="s">
        <v>75</v>
      </c>
      <c r="D412" t="s">
        <v>76</v>
      </c>
      <c r="E412" t="s">
        <v>77</v>
      </c>
      <c r="F412" t="s">
        <v>78</v>
      </c>
      <c r="G412" t="s">
        <v>79</v>
      </c>
      <c r="H412" t="s">
        <v>80</v>
      </c>
      <c r="I412" t="s">
        <v>81</v>
      </c>
      <c r="J412" t="s">
        <v>82</v>
      </c>
      <c r="K412" t="s">
        <v>76</v>
      </c>
      <c r="L412" t="s">
        <v>8</v>
      </c>
      <c r="M412" t="s">
        <v>83</v>
      </c>
      <c r="N412" t="s">
        <v>84</v>
      </c>
      <c r="O412" t="s">
        <v>85</v>
      </c>
      <c r="P412">
        <v>283011</v>
      </c>
      <c r="Q412" t="s">
        <v>5</v>
      </c>
      <c r="R412" t="s">
        <v>86</v>
      </c>
      <c r="S412" t="s">
        <v>87</v>
      </c>
      <c r="T412">
        <v>0</v>
      </c>
      <c r="U412">
        <v>4.5</v>
      </c>
      <c r="V412" s="2">
        <v>0.1875</v>
      </c>
      <c r="W412">
        <v>0</v>
      </c>
      <c r="AA412" t="s">
        <v>88</v>
      </c>
      <c r="AB412" t="s">
        <v>100</v>
      </c>
      <c r="AC412" t="s">
        <v>84</v>
      </c>
      <c r="AD412" t="s">
        <v>90</v>
      </c>
    </row>
    <row r="413" spans="1:30" hidden="1">
      <c r="A413" s="1">
        <v>45510</v>
      </c>
      <c r="B413" t="s">
        <v>8</v>
      </c>
      <c r="C413" t="s">
        <v>75</v>
      </c>
      <c r="D413" t="s">
        <v>76</v>
      </c>
      <c r="E413" t="s">
        <v>91</v>
      </c>
      <c r="F413" t="s">
        <v>78</v>
      </c>
      <c r="G413" t="s">
        <v>79</v>
      </c>
      <c r="H413" t="s">
        <v>80</v>
      </c>
      <c r="I413" t="s">
        <v>81</v>
      </c>
      <c r="J413" t="s">
        <v>82</v>
      </c>
      <c r="K413" t="s">
        <v>76</v>
      </c>
      <c r="L413" t="s">
        <v>8</v>
      </c>
      <c r="M413" t="s">
        <v>83</v>
      </c>
      <c r="N413" t="s">
        <v>84</v>
      </c>
      <c r="O413" t="s">
        <v>85</v>
      </c>
      <c r="P413">
        <v>281588</v>
      </c>
      <c r="Q413" t="s">
        <v>5</v>
      </c>
      <c r="R413" t="s">
        <v>86</v>
      </c>
      <c r="S413" t="s">
        <v>87</v>
      </c>
      <c r="T413">
        <v>0</v>
      </c>
      <c r="U413">
        <v>0.25</v>
      </c>
      <c r="V413" s="2">
        <v>1.0416666666666666E-2</v>
      </c>
      <c r="W413">
        <v>0</v>
      </c>
      <c r="AA413" t="s">
        <v>88</v>
      </c>
      <c r="AB413" t="s">
        <v>100</v>
      </c>
      <c r="AC413" t="s">
        <v>84</v>
      </c>
      <c r="AD413" t="s">
        <v>90</v>
      </c>
    </row>
    <row r="414" spans="1:30" hidden="1">
      <c r="A414" s="1">
        <v>45510</v>
      </c>
      <c r="B414" t="s">
        <v>108</v>
      </c>
      <c r="C414" t="s">
        <v>75</v>
      </c>
      <c r="D414" t="s">
        <v>76</v>
      </c>
      <c r="E414" t="s">
        <v>91</v>
      </c>
      <c r="F414" t="s">
        <v>78</v>
      </c>
      <c r="G414" t="s">
        <v>79</v>
      </c>
      <c r="H414" t="s">
        <v>80</v>
      </c>
      <c r="I414" t="s">
        <v>81</v>
      </c>
      <c r="J414" t="s">
        <v>82</v>
      </c>
      <c r="K414" t="s">
        <v>76</v>
      </c>
      <c r="L414" t="s">
        <v>8</v>
      </c>
      <c r="M414" t="s">
        <v>83</v>
      </c>
      <c r="N414" t="s">
        <v>93</v>
      </c>
      <c r="O414" t="s">
        <v>85</v>
      </c>
      <c r="P414">
        <v>282245</v>
      </c>
      <c r="Q414" t="s">
        <v>5</v>
      </c>
      <c r="R414" t="s">
        <v>86</v>
      </c>
      <c r="S414" t="s">
        <v>87</v>
      </c>
      <c r="T414">
        <v>0</v>
      </c>
      <c r="U414">
        <v>0.25</v>
      </c>
      <c r="V414" s="2">
        <v>1.0416666666666666E-2</v>
      </c>
      <c r="W414">
        <v>0</v>
      </c>
      <c r="AA414" t="s">
        <v>88</v>
      </c>
      <c r="AB414" t="s">
        <v>100</v>
      </c>
      <c r="AC414" t="s">
        <v>84</v>
      </c>
      <c r="AD414" t="s">
        <v>90</v>
      </c>
    </row>
    <row r="415" spans="1:30" hidden="1">
      <c r="A415" s="1">
        <v>45511</v>
      </c>
      <c r="B415" t="s">
        <v>10</v>
      </c>
      <c r="C415" t="s">
        <v>92</v>
      </c>
      <c r="D415" t="s">
        <v>76</v>
      </c>
      <c r="E415" t="s">
        <v>91</v>
      </c>
      <c r="F415" t="s">
        <v>78</v>
      </c>
      <c r="G415" t="s">
        <v>79</v>
      </c>
      <c r="H415" t="s">
        <v>80</v>
      </c>
      <c r="I415" t="s">
        <v>81</v>
      </c>
      <c r="J415" t="s">
        <v>82</v>
      </c>
      <c r="K415" t="s">
        <v>76</v>
      </c>
      <c r="L415" t="s">
        <v>8</v>
      </c>
      <c r="M415" t="s">
        <v>83</v>
      </c>
      <c r="N415" t="s">
        <v>93</v>
      </c>
      <c r="O415" t="s">
        <v>85</v>
      </c>
      <c r="P415">
        <v>281971</v>
      </c>
      <c r="Q415" t="s">
        <v>4</v>
      </c>
      <c r="R415" t="s">
        <v>94</v>
      </c>
      <c r="S415" t="s">
        <v>87</v>
      </c>
      <c r="T415">
        <v>90</v>
      </c>
      <c r="U415">
        <v>4</v>
      </c>
      <c r="V415" s="2">
        <v>0.16666666666666666</v>
      </c>
      <c r="W415">
        <v>360</v>
      </c>
      <c r="X415">
        <v>480</v>
      </c>
      <c r="Y415">
        <v>120</v>
      </c>
      <c r="Z415" t="s">
        <v>251</v>
      </c>
      <c r="AA415" t="s">
        <v>88</v>
      </c>
      <c r="AB415" t="s">
        <v>100</v>
      </c>
      <c r="AC415" t="s">
        <v>257</v>
      </c>
      <c r="AD415" t="s">
        <v>90</v>
      </c>
    </row>
    <row r="416" spans="1:30" hidden="1">
      <c r="A416" s="1">
        <v>45511</v>
      </c>
      <c r="B416" t="s">
        <v>10</v>
      </c>
      <c r="C416" t="s">
        <v>92</v>
      </c>
      <c r="D416" t="s">
        <v>76</v>
      </c>
      <c r="E416" t="s">
        <v>91</v>
      </c>
      <c r="F416" t="s">
        <v>78</v>
      </c>
      <c r="G416" t="s">
        <v>79</v>
      </c>
      <c r="H416" t="s">
        <v>80</v>
      </c>
      <c r="I416" t="s">
        <v>81</v>
      </c>
      <c r="J416" t="s">
        <v>82</v>
      </c>
      <c r="K416" t="s">
        <v>76</v>
      </c>
      <c r="L416" t="s">
        <v>8</v>
      </c>
      <c r="M416" t="s">
        <v>83</v>
      </c>
      <c r="N416" t="s">
        <v>93</v>
      </c>
      <c r="O416" t="s">
        <v>85</v>
      </c>
      <c r="P416">
        <v>281972</v>
      </c>
      <c r="Q416" t="s">
        <v>5</v>
      </c>
      <c r="R416" t="s">
        <v>86</v>
      </c>
      <c r="S416" t="s">
        <v>87</v>
      </c>
      <c r="T416">
        <v>0</v>
      </c>
      <c r="U416">
        <v>3</v>
      </c>
      <c r="V416" s="2">
        <v>0.125</v>
      </c>
      <c r="W416">
        <v>0</v>
      </c>
      <c r="AA416" t="s">
        <v>88</v>
      </c>
      <c r="AB416" t="s">
        <v>100</v>
      </c>
      <c r="AC416" t="s">
        <v>258</v>
      </c>
      <c r="AD416" t="s">
        <v>90</v>
      </c>
    </row>
    <row r="417" spans="1:30" hidden="1">
      <c r="A417" s="1">
        <v>45511</v>
      </c>
      <c r="B417" t="s">
        <v>14</v>
      </c>
      <c r="C417" t="s">
        <v>75</v>
      </c>
      <c r="D417" t="s">
        <v>76</v>
      </c>
      <c r="E417" t="s">
        <v>77</v>
      </c>
      <c r="F417" t="s">
        <v>78</v>
      </c>
      <c r="G417" t="s">
        <v>79</v>
      </c>
      <c r="H417" t="s">
        <v>80</v>
      </c>
      <c r="I417" t="s">
        <v>81</v>
      </c>
      <c r="J417" t="s">
        <v>82</v>
      </c>
      <c r="K417" t="s">
        <v>76</v>
      </c>
      <c r="L417" t="s">
        <v>8</v>
      </c>
      <c r="M417" t="s">
        <v>83</v>
      </c>
      <c r="N417" t="s">
        <v>84</v>
      </c>
      <c r="O417" t="s">
        <v>85</v>
      </c>
      <c r="P417">
        <v>282073</v>
      </c>
      <c r="Q417" t="s">
        <v>5</v>
      </c>
      <c r="R417" t="s">
        <v>86</v>
      </c>
      <c r="S417" t="s">
        <v>87</v>
      </c>
      <c r="T417">
        <v>0</v>
      </c>
      <c r="U417">
        <v>0.75</v>
      </c>
      <c r="V417" s="2">
        <v>3.125E-2</v>
      </c>
      <c r="W417">
        <v>0</v>
      </c>
      <c r="AA417" t="s">
        <v>88</v>
      </c>
      <c r="AB417" t="s">
        <v>100</v>
      </c>
      <c r="AC417" t="s">
        <v>259</v>
      </c>
      <c r="AD417" t="s">
        <v>90</v>
      </c>
    </row>
    <row r="418" spans="1:30" hidden="1">
      <c r="A418" s="1">
        <v>45511</v>
      </c>
      <c r="B418" t="s">
        <v>211</v>
      </c>
      <c r="C418" t="s">
        <v>75</v>
      </c>
      <c r="D418" t="s">
        <v>76</v>
      </c>
      <c r="E418" t="s">
        <v>91</v>
      </c>
      <c r="F418" t="s">
        <v>78</v>
      </c>
      <c r="G418" t="s">
        <v>79</v>
      </c>
      <c r="H418" t="s">
        <v>80</v>
      </c>
      <c r="I418" t="s">
        <v>81</v>
      </c>
      <c r="J418" t="s">
        <v>82</v>
      </c>
      <c r="K418" t="s">
        <v>76</v>
      </c>
      <c r="L418" t="s">
        <v>8</v>
      </c>
      <c r="M418" t="s">
        <v>83</v>
      </c>
      <c r="N418" t="s">
        <v>93</v>
      </c>
      <c r="O418" t="s">
        <v>85</v>
      </c>
      <c r="P418">
        <v>282221</v>
      </c>
      <c r="Q418" t="s">
        <v>5</v>
      </c>
      <c r="R418" t="s">
        <v>86</v>
      </c>
      <c r="S418" t="s">
        <v>87</v>
      </c>
      <c r="T418">
        <v>0</v>
      </c>
      <c r="U418">
        <v>0.25</v>
      </c>
      <c r="V418" s="2">
        <v>1.0416666666666666E-2</v>
      </c>
      <c r="W418">
        <v>0</v>
      </c>
      <c r="AA418" t="s">
        <v>88</v>
      </c>
      <c r="AB418" t="s">
        <v>100</v>
      </c>
      <c r="AC418" t="s">
        <v>84</v>
      </c>
      <c r="AD418" t="s">
        <v>90</v>
      </c>
    </row>
    <row r="419" spans="1:30" hidden="1">
      <c r="A419" s="1">
        <v>45511</v>
      </c>
      <c r="B419" t="s">
        <v>16</v>
      </c>
      <c r="C419" t="s">
        <v>75</v>
      </c>
      <c r="D419" t="s">
        <v>76</v>
      </c>
      <c r="E419" t="s">
        <v>91</v>
      </c>
      <c r="F419" t="s">
        <v>78</v>
      </c>
      <c r="G419" t="s">
        <v>79</v>
      </c>
      <c r="H419" t="s">
        <v>80</v>
      </c>
      <c r="I419" t="s">
        <v>81</v>
      </c>
      <c r="J419" t="s">
        <v>82</v>
      </c>
      <c r="K419" t="s">
        <v>76</v>
      </c>
      <c r="L419" t="s">
        <v>8</v>
      </c>
      <c r="M419" t="s">
        <v>83</v>
      </c>
      <c r="N419" t="s">
        <v>93</v>
      </c>
      <c r="O419" t="s">
        <v>85</v>
      </c>
      <c r="P419">
        <v>282016</v>
      </c>
      <c r="Q419" t="s">
        <v>5</v>
      </c>
      <c r="R419" t="s">
        <v>86</v>
      </c>
      <c r="S419" t="s">
        <v>87</v>
      </c>
      <c r="T419">
        <v>0</v>
      </c>
      <c r="U419">
        <v>0.5</v>
      </c>
      <c r="V419" s="2">
        <v>2.0833333333333332E-2</v>
      </c>
      <c r="W419">
        <v>0</v>
      </c>
      <c r="AA419" t="s">
        <v>88</v>
      </c>
      <c r="AB419" t="s">
        <v>100</v>
      </c>
      <c r="AC419" t="s">
        <v>84</v>
      </c>
      <c r="AD419" t="s">
        <v>90</v>
      </c>
    </row>
    <row r="420" spans="1:30" hidden="1">
      <c r="A420" s="1">
        <v>45511</v>
      </c>
      <c r="B420" t="s">
        <v>12</v>
      </c>
      <c r="C420" t="s">
        <v>75</v>
      </c>
      <c r="D420" t="s">
        <v>76</v>
      </c>
      <c r="E420" t="s">
        <v>91</v>
      </c>
      <c r="F420" t="s">
        <v>78</v>
      </c>
      <c r="G420" t="s">
        <v>79</v>
      </c>
      <c r="H420" t="s">
        <v>80</v>
      </c>
      <c r="I420" t="s">
        <v>81</v>
      </c>
      <c r="J420" t="s">
        <v>82</v>
      </c>
      <c r="K420" t="s">
        <v>76</v>
      </c>
      <c r="L420" t="s">
        <v>8</v>
      </c>
      <c r="M420" t="s">
        <v>83</v>
      </c>
      <c r="N420" t="s">
        <v>84</v>
      </c>
      <c r="O420" t="s">
        <v>85</v>
      </c>
      <c r="P420">
        <v>282087</v>
      </c>
      <c r="Q420" t="s">
        <v>5</v>
      </c>
      <c r="R420" t="s">
        <v>86</v>
      </c>
      <c r="S420" t="s">
        <v>87</v>
      </c>
      <c r="T420">
        <v>0</v>
      </c>
      <c r="U420">
        <v>0.25</v>
      </c>
      <c r="V420" s="2">
        <v>1.0416666666666666E-2</v>
      </c>
      <c r="W420">
        <v>0</v>
      </c>
      <c r="AA420" t="s">
        <v>88</v>
      </c>
      <c r="AB420" t="s">
        <v>100</v>
      </c>
      <c r="AC420" t="s">
        <v>84</v>
      </c>
      <c r="AD420" t="s">
        <v>90</v>
      </c>
    </row>
    <row r="421" spans="1:30" hidden="1">
      <c r="A421" s="1">
        <v>45511</v>
      </c>
      <c r="B421" t="s">
        <v>93</v>
      </c>
      <c r="C421" t="s">
        <v>75</v>
      </c>
      <c r="D421" t="s">
        <v>76</v>
      </c>
      <c r="E421" t="s">
        <v>91</v>
      </c>
      <c r="F421" t="s">
        <v>78</v>
      </c>
      <c r="G421" t="s">
        <v>79</v>
      </c>
      <c r="H421" t="s">
        <v>80</v>
      </c>
      <c r="I421" t="s">
        <v>81</v>
      </c>
      <c r="J421" t="s">
        <v>82</v>
      </c>
      <c r="K421" t="s">
        <v>76</v>
      </c>
      <c r="L421" t="s">
        <v>8</v>
      </c>
      <c r="M421" t="s">
        <v>83</v>
      </c>
      <c r="N421" t="s">
        <v>84</v>
      </c>
      <c r="O421" t="s">
        <v>85</v>
      </c>
      <c r="P421">
        <v>281928</v>
      </c>
      <c r="Q421" t="s">
        <v>4</v>
      </c>
      <c r="R421" t="s">
        <v>94</v>
      </c>
      <c r="S421" t="s">
        <v>87</v>
      </c>
      <c r="T421">
        <v>90</v>
      </c>
      <c r="U421">
        <v>1</v>
      </c>
      <c r="V421" s="2">
        <v>4.1666666666666664E-2</v>
      </c>
      <c r="W421">
        <v>90</v>
      </c>
      <c r="X421">
        <v>120</v>
      </c>
      <c r="Y421">
        <v>30</v>
      </c>
      <c r="Z421" t="s">
        <v>251</v>
      </c>
      <c r="AA421" t="s">
        <v>88</v>
      </c>
      <c r="AB421" t="s">
        <v>100</v>
      </c>
      <c r="AC421" t="s">
        <v>260</v>
      </c>
      <c r="AD421" t="s">
        <v>90</v>
      </c>
    </row>
    <row r="422" spans="1:30" hidden="1">
      <c r="A422" s="1">
        <v>45511</v>
      </c>
      <c r="B422" t="s">
        <v>254</v>
      </c>
      <c r="C422" t="s">
        <v>75</v>
      </c>
      <c r="D422" t="s">
        <v>76</v>
      </c>
      <c r="E422" t="s">
        <v>77</v>
      </c>
      <c r="F422" t="s">
        <v>78</v>
      </c>
      <c r="G422" t="s">
        <v>79</v>
      </c>
      <c r="H422" t="s">
        <v>80</v>
      </c>
      <c r="I422" t="s">
        <v>81</v>
      </c>
      <c r="J422" t="s">
        <v>82</v>
      </c>
      <c r="K422" t="s">
        <v>76</v>
      </c>
      <c r="L422" t="s">
        <v>8</v>
      </c>
      <c r="M422" t="s">
        <v>83</v>
      </c>
      <c r="N422" t="s">
        <v>84</v>
      </c>
      <c r="O422" t="s">
        <v>85</v>
      </c>
      <c r="P422">
        <v>283002</v>
      </c>
      <c r="Q422" t="s">
        <v>5</v>
      </c>
      <c r="R422" t="s">
        <v>86</v>
      </c>
      <c r="S422" t="s">
        <v>87</v>
      </c>
      <c r="T422">
        <v>0</v>
      </c>
      <c r="U422">
        <v>2.5</v>
      </c>
      <c r="V422" s="2">
        <v>0.10416666666666667</v>
      </c>
      <c r="W422">
        <v>0</v>
      </c>
      <c r="AA422" t="s">
        <v>88</v>
      </c>
      <c r="AB422" t="s">
        <v>100</v>
      </c>
      <c r="AC422" t="s">
        <v>84</v>
      </c>
      <c r="AD422" t="s">
        <v>90</v>
      </c>
    </row>
    <row r="423" spans="1:30" hidden="1">
      <c r="A423" s="1">
        <v>45511</v>
      </c>
      <c r="B423" t="s">
        <v>8</v>
      </c>
      <c r="C423" t="s">
        <v>75</v>
      </c>
      <c r="D423" t="s">
        <v>76</v>
      </c>
      <c r="E423" t="s">
        <v>91</v>
      </c>
      <c r="F423" t="s">
        <v>78</v>
      </c>
      <c r="G423" t="s">
        <v>79</v>
      </c>
      <c r="H423" t="s">
        <v>80</v>
      </c>
      <c r="I423" t="s">
        <v>81</v>
      </c>
      <c r="J423" t="s">
        <v>82</v>
      </c>
      <c r="K423" t="s">
        <v>76</v>
      </c>
      <c r="L423" t="s">
        <v>8</v>
      </c>
      <c r="M423" t="s">
        <v>83</v>
      </c>
      <c r="N423" t="s">
        <v>84</v>
      </c>
      <c r="O423" t="s">
        <v>85</v>
      </c>
      <c r="P423">
        <v>282188</v>
      </c>
      <c r="Q423" t="s">
        <v>5</v>
      </c>
      <c r="R423" t="s">
        <v>86</v>
      </c>
      <c r="S423" t="s">
        <v>87</v>
      </c>
      <c r="T423">
        <v>0</v>
      </c>
      <c r="U423">
        <v>0.75</v>
      </c>
      <c r="V423" s="2">
        <v>3.125E-2</v>
      </c>
      <c r="W423">
        <v>0</v>
      </c>
      <c r="AA423" t="s">
        <v>88</v>
      </c>
      <c r="AB423" t="s">
        <v>100</v>
      </c>
      <c r="AC423" t="s">
        <v>84</v>
      </c>
      <c r="AD423" t="s">
        <v>90</v>
      </c>
    </row>
    <row r="424" spans="1:30" hidden="1">
      <c r="A424" s="1">
        <v>45511</v>
      </c>
      <c r="B424" t="s">
        <v>108</v>
      </c>
      <c r="C424" t="s">
        <v>75</v>
      </c>
      <c r="D424" t="s">
        <v>76</v>
      </c>
      <c r="E424" t="s">
        <v>91</v>
      </c>
      <c r="F424" t="s">
        <v>78</v>
      </c>
      <c r="G424" t="s">
        <v>79</v>
      </c>
      <c r="H424" t="s">
        <v>80</v>
      </c>
      <c r="I424" t="s">
        <v>81</v>
      </c>
      <c r="J424" t="s">
        <v>82</v>
      </c>
      <c r="K424" t="s">
        <v>76</v>
      </c>
      <c r="L424" t="s">
        <v>8</v>
      </c>
      <c r="M424" t="s">
        <v>83</v>
      </c>
      <c r="N424" t="s">
        <v>93</v>
      </c>
      <c r="O424" t="s">
        <v>85</v>
      </c>
      <c r="P424">
        <v>282246</v>
      </c>
      <c r="Q424" t="s">
        <v>5</v>
      </c>
      <c r="R424" t="s">
        <v>86</v>
      </c>
      <c r="S424" t="s">
        <v>87</v>
      </c>
      <c r="T424">
        <v>0</v>
      </c>
      <c r="U424">
        <v>0.25</v>
      </c>
      <c r="V424" s="2">
        <v>1.0416666666666666E-2</v>
      </c>
      <c r="W424">
        <v>0</v>
      </c>
      <c r="AA424" t="s">
        <v>88</v>
      </c>
      <c r="AB424" t="s">
        <v>100</v>
      </c>
      <c r="AC424" t="s">
        <v>84</v>
      </c>
      <c r="AD424" t="s">
        <v>90</v>
      </c>
    </row>
    <row r="425" spans="1:30" hidden="1">
      <c r="A425" s="1">
        <v>45512</v>
      </c>
      <c r="B425" t="s">
        <v>10</v>
      </c>
      <c r="C425" t="s">
        <v>92</v>
      </c>
      <c r="D425" t="s">
        <v>76</v>
      </c>
      <c r="E425" t="s">
        <v>91</v>
      </c>
      <c r="F425" t="s">
        <v>78</v>
      </c>
      <c r="G425" t="s">
        <v>79</v>
      </c>
      <c r="H425" t="s">
        <v>80</v>
      </c>
      <c r="I425" t="s">
        <v>81</v>
      </c>
      <c r="J425" t="s">
        <v>82</v>
      </c>
      <c r="K425" t="s">
        <v>76</v>
      </c>
      <c r="L425" t="s">
        <v>8</v>
      </c>
      <c r="M425" t="s">
        <v>83</v>
      </c>
      <c r="N425" t="s">
        <v>93</v>
      </c>
      <c r="O425" t="s">
        <v>85</v>
      </c>
      <c r="P425">
        <v>282847</v>
      </c>
      <c r="Q425" t="s">
        <v>4</v>
      </c>
      <c r="R425" t="s">
        <v>94</v>
      </c>
      <c r="S425" t="s">
        <v>87</v>
      </c>
      <c r="T425">
        <v>90</v>
      </c>
      <c r="U425">
        <v>4</v>
      </c>
      <c r="V425" s="2">
        <v>0.16666666666666666</v>
      </c>
      <c r="W425">
        <v>360</v>
      </c>
      <c r="X425">
        <v>480</v>
      </c>
      <c r="Y425">
        <v>120</v>
      </c>
      <c r="Z425" t="s">
        <v>251</v>
      </c>
      <c r="AA425" t="s">
        <v>88</v>
      </c>
      <c r="AB425" t="s">
        <v>100</v>
      </c>
      <c r="AC425" t="s">
        <v>261</v>
      </c>
      <c r="AD425" t="s">
        <v>90</v>
      </c>
    </row>
    <row r="426" spans="1:30" hidden="1">
      <c r="A426" s="1">
        <v>45512</v>
      </c>
      <c r="B426" t="s">
        <v>10</v>
      </c>
      <c r="C426" t="s">
        <v>92</v>
      </c>
      <c r="D426" t="s">
        <v>76</v>
      </c>
      <c r="E426" t="s">
        <v>91</v>
      </c>
      <c r="F426" t="s">
        <v>78</v>
      </c>
      <c r="G426" t="s">
        <v>79</v>
      </c>
      <c r="H426" t="s">
        <v>80</v>
      </c>
      <c r="I426" t="s">
        <v>81</v>
      </c>
      <c r="J426" t="s">
        <v>82</v>
      </c>
      <c r="K426" t="s">
        <v>76</v>
      </c>
      <c r="L426" t="s">
        <v>8</v>
      </c>
      <c r="M426" t="s">
        <v>83</v>
      </c>
      <c r="N426" t="s">
        <v>93</v>
      </c>
      <c r="O426" t="s">
        <v>85</v>
      </c>
      <c r="P426">
        <v>282848</v>
      </c>
      <c r="Q426" t="s">
        <v>5</v>
      </c>
      <c r="R426" t="s">
        <v>86</v>
      </c>
      <c r="S426" t="s">
        <v>87</v>
      </c>
      <c r="T426">
        <v>0</v>
      </c>
      <c r="U426">
        <v>4</v>
      </c>
      <c r="V426" s="2">
        <v>0.16666666666666666</v>
      </c>
      <c r="W426">
        <v>0</v>
      </c>
      <c r="AA426" t="s">
        <v>88</v>
      </c>
      <c r="AB426" t="s">
        <v>100</v>
      </c>
      <c r="AC426" t="s">
        <v>262</v>
      </c>
      <c r="AD426" t="s">
        <v>90</v>
      </c>
    </row>
    <row r="427" spans="1:30" hidden="1">
      <c r="A427" s="1">
        <v>45512</v>
      </c>
      <c r="B427" t="s">
        <v>14</v>
      </c>
      <c r="C427" t="s">
        <v>75</v>
      </c>
      <c r="D427" t="s">
        <v>76</v>
      </c>
      <c r="E427" t="s">
        <v>77</v>
      </c>
      <c r="F427" t="s">
        <v>78</v>
      </c>
      <c r="G427" t="s">
        <v>79</v>
      </c>
      <c r="H427" t="s">
        <v>80</v>
      </c>
      <c r="I427" t="s">
        <v>81</v>
      </c>
      <c r="J427" t="s">
        <v>82</v>
      </c>
      <c r="K427" t="s">
        <v>76</v>
      </c>
      <c r="L427" t="s">
        <v>8</v>
      </c>
      <c r="M427" t="s">
        <v>83</v>
      </c>
      <c r="N427" t="s">
        <v>84</v>
      </c>
      <c r="O427" t="s">
        <v>85</v>
      </c>
      <c r="P427">
        <v>282678</v>
      </c>
      <c r="Q427" t="s">
        <v>5</v>
      </c>
      <c r="R427" t="s">
        <v>86</v>
      </c>
      <c r="S427" t="s">
        <v>87</v>
      </c>
      <c r="T427">
        <v>0</v>
      </c>
      <c r="U427">
        <v>0.25</v>
      </c>
      <c r="V427" s="2">
        <v>1.0416666666666666E-2</v>
      </c>
      <c r="W427">
        <v>0</v>
      </c>
      <c r="AA427" t="s">
        <v>88</v>
      </c>
      <c r="AB427" t="s">
        <v>100</v>
      </c>
      <c r="AC427" t="s">
        <v>200</v>
      </c>
      <c r="AD427" t="s">
        <v>90</v>
      </c>
    </row>
    <row r="428" spans="1:30" hidden="1">
      <c r="A428" s="1">
        <v>45512</v>
      </c>
      <c r="B428" t="s">
        <v>211</v>
      </c>
      <c r="C428" t="s">
        <v>75</v>
      </c>
      <c r="D428" t="s">
        <v>76</v>
      </c>
      <c r="E428" t="s">
        <v>91</v>
      </c>
      <c r="F428" t="s">
        <v>78</v>
      </c>
      <c r="G428" t="s">
        <v>79</v>
      </c>
      <c r="H428" t="s">
        <v>80</v>
      </c>
      <c r="I428" t="s">
        <v>81</v>
      </c>
      <c r="J428" t="s">
        <v>82</v>
      </c>
      <c r="K428" t="s">
        <v>76</v>
      </c>
      <c r="L428" t="s">
        <v>8</v>
      </c>
      <c r="M428" t="s">
        <v>83</v>
      </c>
      <c r="N428" t="s">
        <v>93</v>
      </c>
      <c r="O428" t="s">
        <v>85</v>
      </c>
      <c r="P428">
        <v>282233</v>
      </c>
      <c r="Q428" t="s">
        <v>5</v>
      </c>
      <c r="R428" t="s">
        <v>86</v>
      </c>
      <c r="S428" t="s">
        <v>87</v>
      </c>
      <c r="T428">
        <v>0</v>
      </c>
      <c r="U428">
        <v>0.25</v>
      </c>
      <c r="V428" s="2">
        <v>1.0416666666666666E-2</v>
      </c>
      <c r="W428">
        <v>0</v>
      </c>
      <c r="AA428" t="s">
        <v>88</v>
      </c>
      <c r="AB428" t="s">
        <v>100</v>
      </c>
      <c r="AC428" t="s">
        <v>84</v>
      </c>
      <c r="AD428" t="s">
        <v>90</v>
      </c>
    </row>
    <row r="429" spans="1:30" hidden="1">
      <c r="A429" s="1">
        <v>45512</v>
      </c>
      <c r="B429" t="s">
        <v>16</v>
      </c>
      <c r="C429" t="s">
        <v>75</v>
      </c>
      <c r="D429" t="s">
        <v>76</v>
      </c>
      <c r="E429" t="s">
        <v>91</v>
      </c>
      <c r="F429" t="s">
        <v>78</v>
      </c>
      <c r="G429" t="s">
        <v>79</v>
      </c>
      <c r="H429" t="s">
        <v>80</v>
      </c>
      <c r="I429" t="s">
        <v>81</v>
      </c>
      <c r="J429" t="s">
        <v>82</v>
      </c>
      <c r="K429" t="s">
        <v>76</v>
      </c>
      <c r="L429" t="s">
        <v>8</v>
      </c>
      <c r="M429" t="s">
        <v>83</v>
      </c>
      <c r="N429" t="s">
        <v>93</v>
      </c>
      <c r="O429" t="s">
        <v>85</v>
      </c>
      <c r="P429">
        <v>282386</v>
      </c>
      <c r="Q429" t="s">
        <v>5</v>
      </c>
      <c r="R429" t="s">
        <v>86</v>
      </c>
      <c r="S429" t="s">
        <v>87</v>
      </c>
      <c r="T429">
        <v>0</v>
      </c>
      <c r="U429">
        <v>0.5</v>
      </c>
      <c r="V429" s="2">
        <v>2.0833333333333332E-2</v>
      </c>
      <c r="W429">
        <v>0</v>
      </c>
      <c r="AA429" t="s">
        <v>88</v>
      </c>
      <c r="AB429" t="s">
        <v>100</v>
      </c>
      <c r="AC429" t="s">
        <v>84</v>
      </c>
      <c r="AD429" t="s">
        <v>90</v>
      </c>
    </row>
    <row r="430" spans="1:30" hidden="1">
      <c r="A430" s="1">
        <v>45512</v>
      </c>
      <c r="B430" t="s">
        <v>12</v>
      </c>
      <c r="C430" t="s">
        <v>75</v>
      </c>
      <c r="D430" t="s">
        <v>76</v>
      </c>
      <c r="E430" t="s">
        <v>91</v>
      </c>
      <c r="F430" t="s">
        <v>78</v>
      </c>
      <c r="G430" t="s">
        <v>79</v>
      </c>
      <c r="H430" t="s">
        <v>80</v>
      </c>
      <c r="I430" t="s">
        <v>81</v>
      </c>
      <c r="J430" t="s">
        <v>82</v>
      </c>
      <c r="K430" t="s">
        <v>76</v>
      </c>
      <c r="L430" t="s">
        <v>8</v>
      </c>
      <c r="M430" t="s">
        <v>83</v>
      </c>
      <c r="N430" t="s">
        <v>84</v>
      </c>
      <c r="O430" t="s">
        <v>85</v>
      </c>
      <c r="P430">
        <v>282558</v>
      </c>
      <c r="Q430" t="s">
        <v>4</v>
      </c>
      <c r="R430" t="s">
        <v>94</v>
      </c>
      <c r="S430" t="s">
        <v>87</v>
      </c>
      <c r="T430">
        <v>90</v>
      </c>
      <c r="U430">
        <v>1</v>
      </c>
      <c r="V430" s="2">
        <v>4.1666666666666664E-2</v>
      </c>
      <c r="W430">
        <v>90</v>
      </c>
      <c r="X430">
        <v>120</v>
      </c>
      <c r="Y430">
        <v>30</v>
      </c>
      <c r="Z430" t="s">
        <v>251</v>
      </c>
      <c r="AA430" t="s">
        <v>88</v>
      </c>
      <c r="AB430" t="s">
        <v>100</v>
      </c>
      <c r="AC430" t="s">
        <v>84</v>
      </c>
      <c r="AD430" t="s">
        <v>90</v>
      </c>
    </row>
    <row r="431" spans="1:30" hidden="1">
      <c r="A431" s="1">
        <v>45512</v>
      </c>
      <c r="B431" t="s">
        <v>12</v>
      </c>
      <c r="C431" t="s">
        <v>75</v>
      </c>
      <c r="D431" t="s">
        <v>76</v>
      </c>
      <c r="E431" t="s">
        <v>91</v>
      </c>
      <c r="F431" t="s">
        <v>78</v>
      </c>
      <c r="G431" t="s">
        <v>79</v>
      </c>
      <c r="H431" t="s">
        <v>80</v>
      </c>
      <c r="I431" t="s">
        <v>81</v>
      </c>
      <c r="J431" t="s">
        <v>82</v>
      </c>
      <c r="K431" t="s">
        <v>76</v>
      </c>
      <c r="L431" t="s">
        <v>8</v>
      </c>
      <c r="M431" t="s">
        <v>83</v>
      </c>
      <c r="N431" t="s">
        <v>84</v>
      </c>
      <c r="O431" t="s">
        <v>85</v>
      </c>
      <c r="P431">
        <v>282542</v>
      </c>
      <c r="Q431" t="s">
        <v>5</v>
      </c>
      <c r="R431" t="s">
        <v>86</v>
      </c>
      <c r="S431" t="s">
        <v>87</v>
      </c>
      <c r="T431">
        <v>0</v>
      </c>
      <c r="U431">
        <v>0.25</v>
      </c>
      <c r="V431" s="2">
        <v>1.0416666666666666E-2</v>
      </c>
      <c r="W431">
        <v>0</v>
      </c>
      <c r="AA431" t="s">
        <v>88</v>
      </c>
      <c r="AB431" t="s">
        <v>100</v>
      </c>
      <c r="AC431" t="s">
        <v>84</v>
      </c>
      <c r="AD431" t="s">
        <v>90</v>
      </c>
    </row>
    <row r="432" spans="1:30" hidden="1">
      <c r="A432" s="1">
        <v>45512</v>
      </c>
      <c r="B432" t="s">
        <v>93</v>
      </c>
      <c r="C432" t="s">
        <v>75</v>
      </c>
      <c r="D432" t="s">
        <v>76</v>
      </c>
      <c r="E432" t="s">
        <v>91</v>
      </c>
      <c r="F432" t="s">
        <v>78</v>
      </c>
      <c r="G432" t="s">
        <v>79</v>
      </c>
      <c r="H432" t="s">
        <v>80</v>
      </c>
      <c r="I432" t="s">
        <v>81</v>
      </c>
      <c r="J432" t="s">
        <v>82</v>
      </c>
      <c r="K432" t="s">
        <v>76</v>
      </c>
      <c r="L432" t="s">
        <v>8</v>
      </c>
      <c r="M432" t="s">
        <v>83</v>
      </c>
      <c r="N432" t="s">
        <v>84</v>
      </c>
      <c r="O432" t="s">
        <v>85</v>
      </c>
      <c r="P432">
        <v>282976</v>
      </c>
      <c r="Q432" t="s">
        <v>4</v>
      </c>
      <c r="R432" t="s">
        <v>94</v>
      </c>
      <c r="S432" t="s">
        <v>87</v>
      </c>
      <c r="T432">
        <v>90</v>
      </c>
      <c r="U432">
        <v>0.5</v>
      </c>
      <c r="V432" s="2">
        <v>2.0833333333333332E-2</v>
      </c>
      <c r="W432">
        <v>45</v>
      </c>
      <c r="X432">
        <v>60</v>
      </c>
      <c r="Y432">
        <v>15</v>
      </c>
      <c r="Z432" t="s">
        <v>251</v>
      </c>
      <c r="AA432" t="s">
        <v>88</v>
      </c>
      <c r="AB432" t="s">
        <v>100</v>
      </c>
      <c r="AC432" t="s">
        <v>263</v>
      </c>
      <c r="AD432" t="s">
        <v>90</v>
      </c>
    </row>
    <row r="433" spans="1:30" hidden="1">
      <c r="A433" s="1">
        <v>45512</v>
      </c>
      <c r="B433" t="s">
        <v>8</v>
      </c>
      <c r="C433" t="s">
        <v>75</v>
      </c>
      <c r="D433" t="s">
        <v>76</v>
      </c>
      <c r="E433" t="s">
        <v>91</v>
      </c>
      <c r="F433" t="s">
        <v>78</v>
      </c>
      <c r="G433" t="s">
        <v>79</v>
      </c>
      <c r="H433" t="s">
        <v>80</v>
      </c>
      <c r="I433" t="s">
        <v>81</v>
      </c>
      <c r="J433" t="s">
        <v>82</v>
      </c>
      <c r="K433" t="s">
        <v>76</v>
      </c>
      <c r="L433" t="s">
        <v>8</v>
      </c>
      <c r="M433" t="s">
        <v>83</v>
      </c>
      <c r="N433" t="s">
        <v>84</v>
      </c>
      <c r="O433" t="s">
        <v>85</v>
      </c>
      <c r="P433">
        <v>282608</v>
      </c>
      <c r="Q433" t="s">
        <v>5</v>
      </c>
      <c r="R433" t="s">
        <v>86</v>
      </c>
      <c r="S433" t="s">
        <v>87</v>
      </c>
      <c r="T433">
        <v>0</v>
      </c>
      <c r="U433">
        <v>0.5</v>
      </c>
      <c r="V433" s="2">
        <v>2.0833333333333332E-2</v>
      </c>
      <c r="W433">
        <v>0</v>
      </c>
      <c r="AA433" t="s">
        <v>88</v>
      </c>
      <c r="AB433" t="s">
        <v>100</v>
      </c>
      <c r="AC433" t="s">
        <v>84</v>
      </c>
      <c r="AD433" t="s">
        <v>90</v>
      </c>
    </row>
    <row r="434" spans="1:30" hidden="1">
      <c r="A434" s="1">
        <v>45512</v>
      </c>
      <c r="B434" t="s">
        <v>108</v>
      </c>
      <c r="C434" t="s">
        <v>75</v>
      </c>
      <c r="D434" t="s">
        <v>76</v>
      </c>
      <c r="E434" t="s">
        <v>91</v>
      </c>
      <c r="F434" t="s">
        <v>78</v>
      </c>
      <c r="G434" t="s">
        <v>79</v>
      </c>
      <c r="H434" t="s">
        <v>80</v>
      </c>
      <c r="I434" t="s">
        <v>81</v>
      </c>
      <c r="J434" t="s">
        <v>82</v>
      </c>
      <c r="K434" t="s">
        <v>76</v>
      </c>
      <c r="L434" t="s">
        <v>8</v>
      </c>
      <c r="M434" t="s">
        <v>83</v>
      </c>
      <c r="N434" t="s">
        <v>93</v>
      </c>
      <c r="O434" t="s">
        <v>85</v>
      </c>
      <c r="P434">
        <v>283281</v>
      </c>
      <c r="Q434" t="s">
        <v>5</v>
      </c>
      <c r="R434" t="s">
        <v>86</v>
      </c>
      <c r="S434" t="s">
        <v>87</v>
      </c>
      <c r="T434">
        <v>0</v>
      </c>
      <c r="U434">
        <v>0.25</v>
      </c>
      <c r="V434" s="2">
        <v>1.0416666666666666E-2</v>
      </c>
      <c r="W434">
        <v>0</v>
      </c>
      <c r="AA434" t="s">
        <v>88</v>
      </c>
      <c r="AB434" t="s">
        <v>100</v>
      </c>
      <c r="AC434" t="s">
        <v>84</v>
      </c>
      <c r="AD434" t="s">
        <v>90</v>
      </c>
    </row>
    <row r="435" spans="1:30" hidden="1">
      <c r="A435" s="1">
        <v>45513</v>
      </c>
      <c r="B435" t="s">
        <v>10</v>
      </c>
      <c r="C435" t="s">
        <v>92</v>
      </c>
      <c r="D435" t="s">
        <v>76</v>
      </c>
      <c r="E435" t="s">
        <v>91</v>
      </c>
      <c r="F435" t="s">
        <v>78</v>
      </c>
      <c r="G435" t="s">
        <v>79</v>
      </c>
      <c r="H435" t="s">
        <v>80</v>
      </c>
      <c r="I435" t="s">
        <v>81</v>
      </c>
      <c r="J435" t="s">
        <v>82</v>
      </c>
      <c r="K435" t="s">
        <v>76</v>
      </c>
      <c r="L435" t="s">
        <v>8</v>
      </c>
      <c r="M435" t="s">
        <v>83</v>
      </c>
      <c r="N435" t="s">
        <v>93</v>
      </c>
      <c r="O435" t="s">
        <v>85</v>
      </c>
      <c r="P435">
        <v>282845</v>
      </c>
      <c r="Q435" t="s">
        <v>4</v>
      </c>
      <c r="R435" t="s">
        <v>94</v>
      </c>
      <c r="S435" t="s">
        <v>87</v>
      </c>
      <c r="T435">
        <v>90</v>
      </c>
      <c r="U435">
        <v>4.5</v>
      </c>
      <c r="V435" s="2">
        <v>0.1875</v>
      </c>
      <c r="W435">
        <v>405</v>
      </c>
      <c r="X435">
        <v>540</v>
      </c>
      <c r="Y435">
        <v>135</v>
      </c>
      <c r="Z435" t="s">
        <v>251</v>
      </c>
      <c r="AA435" t="s">
        <v>88</v>
      </c>
      <c r="AB435" t="s">
        <v>100</v>
      </c>
      <c r="AC435" t="s">
        <v>264</v>
      </c>
      <c r="AD435" t="s">
        <v>90</v>
      </c>
    </row>
    <row r="436" spans="1:30" hidden="1">
      <c r="A436" s="1">
        <v>45513</v>
      </c>
      <c r="B436" t="s">
        <v>10</v>
      </c>
      <c r="C436" t="s">
        <v>92</v>
      </c>
      <c r="D436" t="s">
        <v>76</v>
      </c>
      <c r="E436" t="s">
        <v>91</v>
      </c>
      <c r="F436" t="s">
        <v>78</v>
      </c>
      <c r="G436" t="s">
        <v>79</v>
      </c>
      <c r="H436" t="s">
        <v>80</v>
      </c>
      <c r="I436" t="s">
        <v>81</v>
      </c>
      <c r="J436" t="s">
        <v>82</v>
      </c>
      <c r="K436" t="s">
        <v>76</v>
      </c>
      <c r="L436" t="s">
        <v>8</v>
      </c>
      <c r="M436" t="s">
        <v>83</v>
      </c>
      <c r="N436" t="s">
        <v>93</v>
      </c>
      <c r="O436" t="s">
        <v>85</v>
      </c>
      <c r="P436">
        <v>282846</v>
      </c>
      <c r="Q436" t="s">
        <v>5</v>
      </c>
      <c r="R436" t="s">
        <v>86</v>
      </c>
      <c r="S436" t="s">
        <v>87</v>
      </c>
      <c r="T436">
        <v>0</v>
      </c>
      <c r="U436" s="19" t="s">
        <v>265</v>
      </c>
      <c r="V436" s="2">
        <v>8.4722222222222227E-2</v>
      </c>
      <c r="W436">
        <v>0</v>
      </c>
      <c r="AA436" t="s">
        <v>88</v>
      </c>
      <c r="AB436" t="s">
        <v>100</v>
      </c>
      <c r="AC436" t="s">
        <v>266</v>
      </c>
      <c r="AD436" t="s">
        <v>90</v>
      </c>
    </row>
    <row r="437" spans="1:30" hidden="1">
      <c r="A437" s="1">
        <v>45516</v>
      </c>
      <c r="B437" t="s">
        <v>10</v>
      </c>
      <c r="C437" t="s">
        <v>92</v>
      </c>
      <c r="D437" t="s">
        <v>76</v>
      </c>
      <c r="E437" t="s">
        <v>91</v>
      </c>
      <c r="F437" t="s">
        <v>78</v>
      </c>
      <c r="G437" t="s">
        <v>79</v>
      </c>
      <c r="H437" t="s">
        <v>80</v>
      </c>
      <c r="I437" t="s">
        <v>81</v>
      </c>
      <c r="J437" t="s">
        <v>82</v>
      </c>
      <c r="K437" t="s">
        <v>76</v>
      </c>
      <c r="L437" t="s">
        <v>8</v>
      </c>
      <c r="M437" t="s">
        <v>83</v>
      </c>
      <c r="N437" t="s">
        <v>93</v>
      </c>
      <c r="O437" t="s">
        <v>85</v>
      </c>
      <c r="P437">
        <v>283358</v>
      </c>
      <c r="Q437" t="s">
        <v>5</v>
      </c>
      <c r="R437" t="s">
        <v>86</v>
      </c>
      <c r="S437" t="s">
        <v>87</v>
      </c>
      <c r="T437">
        <v>0</v>
      </c>
      <c r="U437">
        <v>3.5</v>
      </c>
      <c r="V437" s="2">
        <v>0.14583333333333334</v>
      </c>
      <c r="W437">
        <v>0</v>
      </c>
      <c r="AA437" t="s">
        <v>88</v>
      </c>
      <c r="AB437" t="s">
        <v>100</v>
      </c>
      <c r="AC437" t="s">
        <v>267</v>
      </c>
      <c r="AD437" t="s">
        <v>90</v>
      </c>
    </row>
    <row r="438" spans="1:30" hidden="1">
      <c r="A438" s="1">
        <v>45516</v>
      </c>
      <c r="B438" t="s">
        <v>14</v>
      </c>
      <c r="C438" t="s">
        <v>75</v>
      </c>
      <c r="D438" t="s">
        <v>76</v>
      </c>
      <c r="E438" t="s">
        <v>77</v>
      </c>
      <c r="F438" t="s">
        <v>78</v>
      </c>
      <c r="G438" t="s">
        <v>79</v>
      </c>
      <c r="H438" t="s">
        <v>80</v>
      </c>
      <c r="I438" t="s">
        <v>81</v>
      </c>
      <c r="J438" t="s">
        <v>82</v>
      </c>
      <c r="K438" t="s">
        <v>76</v>
      </c>
      <c r="L438" t="s">
        <v>8</v>
      </c>
      <c r="M438" t="s">
        <v>83</v>
      </c>
      <c r="N438" t="s">
        <v>84</v>
      </c>
      <c r="O438" t="s">
        <v>85</v>
      </c>
      <c r="P438">
        <v>283489</v>
      </c>
      <c r="Q438" t="s">
        <v>5</v>
      </c>
      <c r="R438" t="s">
        <v>86</v>
      </c>
      <c r="S438" t="s">
        <v>87</v>
      </c>
      <c r="T438">
        <v>0</v>
      </c>
      <c r="U438">
        <v>0.5</v>
      </c>
      <c r="V438" s="2">
        <v>2.0833333333333332E-2</v>
      </c>
      <c r="W438">
        <v>0</v>
      </c>
      <c r="AA438" t="s">
        <v>88</v>
      </c>
      <c r="AB438" t="s">
        <v>100</v>
      </c>
      <c r="AC438" t="s">
        <v>178</v>
      </c>
      <c r="AD438" t="s">
        <v>90</v>
      </c>
    </row>
    <row r="439" spans="1:30" hidden="1">
      <c r="A439" s="1">
        <v>45516</v>
      </c>
      <c r="B439" t="s">
        <v>211</v>
      </c>
      <c r="C439" t="s">
        <v>75</v>
      </c>
      <c r="D439" t="s">
        <v>76</v>
      </c>
      <c r="E439" t="s">
        <v>91</v>
      </c>
      <c r="F439" t="s">
        <v>78</v>
      </c>
      <c r="G439" t="s">
        <v>79</v>
      </c>
      <c r="H439" t="s">
        <v>80</v>
      </c>
      <c r="I439" t="s">
        <v>81</v>
      </c>
      <c r="J439" t="s">
        <v>82</v>
      </c>
      <c r="K439" t="s">
        <v>76</v>
      </c>
      <c r="L439" t="s">
        <v>8</v>
      </c>
      <c r="M439" t="s">
        <v>83</v>
      </c>
      <c r="N439" t="s">
        <v>93</v>
      </c>
      <c r="O439" t="s">
        <v>85</v>
      </c>
      <c r="P439">
        <v>283198</v>
      </c>
      <c r="Q439" t="s">
        <v>5</v>
      </c>
      <c r="R439" t="s">
        <v>86</v>
      </c>
      <c r="S439" t="s">
        <v>87</v>
      </c>
      <c r="T439">
        <v>0</v>
      </c>
      <c r="U439">
        <v>0.25</v>
      </c>
      <c r="V439" s="2">
        <v>1.0416666666666666E-2</v>
      </c>
      <c r="W439">
        <v>0</v>
      </c>
      <c r="AA439" t="s">
        <v>88</v>
      </c>
      <c r="AB439" t="s">
        <v>100</v>
      </c>
      <c r="AC439" t="s">
        <v>84</v>
      </c>
      <c r="AD439" t="s">
        <v>90</v>
      </c>
    </row>
    <row r="440" spans="1:30" hidden="1">
      <c r="A440" s="1">
        <v>45516</v>
      </c>
      <c r="B440" t="s">
        <v>16</v>
      </c>
      <c r="C440" t="s">
        <v>75</v>
      </c>
      <c r="D440" t="s">
        <v>76</v>
      </c>
      <c r="E440" t="s">
        <v>91</v>
      </c>
      <c r="F440" t="s">
        <v>78</v>
      </c>
      <c r="G440" t="s">
        <v>79</v>
      </c>
      <c r="H440" t="s">
        <v>80</v>
      </c>
      <c r="I440" t="s">
        <v>81</v>
      </c>
      <c r="J440" t="s">
        <v>82</v>
      </c>
      <c r="K440" t="s">
        <v>76</v>
      </c>
      <c r="L440" t="s">
        <v>8</v>
      </c>
      <c r="M440" t="s">
        <v>83</v>
      </c>
      <c r="N440" t="s">
        <v>93</v>
      </c>
      <c r="O440" t="s">
        <v>85</v>
      </c>
      <c r="P440">
        <v>283270</v>
      </c>
      <c r="Q440" t="s">
        <v>5</v>
      </c>
      <c r="R440" t="s">
        <v>86</v>
      </c>
      <c r="S440" t="s">
        <v>87</v>
      </c>
      <c r="T440">
        <v>0</v>
      </c>
      <c r="U440">
        <v>0.25</v>
      </c>
      <c r="V440" s="2">
        <v>1.0416666666666666E-2</v>
      </c>
      <c r="W440">
        <v>0</v>
      </c>
      <c r="AA440" t="s">
        <v>88</v>
      </c>
      <c r="AB440" t="s">
        <v>100</v>
      </c>
      <c r="AC440" t="s">
        <v>84</v>
      </c>
      <c r="AD440" t="s">
        <v>90</v>
      </c>
    </row>
    <row r="441" spans="1:30" hidden="1">
      <c r="A441" s="1">
        <v>45516</v>
      </c>
      <c r="B441" t="s">
        <v>12</v>
      </c>
      <c r="C441" t="s">
        <v>75</v>
      </c>
      <c r="D441" t="s">
        <v>76</v>
      </c>
      <c r="E441" t="s">
        <v>91</v>
      </c>
      <c r="F441" t="s">
        <v>78</v>
      </c>
      <c r="G441" t="s">
        <v>79</v>
      </c>
      <c r="H441" t="s">
        <v>80</v>
      </c>
      <c r="I441" t="s">
        <v>81</v>
      </c>
      <c r="J441" t="s">
        <v>82</v>
      </c>
      <c r="K441" t="s">
        <v>76</v>
      </c>
      <c r="L441" t="s">
        <v>8</v>
      </c>
      <c r="M441" t="s">
        <v>83</v>
      </c>
      <c r="N441" t="s">
        <v>84</v>
      </c>
      <c r="O441" t="s">
        <v>85</v>
      </c>
      <c r="P441">
        <v>283392</v>
      </c>
      <c r="Q441" t="s">
        <v>4</v>
      </c>
      <c r="R441" t="s">
        <v>94</v>
      </c>
      <c r="S441" t="s">
        <v>87</v>
      </c>
      <c r="T441">
        <v>90</v>
      </c>
      <c r="U441">
        <v>1.75</v>
      </c>
      <c r="V441" s="2">
        <v>7.2916666666666671E-2</v>
      </c>
      <c r="W441">
        <v>157.5</v>
      </c>
      <c r="X441">
        <v>210</v>
      </c>
      <c r="Y441">
        <v>52.5</v>
      </c>
      <c r="Z441" t="s">
        <v>251</v>
      </c>
      <c r="AA441" t="s">
        <v>88</v>
      </c>
      <c r="AB441" t="s">
        <v>100</v>
      </c>
      <c r="AC441" t="s">
        <v>84</v>
      </c>
      <c r="AD441" t="s">
        <v>90</v>
      </c>
    </row>
    <row r="442" spans="1:30" hidden="1">
      <c r="A442" s="1">
        <v>45516</v>
      </c>
      <c r="B442" t="s">
        <v>8</v>
      </c>
      <c r="C442" t="s">
        <v>75</v>
      </c>
      <c r="D442" t="s">
        <v>76</v>
      </c>
      <c r="E442" t="s">
        <v>91</v>
      </c>
      <c r="F442" t="s">
        <v>78</v>
      </c>
      <c r="G442" t="s">
        <v>79</v>
      </c>
      <c r="H442" t="s">
        <v>80</v>
      </c>
      <c r="I442" t="s">
        <v>81</v>
      </c>
      <c r="J442" t="s">
        <v>82</v>
      </c>
      <c r="K442" t="s">
        <v>76</v>
      </c>
      <c r="L442" t="s">
        <v>8</v>
      </c>
      <c r="M442" t="s">
        <v>83</v>
      </c>
      <c r="N442" t="s">
        <v>84</v>
      </c>
      <c r="O442" t="s">
        <v>85</v>
      </c>
      <c r="P442">
        <v>283534</v>
      </c>
      <c r="Q442" t="s">
        <v>5</v>
      </c>
      <c r="R442" t="s">
        <v>86</v>
      </c>
      <c r="S442" t="s">
        <v>87</v>
      </c>
      <c r="T442">
        <v>0</v>
      </c>
      <c r="U442">
        <v>0.5</v>
      </c>
      <c r="V442" s="2">
        <v>2.0833333333333332E-2</v>
      </c>
      <c r="W442">
        <v>0</v>
      </c>
      <c r="AA442" t="s">
        <v>88</v>
      </c>
      <c r="AB442" t="s">
        <v>100</v>
      </c>
      <c r="AC442" t="s">
        <v>84</v>
      </c>
      <c r="AD442" t="s">
        <v>90</v>
      </c>
    </row>
    <row r="443" spans="1:30" hidden="1">
      <c r="A443" s="1">
        <v>45516</v>
      </c>
      <c r="B443" t="s">
        <v>108</v>
      </c>
      <c r="C443" t="s">
        <v>75</v>
      </c>
      <c r="D443" t="s">
        <v>76</v>
      </c>
      <c r="E443" t="s">
        <v>91</v>
      </c>
      <c r="F443" t="s">
        <v>78</v>
      </c>
      <c r="G443" t="s">
        <v>79</v>
      </c>
      <c r="H443" t="s">
        <v>80</v>
      </c>
      <c r="I443" t="s">
        <v>81</v>
      </c>
      <c r="J443" t="s">
        <v>82</v>
      </c>
      <c r="K443" t="s">
        <v>76</v>
      </c>
      <c r="L443" t="s">
        <v>8</v>
      </c>
      <c r="M443" t="s">
        <v>83</v>
      </c>
      <c r="N443" t="s">
        <v>93</v>
      </c>
      <c r="O443" t="s">
        <v>85</v>
      </c>
      <c r="P443">
        <v>284725</v>
      </c>
      <c r="Q443" t="s">
        <v>5</v>
      </c>
      <c r="R443" t="s">
        <v>86</v>
      </c>
      <c r="S443" t="s">
        <v>87</v>
      </c>
      <c r="T443">
        <v>0</v>
      </c>
      <c r="U443">
        <v>0.25</v>
      </c>
      <c r="V443" s="2">
        <v>1.0416666666666666E-2</v>
      </c>
      <c r="W443">
        <v>0</v>
      </c>
      <c r="AA443" t="s">
        <v>88</v>
      </c>
      <c r="AB443" t="s">
        <v>100</v>
      </c>
      <c r="AC443" t="s">
        <v>84</v>
      </c>
      <c r="AD443" t="s">
        <v>90</v>
      </c>
    </row>
    <row r="444" spans="1:30" hidden="1">
      <c r="A444" s="1">
        <v>45517</v>
      </c>
      <c r="B444" t="s">
        <v>14</v>
      </c>
      <c r="C444" t="s">
        <v>75</v>
      </c>
      <c r="D444" t="s">
        <v>76</v>
      </c>
      <c r="E444" t="s">
        <v>77</v>
      </c>
      <c r="F444" t="s">
        <v>78</v>
      </c>
      <c r="G444" t="s">
        <v>79</v>
      </c>
      <c r="H444" t="s">
        <v>80</v>
      </c>
      <c r="I444" t="s">
        <v>81</v>
      </c>
      <c r="J444" t="s">
        <v>82</v>
      </c>
      <c r="K444" t="s">
        <v>76</v>
      </c>
      <c r="L444" t="s">
        <v>8</v>
      </c>
      <c r="M444" t="s">
        <v>83</v>
      </c>
      <c r="N444" t="s">
        <v>84</v>
      </c>
      <c r="O444" t="s">
        <v>85</v>
      </c>
      <c r="P444">
        <v>284089</v>
      </c>
      <c r="Q444" t="s">
        <v>5</v>
      </c>
      <c r="R444" t="s">
        <v>86</v>
      </c>
      <c r="S444" t="s">
        <v>87</v>
      </c>
      <c r="T444">
        <v>0</v>
      </c>
      <c r="U444">
        <v>0.25</v>
      </c>
      <c r="V444" s="2">
        <v>1.0416666666666666E-2</v>
      </c>
      <c r="W444">
        <v>0</v>
      </c>
      <c r="AA444" t="s">
        <v>88</v>
      </c>
      <c r="AB444" t="s">
        <v>100</v>
      </c>
      <c r="AC444" t="s">
        <v>166</v>
      </c>
      <c r="AD444" t="s">
        <v>90</v>
      </c>
    </row>
    <row r="445" spans="1:30" hidden="1">
      <c r="A445" s="1">
        <v>45517</v>
      </c>
      <c r="B445" t="s">
        <v>12</v>
      </c>
      <c r="C445" t="s">
        <v>75</v>
      </c>
      <c r="D445" t="s">
        <v>76</v>
      </c>
      <c r="E445" t="s">
        <v>91</v>
      </c>
      <c r="F445" t="s">
        <v>78</v>
      </c>
      <c r="G445" t="s">
        <v>79</v>
      </c>
      <c r="H445" t="s">
        <v>80</v>
      </c>
      <c r="I445" t="s">
        <v>81</v>
      </c>
      <c r="J445" t="s">
        <v>82</v>
      </c>
      <c r="K445" t="s">
        <v>76</v>
      </c>
      <c r="L445" t="s">
        <v>8</v>
      </c>
      <c r="M445" t="s">
        <v>83</v>
      </c>
      <c r="N445" t="s">
        <v>84</v>
      </c>
      <c r="O445" t="s">
        <v>85</v>
      </c>
      <c r="P445">
        <v>283942</v>
      </c>
      <c r="Q445" t="s">
        <v>4</v>
      </c>
      <c r="R445" t="s">
        <v>94</v>
      </c>
      <c r="S445" t="s">
        <v>87</v>
      </c>
      <c r="T445">
        <v>90</v>
      </c>
      <c r="U445">
        <v>0.25</v>
      </c>
      <c r="V445" s="2">
        <v>1.0416666666666666E-2</v>
      </c>
      <c r="W445">
        <v>22.5</v>
      </c>
      <c r="X445">
        <v>30</v>
      </c>
      <c r="Y445">
        <v>7.5</v>
      </c>
      <c r="Z445" t="s">
        <v>251</v>
      </c>
      <c r="AA445" t="s">
        <v>88</v>
      </c>
      <c r="AB445" t="s">
        <v>100</v>
      </c>
      <c r="AC445" t="s">
        <v>84</v>
      </c>
      <c r="AD445" t="s">
        <v>90</v>
      </c>
    </row>
    <row r="446" spans="1:30" hidden="1">
      <c r="A446" s="1">
        <v>45517</v>
      </c>
      <c r="B446" t="s">
        <v>254</v>
      </c>
      <c r="C446" t="s">
        <v>75</v>
      </c>
      <c r="D446" t="s">
        <v>76</v>
      </c>
      <c r="E446" t="s">
        <v>77</v>
      </c>
      <c r="F446" t="s">
        <v>78</v>
      </c>
      <c r="G446" t="s">
        <v>79</v>
      </c>
      <c r="H446" t="s">
        <v>80</v>
      </c>
      <c r="I446" t="s">
        <v>81</v>
      </c>
      <c r="J446" t="s">
        <v>82</v>
      </c>
      <c r="K446" t="s">
        <v>76</v>
      </c>
      <c r="L446" t="s">
        <v>8</v>
      </c>
      <c r="M446" t="s">
        <v>83</v>
      </c>
      <c r="N446" t="s">
        <v>84</v>
      </c>
      <c r="O446" t="s">
        <v>85</v>
      </c>
      <c r="P446">
        <v>283884</v>
      </c>
      <c r="Q446" t="s">
        <v>5</v>
      </c>
      <c r="R446" t="s">
        <v>86</v>
      </c>
      <c r="S446" t="s">
        <v>87</v>
      </c>
      <c r="T446">
        <v>0</v>
      </c>
      <c r="U446">
        <v>0.5</v>
      </c>
      <c r="V446" s="2">
        <v>2.0833333333333332E-2</v>
      </c>
      <c r="W446">
        <v>0</v>
      </c>
      <c r="AA446" t="s">
        <v>88</v>
      </c>
      <c r="AB446" t="s">
        <v>100</v>
      </c>
      <c r="AC446" t="s">
        <v>84</v>
      </c>
      <c r="AD446" t="s">
        <v>90</v>
      </c>
    </row>
    <row r="447" spans="1:30" hidden="1">
      <c r="A447" s="1">
        <v>45517</v>
      </c>
      <c r="B447" t="s">
        <v>8</v>
      </c>
      <c r="C447" t="s">
        <v>75</v>
      </c>
      <c r="D447" t="s">
        <v>76</v>
      </c>
      <c r="E447" t="s">
        <v>91</v>
      </c>
      <c r="F447" t="s">
        <v>78</v>
      </c>
      <c r="G447" t="s">
        <v>79</v>
      </c>
      <c r="H447" t="s">
        <v>80</v>
      </c>
      <c r="I447" t="s">
        <v>81</v>
      </c>
      <c r="J447" t="s">
        <v>82</v>
      </c>
      <c r="K447" t="s">
        <v>76</v>
      </c>
      <c r="L447" t="s">
        <v>8</v>
      </c>
      <c r="M447" t="s">
        <v>83</v>
      </c>
      <c r="N447" t="s">
        <v>84</v>
      </c>
      <c r="O447" t="s">
        <v>85</v>
      </c>
      <c r="P447">
        <v>284261</v>
      </c>
      <c r="Q447" t="s">
        <v>5</v>
      </c>
      <c r="R447" t="s">
        <v>86</v>
      </c>
      <c r="S447" t="s">
        <v>87</v>
      </c>
      <c r="T447">
        <v>0</v>
      </c>
      <c r="U447">
        <v>0.25</v>
      </c>
      <c r="V447" s="2">
        <v>1.0416666666666666E-2</v>
      </c>
      <c r="W447">
        <v>0</v>
      </c>
      <c r="AA447" t="s">
        <v>88</v>
      </c>
      <c r="AB447" t="s">
        <v>100</v>
      </c>
      <c r="AC447" t="s">
        <v>84</v>
      </c>
      <c r="AD447" t="s">
        <v>90</v>
      </c>
    </row>
    <row r="448" spans="1:30" hidden="1">
      <c r="A448" s="1">
        <v>45517</v>
      </c>
      <c r="B448" t="s">
        <v>108</v>
      </c>
      <c r="C448" t="s">
        <v>75</v>
      </c>
      <c r="D448" t="s">
        <v>76</v>
      </c>
      <c r="E448" t="s">
        <v>91</v>
      </c>
      <c r="F448" t="s">
        <v>78</v>
      </c>
      <c r="G448" t="s">
        <v>79</v>
      </c>
      <c r="H448" t="s">
        <v>80</v>
      </c>
      <c r="I448" t="s">
        <v>81</v>
      </c>
      <c r="J448" t="s">
        <v>82</v>
      </c>
      <c r="K448" t="s">
        <v>76</v>
      </c>
      <c r="L448" t="s">
        <v>8</v>
      </c>
      <c r="M448" t="s">
        <v>83</v>
      </c>
      <c r="N448" t="s">
        <v>93</v>
      </c>
      <c r="O448" t="s">
        <v>85</v>
      </c>
      <c r="P448">
        <v>284726</v>
      </c>
      <c r="Q448" t="s">
        <v>5</v>
      </c>
      <c r="R448" t="s">
        <v>86</v>
      </c>
      <c r="S448" t="s">
        <v>87</v>
      </c>
      <c r="T448">
        <v>0</v>
      </c>
      <c r="U448">
        <v>0.25</v>
      </c>
      <c r="V448" s="2">
        <v>1.0416666666666666E-2</v>
      </c>
      <c r="W448">
        <v>0</v>
      </c>
      <c r="AA448" t="s">
        <v>88</v>
      </c>
      <c r="AB448" t="s">
        <v>100</v>
      </c>
      <c r="AC448" t="s">
        <v>84</v>
      </c>
      <c r="AD448" t="s">
        <v>90</v>
      </c>
    </row>
    <row r="449" spans="1:30" hidden="1">
      <c r="A449" s="1">
        <v>45518</v>
      </c>
      <c r="B449" t="s">
        <v>10</v>
      </c>
      <c r="C449" t="s">
        <v>92</v>
      </c>
      <c r="D449" t="s">
        <v>76</v>
      </c>
      <c r="E449" t="s">
        <v>91</v>
      </c>
      <c r="F449" t="s">
        <v>78</v>
      </c>
      <c r="G449" t="s">
        <v>79</v>
      </c>
      <c r="H449" t="s">
        <v>80</v>
      </c>
      <c r="I449" t="s">
        <v>81</v>
      </c>
      <c r="J449" t="s">
        <v>82</v>
      </c>
      <c r="K449" t="s">
        <v>76</v>
      </c>
      <c r="L449" t="s">
        <v>8</v>
      </c>
      <c r="M449" t="s">
        <v>83</v>
      </c>
      <c r="N449" t="s">
        <v>93</v>
      </c>
      <c r="O449" t="s">
        <v>85</v>
      </c>
      <c r="P449">
        <v>284298</v>
      </c>
      <c r="Q449" t="s">
        <v>5</v>
      </c>
      <c r="R449" t="s">
        <v>86</v>
      </c>
      <c r="S449" t="s">
        <v>87</v>
      </c>
      <c r="T449">
        <v>0</v>
      </c>
      <c r="U449">
        <v>0.5</v>
      </c>
      <c r="V449" s="2">
        <v>2.0833333333333332E-2</v>
      </c>
      <c r="W449">
        <v>0</v>
      </c>
      <c r="AA449" t="s">
        <v>88</v>
      </c>
      <c r="AB449" t="s">
        <v>100</v>
      </c>
      <c r="AC449" t="s">
        <v>268</v>
      </c>
      <c r="AD449" t="s">
        <v>90</v>
      </c>
    </row>
    <row r="450" spans="1:30" hidden="1">
      <c r="A450" s="1">
        <v>45518</v>
      </c>
      <c r="B450" t="s">
        <v>14</v>
      </c>
      <c r="C450" t="s">
        <v>75</v>
      </c>
      <c r="D450" t="s">
        <v>76</v>
      </c>
      <c r="E450" t="s">
        <v>77</v>
      </c>
      <c r="F450" t="s">
        <v>78</v>
      </c>
      <c r="G450" t="s">
        <v>79</v>
      </c>
      <c r="H450" t="s">
        <v>80</v>
      </c>
      <c r="I450" t="s">
        <v>81</v>
      </c>
      <c r="J450" t="s">
        <v>82</v>
      </c>
      <c r="K450" t="s">
        <v>76</v>
      </c>
      <c r="L450" t="s">
        <v>8</v>
      </c>
      <c r="M450" t="s">
        <v>83</v>
      </c>
      <c r="N450" t="s">
        <v>84</v>
      </c>
      <c r="O450" t="s">
        <v>85</v>
      </c>
      <c r="P450">
        <v>284469</v>
      </c>
      <c r="Q450" t="s">
        <v>5</v>
      </c>
      <c r="R450" t="s">
        <v>86</v>
      </c>
      <c r="S450" t="s">
        <v>87</v>
      </c>
      <c r="T450">
        <v>0</v>
      </c>
      <c r="U450">
        <v>0.25</v>
      </c>
      <c r="V450" s="2">
        <v>1.0416666666666666E-2</v>
      </c>
      <c r="W450">
        <v>0</v>
      </c>
      <c r="AA450" t="s">
        <v>88</v>
      </c>
      <c r="AB450" t="s">
        <v>100</v>
      </c>
      <c r="AC450" t="s">
        <v>166</v>
      </c>
      <c r="AD450" t="s">
        <v>90</v>
      </c>
    </row>
    <row r="451" spans="1:30" hidden="1">
      <c r="A451" s="1">
        <v>45518</v>
      </c>
      <c r="B451" t="s">
        <v>211</v>
      </c>
      <c r="C451" t="s">
        <v>75</v>
      </c>
      <c r="D451" t="s">
        <v>76</v>
      </c>
      <c r="E451" t="s">
        <v>91</v>
      </c>
      <c r="F451" t="s">
        <v>78</v>
      </c>
      <c r="G451" t="s">
        <v>79</v>
      </c>
      <c r="H451" t="s">
        <v>80</v>
      </c>
      <c r="I451" t="s">
        <v>81</v>
      </c>
      <c r="J451" t="s">
        <v>82</v>
      </c>
      <c r="K451" t="s">
        <v>76</v>
      </c>
      <c r="L451" t="s">
        <v>8</v>
      </c>
      <c r="M451" t="s">
        <v>83</v>
      </c>
      <c r="N451" t="s">
        <v>93</v>
      </c>
      <c r="O451" t="s">
        <v>85</v>
      </c>
      <c r="P451">
        <v>284346</v>
      </c>
      <c r="Q451" t="s">
        <v>5</v>
      </c>
      <c r="R451" t="s">
        <v>86</v>
      </c>
      <c r="S451" t="s">
        <v>87</v>
      </c>
      <c r="T451">
        <v>0</v>
      </c>
      <c r="U451">
        <v>1.5</v>
      </c>
      <c r="V451" s="2">
        <v>6.25E-2</v>
      </c>
      <c r="W451">
        <v>0</v>
      </c>
      <c r="AA451" t="s">
        <v>88</v>
      </c>
      <c r="AB451" t="s">
        <v>100</v>
      </c>
      <c r="AC451" t="s">
        <v>84</v>
      </c>
      <c r="AD451" t="s">
        <v>90</v>
      </c>
    </row>
    <row r="452" spans="1:30" hidden="1">
      <c r="A452" s="1">
        <v>45518</v>
      </c>
      <c r="B452" t="s">
        <v>12</v>
      </c>
      <c r="C452" t="s">
        <v>75</v>
      </c>
      <c r="D452" t="s">
        <v>76</v>
      </c>
      <c r="E452" t="s">
        <v>91</v>
      </c>
      <c r="F452" t="s">
        <v>78</v>
      </c>
      <c r="G452" t="s">
        <v>79</v>
      </c>
      <c r="H452" t="s">
        <v>80</v>
      </c>
      <c r="I452" t="s">
        <v>81</v>
      </c>
      <c r="J452" t="s">
        <v>82</v>
      </c>
      <c r="K452" t="s">
        <v>76</v>
      </c>
      <c r="L452" t="s">
        <v>8</v>
      </c>
      <c r="M452" t="s">
        <v>83</v>
      </c>
      <c r="N452" t="s">
        <v>84</v>
      </c>
      <c r="O452" t="s">
        <v>85</v>
      </c>
      <c r="P452">
        <v>285004</v>
      </c>
      <c r="Q452" t="s">
        <v>4</v>
      </c>
      <c r="R452" t="s">
        <v>94</v>
      </c>
      <c r="S452" t="s">
        <v>87</v>
      </c>
      <c r="T452">
        <v>90</v>
      </c>
      <c r="U452">
        <v>0.75</v>
      </c>
      <c r="V452" s="2">
        <v>3.125E-2</v>
      </c>
      <c r="W452">
        <v>67.5</v>
      </c>
      <c r="X452">
        <v>90</v>
      </c>
      <c r="Y452">
        <v>22.5</v>
      </c>
      <c r="Z452" t="s">
        <v>251</v>
      </c>
      <c r="AA452" t="s">
        <v>88</v>
      </c>
      <c r="AB452" t="s">
        <v>100</v>
      </c>
      <c r="AC452" t="s">
        <v>84</v>
      </c>
      <c r="AD452" t="s">
        <v>90</v>
      </c>
    </row>
    <row r="453" spans="1:30" hidden="1">
      <c r="A453" s="1">
        <v>45518</v>
      </c>
      <c r="B453" t="s">
        <v>254</v>
      </c>
      <c r="C453" t="s">
        <v>75</v>
      </c>
      <c r="D453" t="s">
        <v>76</v>
      </c>
      <c r="E453" t="s">
        <v>77</v>
      </c>
      <c r="F453" t="s">
        <v>78</v>
      </c>
      <c r="G453" t="s">
        <v>79</v>
      </c>
      <c r="H453" t="s">
        <v>80</v>
      </c>
      <c r="I453" t="s">
        <v>81</v>
      </c>
      <c r="J453" t="s">
        <v>82</v>
      </c>
      <c r="K453" t="s">
        <v>76</v>
      </c>
      <c r="L453" t="s">
        <v>8</v>
      </c>
      <c r="M453" t="s">
        <v>83</v>
      </c>
      <c r="N453" t="s">
        <v>84</v>
      </c>
      <c r="O453" t="s">
        <v>85</v>
      </c>
      <c r="P453">
        <v>284396</v>
      </c>
      <c r="Q453" t="s">
        <v>5</v>
      </c>
      <c r="R453" t="s">
        <v>86</v>
      </c>
      <c r="S453" t="s">
        <v>87</v>
      </c>
      <c r="T453">
        <v>0</v>
      </c>
      <c r="U453">
        <v>0.75</v>
      </c>
      <c r="V453" s="2">
        <v>3.125E-2</v>
      </c>
      <c r="W453">
        <v>0</v>
      </c>
      <c r="AA453" t="s">
        <v>88</v>
      </c>
      <c r="AB453" t="s">
        <v>100</v>
      </c>
      <c r="AC453" t="s">
        <v>84</v>
      </c>
      <c r="AD453" t="s">
        <v>90</v>
      </c>
    </row>
    <row r="454" spans="1:30" hidden="1">
      <c r="A454" s="1">
        <v>45518</v>
      </c>
      <c r="B454" t="s">
        <v>8</v>
      </c>
      <c r="C454" t="s">
        <v>75</v>
      </c>
      <c r="D454" t="s">
        <v>76</v>
      </c>
      <c r="E454" t="s">
        <v>91</v>
      </c>
      <c r="F454" t="s">
        <v>78</v>
      </c>
      <c r="G454" t="s">
        <v>79</v>
      </c>
      <c r="H454" t="s">
        <v>80</v>
      </c>
      <c r="I454" t="s">
        <v>81</v>
      </c>
      <c r="J454" t="s">
        <v>82</v>
      </c>
      <c r="K454" t="s">
        <v>76</v>
      </c>
      <c r="L454" t="s">
        <v>8</v>
      </c>
      <c r="M454" t="s">
        <v>83</v>
      </c>
      <c r="N454" t="s">
        <v>84</v>
      </c>
      <c r="O454" t="s">
        <v>85</v>
      </c>
      <c r="P454">
        <v>284630</v>
      </c>
      <c r="Q454" t="s">
        <v>5</v>
      </c>
      <c r="R454" t="s">
        <v>86</v>
      </c>
      <c r="S454" t="s">
        <v>87</v>
      </c>
      <c r="T454">
        <v>0</v>
      </c>
      <c r="U454">
        <v>0.25</v>
      </c>
      <c r="V454" s="2">
        <v>1.0416666666666666E-2</v>
      </c>
      <c r="W454">
        <v>0</v>
      </c>
      <c r="AA454" t="s">
        <v>88</v>
      </c>
      <c r="AB454" t="s">
        <v>100</v>
      </c>
      <c r="AC454" t="s">
        <v>84</v>
      </c>
      <c r="AD454" t="s">
        <v>90</v>
      </c>
    </row>
    <row r="455" spans="1:30" hidden="1">
      <c r="A455" s="1">
        <v>45518</v>
      </c>
      <c r="B455" t="s">
        <v>108</v>
      </c>
      <c r="C455" t="s">
        <v>75</v>
      </c>
      <c r="D455" t="s">
        <v>76</v>
      </c>
      <c r="E455" t="s">
        <v>91</v>
      </c>
      <c r="F455" t="s">
        <v>78</v>
      </c>
      <c r="G455" t="s">
        <v>79</v>
      </c>
      <c r="H455" t="s">
        <v>80</v>
      </c>
      <c r="I455" t="s">
        <v>81</v>
      </c>
      <c r="J455" t="s">
        <v>82</v>
      </c>
      <c r="K455" t="s">
        <v>76</v>
      </c>
      <c r="L455" t="s">
        <v>8</v>
      </c>
      <c r="M455" t="s">
        <v>83</v>
      </c>
      <c r="N455" t="s">
        <v>93</v>
      </c>
      <c r="O455" t="s">
        <v>85</v>
      </c>
      <c r="P455">
        <v>284727</v>
      </c>
      <c r="Q455" t="s">
        <v>5</v>
      </c>
      <c r="R455" t="s">
        <v>86</v>
      </c>
      <c r="S455" t="s">
        <v>87</v>
      </c>
      <c r="T455">
        <v>0</v>
      </c>
      <c r="U455">
        <v>0.25</v>
      </c>
      <c r="V455" s="2">
        <v>1.0416666666666666E-2</v>
      </c>
      <c r="W455">
        <v>0</v>
      </c>
      <c r="AA455" t="s">
        <v>88</v>
      </c>
      <c r="AB455" t="s">
        <v>100</v>
      </c>
      <c r="AC455" t="s">
        <v>84</v>
      </c>
      <c r="AD455" t="s">
        <v>90</v>
      </c>
    </row>
    <row r="456" spans="1:30" hidden="1">
      <c r="A456" s="1">
        <v>45519</v>
      </c>
      <c r="B456" t="s">
        <v>14</v>
      </c>
      <c r="C456" t="s">
        <v>75</v>
      </c>
      <c r="D456" t="s">
        <v>76</v>
      </c>
      <c r="E456" t="s">
        <v>77</v>
      </c>
      <c r="F456" t="s">
        <v>78</v>
      </c>
      <c r="G456" t="s">
        <v>79</v>
      </c>
      <c r="H456" t="s">
        <v>80</v>
      </c>
      <c r="I456" t="s">
        <v>81</v>
      </c>
      <c r="J456" t="s">
        <v>82</v>
      </c>
      <c r="K456" t="s">
        <v>76</v>
      </c>
      <c r="L456" t="s">
        <v>8</v>
      </c>
      <c r="M456" t="s">
        <v>83</v>
      </c>
      <c r="N456" t="s">
        <v>84</v>
      </c>
      <c r="O456" t="s">
        <v>85</v>
      </c>
      <c r="P456">
        <v>285023</v>
      </c>
      <c r="Q456" t="s">
        <v>5</v>
      </c>
      <c r="R456" t="s">
        <v>86</v>
      </c>
      <c r="S456" t="s">
        <v>87</v>
      </c>
      <c r="T456">
        <v>0</v>
      </c>
      <c r="U456">
        <v>0.25</v>
      </c>
      <c r="V456" s="2">
        <v>1.0416666666666666E-2</v>
      </c>
      <c r="W456">
        <v>0</v>
      </c>
      <c r="AA456" t="s">
        <v>88</v>
      </c>
      <c r="AB456" t="s">
        <v>100</v>
      </c>
      <c r="AC456" t="s">
        <v>166</v>
      </c>
      <c r="AD456" t="s">
        <v>90</v>
      </c>
    </row>
    <row r="457" spans="1:30" hidden="1">
      <c r="A457" s="1">
        <v>45519</v>
      </c>
      <c r="B457" t="s">
        <v>211</v>
      </c>
      <c r="C457" t="s">
        <v>75</v>
      </c>
      <c r="D457" t="s">
        <v>76</v>
      </c>
      <c r="E457" t="s">
        <v>91</v>
      </c>
      <c r="F457" t="s">
        <v>78</v>
      </c>
      <c r="G457" t="s">
        <v>79</v>
      </c>
      <c r="H457" t="s">
        <v>80</v>
      </c>
      <c r="I457" t="s">
        <v>81</v>
      </c>
      <c r="J457" t="s">
        <v>82</v>
      </c>
      <c r="K457" t="s">
        <v>76</v>
      </c>
      <c r="L457" t="s">
        <v>8</v>
      </c>
      <c r="M457" t="s">
        <v>83</v>
      </c>
      <c r="N457" t="s">
        <v>93</v>
      </c>
      <c r="O457" t="s">
        <v>85</v>
      </c>
      <c r="P457">
        <v>285547</v>
      </c>
      <c r="Q457" t="s">
        <v>5</v>
      </c>
      <c r="R457" t="s">
        <v>86</v>
      </c>
      <c r="S457" t="s">
        <v>87</v>
      </c>
      <c r="T457">
        <v>0</v>
      </c>
      <c r="U457">
        <v>0.25</v>
      </c>
      <c r="V457" s="2">
        <v>1.0416666666666666E-2</v>
      </c>
      <c r="W457">
        <v>0</v>
      </c>
      <c r="AA457" t="s">
        <v>88</v>
      </c>
      <c r="AB457" t="s">
        <v>100</v>
      </c>
      <c r="AC457" t="s">
        <v>84</v>
      </c>
      <c r="AD457" t="s">
        <v>90</v>
      </c>
    </row>
    <row r="458" spans="1:30" hidden="1">
      <c r="A458" s="1">
        <v>45519</v>
      </c>
      <c r="B458" t="s">
        <v>16</v>
      </c>
      <c r="C458" t="s">
        <v>75</v>
      </c>
      <c r="D458" t="s">
        <v>76</v>
      </c>
      <c r="E458" t="s">
        <v>91</v>
      </c>
      <c r="F458" t="s">
        <v>78</v>
      </c>
      <c r="G458" t="s">
        <v>79</v>
      </c>
      <c r="H458" t="s">
        <v>80</v>
      </c>
      <c r="I458" t="s">
        <v>81</v>
      </c>
      <c r="J458" t="s">
        <v>82</v>
      </c>
      <c r="K458" t="s">
        <v>76</v>
      </c>
      <c r="L458" t="s">
        <v>8</v>
      </c>
      <c r="M458" t="s">
        <v>83</v>
      </c>
      <c r="N458" t="s">
        <v>93</v>
      </c>
      <c r="O458" t="s">
        <v>85</v>
      </c>
      <c r="P458">
        <v>284753</v>
      </c>
      <c r="Q458" t="s">
        <v>5</v>
      </c>
      <c r="R458" t="s">
        <v>86</v>
      </c>
      <c r="S458" t="s">
        <v>87</v>
      </c>
      <c r="T458">
        <v>0</v>
      </c>
      <c r="U458">
        <v>0.25</v>
      </c>
      <c r="V458" s="2">
        <v>1.0416666666666666E-2</v>
      </c>
      <c r="W458">
        <v>0</v>
      </c>
      <c r="AA458" t="s">
        <v>88</v>
      </c>
      <c r="AB458" t="s">
        <v>100</v>
      </c>
      <c r="AC458" t="s">
        <v>84</v>
      </c>
      <c r="AD458" t="s">
        <v>90</v>
      </c>
    </row>
    <row r="459" spans="1:30" hidden="1">
      <c r="A459" s="1">
        <v>45519</v>
      </c>
      <c r="B459" t="s">
        <v>12</v>
      </c>
      <c r="C459" t="s">
        <v>75</v>
      </c>
      <c r="D459" t="s">
        <v>76</v>
      </c>
      <c r="E459" t="s">
        <v>91</v>
      </c>
      <c r="F459" t="s">
        <v>78</v>
      </c>
      <c r="G459" t="s">
        <v>79</v>
      </c>
      <c r="H459" t="s">
        <v>80</v>
      </c>
      <c r="I459" t="s">
        <v>81</v>
      </c>
      <c r="J459" t="s">
        <v>82</v>
      </c>
      <c r="K459" t="s">
        <v>76</v>
      </c>
      <c r="L459" t="s">
        <v>8</v>
      </c>
      <c r="M459" t="s">
        <v>83</v>
      </c>
      <c r="N459" t="s">
        <v>84</v>
      </c>
      <c r="O459" t="s">
        <v>85</v>
      </c>
      <c r="P459">
        <v>286944</v>
      </c>
      <c r="Q459" t="s">
        <v>4</v>
      </c>
      <c r="R459" t="s">
        <v>94</v>
      </c>
      <c r="S459" t="s">
        <v>87</v>
      </c>
      <c r="T459">
        <v>90</v>
      </c>
      <c r="U459">
        <v>2.25</v>
      </c>
      <c r="V459" s="2">
        <v>9.375E-2</v>
      </c>
      <c r="W459">
        <v>202.5</v>
      </c>
      <c r="X459">
        <v>270</v>
      </c>
      <c r="Y459">
        <v>67.5</v>
      </c>
      <c r="Z459" t="s">
        <v>251</v>
      </c>
      <c r="AA459" t="s">
        <v>88</v>
      </c>
      <c r="AB459" t="s">
        <v>100</v>
      </c>
      <c r="AC459" t="s">
        <v>84</v>
      </c>
      <c r="AD459" t="s">
        <v>90</v>
      </c>
    </row>
    <row r="460" spans="1:30" hidden="1">
      <c r="A460" s="1">
        <v>45519</v>
      </c>
      <c r="B460" t="s">
        <v>254</v>
      </c>
      <c r="C460" t="s">
        <v>75</v>
      </c>
      <c r="D460" t="s">
        <v>76</v>
      </c>
      <c r="E460" t="s">
        <v>77</v>
      </c>
      <c r="F460" t="s">
        <v>78</v>
      </c>
      <c r="G460" t="s">
        <v>79</v>
      </c>
      <c r="H460" t="s">
        <v>80</v>
      </c>
      <c r="I460" t="s">
        <v>81</v>
      </c>
      <c r="J460" t="s">
        <v>82</v>
      </c>
      <c r="K460" t="s">
        <v>76</v>
      </c>
      <c r="L460" t="s">
        <v>8</v>
      </c>
      <c r="M460" t="s">
        <v>83</v>
      </c>
      <c r="N460" t="s">
        <v>84</v>
      </c>
      <c r="O460" t="s">
        <v>85</v>
      </c>
      <c r="P460">
        <v>286007</v>
      </c>
      <c r="Q460" t="s">
        <v>4</v>
      </c>
      <c r="R460" t="s">
        <v>94</v>
      </c>
      <c r="S460" t="s">
        <v>87</v>
      </c>
      <c r="T460">
        <v>90</v>
      </c>
      <c r="U460">
        <v>1.5</v>
      </c>
      <c r="V460" s="2">
        <v>6.25E-2</v>
      </c>
      <c r="W460">
        <v>135</v>
      </c>
      <c r="X460">
        <v>180</v>
      </c>
      <c r="Y460">
        <v>45</v>
      </c>
      <c r="Z460" t="s">
        <v>251</v>
      </c>
      <c r="AA460" t="s">
        <v>88</v>
      </c>
      <c r="AB460" t="s">
        <v>100</v>
      </c>
      <c r="AC460" t="s">
        <v>84</v>
      </c>
      <c r="AD460" t="s">
        <v>90</v>
      </c>
    </row>
    <row r="461" spans="1:30" hidden="1">
      <c r="A461" s="1">
        <v>45519</v>
      </c>
      <c r="B461" t="s">
        <v>254</v>
      </c>
      <c r="C461" t="s">
        <v>75</v>
      </c>
      <c r="D461" t="s">
        <v>76</v>
      </c>
      <c r="E461" t="s">
        <v>77</v>
      </c>
      <c r="F461" t="s">
        <v>78</v>
      </c>
      <c r="G461" t="s">
        <v>79</v>
      </c>
      <c r="H461" t="s">
        <v>80</v>
      </c>
      <c r="I461" t="s">
        <v>81</v>
      </c>
      <c r="J461" t="s">
        <v>82</v>
      </c>
      <c r="K461" t="s">
        <v>76</v>
      </c>
      <c r="L461" t="s">
        <v>8</v>
      </c>
      <c r="M461" t="s">
        <v>83</v>
      </c>
      <c r="N461" t="s">
        <v>84</v>
      </c>
      <c r="O461" t="s">
        <v>85</v>
      </c>
      <c r="P461">
        <v>286006</v>
      </c>
      <c r="Q461" t="s">
        <v>5</v>
      </c>
      <c r="R461" t="s">
        <v>86</v>
      </c>
      <c r="S461" t="s">
        <v>87</v>
      </c>
      <c r="T461">
        <v>0</v>
      </c>
      <c r="U461">
        <v>2.75</v>
      </c>
      <c r="V461" s="2">
        <v>0.11458333333333333</v>
      </c>
      <c r="W461">
        <v>0</v>
      </c>
      <c r="AA461" t="s">
        <v>88</v>
      </c>
      <c r="AB461" t="s">
        <v>100</v>
      </c>
      <c r="AC461" t="s">
        <v>84</v>
      </c>
      <c r="AD461" t="s">
        <v>90</v>
      </c>
    </row>
    <row r="462" spans="1:30" hidden="1">
      <c r="A462" s="1">
        <v>45519</v>
      </c>
      <c r="B462" t="s">
        <v>8</v>
      </c>
      <c r="C462" t="s">
        <v>75</v>
      </c>
      <c r="D462" t="s">
        <v>76</v>
      </c>
      <c r="E462" t="s">
        <v>91</v>
      </c>
      <c r="F462" t="s">
        <v>78</v>
      </c>
      <c r="G462" t="s">
        <v>79</v>
      </c>
      <c r="H462" t="s">
        <v>80</v>
      </c>
      <c r="I462" t="s">
        <v>81</v>
      </c>
      <c r="J462" t="s">
        <v>82</v>
      </c>
      <c r="K462" t="s">
        <v>76</v>
      </c>
      <c r="L462" t="s">
        <v>8</v>
      </c>
      <c r="M462" t="s">
        <v>83</v>
      </c>
      <c r="N462" t="s">
        <v>84</v>
      </c>
      <c r="O462" t="s">
        <v>85</v>
      </c>
      <c r="P462">
        <v>285228</v>
      </c>
      <c r="Q462" t="s">
        <v>5</v>
      </c>
      <c r="R462" t="s">
        <v>86</v>
      </c>
      <c r="S462" t="s">
        <v>87</v>
      </c>
      <c r="T462">
        <v>0</v>
      </c>
      <c r="U462">
        <v>0.25</v>
      </c>
      <c r="V462" s="2">
        <v>1.0416666666666666E-2</v>
      </c>
      <c r="W462">
        <v>0</v>
      </c>
      <c r="AA462" t="s">
        <v>88</v>
      </c>
      <c r="AB462" t="s">
        <v>100</v>
      </c>
      <c r="AC462" t="s">
        <v>84</v>
      </c>
      <c r="AD462" t="s">
        <v>90</v>
      </c>
    </row>
    <row r="463" spans="1:30" hidden="1">
      <c r="A463" s="1">
        <v>45519</v>
      </c>
      <c r="B463" t="s">
        <v>108</v>
      </c>
      <c r="C463" t="s">
        <v>75</v>
      </c>
      <c r="D463" t="s">
        <v>76</v>
      </c>
      <c r="E463" t="s">
        <v>91</v>
      </c>
      <c r="F463" t="s">
        <v>78</v>
      </c>
      <c r="G463" t="s">
        <v>79</v>
      </c>
      <c r="H463" t="s">
        <v>80</v>
      </c>
      <c r="I463" t="s">
        <v>81</v>
      </c>
      <c r="J463" t="s">
        <v>82</v>
      </c>
      <c r="K463" t="s">
        <v>76</v>
      </c>
      <c r="L463" t="s">
        <v>8</v>
      </c>
      <c r="M463" t="s">
        <v>83</v>
      </c>
      <c r="N463" t="s">
        <v>93</v>
      </c>
      <c r="O463" t="s">
        <v>85</v>
      </c>
      <c r="P463">
        <v>285052</v>
      </c>
      <c r="Q463" t="s">
        <v>5</v>
      </c>
      <c r="R463" t="s">
        <v>86</v>
      </c>
      <c r="S463" t="s">
        <v>87</v>
      </c>
      <c r="T463">
        <v>0</v>
      </c>
      <c r="U463">
        <v>2.25</v>
      </c>
      <c r="V463" s="2">
        <v>9.375E-2</v>
      </c>
      <c r="W463">
        <v>0</v>
      </c>
      <c r="AA463" t="s">
        <v>88</v>
      </c>
      <c r="AB463" t="s">
        <v>100</v>
      </c>
      <c r="AC463" t="s">
        <v>269</v>
      </c>
      <c r="AD463" t="s">
        <v>90</v>
      </c>
    </row>
    <row r="464" spans="1:30" hidden="1">
      <c r="A464" s="1">
        <v>45520</v>
      </c>
      <c r="B464" t="s">
        <v>10</v>
      </c>
      <c r="C464" t="s">
        <v>92</v>
      </c>
      <c r="D464" t="s">
        <v>76</v>
      </c>
      <c r="E464" t="s">
        <v>91</v>
      </c>
      <c r="F464" t="s">
        <v>78</v>
      </c>
      <c r="G464" t="s">
        <v>79</v>
      </c>
      <c r="H464" t="s">
        <v>80</v>
      </c>
      <c r="I464" t="s">
        <v>81</v>
      </c>
      <c r="J464" t="s">
        <v>82</v>
      </c>
      <c r="K464" t="s">
        <v>76</v>
      </c>
      <c r="L464" t="s">
        <v>8</v>
      </c>
      <c r="M464" t="s">
        <v>83</v>
      </c>
      <c r="N464" t="s">
        <v>93</v>
      </c>
      <c r="O464" t="s">
        <v>85</v>
      </c>
      <c r="P464">
        <v>285691</v>
      </c>
      <c r="Q464" t="s">
        <v>4</v>
      </c>
      <c r="R464" t="s">
        <v>94</v>
      </c>
      <c r="S464" t="s">
        <v>87</v>
      </c>
      <c r="T464">
        <v>90</v>
      </c>
      <c r="U464">
        <v>3.5</v>
      </c>
      <c r="V464" s="2">
        <v>0.14583333333333334</v>
      </c>
      <c r="W464">
        <v>315</v>
      </c>
      <c r="X464">
        <v>420</v>
      </c>
      <c r="Y464">
        <v>105</v>
      </c>
      <c r="Z464" t="s">
        <v>251</v>
      </c>
      <c r="AA464" t="s">
        <v>88</v>
      </c>
      <c r="AB464" t="s">
        <v>100</v>
      </c>
      <c r="AC464" t="s">
        <v>270</v>
      </c>
      <c r="AD464" t="s">
        <v>90</v>
      </c>
    </row>
    <row r="465" spans="1:30" hidden="1">
      <c r="A465" s="1">
        <v>45520</v>
      </c>
      <c r="B465" t="s">
        <v>14</v>
      </c>
      <c r="C465" t="s">
        <v>75</v>
      </c>
      <c r="D465" t="s">
        <v>76</v>
      </c>
      <c r="E465" t="s">
        <v>77</v>
      </c>
      <c r="F465" t="s">
        <v>78</v>
      </c>
      <c r="G465" t="s">
        <v>79</v>
      </c>
      <c r="H465" t="s">
        <v>80</v>
      </c>
      <c r="I465" t="s">
        <v>81</v>
      </c>
      <c r="J465" t="s">
        <v>82</v>
      </c>
      <c r="K465" t="s">
        <v>76</v>
      </c>
      <c r="L465" t="s">
        <v>8</v>
      </c>
      <c r="M465" t="s">
        <v>83</v>
      </c>
      <c r="N465" t="s">
        <v>84</v>
      </c>
      <c r="O465" t="s">
        <v>85</v>
      </c>
      <c r="P465">
        <v>285874</v>
      </c>
      <c r="Q465" t="s">
        <v>5</v>
      </c>
      <c r="R465" t="s">
        <v>86</v>
      </c>
      <c r="S465" t="s">
        <v>87</v>
      </c>
      <c r="T465">
        <v>0</v>
      </c>
      <c r="U465">
        <v>0.25</v>
      </c>
      <c r="V465" s="2">
        <v>1.0416666666666666E-2</v>
      </c>
      <c r="W465">
        <v>0</v>
      </c>
      <c r="AA465" t="s">
        <v>88</v>
      </c>
      <c r="AB465" t="s">
        <v>100</v>
      </c>
      <c r="AC465" t="s">
        <v>166</v>
      </c>
      <c r="AD465" t="s">
        <v>90</v>
      </c>
    </row>
    <row r="466" spans="1:30" hidden="1">
      <c r="A466" s="1">
        <v>45520</v>
      </c>
      <c r="B466" t="s">
        <v>211</v>
      </c>
      <c r="C466" t="s">
        <v>75</v>
      </c>
      <c r="D466" t="s">
        <v>76</v>
      </c>
      <c r="E466" t="s">
        <v>91</v>
      </c>
      <c r="F466" t="s">
        <v>78</v>
      </c>
      <c r="G466" t="s">
        <v>79</v>
      </c>
      <c r="H466" t="s">
        <v>80</v>
      </c>
      <c r="I466" t="s">
        <v>81</v>
      </c>
      <c r="J466" t="s">
        <v>82</v>
      </c>
      <c r="K466" t="s">
        <v>76</v>
      </c>
      <c r="L466" t="s">
        <v>8</v>
      </c>
      <c r="M466" t="s">
        <v>83</v>
      </c>
      <c r="N466" t="s">
        <v>93</v>
      </c>
      <c r="O466" t="s">
        <v>85</v>
      </c>
      <c r="P466">
        <v>285551</v>
      </c>
      <c r="Q466" t="s">
        <v>5</v>
      </c>
      <c r="R466" t="s">
        <v>86</v>
      </c>
      <c r="S466" t="s">
        <v>87</v>
      </c>
      <c r="T466">
        <v>0</v>
      </c>
      <c r="U466">
        <v>0.25</v>
      </c>
      <c r="V466" s="2">
        <v>1.0416666666666666E-2</v>
      </c>
      <c r="W466">
        <v>0</v>
      </c>
      <c r="AA466" t="s">
        <v>88</v>
      </c>
      <c r="AB466" t="s">
        <v>100</v>
      </c>
      <c r="AC466" t="s">
        <v>84</v>
      </c>
      <c r="AD466" t="s">
        <v>90</v>
      </c>
    </row>
    <row r="467" spans="1:30" hidden="1">
      <c r="A467" s="1">
        <v>45520</v>
      </c>
      <c r="B467" t="s">
        <v>16</v>
      </c>
      <c r="C467" t="s">
        <v>75</v>
      </c>
      <c r="D467" t="s">
        <v>76</v>
      </c>
      <c r="E467" t="s">
        <v>91</v>
      </c>
      <c r="F467" t="s">
        <v>78</v>
      </c>
      <c r="G467" t="s">
        <v>79</v>
      </c>
      <c r="H467" t="s">
        <v>80</v>
      </c>
      <c r="I467" t="s">
        <v>81</v>
      </c>
      <c r="J467" t="s">
        <v>82</v>
      </c>
      <c r="K467" t="s">
        <v>76</v>
      </c>
      <c r="L467" t="s">
        <v>8</v>
      </c>
      <c r="M467" t="s">
        <v>83</v>
      </c>
      <c r="N467" t="s">
        <v>93</v>
      </c>
      <c r="O467" t="s">
        <v>85</v>
      </c>
      <c r="P467">
        <v>285436</v>
      </c>
      <c r="Q467" t="s">
        <v>5</v>
      </c>
      <c r="R467" t="s">
        <v>86</v>
      </c>
      <c r="S467" t="s">
        <v>87</v>
      </c>
      <c r="T467">
        <v>0</v>
      </c>
      <c r="U467">
        <v>0.5</v>
      </c>
      <c r="V467" s="2">
        <v>2.0833333333333332E-2</v>
      </c>
      <c r="W467">
        <v>0</v>
      </c>
      <c r="AA467" t="s">
        <v>88</v>
      </c>
      <c r="AB467" t="s">
        <v>100</v>
      </c>
      <c r="AC467" t="s">
        <v>84</v>
      </c>
      <c r="AD467" t="s">
        <v>90</v>
      </c>
    </row>
    <row r="468" spans="1:30" hidden="1">
      <c r="A468" s="1">
        <v>45520</v>
      </c>
      <c r="B468" t="s">
        <v>12</v>
      </c>
      <c r="C468" t="s">
        <v>75</v>
      </c>
      <c r="D468" t="s">
        <v>76</v>
      </c>
      <c r="E468" t="s">
        <v>91</v>
      </c>
      <c r="F468" t="s">
        <v>78</v>
      </c>
      <c r="G468" t="s">
        <v>79</v>
      </c>
      <c r="H468" t="s">
        <v>80</v>
      </c>
      <c r="I468" t="s">
        <v>81</v>
      </c>
      <c r="J468" t="s">
        <v>82</v>
      </c>
      <c r="K468" t="s">
        <v>76</v>
      </c>
      <c r="L468" t="s">
        <v>8</v>
      </c>
      <c r="M468" t="s">
        <v>83</v>
      </c>
      <c r="N468" t="s">
        <v>84</v>
      </c>
      <c r="O468" t="s">
        <v>85</v>
      </c>
      <c r="P468">
        <v>286001</v>
      </c>
      <c r="Q468" t="s">
        <v>4</v>
      </c>
      <c r="R468" t="s">
        <v>94</v>
      </c>
      <c r="S468" t="s">
        <v>87</v>
      </c>
      <c r="T468">
        <v>90</v>
      </c>
      <c r="U468">
        <v>0.75</v>
      </c>
      <c r="V468" s="2">
        <v>3.125E-2</v>
      </c>
      <c r="W468">
        <v>67.5</v>
      </c>
      <c r="X468">
        <v>90</v>
      </c>
      <c r="Y468">
        <v>22.5</v>
      </c>
      <c r="Z468" t="s">
        <v>251</v>
      </c>
      <c r="AA468" t="s">
        <v>88</v>
      </c>
      <c r="AB468" t="s">
        <v>100</v>
      </c>
      <c r="AC468" t="s">
        <v>84</v>
      </c>
      <c r="AD468" t="s">
        <v>90</v>
      </c>
    </row>
    <row r="469" spans="1:30" hidden="1">
      <c r="A469" s="1">
        <v>45520</v>
      </c>
      <c r="B469" t="s">
        <v>271</v>
      </c>
      <c r="C469" t="s">
        <v>75</v>
      </c>
      <c r="D469" t="s">
        <v>76</v>
      </c>
      <c r="E469" t="s">
        <v>91</v>
      </c>
      <c r="F469" t="s">
        <v>78</v>
      </c>
      <c r="G469" t="s">
        <v>79</v>
      </c>
      <c r="H469" t="s">
        <v>80</v>
      </c>
      <c r="I469" t="s">
        <v>81</v>
      </c>
      <c r="J469" t="s">
        <v>82</v>
      </c>
      <c r="K469" t="s">
        <v>76</v>
      </c>
      <c r="L469" t="s">
        <v>8</v>
      </c>
      <c r="M469" t="s">
        <v>83</v>
      </c>
      <c r="N469" t="s">
        <v>84</v>
      </c>
      <c r="O469" t="s">
        <v>85</v>
      </c>
      <c r="P469">
        <v>285366</v>
      </c>
      <c r="Q469" t="s">
        <v>5</v>
      </c>
      <c r="R469" t="s">
        <v>86</v>
      </c>
      <c r="S469" t="s">
        <v>87</v>
      </c>
      <c r="T469">
        <v>0</v>
      </c>
      <c r="U469">
        <v>0.25</v>
      </c>
      <c r="V469" s="2">
        <v>1.0416666666666666E-2</v>
      </c>
      <c r="W469">
        <v>0</v>
      </c>
      <c r="AA469" t="s">
        <v>88</v>
      </c>
      <c r="AB469" t="s">
        <v>100</v>
      </c>
      <c r="AC469" t="s">
        <v>84</v>
      </c>
      <c r="AD469" t="s">
        <v>90</v>
      </c>
    </row>
    <row r="470" spans="1:30" hidden="1">
      <c r="A470" s="1">
        <v>45520</v>
      </c>
      <c r="B470" t="s">
        <v>254</v>
      </c>
      <c r="C470" t="s">
        <v>75</v>
      </c>
      <c r="D470" t="s">
        <v>76</v>
      </c>
      <c r="E470" t="s">
        <v>77</v>
      </c>
      <c r="F470" t="s">
        <v>78</v>
      </c>
      <c r="G470" t="s">
        <v>79</v>
      </c>
      <c r="H470" t="s">
        <v>80</v>
      </c>
      <c r="I470" t="s">
        <v>81</v>
      </c>
      <c r="J470" t="s">
        <v>82</v>
      </c>
      <c r="K470" t="s">
        <v>76</v>
      </c>
      <c r="L470" t="s">
        <v>8</v>
      </c>
      <c r="M470" t="s">
        <v>83</v>
      </c>
      <c r="N470" t="s">
        <v>84</v>
      </c>
      <c r="O470" t="s">
        <v>85</v>
      </c>
      <c r="P470">
        <v>286033</v>
      </c>
      <c r="Q470" t="s">
        <v>5</v>
      </c>
      <c r="R470" t="s">
        <v>86</v>
      </c>
      <c r="S470" t="s">
        <v>87</v>
      </c>
      <c r="T470">
        <v>0</v>
      </c>
      <c r="U470">
        <v>0.25</v>
      </c>
      <c r="V470" s="2">
        <v>1.0416666666666666E-2</v>
      </c>
      <c r="W470">
        <v>0</v>
      </c>
      <c r="AA470" t="s">
        <v>88</v>
      </c>
      <c r="AB470" t="s">
        <v>100</v>
      </c>
      <c r="AC470" t="s">
        <v>84</v>
      </c>
      <c r="AD470" t="s">
        <v>90</v>
      </c>
    </row>
    <row r="471" spans="1:30" hidden="1">
      <c r="A471" s="1">
        <v>45520</v>
      </c>
      <c r="B471" t="s">
        <v>8</v>
      </c>
      <c r="C471" t="s">
        <v>75</v>
      </c>
      <c r="D471" t="s">
        <v>76</v>
      </c>
      <c r="E471" t="s">
        <v>91</v>
      </c>
      <c r="F471" t="s">
        <v>78</v>
      </c>
      <c r="G471" t="s">
        <v>79</v>
      </c>
      <c r="H471" t="s">
        <v>80</v>
      </c>
      <c r="I471" t="s">
        <v>81</v>
      </c>
      <c r="J471" t="s">
        <v>82</v>
      </c>
      <c r="K471" t="s">
        <v>76</v>
      </c>
      <c r="L471" t="s">
        <v>8</v>
      </c>
      <c r="M471" t="s">
        <v>83</v>
      </c>
      <c r="N471" t="s">
        <v>84</v>
      </c>
      <c r="O471" t="s">
        <v>85</v>
      </c>
      <c r="P471">
        <v>285651</v>
      </c>
      <c r="Q471" t="s">
        <v>5</v>
      </c>
      <c r="R471" t="s">
        <v>86</v>
      </c>
      <c r="S471" t="s">
        <v>87</v>
      </c>
      <c r="T471">
        <v>0</v>
      </c>
      <c r="U471">
        <v>0.25</v>
      </c>
      <c r="V471" s="2">
        <v>1.0416666666666666E-2</v>
      </c>
      <c r="W471">
        <v>0</v>
      </c>
      <c r="AA471" t="s">
        <v>88</v>
      </c>
      <c r="AB471" t="s">
        <v>100</v>
      </c>
      <c r="AC471" t="s">
        <v>84</v>
      </c>
      <c r="AD471" t="s">
        <v>90</v>
      </c>
    </row>
    <row r="472" spans="1:30" hidden="1">
      <c r="A472" s="1">
        <v>45523</v>
      </c>
      <c r="B472" t="s">
        <v>14</v>
      </c>
      <c r="C472" t="s">
        <v>75</v>
      </c>
      <c r="D472" t="s">
        <v>76</v>
      </c>
      <c r="E472" t="s">
        <v>77</v>
      </c>
      <c r="F472" t="s">
        <v>78</v>
      </c>
      <c r="G472" t="s">
        <v>79</v>
      </c>
      <c r="H472" t="s">
        <v>80</v>
      </c>
      <c r="I472" t="s">
        <v>81</v>
      </c>
      <c r="J472" t="s">
        <v>82</v>
      </c>
      <c r="K472" t="s">
        <v>76</v>
      </c>
      <c r="L472" t="s">
        <v>8</v>
      </c>
      <c r="M472" t="s">
        <v>83</v>
      </c>
      <c r="N472" t="s">
        <v>84</v>
      </c>
      <c r="O472" t="s">
        <v>85</v>
      </c>
      <c r="P472">
        <v>286590</v>
      </c>
      <c r="Q472" t="s">
        <v>5</v>
      </c>
      <c r="R472" t="s">
        <v>86</v>
      </c>
      <c r="S472" t="s">
        <v>87</v>
      </c>
      <c r="T472">
        <v>0</v>
      </c>
      <c r="U472">
        <v>0.5</v>
      </c>
      <c r="V472" s="2">
        <v>2.0833333333333332E-2</v>
      </c>
      <c r="W472">
        <v>0</v>
      </c>
      <c r="AA472" t="s">
        <v>88</v>
      </c>
      <c r="AB472" t="s">
        <v>100</v>
      </c>
      <c r="AC472" t="s">
        <v>272</v>
      </c>
      <c r="AD472" t="s">
        <v>90</v>
      </c>
    </row>
    <row r="473" spans="1:30" hidden="1">
      <c r="A473" s="1">
        <v>45523</v>
      </c>
      <c r="B473" t="s">
        <v>211</v>
      </c>
      <c r="C473" t="s">
        <v>75</v>
      </c>
      <c r="D473" t="s">
        <v>76</v>
      </c>
      <c r="E473" t="s">
        <v>91</v>
      </c>
      <c r="F473" t="s">
        <v>78</v>
      </c>
      <c r="G473" t="s">
        <v>79</v>
      </c>
      <c r="H473" t="s">
        <v>80</v>
      </c>
      <c r="I473" t="s">
        <v>81</v>
      </c>
      <c r="J473" t="s">
        <v>82</v>
      </c>
      <c r="K473" t="s">
        <v>76</v>
      </c>
      <c r="L473" t="s">
        <v>8</v>
      </c>
      <c r="M473" t="s">
        <v>83</v>
      </c>
      <c r="N473" t="s">
        <v>93</v>
      </c>
      <c r="O473" t="s">
        <v>85</v>
      </c>
      <c r="P473">
        <v>286301</v>
      </c>
      <c r="Q473" t="s">
        <v>5</v>
      </c>
      <c r="R473" t="s">
        <v>86</v>
      </c>
      <c r="S473" t="s">
        <v>87</v>
      </c>
      <c r="T473">
        <v>0</v>
      </c>
      <c r="U473">
        <v>0.25</v>
      </c>
      <c r="V473" s="2">
        <v>1.0416666666666666E-2</v>
      </c>
      <c r="W473">
        <v>0</v>
      </c>
      <c r="AA473" t="s">
        <v>88</v>
      </c>
      <c r="AB473" t="s">
        <v>100</v>
      </c>
      <c r="AC473" t="s">
        <v>84</v>
      </c>
      <c r="AD473" t="s">
        <v>90</v>
      </c>
    </row>
    <row r="474" spans="1:30" hidden="1">
      <c r="A474" s="1">
        <v>45523</v>
      </c>
      <c r="B474" t="s">
        <v>12</v>
      </c>
      <c r="C474" t="s">
        <v>75</v>
      </c>
      <c r="D474" t="s">
        <v>76</v>
      </c>
      <c r="E474" t="s">
        <v>91</v>
      </c>
      <c r="F474" t="s">
        <v>78</v>
      </c>
      <c r="G474" t="s">
        <v>79</v>
      </c>
      <c r="H474" t="s">
        <v>80</v>
      </c>
      <c r="I474" t="s">
        <v>81</v>
      </c>
      <c r="J474" t="s">
        <v>82</v>
      </c>
      <c r="K474" t="s">
        <v>76</v>
      </c>
      <c r="L474" t="s">
        <v>8</v>
      </c>
      <c r="M474" t="s">
        <v>83</v>
      </c>
      <c r="N474" t="s">
        <v>84</v>
      </c>
      <c r="O474" t="s">
        <v>85</v>
      </c>
      <c r="P474">
        <v>286306</v>
      </c>
      <c r="Q474" t="s">
        <v>4</v>
      </c>
      <c r="R474" t="s">
        <v>94</v>
      </c>
      <c r="S474" t="s">
        <v>87</v>
      </c>
      <c r="T474">
        <v>90</v>
      </c>
      <c r="U474">
        <v>0.25</v>
      </c>
      <c r="V474" s="2">
        <v>1.0416666666666666E-2</v>
      </c>
      <c r="W474">
        <v>22.5</v>
      </c>
      <c r="X474">
        <v>30</v>
      </c>
      <c r="Y474">
        <v>7.5</v>
      </c>
      <c r="Z474" t="s">
        <v>251</v>
      </c>
      <c r="AA474" t="s">
        <v>88</v>
      </c>
      <c r="AB474" t="s">
        <v>100</v>
      </c>
      <c r="AC474" t="s">
        <v>84</v>
      </c>
      <c r="AD474" t="s">
        <v>90</v>
      </c>
    </row>
    <row r="475" spans="1:30" hidden="1">
      <c r="A475" s="1">
        <v>45523</v>
      </c>
      <c r="B475" t="s">
        <v>254</v>
      </c>
      <c r="C475" t="s">
        <v>75</v>
      </c>
      <c r="D475" t="s">
        <v>76</v>
      </c>
      <c r="E475" t="s">
        <v>77</v>
      </c>
      <c r="F475" t="s">
        <v>78</v>
      </c>
      <c r="G475" t="s">
        <v>79</v>
      </c>
      <c r="H475" t="s">
        <v>80</v>
      </c>
      <c r="I475" t="s">
        <v>81</v>
      </c>
      <c r="J475" t="s">
        <v>82</v>
      </c>
      <c r="K475" t="s">
        <v>76</v>
      </c>
      <c r="L475" t="s">
        <v>8</v>
      </c>
      <c r="M475" t="s">
        <v>83</v>
      </c>
      <c r="N475" t="s">
        <v>84</v>
      </c>
      <c r="O475" t="s">
        <v>85</v>
      </c>
      <c r="P475">
        <v>286589</v>
      </c>
      <c r="Q475" t="s">
        <v>5</v>
      </c>
      <c r="R475" t="s">
        <v>86</v>
      </c>
      <c r="S475" t="s">
        <v>87</v>
      </c>
      <c r="T475">
        <v>0</v>
      </c>
      <c r="U475">
        <v>1</v>
      </c>
      <c r="V475" s="2">
        <v>4.1666666666666664E-2</v>
      </c>
      <c r="W475">
        <v>0</v>
      </c>
      <c r="AA475" t="s">
        <v>88</v>
      </c>
      <c r="AB475" t="s">
        <v>100</v>
      </c>
      <c r="AC475" t="s">
        <v>84</v>
      </c>
      <c r="AD475" t="s">
        <v>90</v>
      </c>
    </row>
    <row r="476" spans="1:30" hidden="1">
      <c r="A476" s="1">
        <v>45523</v>
      </c>
      <c r="B476" t="s">
        <v>8</v>
      </c>
      <c r="C476" t="s">
        <v>75</v>
      </c>
      <c r="D476" t="s">
        <v>76</v>
      </c>
      <c r="E476" t="s">
        <v>91</v>
      </c>
      <c r="F476" t="s">
        <v>78</v>
      </c>
      <c r="G476" t="s">
        <v>79</v>
      </c>
      <c r="H476" t="s">
        <v>80</v>
      </c>
      <c r="I476" t="s">
        <v>81</v>
      </c>
      <c r="J476" t="s">
        <v>82</v>
      </c>
      <c r="K476" t="s">
        <v>76</v>
      </c>
      <c r="L476" t="s">
        <v>8</v>
      </c>
      <c r="M476" t="s">
        <v>83</v>
      </c>
      <c r="N476" t="s">
        <v>84</v>
      </c>
      <c r="O476" t="s">
        <v>85</v>
      </c>
      <c r="P476">
        <v>286552</v>
      </c>
      <c r="Q476" t="s">
        <v>5</v>
      </c>
      <c r="R476" t="s">
        <v>86</v>
      </c>
      <c r="S476" t="s">
        <v>87</v>
      </c>
      <c r="T476">
        <v>0</v>
      </c>
      <c r="U476">
        <v>0.25</v>
      </c>
      <c r="V476" s="2">
        <v>1.0416666666666666E-2</v>
      </c>
      <c r="W476">
        <v>0</v>
      </c>
      <c r="AA476" t="s">
        <v>88</v>
      </c>
      <c r="AB476" t="s">
        <v>100</v>
      </c>
      <c r="AC476" t="s">
        <v>84</v>
      </c>
      <c r="AD476" t="s">
        <v>90</v>
      </c>
    </row>
    <row r="477" spans="1:30" hidden="1">
      <c r="A477" s="1">
        <v>45523</v>
      </c>
      <c r="B477" t="s">
        <v>108</v>
      </c>
      <c r="C477" t="s">
        <v>75</v>
      </c>
      <c r="D477" t="s">
        <v>76</v>
      </c>
      <c r="E477" t="s">
        <v>91</v>
      </c>
      <c r="F477" t="s">
        <v>78</v>
      </c>
      <c r="G477" t="s">
        <v>79</v>
      </c>
      <c r="H477" t="s">
        <v>80</v>
      </c>
      <c r="I477" t="s">
        <v>81</v>
      </c>
      <c r="J477" t="s">
        <v>82</v>
      </c>
      <c r="K477" t="s">
        <v>76</v>
      </c>
      <c r="L477" t="s">
        <v>8</v>
      </c>
      <c r="M477" t="s">
        <v>83</v>
      </c>
      <c r="N477" t="s">
        <v>93</v>
      </c>
      <c r="O477" t="s">
        <v>85</v>
      </c>
      <c r="P477">
        <v>288308</v>
      </c>
      <c r="Q477" t="s">
        <v>5</v>
      </c>
      <c r="R477" t="s">
        <v>86</v>
      </c>
      <c r="S477" t="s">
        <v>87</v>
      </c>
      <c r="T477">
        <v>0</v>
      </c>
      <c r="U477">
        <v>0.25</v>
      </c>
      <c r="V477" s="2">
        <v>1.0416666666666666E-2</v>
      </c>
      <c r="W477">
        <v>0</v>
      </c>
      <c r="AA477" t="s">
        <v>88</v>
      </c>
      <c r="AB477" t="s">
        <v>100</v>
      </c>
      <c r="AC477" t="s">
        <v>84</v>
      </c>
      <c r="AD477" t="s">
        <v>90</v>
      </c>
    </row>
    <row r="478" spans="1:30" hidden="1">
      <c r="A478" s="1">
        <v>45524</v>
      </c>
      <c r="B478" t="s">
        <v>10</v>
      </c>
      <c r="C478" t="s">
        <v>92</v>
      </c>
      <c r="D478" t="s">
        <v>76</v>
      </c>
      <c r="E478" t="s">
        <v>91</v>
      </c>
      <c r="F478" t="s">
        <v>78</v>
      </c>
      <c r="G478" t="s">
        <v>79</v>
      </c>
      <c r="H478" t="s">
        <v>80</v>
      </c>
      <c r="I478" t="s">
        <v>81</v>
      </c>
      <c r="J478" t="s">
        <v>82</v>
      </c>
      <c r="K478" t="s">
        <v>76</v>
      </c>
      <c r="L478" t="s">
        <v>8</v>
      </c>
      <c r="M478" t="s">
        <v>83</v>
      </c>
      <c r="N478" t="s">
        <v>93</v>
      </c>
      <c r="O478" t="s">
        <v>85</v>
      </c>
      <c r="P478">
        <v>287325</v>
      </c>
      <c r="Q478" t="s">
        <v>5</v>
      </c>
      <c r="R478" t="s">
        <v>86</v>
      </c>
      <c r="S478" t="s">
        <v>87</v>
      </c>
      <c r="T478">
        <v>0</v>
      </c>
      <c r="U478">
        <v>1</v>
      </c>
      <c r="V478" s="2">
        <v>4.1666666666666664E-2</v>
      </c>
      <c r="W478">
        <v>0</v>
      </c>
      <c r="AA478" t="s">
        <v>88</v>
      </c>
      <c r="AB478" t="s">
        <v>100</v>
      </c>
      <c r="AC478" t="s">
        <v>273</v>
      </c>
      <c r="AD478" t="s">
        <v>90</v>
      </c>
    </row>
    <row r="479" spans="1:30" hidden="1">
      <c r="A479" s="1">
        <v>45524</v>
      </c>
      <c r="B479" t="s">
        <v>14</v>
      </c>
      <c r="C479" t="s">
        <v>75</v>
      </c>
      <c r="D479" t="s">
        <v>76</v>
      </c>
      <c r="E479" t="s">
        <v>77</v>
      </c>
      <c r="F479" t="s">
        <v>78</v>
      </c>
      <c r="G479" t="s">
        <v>79</v>
      </c>
      <c r="H479" t="s">
        <v>80</v>
      </c>
      <c r="I479" t="s">
        <v>81</v>
      </c>
      <c r="J479" t="s">
        <v>82</v>
      </c>
      <c r="K479" t="s">
        <v>76</v>
      </c>
      <c r="L479" t="s">
        <v>8</v>
      </c>
      <c r="M479" t="s">
        <v>83</v>
      </c>
      <c r="N479" t="s">
        <v>84</v>
      </c>
      <c r="O479" t="s">
        <v>85</v>
      </c>
      <c r="P479">
        <v>287182</v>
      </c>
      <c r="Q479" t="s">
        <v>5</v>
      </c>
      <c r="R479" t="s">
        <v>86</v>
      </c>
      <c r="S479" t="s">
        <v>87</v>
      </c>
      <c r="T479">
        <v>0</v>
      </c>
      <c r="U479">
        <v>0.75</v>
      </c>
      <c r="V479" s="2">
        <v>3.125E-2</v>
      </c>
      <c r="W479">
        <v>0</v>
      </c>
      <c r="AA479" t="s">
        <v>88</v>
      </c>
      <c r="AB479" t="s">
        <v>100</v>
      </c>
      <c r="AC479" t="s">
        <v>274</v>
      </c>
      <c r="AD479" t="s">
        <v>90</v>
      </c>
    </row>
    <row r="480" spans="1:30" hidden="1">
      <c r="A480" s="1">
        <v>45524</v>
      </c>
      <c r="B480" t="s">
        <v>12</v>
      </c>
      <c r="C480" t="s">
        <v>75</v>
      </c>
      <c r="D480" t="s">
        <v>76</v>
      </c>
      <c r="E480" t="s">
        <v>91</v>
      </c>
      <c r="F480" t="s">
        <v>78</v>
      </c>
      <c r="G480" t="s">
        <v>79</v>
      </c>
      <c r="H480" t="s">
        <v>80</v>
      </c>
      <c r="I480" t="s">
        <v>81</v>
      </c>
      <c r="J480" t="s">
        <v>82</v>
      </c>
      <c r="K480" t="s">
        <v>76</v>
      </c>
      <c r="L480" t="s">
        <v>8</v>
      </c>
      <c r="M480" t="s">
        <v>83</v>
      </c>
      <c r="N480" t="s">
        <v>84</v>
      </c>
      <c r="O480" t="s">
        <v>85</v>
      </c>
      <c r="P480">
        <v>286862</v>
      </c>
      <c r="Q480" t="s">
        <v>4</v>
      </c>
      <c r="R480" t="s">
        <v>94</v>
      </c>
      <c r="S480" t="s">
        <v>87</v>
      </c>
      <c r="T480">
        <v>90</v>
      </c>
      <c r="U480">
        <v>0.5</v>
      </c>
      <c r="V480" s="2">
        <v>2.0833333333333332E-2</v>
      </c>
      <c r="W480">
        <v>45</v>
      </c>
      <c r="X480">
        <v>60</v>
      </c>
      <c r="Y480">
        <v>15</v>
      </c>
      <c r="Z480" t="s">
        <v>251</v>
      </c>
      <c r="AA480" t="s">
        <v>88</v>
      </c>
      <c r="AB480" t="s">
        <v>100</v>
      </c>
      <c r="AC480" t="s">
        <v>84</v>
      </c>
      <c r="AD480" t="s">
        <v>90</v>
      </c>
    </row>
    <row r="481" spans="1:30" hidden="1">
      <c r="A481" s="1">
        <v>45524</v>
      </c>
      <c r="B481" t="s">
        <v>254</v>
      </c>
      <c r="C481" t="s">
        <v>75</v>
      </c>
      <c r="D481" t="s">
        <v>76</v>
      </c>
      <c r="E481" t="s">
        <v>77</v>
      </c>
      <c r="F481" t="s">
        <v>78</v>
      </c>
      <c r="G481" t="s">
        <v>79</v>
      </c>
      <c r="H481" t="s">
        <v>80</v>
      </c>
      <c r="I481" t="s">
        <v>81</v>
      </c>
      <c r="J481" t="s">
        <v>82</v>
      </c>
      <c r="K481" t="s">
        <v>76</v>
      </c>
      <c r="L481" t="s">
        <v>8</v>
      </c>
      <c r="M481" t="s">
        <v>83</v>
      </c>
      <c r="N481" t="s">
        <v>84</v>
      </c>
      <c r="O481" t="s">
        <v>85</v>
      </c>
      <c r="P481">
        <v>286905</v>
      </c>
      <c r="Q481" t="s">
        <v>5</v>
      </c>
      <c r="R481" t="s">
        <v>86</v>
      </c>
      <c r="S481" t="s">
        <v>87</v>
      </c>
      <c r="T481">
        <v>0</v>
      </c>
      <c r="U481">
        <v>0.5</v>
      </c>
      <c r="V481" s="2">
        <v>2.0833333333333332E-2</v>
      </c>
      <c r="W481">
        <v>0</v>
      </c>
      <c r="AA481" t="s">
        <v>88</v>
      </c>
      <c r="AB481" t="s">
        <v>100</v>
      </c>
      <c r="AC481" t="s">
        <v>84</v>
      </c>
      <c r="AD481" t="s">
        <v>90</v>
      </c>
    </row>
    <row r="482" spans="1:30" hidden="1">
      <c r="A482" s="1">
        <v>45524</v>
      </c>
      <c r="B482" t="s">
        <v>8</v>
      </c>
      <c r="C482" t="s">
        <v>75</v>
      </c>
      <c r="D482" t="s">
        <v>76</v>
      </c>
      <c r="E482" t="s">
        <v>91</v>
      </c>
      <c r="F482" t="s">
        <v>78</v>
      </c>
      <c r="G482" t="s">
        <v>79</v>
      </c>
      <c r="H482" t="s">
        <v>80</v>
      </c>
      <c r="I482" t="s">
        <v>81</v>
      </c>
      <c r="J482" t="s">
        <v>82</v>
      </c>
      <c r="K482" t="s">
        <v>76</v>
      </c>
      <c r="L482" t="s">
        <v>8</v>
      </c>
      <c r="M482" t="s">
        <v>83</v>
      </c>
      <c r="N482" t="s">
        <v>84</v>
      </c>
      <c r="O482" t="s">
        <v>85</v>
      </c>
      <c r="P482">
        <v>287103</v>
      </c>
      <c r="Q482" t="s">
        <v>5</v>
      </c>
      <c r="R482" t="s">
        <v>86</v>
      </c>
      <c r="S482" t="s">
        <v>87</v>
      </c>
      <c r="T482">
        <v>0</v>
      </c>
      <c r="U482">
        <v>0.5</v>
      </c>
      <c r="V482" s="2">
        <v>2.0833333333333332E-2</v>
      </c>
      <c r="W482">
        <v>0</v>
      </c>
      <c r="AA482" t="s">
        <v>88</v>
      </c>
      <c r="AB482" t="s">
        <v>100</v>
      </c>
      <c r="AC482" t="s">
        <v>84</v>
      </c>
      <c r="AD482" t="s">
        <v>90</v>
      </c>
    </row>
    <row r="483" spans="1:30" hidden="1">
      <c r="A483" s="1">
        <v>45524</v>
      </c>
      <c r="B483" t="s">
        <v>108</v>
      </c>
      <c r="C483" t="s">
        <v>75</v>
      </c>
      <c r="D483" t="s">
        <v>76</v>
      </c>
      <c r="E483" t="s">
        <v>91</v>
      </c>
      <c r="F483" t="s">
        <v>78</v>
      </c>
      <c r="G483" t="s">
        <v>79</v>
      </c>
      <c r="H483" t="s">
        <v>80</v>
      </c>
      <c r="I483" t="s">
        <v>81</v>
      </c>
      <c r="J483" t="s">
        <v>82</v>
      </c>
      <c r="K483" t="s">
        <v>76</v>
      </c>
      <c r="L483" t="s">
        <v>8</v>
      </c>
      <c r="M483" t="s">
        <v>83</v>
      </c>
      <c r="N483" t="s">
        <v>93</v>
      </c>
      <c r="O483" t="s">
        <v>85</v>
      </c>
      <c r="P483">
        <v>288309</v>
      </c>
      <c r="Q483" t="s">
        <v>5</v>
      </c>
      <c r="R483" t="s">
        <v>86</v>
      </c>
      <c r="S483" t="s">
        <v>87</v>
      </c>
      <c r="T483">
        <v>0</v>
      </c>
      <c r="U483">
        <v>0.25</v>
      </c>
      <c r="V483" s="2">
        <v>1.0416666666666666E-2</v>
      </c>
      <c r="W483">
        <v>0</v>
      </c>
      <c r="AA483" t="s">
        <v>88</v>
      </c>
      <c r="AB483" t="s">
        <v>100</v>
      </c>
      <c r="AC483" t="s">
        <v>84</v>
      </c>
      <c r="AD483" t="s">
        <v>90</v>
      </c>
    </row>
    <row r="484" spans="1:30" hidden="1">
      <c r="A484" s="1">
        <v>45525</v>
      </c>
      <c r="B484" t="s">
        <v>10</v>
      </c>
      <c r="C484" t="s">
        <v>92</v>
      </c>
      <c r="D484" t="s">
        <v>76</v>
      </c>
      <c r="E484" t="s">
        <v>91</v>
      </c>
      <c r="F484" t="s">
        <v>78</v>
      </c>
      <c r="G484" t="s">
        <v>79</v>
      </c>
      <c r="H484" t="s">
        <v>80</v>
      </c>
      <c r="I484" t="s">
        <v>81</v>
      </c>
      <c r="J484" t="s">
        <v>82</v>
      </c>
      <c r="K484" t="s">
        <v>76</v>
      </c>
      <c r="L484" t="s">
        <v>8</v>
      </c>
      <c r="M484" t="s">
        <v>83</v>
      </c>
      <c r="N484" t="s">
        <v>93</v>
      </c>
      <c r="O484" t="s">
        <v>85</v>
      </c>
      <c r="P484">
        <v>288296</v>
      </c>
      <c r="Q484" t="s">
        <v>5</v>
      </c>
      <c r="R484" t="s">
        <v>86</v>
      </c>
      <c r="S484" t="s">
        <v>87</v>
      </c>
      <c r="T484">
        <v>0</v>
      </c>
      <c r="U484">
        <v>3</v>
      </c>
      <c r="V484" s="2">
        <v>0.125</v>
      </c>
      <c r="W484">
        <v>0</v>
      </c>
      <c r="AA484" t="s">
        <v>88</v>
      </c>
      <c r="AB484" t="s">
        <v>100</v>
      </c>
      <c r="AC484" t="s">
        <v>275</v>
      </c>
      <c r="AD484" t="s">
        <v>90</v>
      </c>
    </row>
    <row r="485" spans="1:30" hidden="1">
      <c r="A485" s="1">
        <v>45525</v>
      </c>
      <c r="B485" t="s">
        <v>211</v>
      </c>
      <c r="C485" t="s">
        <v>75</v>
      </c>
      <c r="D485" t="s">
        <v>76</v>
      </c>
      <c r="E485" t="s">
        <v>91</v>
      </c>
      <c r="F485" t="s">
        <v>78</v>
      </c>
      <c r="G485" t="s">
        <v>79</v>
      </c>
      <c r="H485" t="s">
        <v>80</v>
      </c>
      <c r="I485" t="s">
        <v>81</v>
      </c>
      <c r="J485" t="s">
        <v>82</v>
      </c>
      <c r="K485" t="s">
        <v>76</v>
      </c>
      <c r="L485" t="s">
        <v>8</v>
      </c>
      <c r="M485" t="s">
        <v>83</v>
      </c>
      <c r="N485" t="s">
        <v>93</v>
      </c>
      <c r="O485" t="s">
        <v>85</v>
      </c>
      <c r="P485">
        <v>287682</v>
      </c>
      <c r="Q485" t="s">
        <v>5</v>
      </c>
      <c r="R485" t="s">
        <v>86</v>
      </c>
      <c r="S485" t="s">
        <v>87</v>
      </c>
      <c r="T485">
        <v>0</v>
      </c>
      <c r="U485">
        <v>0.25</v>
      </c>
      <c r="V485" s="2">
        <v>1.0416666666666666E-2</v>
      </c>
      <c r="W485">
        <v>0</v>
      </c>
      <c r="AA485" t="s">
        <v>88</v>
      </c>
      <c r="AB485" t="s">
        <v>100</v>
      </c>
      <c r="AC485" t="s">
        <v>84</v>
      </c>
      <c r="AD485" t="s">
        <v>90</v>
      </c>
    </row>
    <row r="486" spans="1:30" hidden="1">
      <c r="A486" s="1">
        <v>45525</v>
      </c>
      <c r="B486" t="s">
        <v>12</v>
      </c>
      <c r="C486" t="s">
        <v>75</v>
      </c>
      <c r="D486" t="s">
        <v>76</v>
      </c>
      <c r="E486" t="s">
        <v>91</v>
      </c>
      <c r="F486" t="s">
        <v>78</v>
      </c>
      <c r="G486" t="s">
        <v>79</v>
      </c>
      <c r="H486" t="s">
        <v>80</v>
      </c>
      <c r="I486" t="s">
        <v>81</v>
      </c>
      <c r="J486" t="s">
        <v>82</v>
      </c>
      <c r="K486" t="s">
        <v>76</v>
      </c>
      <c r="L486" t="s">
        <v>8</v>
      </c>
      <c r="M486" t="s">
        <v>83</v>
      </c>
      <c r="N486" t="s">
        <v>84</v>
      </c>
      <c r="O486" t="s">
        <v>85</v>
      </c>
      <c r="P486">
        <v>287940</v>
      </c>
      <c r="Q486" t="s">
        <v>4</v>
      </c>
      <c r="R486" t="s">
        <v>94</v>
      </c>
      <c r="S486" t="s">
        <v>87</v>
      </c>
      <c r="T486">
        <v>90</v>
      </c>
      <c r="U486">
        <v>0.25</v>
      </c>
      <c r="V486" s="2">
        <v>1.0416666666666666E-2</v>
      </c>
      <c r="W486">
        <v>22.5</v>
      </c>
      <c r="X486">
        <v>30</v>
      </c>
      <c r="Y486">
        <v>7.5</v>
      </c>
      <c r="Z486" t="s">
        <v>251</v>
      </c>
      <c r="AA486" t="s">
        <v>88</v>
      </c>
      <c r="AB486" t="s">
        <v>100</v>
      </c>
      <c r="AC486" t="s">
        <v>84</v>
      </c>
      <c r="AD486" t="s">
        <v>90</v>
      </c>
    </row>
    <row r="487" spans="1:30" hidden="1">
      <c r="A487" s="1">
        <v>45525</v>
      </c>
      <c r="B487" t="s">
        <v>254</v>
      </c>
      <c r="C487" t="s">
        <v>75</v>
      </c>
      <c r="D487" t="s">
        <v>76</v>
      </c>
      <c r="E487" t="s">
        <v>77</v>
      </c>
      <c r="F487" t="s">
        <v>78</v>
      </c>
      <c r="G487" t="s">
        <v>79</v>
      </c>
      <c r="H487" t="s">
        <v>80</v>
      </c>
      <c r="I487" t="s">
        <v>81</v>
      </c>
      <c r="J487" t="s">
        <v>82</v>
      </c>
      <c r="K487" t="s">
        <v>76</v>
      </c>
      <c r="L487" t="s">
        <v>8</v>
      </c>
      <c r="M487" t="s">
        <v>83</v>
      </c>
      <c r="N487" t="s">
        <v>84</v>
      </c>
      <c r="O487" t="s">
        <v>85</v>
      </c>
      <c r="P487">
        <v>288073</v>
      </c>
      <c r="Q487" t="s">
        <v>5</v>
      </c>
      <c r="R487" t="s">
        <v>86</v>
      </c>
      <c r="S487" t="s">
        <v>87</v>
      </c>
      <c r="T487">
        <v>0</v>
      </c>
      <c r="U487">
        <v>0.25</v>
      </c>
      <c r="V487" s="2">
        <v>1.0416666666666666E-2</v>
      </c>
      <c r="W487">
        <v>0</v>
      </c>
      <c r="AA487" t="s">
        <v>88</v>
      </c>
      <c r="AB487" t="s">
        <v>100</v>
      </c>
      <c r="AC487" t="s">
        <v>84</v>
      </c>
      <c r="AD487" t="s">
        <v>90</v>
      </c>
    </row>
    <row r="488" spans="1:30" hidden="1">
      <c r="A488" s="1">
        <v>45525</v>
      </c>
      <c r="B488" t="s">
        <v>8</v>
      </c>
      <c r="C488" t="s">
        <v>75</v>
      </c>
      <c r="D488" t="s">
        <v>76</v>
      </c>
      <c r="E488" t="s">
        <v>91</v>
      </c>
      <c r="F488" t="s">
        <v>78</v>
      </c>
      <c r="G488" t="s">
        <v>79</v>
      </c>
      <c r="H488" t="s">
        <v>80</v>
      </c>
      <c r="I488" t="s">
        <v>81</v>
      </c>
      <c r="J488" t="s">
        <v>82</v>
      </c>
      <c r="K488" t="s">
        <v>76</v>
      </c>
      <c r="L488" t="s">
        <v>8</v>
      </c>
      <c r="M488" t="s">
        <v>83</v>
      </c>
      <c r="N488" t="s">
        <v>84</v>
      </c>
      <c r="O488" t="s">
        <v>85</v>
      </c>
      <c r="P488">
        <v>287600</v>
      </c>
      <c r="Q488" t="s">
        <v>5</v>
      </c>
      <c r="R488" t="s">
        <v>86</v>
      </c>
      <c r="S488" t="s">
        <v>87</v>
      </c>
      <c r="T488">
        <v>0</v>
      </c>
      <c r="U488">
        <v>0.5</v>
      </c>
      <c r="V488" s="2">
        <v>2.0833333333333332E-2</v>
      </c>
      <c r="W488">
        <v>0</v>
      </c>
      <c r="AA488" t="s">
        <v>88</v>
      </c>
      <c r="AB488" t="s">
        <v>100</v>
      </c>
      <c r="AC488" t="s">
        <v>84</v>
      </c>
      <c r="AD488" t="s">
        <v>90</v>
      </c>
    </row>
    <row r="489" spans="1:30" hidden="1">
      <c r="A489" s="1">
        <v>45525</v>
      </c>
      <c r="B489" t="s">
        <v>108</v>
      </c>
      <c r="C489" t="s">
        <v>75</v>
      </c>
      <c r="D489" t="s">
        <v>76</v>
      </c>
      <c r="E489" t="s">
        <v>91</v>
      </c>
      <c r="F489" t="s">
        <v>78</v>
      </c>
      <c r="G489" t="s">
        <v>79</v>
      </c>
      <c r="H489" t="s">
        <v>80</v>
      </c>
      <c r="I489" t="s">
        <v>81</v>
      </c>
      <c r="J489" t="s">
        <v>82</v>
      </c>
      <c r="K489" t="s">
        <v>76</v>
      </c>
      <c r="L489" t="s">
        <v>8</v>
      </c>
      <c r="M489" t="s">
        <v>83</v>
      </c>
      <c r="N489" t="s">
        <v>93</v>
      </c>
      <c r="O489" t="s">
        <v>85</v>
      </c>
      <c r="P489">
        <v>288310</v>
      </c>
      <c r="Q489" t="s">
        <v>5</v>
      </c>
      <c r="R489" t="s">
        <v>86</v>
      </c>
      <c r="S489" t="s">
        <v>87</v>
      </c>
      <c r="T489">
        <v>0</v>
      </c>
      <c r="U489">
        <v>0.25</v>
      </c>
      <c r="V489" s="2">
        <v>1.0416666666666666E-2</v>
      </c>
      <c r="W489">
        <v>0</v>
      </c>
      <c r="AA489" t="s">
        <v>88</v>
      </c>
      <c r="AB489" t="s">
        <v>100</v>
      </c>
      <c r="AC489" t="s">
        <v>84</v>
      </c>
      <c r="AD489" t="s">
        <v>90</v>
      </c>
    </row>
    <row r="490" spans="1:30" hidden="1">
      <c r="A490" s="1">
        <v>45526</v>
      </c>
      <c r="B490" t="s">
        <v>14</v>
      </c>
      <c r="C490" t="s">
        <v>75</v>
      </c>
      <c r="D490" t="s">
        <v>76</v>
      </c>
      <c r="E490" t="s">
        <v>77</v>
      </c>
      <c r="F490" t="s">
        <v>78</v>
      </c>
      <c r="G490" t="s">
        <v>79</v>
      </c>
      <c r="H490" t="s">
        <v>80</v>
      </c>
      <c r="I490" t="s">
        <v>81</v>
      </c>
      <c r="J490" t="s">
        <v>82</v>
      </c>
      <c r="K490" t="s">
        <v>76</v>
      </c>
      <c r="L490" t="s">
        <v>8</v>
      </c>
      <c r="M490" t="s">
        <v>83</v>
      </c>
      <c r="N490" t="s">
        <v>84</v>
      </c>
      <c r="O490" t="s">
        <v>85</v>
      </c>
      <c r="P490">
        <v>288887</v>
      </c>
      <c r="Q490" t="s">
        <v>5</v>
      </c>
      <c r="R490" t="s">
        <v>86</v>
      </c>
      <c r="S490" t="s">
        <v>87</v>
      </c>
      <c r="T490">
        <v>0</v>
      </c>
      <c r="U490">
        <v>0.25</v>
      </c>
      <c r="V490" s="2">
        <v>1.0416666666666666E-2</v>
      </c>
      <c r="W490">
        <v>0</v>
      </c>
      <c r="AA490" t="s">
        <v>88</v>
      </c>
      <c r="AB490" t="s">
        <v>100</v>
      </c>
      <c r="AC490" t="s">
        <v>166</v>
      </c>
      <c r="AD490" t="s">
        <v>90</v>
      </c>
    </row>
    <row r="491" spans="1:30" hidden="1">
      <c r="A491" s="1">
        <v>45526</v>
      </c>
      <c r="B491" t="s">
        <v>211</v>
      </c>
      <c r="C491" t="s">
        <v>75</v>
      </c>
      <c r="D491" t="s">
        <v>76</v>
      </c>
      <c r="E491" t="s">
        <v>91</v>
      </c>
      <c r="F491" t="s">
        <v>78</v>
      </c>
      <c r="G491" t="s">
        <v>79</v>
      </c>
      <c r="H491" t="s">
        <v>80</v>
      </c>
      <c r="I491" t="s">
        <v>81</v>
      </c>
      <c r="J491" t="s">
        <v>82</v>
      </c>
      <c r="K491" t="s">
        <v>76</v>
      </c>
      <c r="L491" t="s">
        <v>8</v>
      </c>
      <c r="M491" t="s">
        <v>83</v>
      </c>
      <c r="N491" t="s">
        <v>93</v>
      </c>
      <c r="O491" t="s">
        <v>85</v>
      </c>
      <c r="P491">
        <v>287820</v>
      </c>
      <c r="Q491" t="s">
        <v>5</v>
      </c>
      <c r="R491" t="s">
        <v>86</v>
      </c>
      <c r="S491" t="s">
        <v>87</v>
      </c>
      <c r="T491">
        <v>0</v>
      </c>
      <c r="U491">
        <v>1</v>
      </c>
      <c r="V491" s="2">
        <v>4.1666666666666664E-2</v>
      </c>
      <c r="W491">
        <v>0</v>
      </c>
      <c r="AA491" t="s">
        <v>88</v>
      </c>
      <c r="AB491" t="s">
        <v>100</v>
      </c>
      <c r="AC491" t="s">
        <v>84</v>
      </c>
      <c r="AD491" t="s">
        <v>90</v>
      </c>
    </row>
    <row r="492" spans="1:30" hidden="1">
      <c r="A492" s="1">
        <v>45526</v>
      </c>
      <c r="B492" t="s">
        <v>12</v>
      </c>
      <c r="C492" t="s">
        <v>75</v>
      </c>
      <c r="D492" t="s">
        <v>76</v>
      </c>
      <c r="E492" t="s">
        <v>91</v>
      </c>
      <c r="F492" t="s">
        <v>78</v>
      </c>
      <c r="G492" t="s">
        <v>79</v>
      </c>
      <c r="H492" t="s">
        <v>80</v>
      </c>
      <c r="I492" t="s">
        <v>81</v>
      </c>
      <c r="J492" t="s">
        <v>82</v>
      </c>
      <c r="K492" t="s">
        <v>76</v>
      </c>
      <c r="L492" t="s">
        <v>8</v>
      </c>
      <c r="M492" t="s">
        <v>83</v>
      </c>
      <c r="N492" t="s">
        <v>84</v>
      </c>
      <c r="O492" t="s">
        <v>85</v>
      </c>
      <c r="P492">
        <v>288584</v>
      </c>
      <c r="Q492" t="s">
        <v>4</v>
      </c>
      <c r="R492" t="s">
        <v>94</v>
      </c>
      <c r="S492" t="s">
        <v>87</v>
      </c>
      <c r="T492">
        <v>90</v>
      </c>
      <c r="U492">
        <v>0.25</v>
      </c>
      <c r="V492" s="2">
        <v>1.0416666666666666E-2</v>
      </c>
      <c r="W492">
        <v>22.5</v>
      </c>
      <c r="X492">
        <v>30</v>
      </c>
      <c r="Y492">
        <v>7.5</v>
      </c>
      <c r="Z492" t="s">
        <v>251</v>
      </c>
      <c r="AA492" t="s">
        <v>88</v>
      </c>
      <c r="AB492" t="s">
        <v>100</v>
      </c>
      <c r="AC492" t="s">
        <v>84</v>
      </c>
      <c r="AD492" t="s">
        <v>90</v>
      </c>
    </row>
    <row r="493" spans="1:30" hidden="1">
      <c r="A493" s="1">
        <v>45526</v>
      </c>
      <c r="B493" t="s">
        <v>254</v>
      </c>
      <c r="C493" t="s">
        <v>75</v>
      </c>
      <c r="D493" t="s">
        <v>76</v>
      </c>
      <c r="E493" t="s">
        <v>77</v>
      </c>
      <c r="F493" t="s">
        <v>78</v>
      </c>
      <c r="G493" t="s">
        <v>79</v>
      </c>
      <c r="H493" t="s">
        <v>80</v>
      </c>
      <c r="I493" t="s">
        <v>81</v>
      </c>
      <c r="J493" t="s">
        <v>82</v>
      </c>
      <c r="K493" t="s">
        <v>76</v>
      </c>
      <c r="L493" t="s">
        <v>8</v>
      </c>
      <c r="M493" t="s">
        <v>83</v>
      </c>
      <c r="N493" t="s">
        <v>84</v>
      </c>
      <c r="O493" t="s">
        <v>85</v>
      </c>
      <c r="P493">
        <v>288076</v>
      </c>
      <c r="Q493" t="s">
        <v>5</v>
      </c>
      <c r="R493" t="s">
        <v>86</v>
      </c>
      <c r="S493" t="s">
        <v>87</v>
      </c>
      <c r="T493">
        <v>0</v>
      </c>
      <c r="U493">
        <v>0.75</v>
      </c>
      <c r="V493" s="2">
        <v>3.125E-2</v>
      </c>
      <c r="W493">
        <v>0</v>
      </c>
      <c r="AA493" t="s">
        <v>88</v>
      </c>
      <c r="AB493" t="s">
        <v>100</v>
      </c>
      <c r="AC493" t="s">
        <v>84</v>
      </c>
      <c r="AD493" t="s">
        <v>90</v>
      </c>
    </row>
    <row r="494" spans="1:30" hidden="1">
      <c r="A494" s="1">
        <v>45526</v>
      </c>
      <c r="B494" t="s">
        <v>8</v>
      </c>
      <c r="C494" t="s">
        <v>75</v>
      </c>
      <c r="D494" t="s">
        <v>76</v>
      </c>
      <c r="E494" t="s">
        <v>91</v>
      </c>
      <c r="F494" t="s">
        <v>78</v>
      </c>
      <c r="G494" t="s">
        <v>79</v>
      </c>
      <c r="H494" t="s">
        <v>80</v>
      </c>
      <c r="I494" t="s">
        <v>81</v>
      </c>
      <c r="J494" t="s">
        <v>82</v>
      </c>
      <c r="K494" t="s">
        <v>76</v>
      </c>
      <c r="L494" t="s">
        <v>8</v>
      </c>
      <c r="M494" t="s">
        <v>83</v>
      </c>
      <c r="N494" t="s">
        <v>84</v>
      </c>
      <c r="O494" t="s">
        <v>85</v>
      </c>
      <c r="P494">
        <v>288129</v>
      </c>
      <c r="Q494" t="s">
        <v>5</v>
      </c>
      <c r="R494" t="s">
        <v>86</v>
      </c>
      <c r="S494" t="s">
        <v>87</v>
      </c>
      <c r="T494">
        <v>0</v>
      </c>
      <c r="U494">
        <v>0.25</v>
      </c>
      <c r="V494" s="2">
        <v>1.0416666666666666E-2</v>
      </c>
      <c r="W494">
        <v>0</v>
      </c>
      <c r="AA494" t="s">
        <v>88</v>
      </c>
      <c r="AB494" t="s">
        <v>100</v>
      </c>
      <c r="AC494" t="s">
        <v>84</v>
      </c>
      <c r="AD494" t="s">
        <v>90</v>
      </c>
    </row>
    <row r="495" spans="1:30" hidden="1">
      <c r="A495" s="1">
        <v>45526</v>
      </c>
      <c r="B495" t="s">
        <v>108</v>
      </c>
      <c r="C495" t="s">
        <v>75</v>
      </c>
      <c r="D495" t="s">
        <v>76</v>
      </c>
      <c r="E495" t="s">
        <v>91</v>
      </c>
      <c r="F495" t="s">
        <v>78</v>
      </c>
      <c r="G495" t="s">
        <v>79</v>
      </c>
      <c r="H495" t="s">
        <v>80</v>
      </c>
      <c r="I495" t="s">
        <v>81</v>
      </c>
      <c r="J495" t="s">
        <v>82</v>
      </c>
      <c r="K495" t="s">
        <v>76</v>
      </c>
      <c r="L495" t="s">
        <v>8</v>
      </c>
      <c r="M495" t="s">
        <v>83</v>
      </c>
      <c r="N495" t="s">
        <v>93</v>
      </c>
      <c r="O495" t="s">
        <v>85</v>
      </c>
      <c r="P495">
        <v>288311</v>
      </c>
      <c r="Q495" t="s">
        <v>5</v>
      </c>
      <c r="R495" t="s">
        <v>86</v>
      </c>
      <c r="S495" t="s">
        <v>87</v>
      </c>
      <c r="T495">
        <v>0</v>
      </c>
      <c r="U495">
        <v>0.25</v>
      </c>
      <c r="V495" s="2">
        <v>1.0416666666666666E-2</v>
      </c>
      <c r="W495">
        <v>0</v>
      </c>
      <c r="AA495" t="s">
        <v>88</v>
      </c>
      <c r="AB495" t="s">
        <v>100</v>
      </c>
      <c r="AC495" t="s">
        <v>84</v>
      </c>
      <c r="AD495" t="s">
        <v>90</v>
      </c>
    </row>
    <row r="496" spans="1:30" hidden="1">
      <c r="A496" s="1">
        <v>45527</v>
      </c>
      <c r="B496" t="s">
        <v>211</v>
      </c>
      <c r="C496" t="s">
        <v>75</v>
      </c>
      <c r="D496" t="s">
        <v>76</v>
      </c>
      <c r="E496" t="s">
        <v>91</v>
      </c>
      <c r="F496" t="s">
        <v>78</v>
      </c>
      <c r="G496" t="s">
        <v>79</v>
      </c>
      <c r="H496" t="s">
        <v>80</v>
      </c>
      <c r="I496" t="s">
        <v>81</v>
      </c>
      <c r="J496" t="s">
        <v>82</v>
      </c>
      <c r="K496" t="s">
        <v>76</v>
      </c>
      <c r="L496" t="s">
        <v>8</v>
      </c>
      <c r="M496" t="s">
        <v>83</v>
      </c>
      <c r="N496" t="s">
        <v>93</v>
      </c>
      <c r="O496" t="s">
        <v>85</v>
      </c>
      <c r="P496">
        <v>288208</v>
      </c>
      <c r="Q496" t="s">
        <v>5</v>
      </c>
      <c r="R496" t="s">
        <v>86</v>
      </c>
      <c r="S496" t="s">
        <v>87</v>
      </c>
      <c r="T496">
        <v>0</v>
      </c>
      <c r="U496">
        <v>1</v>
      </c>
      <c r="V496" s="2">
        <v>4.1666666666666664E-2</v>
      </c>
      <c r="W496">
        <v>0</v>
      </c>
      <c r="AA496" t="s">
        <v>88</v>
      </c>
      <c r="AB496" t="s">
        <v>100</v>
      </c>
      <c r="AC496" t="s">
        <v>84</v>
      </c>
      <c r="AD496" t="s">
        <v>90</v>
      </c>
    </row>
    <row r="497" spans="1:30" hidden="1">
      <c r="A497" s="1">
        <v>45527</v>
      </c>
      <c r="B497" t="s">
        <v>12</v>
      </c>
      <c r="C497" t="s">
        <v>75</v>
      </c>
      <c r="D497" t="s">
        <v>76</v>
      </c>
      <c r="E497" t="s">
        <v>91</v>
      </c>
      <c r="F497" t="s">
        <v>78</v>
      </c>
      <c r="G497" t="s">
        <v>79</v>
      </c>
      <c r="H497" t="s">
        <v>80</v>
      </c>
      <c r="I497" t="s">
        <v>81</v>
      </c>
      <c r="J497" t="s">
        <v>82</v>
      </c>
      <c r="K497" t="s">
        <v>76</v>
      </c>
      <c r="L497" t="s">
        <v>8</v>
      </c>
      <c r="M497" t="s">
        <v>83</v>
      </c>
      <c r="N497" t="s">
        <v>84</v>
      </c>
      <c r="O497" t="s">
        <v>85</v>
      </c>
      <c r="P497">
        <v>288575</v>
      </c>
      <c r="Q497" t="s">
        <v>4</v>
      </c>
      <c r="R497" t="s">
        <v>94</v>
      </c>
      <c r="S497" t="s">
        <v>87</v>
      </c>
      <c r="T497">
        <v>90</v>
      </c>
      <c r="U497">
        <v>0.25</v>
      </c>
      <c r="V497" s="2">
        <v>1.0416666666666666E-2</v>
      </c>
      <c r="W497">
        <v>22.5</v>
      </c>
      <c r="X497">
        <v>30</v>
      </c>
      <c r="Y497">
        <v>7.5</v>
      </c>
      <c r="Z497" t="s">
        <v>251</v>
      </c>
      <c r="AA497" t="s">
        <v>88</v>
      </c>
      <c r="AB497" t="s">
        <v>100</v>
      </c>
      <c r="AC497" t="s">
        <v>84</v>
      </c>
      <c r="AD497" t="s">
        <v>90</v>
      </c>
    </row>
    <row r="498" spans="1:30" hidden="1">
      <c r="A498" s="1">
        <v>45527</v>
      </c>
      <c r="B498" t="s">
        <v>271</v>
      </c>
      <c r="C498" t="s">
        <v>75</v>
      </c>
      <c r="D498" t="s">
        <v>76</v>
      </c>
      <c r="E498" t="s">
        <v>91</v>
      </c>
      <c r="F498" t="s">
        <v>78</v>
      </c>
      <c r="G498" t="s">
        <v>79</v>
      </c>
      <c r="H498" t="s">
        <v>80</v>
      </c>
      <c r="I498" t="s">
        <v>81</v>
      </c>
      <c r="J498" t="s">
        <v>82</v>
      </c>
      <c r="K498" t="s">
        <v>76</v>
      </c>
      <c r="L498" t="s">
        <v>8</v>
      </c>
      <c r="M498" t="s">
        <v>83</v>
      </c>
      <c r="N498" t="s">
        <v>84</v>
      </c>
      <c r="O498" t="s">
        <v>85</v>
      </c>
      <c r="P498">
        <v>288412</v>
      </c>
      <c r="Q498" t="s">
        <v>5</v>
      </c>
      <c r="R498" t="s">
        <v>86</v>
      </c>
      <c r="S498" t="s">
        <v>87</v>
      </c>
      <c r="T498">
        <v>0</v>
      </c>
      <c r="U498">
        <v>0.25</v>
      </c>
      <c r="V498" s="2">
        <v>1.0416666666666666E-2</v>
      </c>
      <c r="W498">
        <v>0</v>
      </c>
      <c r="AA498" t="s">
        <v>88</v>
      </c>
      <c r="AB498" t="s">
        <v>100</v>
      </c>
      <c r="AC498" t="s">
        <v>84</v>
      </c>
      <c r="AD498" t="s">
        <v>90</v>
      </c>
    </row>
    <row r="499" spans="1:30" hidden="1">
      <c r="A499" s="1">
        <v>45527</v>
      </c>
      <c r="B499" t="s">
        <v>254</v>
      </c>
      <c r="C499" t="s">
        <v>75</v>
      </c>
      <c r="D499" t="s">
        <v>76</v>
      </c>
      <c r="E499" t="s">
        <v>77</v>
      </c>
      <c r="F499" t="s">
        <v>78</v>
      </c>
      <c r="G499" t="s">
        <v>79</v>
      </c>
      <c r="H499" t="s">
        <v>80</v>
      </c>
      <c r="I499" t="s">
        <v>81</v>
      </c>
      <c r="J499" t="s">
        <v>82</v>
      </c>
      <c r="K499" t="s">
        <v>76</v>
      </c>
      <c r="L499" t="s">
        <v>8</v>
      </c>
      <c r="M499" t="s">
        <v>83</v>
      </c>
      <c r="N499" t="s">
        <v>84</v>
      </c>
      <c r="O499" t="s">
        <v>85</v>
      </c>
      <c r="P499">
        <v>288661</v>
      </c>
      <c r="Q499" t="s">
        <v>5</v>
      </c>
      <c r="R499" t="s">
        <v>86</v>
      </c>
      <c r="S499" t="s">
        <v>87</v>
      </c>
      <c r="T499">
        <v>0</v>
      </c>
      <c r="U499">
        <v>1.75</v>
      </c>
      <c r="V499" s="2">
        <v>7.2916666666666671E-2</v>
      </c>
      <c r="W499">
        <v>0</v>
      </c>
      <c r="AA499" t="s">
        <v>88</v>
      </c>
      <c r="AB499" t="s">
        <v>100</v>
      </c>
      <c r="AC499" t="s">
        <v>84</v>
      </c>
      <c r="AD499" t="s">
        <v>90</v>
      </c>
    </row>
    <row r="500" spans="1:30" hidden="1">
      <c r="A500" s="1">
        <v>45527</v>
      </c>
      <c r="B500" t="s">
        <v>8</v>
      </c>
      <c r="C500" t="s">
        <v>75</v>
      </c>
      <c r="D500" t="s">
        <v>76</v>
      </c>
      <c r="E500" t="s">
        <v>91</v>
      </c>
      <c r="F500" t="s">
        <v>78</v>
      </c>
      <c r="G500" t="s">
        <v>79</v>
      </c>
      <c r="H500" t="s">
        <v>80</v>
      </c>
      <c r="I500" t="s">
        <v>81</v>
      </c>
      <c r="J500" t="s">
        <v>82</v>
      </c>
      <c r="K500" t="s">
        <v>76</v>
      </c>
      <c r="L500" t="s">
        <v>8</v>
      </c>
      <c r="M500" t="s">
        <v>83</v>
      </c>
      <c r="N500" t="s">
        <v>84</v>
      </c>
      <c r="O500" t="s">
        <v>85</v>
      </c>
      <c r="P500">
        <v>288346</v>
      </c>
      <c r="Q500" t="s">
        <v>5</v>
      </c>
      <c r="R500" t="s">
        <v>86</v>
      </c>
      <c r="S500" t="s">
        <v>87</v>
      </c>
      <c r="T500">
        <v>0</v>
      </c>
      <c r="U500">
        <v>0.5</v>
      </c>
      <c r="V500" s="2">
        <v>2.0833333333333332E-2</v>
      </c>
      <c r="W500">
        <v>0</v>
      </c>
      <c r="AA500" t="s">
        <v>88</v>
      </c>
      <c r="AB500" t="s">
        <v>100</v>
      </c>
      <c r="AC500" t="s">
        <v>84</v>
      </c>
      <c r="AD500" t="s">
        <v>90</v>
      </c>
    </row>
    <row r="501" spans="1:30" hidden="1">
      <c r="A501" s="1">
        <v>45527</v>
      </c>
      <c r="B501" t="s">
        <v>108</v>
      </c>
      <c r="C501" t="s">
        <v>75</v>
      </c>
      <c r="D501" t="s">
        <v>76</v>
      </c>
      <c r="E501" t="s">
        <v>91</v>
      </c>
      <c r="F501" t="s">
        <v>78</v>
      </c>
      <c r="G501" t="s">
        <v>79</v>
      </c>
      <c r="H501" t="s">
        <v>80</v>
      </c>
      <c r="I501" t="s">
        <v>81</v>
      </c>
      <c r="J501" t="s">
        <v>82</v>
      </c>
      <c r="K501" t="s">
        <v>76</v>
      </c>
      <c r="L501" t="s">
        <v>8</v>
      </c>
      <c r="M501" t="s">
        <v>83</v>
      </c>
      <c r="N501" t="s">
        <v>93</v>
      </c>
      <c r="O501" t="s">
        <v>85</v>
      </c>
      <c r="P501">
        <v>288354</v>
      </c>
      <c r="Q501" t="s">
        <v>5</v>
      </c>
      <c r="R501" t="s">
        <v>86</v>
      </c>
      <c r="S501" t="s">
        <v>87</v>
      </c>
      <c r="T501">
        <v>0</v>
      </c>
      <c r="U501">
        <v>0.25</v>
      </c>
      <c r="V501" s="2">
        <v>1.0416666666666666E-2</v>
      </c>
      <c r="W501">
        <v>0</v>
      </c>
      <c r="AA501" t="s">
        <v>88</v>
      </c>
      <c r="AB501" t="s">
        <v>100</v>
      </c>
      <c r="AC501" t="s">
        <v>84</v>
      </c>
      <c r="AD501" t="s">
        <v>90</v>
      </c>
    </row>
    <row r="502" spans="1:30" hidden="1">
      <c r="A502" s="1">
        <v>45530</v>
      </c>
      <c r="B502" t="s">
        <v>10</v>
      </c>
      <c r="C502" t="s">
        <v>92</v>
      </c>
      <c r="D502" t="s">
        <v>76</v>
      </c>
      <c r="E502" t="s">
        <v>91</v>
      </c>
      <c r="F502" t="s">
        <v>78</v>
      </c>
      <c r="G502" t="s">
        <v>79</v>
      </c>
      <c r="H502" t="s">
        <v>80</v>
      </c>
      <c r="I502" t="s">
        <v>81</v>
      </c>
      <c r="J502" t="s">
        <v>82</v>
      </c>
      <c r="K502" t="s">
        <v>76</v>
      </c>
      <c r="L502" t="s">
        <v>8</v>
      </c>
      <c r="M502" t="s">
        <v>83</v>
      </c>
      <c r="N502" t="s">
        <v>93</v>
      </c>
      <c r="O502" t="s">
        <v>85</v>
      </c>
      <c r="P502">
        <v>289248</v>
      </c>
      <c r="Q502" t="s">
        <v>5</v>
      </c>
      <c r="R502" t="s">
        <v>86</v>
      </c>
      <c r="S502" t="s">
        <v>87</v>
      </c>
      <c r="T502">
        <v>0</v>
      </c>
      <c r="U502">
        <v>0.5</v>
      </c>
      <c r="V502" s="2">
        <v>2.0833333333333332E-2</v>
      </c>
      <c r="W502">
        <v>0</v>
      </c>
      <c r="AA502" t="s">
        <v>88</v>
      </c>
      <c r="AB502" t="s">
        <v>100</v>
      </c>
      <c r="AC502" t="s">
        <v>276</v>
      </c>
      <c r="AD502" t="s">
        <v>90</v>
      </c>
    </row>
    <row r="503" spans="1:30" hidden="1">
      <c r="A503" s="1">
        <v>45530</v>
      </c>
      <c r="B503" t="s">
        <v>14</v>
      </c>
      <c r="C503" t="s">
        <v>75</v>
      </c>
      <c r="D503" t="s">
        <v>76</v>
      </c>
      <c r="E503" t="s">
        <v>77</v>
      </c>
      <c r="F503" t="s">
        <v>78</v>
      </c>
      <c r="G503" t="s">
        <v>79</v>
      </c>
      <c r="H503" t="s">
        <v>80</v>
      </c>
      <c r="I503" t="s">
        <v>81</v>
      </c>
      <c r="J503" t="s">
        <v>82</v>
      </c>
      <c r="K503" t="s">
        <v>76</v>
      </c>
      <c r="L503" t="s">
        <v>8</v>
      </c>
      <c r="M503" t="s">
        <v>83</v>
      </c>
      <c r="N503" t="s">
        <v>84</v>
      </c>
      <c r="O503" t="s">
        <v>85</v>
      </c>
      <c r="P503">
        <v>289001</v>
      </c>
      <c r="Q503" t="s">
        <v>5</v>
      </c>
      <c r="R503" t="s">
        <v>86</v>
      </c>
      <c r="S503" t="s">
        <v>87</v>
      </c>
      <c r="T503">
        <v>0</v>
      </c>
      <c r="U503">
        <v>0.25</v>
      </c>
      <c r="V503" s="2">
        <v>1.0416666666666666E-2</v>
      </c>
      <c r="W503">
        <v>0</v>
      </c>
      <c r="AA503" t="s">
        <v>88</v>
      </c>
      <c r="AB503" t="s">
        <v>100</v>
      </c>
      <c r="AC503" t="s">
        <v>166</v>
      </c>
      <c r="AD503" t="s">
        <v>90</v>
      </c>
    </row>
    <row r="504" spans="1:30" hidden="1">
      <c r="A504" s="1">
        <v>45530</v>
      </c>
      <c r="B504" t="s">
        <v>211</v>
      </c>
      <c r="C504" t="s">
        <v>75</v>
      </c>
      <c r="D504" t="s">
        <v>76</v>
      </c>
      <c r="E504" t="s">
        <v>91</v>
      </c>
      <c r="F504" t="s">
        <v>78</v>
      </c>
      <c r="G504" t="s">
        <v>79</v>
      </c>
      <c r="H504" t="s">
        <v>80</v>
      </c>
      <c r="I504" t="s">
        <v>81</v>
      </c>
      <c r="J504" t="s">
        <v>82</v>
      </c>
      <c r="K504" t="s">
        <v>76</v>
      </c>
      <c r="L504" t="s">
        <v>8</v>
      </c>
      <c r="M504" t="s">
        <v>83</v>
      </c>
      <c r="N504" t="s">
        <v>93</v>
      </c>
      <c r="O504" t="s">
        <v>85</v>
      </c>
      <c r="P504">
        <v>289110</v>
      </c>
      <c r="Q504" t="s">
        <v>5</v>
      </c>
      <c r="R504" t="s">
        <v>86</v>
      </c>
      <c r="S504" t="s">
        <v>87</v>
      </c>
      <c r="T504">
        <v>0</v>
      </c>
      <c r="U504">
        <v>0.25</v>
      </c>
      <c r="V504" s="2">
        <v>1.0416666666666666E-2</v>
      </c>
      <c r="W504">
        <v>0</v>
      </c>
      <c r="AA504" t="s">
        <v>88</v>
      </c>
      <c r="AB504" t="s">
        <v>100</v>
      </c>
      <c r="AC504" t="s">
        <v>84</v>
      </c>
      <c r="AD504" t="s">
        <v>90</v>
      </c>
    </row>
    <row r="505" spans="1:30" hidden="1">
      <c r="A505" s="1">
        <v>45530</v>
      </c>
      <c r="B505" t="s">
        <v>12</v>
      </c>
      <c r="C505" t="s">
        <v>75</v>
      </c>
      <c r="D505" t="s">
        <v>76</v>
      </c>
      <c r="E505" t="s">
        <v>91</v>
      </c>
      <c r="F505" t="s">
        <v>78</v>
      </c>
      <c r="G505" t="s">
        <v>79</v>
      </c>
      <c r="H505" t="s">
        <v>80</v>
      </c>
      <c r="I505" t="s">
        <v>81</v>
      </c>
      <c r="J505" t="s">
        <v>82</v>
      </c>
      <c r="K505" t="s">
        <v>76</v>
      </c>
      <c r="L505" t="s">
        <v>8</v>
      </c>
      <c r="M505" t="s">
        <v>83</v>
      </c>
      <c r="N505" t="s">
        <v>84</v>
      </c>
      <c r="O505" t="s">
        <v>85</v>
      </c>
      <c r="P505">
        <v>289170</v>
      </c>
      <c r="Q505" t="s">
        <v>5</v>
      </c>
      <c r="R505" t="s">
        <v>86</v>
      </c>
      <c r="S505" t="s">
        <v>87</v>
      </c>
      <c r="T505">
        <v>0</v>
      </c>
      <c r="U505">
        <v>0.25</v>
      </c>
      <c r="V505" s="2">
        <v>1.0416666666666666E-2</v>
      </c>
      <c r="W505">
        <v>0</v>
      </c>
      <c r="AA505" t="s">
        <v>88</v>
      </c>
      <c r="AB505" t="s">
        <v>100</v>
      </c>
      <c r="AC505" t="s">
        <v>84</v>
      </c>
      <c r="AD505" t="s">
        <v>90</v>
      </c>
    </row>
    <row r="506" spans="1:30" hidden="1">
      <c r="A506" s="1">
        <v>45530</v>
      </c>
      <c r="B506" t="s">
        <v>254</v>
      </c>
      <c r="C506" t="s">
        <v>75</v>
      </c>
      <c r="D506" t="s">
        <v>76</v>
      </c>
      <c r="E506" t="s">
        <v>77</v>
      </c>
      <c r="F506" t="s">
        <v>78</v>
      </c>
      <c r="G506" t="s">
        <v>79</v>
      </c>
      <c r="H506" t="s">
        <v>80</v>
      </c>
      <c r="I506" t="s">
        <v>81</v>
      </c>
      <c r="J506" t="s">
        <v>82</v>
      </c>
      <c r="K506" t="s">
        <v>76</v>
      </c>
      <c r="L506" t="s">
        <v>8</v>
      </c>
      <c r="M506" t="s">
        <v>83</v>
      </c>
      <c r="N506" t="s">
        <v>84</v>
      </c>
      <c r="O506" t="s">
        <v>85</v>
      </c>
      <c r="P506">
        <v>289197</v>
      </c>
      <c r="Q506" t="s">
        <v>5</v>
      </c>
      <c r="R506" t="s">
        <v>86</v>
      </c>
      <c r="S506" t="s">
        <v>87</v>
      </c>
      <c r="T506">
        <v>0</v>
      </c>
      <c r="U506">
        <v>0.5</v>
      </c>
      <c r="V506" s="2">
        <v>2.0833333333333332E-2</v>
      </c>
      <c r="W506">
        <v>0</v>
      </c>
      <c r="AA506" t="s">
        <v>88</v>
      </c>
      <c r="AB506" t="s">
        <v>100</v>
      </c>
      <c r="AC506" t="s">
        <v>84</v>
      </c>
      <c r="AD506" t="s">
        <v>90</v>
      </c>
    </row>
    <row r="507" spans="1:30" hidden="1">
      <c r="A507" s="1">
        <v>45530</v>
      </c>
      <c r="B507" t="s">
        <v>108</v>
      </c>
      <c r="C507" t="s">
        <v>75</v>
      </c>
      <c r="D507" t="s">
        <v>76</v>
      </c>
      <c r="E507" t="s">
        <v>91</v>
      </c>
      <c r="F507" t="s">
        <v>78</v>
      </c>
      <c r="G507" t="s">
        <v>79</v>
      </c>
      <c r="H507" t="s">
        <v>80</v>
      </c>
      <c r="I507" t="s">
        <v>81</v>
      </c>
      <c r="J507" t="s">
        <v>82</v>
      </c>
      <c r="K507" t="s">
        <v>76</v>
      </c>
      <c r="L507" t="s">
        <v>8</v>
      </c>
      <c r="M507" t="s">
        <v>83</v>
      </c>
      <c r="N507" t="s">
        <v>93</v>
      </c>
      <c r="O507" t="s">
        <v>85</v>
      </c>
      <c r="P507">
        <v>289297</v>
      </c>
      <c r="Q507" t="s">
        <v>5</v>
      </c>
      <c r="R507" t="s">
        <v>86</v>
      </c>
      <c r="S507" t="s">
        <v>87</v>
      </c>
      <c r="T507">
        <v>0</v>
      </c>
      <c r="U507">
        <v>0.25</v>
      </c>
      <c r="V507" s="2">
        <v>1.0416666666666666E-2</v>
      </c>
      <c r="W507">
        <v>0</v>
      </c>
      <c r="AA507" t="s">
        <v>88</v>
      </c>
      <c r="AB507" t="s">
        <v>100</v>
      </c>
      <c r="AC507" t="s">
        <v>84</v>
      </c>
      <c r="AD507" t="s">
        <v>90</v>
      </c>
    </row>
    <row r="508" spans="1:30" hidden="1">
      <c r="A508" s="1">
        <v>45531</v>
      </c>
      <c r="B508" t="s">
        <v>14</v>
      </c>
      <c r="C508" t="s">
        <v>75</v>
      </c>
      <c r="D508" t="s">
        <v>76</v>
      </c>
      <c r="E508" t="s">
        <v>77</v>
      </c>
      <c r="F508" t="s">
        <v>78</v>
      </c>
      <c r="G508" t="s">
        <v>79</v>
      </c>
      <c r="H508" t="s">
        <v>80</v>
      </c>
      <c r="I508" t="s">
        <v>81</v>
      </c>
      <c r="J508" t="s">
        <v>82</v>
      </c>
      <c r="K508" t="s">
        <v>76</v>
      </c>
      <c r="L508" t="s">
        <v>8</v>
      </c>
      <c r="M508" t="s">
        <v>83</v>
      </c>
      <c r="N508" t="s">
        <v>84</v>
      </c>
      <c r="O508" t="s">
        <v>85</v>
      </c>
      <c r="P508">
        <v>289622</v>
      </c>
      <c r="Q508" t="s">
        <v>5</v>
      </c>
      <c r="R508" t="s">
        <v>86</v>
      </c>
      <c r="S508" t="s">
        <v>87</v>
      </c>
      <c r="T508">
        <v>0</v>
      </c>
      <c r="U508">
        <v>0.25</v>
      </c>
      <c r="V508" s="2">
        <v>1.0416666666666666E-2</v>
      </c>
      <c r="W508">
        <v>0</v>
      </c>
      <c r="AA508" t="s">
        <v>88</v>
      </c>
      <c r="AB508" t="s">
        <v>100</v>
      </c>
      <c r="AC508" t="s">
        <v>166</v>
      </c>
      <c r="AD508" t="s">
        <v>90</v>
      </c>
    </row>
    <row r="509" spans="1:30" hidden="1">
      <c r="A509" s="1">
        <v>45531</v>
      </c>
      <c r="B509" t="s">
        <v>211</v>
      </c>
      <c r="C509" t="s">
        <v>75</v>
      </c>
      <c r="D509" t="s">
        <v>76</v>
      </c>
      <c r="E509" t="s">
        <v>91</v>
      </c>
      <c r="F509" t="s">
        <v>78</v>
      </c>
      <c r="G509" t="s">
        <v>79</v>
      </c>
      <c r="H509" t="s">
        <v>80</v>
      </c>
      <c r="I509" t="s">
        <v>81</v>
      </c>
      <c r="J509" t="s">
        <v>82</v>
      </c>
      <c r="K509" t="s">
        <v>76</v>
      </c>
      <c r="L509" t="s">
        <v>8</v>
      </c>
      <c r="M509" t="s">
        <v>83</v>
      </c>
      <c r="N509" t="s">
        <v>93</v>
      </c>
      <c r="O509" t="s">
        <v>85</v>
      </c>
      <c r="P509">
        <v>290226</v>
      </c>
      <c r="Q509" t="s">
        <v>5</v>
      </c>
      <c r="R509" t="s">
        <v>86</v>
      </c>
      <c r="S509" t="s">
        <v>87</v>
      </c>
      <c r="T509">
        <v>0</v>
      </c>
      <c r="U509">
        <v>0.25</v>
      </c>
      <c r="V509" s="2">
        <v>1.0416666666666666E-2</v>
      </c>
      <c r="W509">
        <v>0</v>
      </c>
      <c r="AA509" t="s">
        <v>88</v>
      </c>
      <c r="AB509" t="s">
        <v>100</v>
      </c>
      <c r="AC509" t="s">
        <v>84</v>
      </c>
      <c r="AD509" t="s">
        <v>90</v>
      </c>
    </row>
    <row r="510" spans="1:30" hidden="1">
      <c r="A510" s="1">
        <v>45531</v>
      </c>
      <c r="B510" t="s">
        <v>254</v>
      </c>
      <c r="C510" t="s">
        <v>75</v>
      </c>
      <c r="D510" t="s">
        <v>76</v>
      </c>
      <c r="E510" t="s">
        <v>77</v>
      </c>
      <c r="F510" t="s">
        <v>78</v>
      </c>
      <c r="G510" t="s">
        <v>79</v>
      </c>
      <c r="H510" t="s">
        <v>80</v>
      </c>
      <c r="I510" t="s">
        <v>81</v>
      </c>
      <c r="J510" t="s">
        <v>82</v>
      </c>
      <c r="K510" t="s">
        <v>76</v>
      </c>
      <c r="L510" t="s">
        <v>8</v>
      </c>
      <c r="M510" t="s">
        <v>83</v>
      </c>
      <c r="N510" t="s">
        <v>84</v>
      </c>
      <c r="O510" t="s">
        <v>85</v>
      </c>
      <c r="P510">
        <v>289517</v>
      </c>
      <c r="Q510" t="s">
        <v>5</v>
      </c>
      <c r="R510" t="s">
        <v>86</v>
      </c>
      <c r="S510" t="s">
        <v>87</v>
      </c>
      <c r="T510">
        <v>0</v>
      </c>
      <c r="U510">
        <v>0.25</v>
      </c>
      <c r="V510" s="2">
        <v>1.0416666666666666E-2</v>
      </c>
      <c r="W510">
        <v>0</v>
      </c>
      <c r="AA510" t="s">
        <v>88</v>
      </c>
      <c r="AB510" t="s">
        <v>100</v>
      </c>
      <c r="AC510" t="s">
        <v>84</v>
      </c>
      <c r="AD510" t="s">
        <v>90</v>
      </c>
    </row>
    <row r="511" spans="1:30" hidden="1">
      <c r="A511" s="1">
        <v>45531</v>
      </c>
      <c r="B511" t="s">
        <v>8</v>
      </c>
      <c r="C511" t="s">
        <v>75</v>
      </c>
      <c r="D511" t="s">
        <v>76</v>
      </c>
      <c r="E511" t="s">
        <v>91</v>
      </c>
      <c r="F511" t="s">
        <v>78</v>
      </c>
      <c r="G511" t="s">
        <v>79</v>
      </c>
      <c r="H511" t="s">
        <v>80</v>
      </c>
      <c r="I511" t="s">
        <v>81</v>
      </c>
      <c r="J511" t="s">
        <v>82</v>
      </c>
      <c r="K511" t="s">
        <v>76</v>
      </c>
      <c r="L511" t="s">
        <v>8</v>
      </c>
      <c r="M511" t="s">
        <v>83</v>
      </c>
      <c r="N511" t="s">
        <v>84</v>
      </c>
      <c r="O511" t="s">
        <v>85</v>
      </c>
      <c r="P511">
        <v>289797</v>
      </c>
      <c r="Q511" t="s">
        <v>5</v>
      </c>
      <c r="R511" t="s">
        <v>86</v>
      </c>
      <c r="S511" t="s">
        <v>87</v>
      </c>
      <c r="T511">
        <v>0</v>
      </c>
      <c r="U511">
        <v>1.25</v>
      </c>
      <c r="V511" s="2">
        <v>5.2083333333333336E-2</v>
      </c>
      <c r="W511">
        <v>0</v>
      </c>
      <c r="AA511" t="s">
        <v>88</v>
      </c>
      <c r="AB511" t="s">
        <v>100</v>
      </c>
      <c r="AC511" t="s">
        <v>84</v>
      </c>
      <c r="AD511" t="s">
        <v>90</v>
      </c>
    </row>
    <row r="512" spans="1:30" hidden="1">
      <c r="A512" s="1">
        <v>45531</v>
      </c>
      <c r="B512" t="s">
        <v>108</v>
      </c>
      <c r="C512" t="s">
        <v>75</v>
      </c>
      <c r="D512" t="s">
        <v>76</v>
      </c>
      <c r="E512" t="s">
        <v>91</v>
      </c>
      <c r="F512" t="s">
        <v>78</v>
      </c>
      <c r="G512" t="s">
        <v>79</v>
      </c>
      <c r="H512" t="s">
        <v>80</v>
      </c>
      <c r="I512" t="s">
        <v>81</v>
      </c>
      <c r="J512" t="s">
        <v>82</v>
      </c>
      <c r="K512" t="s">
        <v>76</v>
      </c>
      <c r="L512" t="s">
        <v>8</v>
      </c>
      <c r="M512" t="s">
        <v>83</v>
      </c>
      <c r="N512" t="s">
        <v>93</v>
      </c>
      <c r="O512" t="s">
        <v>85</v>
      </c>
      <c r="P512">
        <v>290094</v>
      </c>
      <c r="Q512" t="s">
        <v>5</v>
      </c>
      <c r="R512" t="s">
        <v>86</v>
      </c>
      <c r="S512" t="s">
        <v>87</v>
      </c>
      <c r="T512">
        <v>0</v>
      </c>
      <c r="U512">
        <v>0.25</v>
      </c>
      <c r="V512" s="2">
        <v>1.0416666666666666E-2</v>
      </c>
      <c r="W512">
        <v>0</v>
      </c>
      <c r="AA512" t="s">
        <v>88</v>
      </c>
      <c r="AB512" t="s">
        <v>100</v>
      </c>
      <c r="AC512" t="s">
        <v>84</v>
      </c>
      <c r="AD512" t="s">
        <v>90</v>
      </c>
    </row>
    <row r="513" spans="1:30" hidden="1">
      <c r="A513" s="1">
        <v>45532</v>
      </c>
      <c r="B513" t="s">
        <v>14</v>
      </c>
      <c r="C513" t="s">
        <v>75</v>
      </c>
      <c r="D513" t="s">
        <v>76</v>
      </c>
      <c r="E513" t="s">
        <v>77</v>
      </c>
      <c r="F513" t="s">
        <v>78</v>
      </c>
      <c r="G513" t="s">
        <v>79</v>
      </c>
      <c r="H513" t="s">
        <v>80</v>
      </c>
      <c r="I513" t="s">
        <v>81</v>
      </c>
      <c r="J513" t="s">
        <v>82</v>
      </c>
      <c r="K513" t="s">
        <v>76</v>
      </c>
      <c r="L513" t="s">
        <v>8</v>
      </c>
      <c r="M513" t="s">
        <v>83</v>
      </c>
      <c r="N513" t="s">
        <v>84</v>
      </c>
      <c r="O513" t="s">
        <v>85</v>
      </c>
      <c r="P513">
        <v>290165</v>
      </c>
      <c r="Q513" t="s">
        <v>5</v>
      </c>
      <c r="R513" t="s">
        <v>86</v>
      </c>
      <c r="S513" t="s">
        <v>87</v>
      </c>
      <c r="T513">
        <v>0</v>
      </c>
      <c r="U513">
        <v>0.25</v>
      </c>
      <c r="V513" s="2">
        <v>1.0416666666666666E-2</v>
      </c>
      <c r="W513">
        <v>0</v>
      </c>
      <c r="AA513" t="s">
        <v>88</v>
      </c>
      <c r="AB513" t="s">
        <v>100</v>
      </c>
      <c r="AC513" t="s">
        <v>166</v>
      </c>
      <c r="AD513" t="s">
        <v>90</v>
      </c>
    </row>
    <row r="514" spans="1:30" hidden="1">
      <c r="A514" s="1">
        <v>45532</v>
      </c>
      <c r="B514" t="s">
        <v>254</v>
      </c>
      <c r="C514" t="s">
        <v>75</v>
      </c>
      <c r="D514" t="s">
        <v>76</v>
      </c>
      <c r="E514" t="s">
        <v>77</v>
      </c>
      <c r="F514" t="s">
        <v>78</v>
      </c>
      <c r="G514" t="s">
        <v>79</v>
      </c>
      <c r="H514" t="s">
        <v>80</v>
      </c>
      <c r="I514" t="s">
        <v>81</v>
      </c>
      <c r="J514" t="s">
        <v>82</v>
      </c>
      <c r="K514" t="s">
        <v>76</v>
      </c>
      <c r="L514" t="s">
        <v>8</v>
      </c>
      <c r="M514" t="s">
        <v>83</v>
      </c>
      <c r="N514" t="s">
        <v>84</v>
      </c>
      <c r="O514" t="s">
        <v>85</v>
      </c>
      <c r="P514">
        <v>290429</v>
      </c>
      <c r="Q514" t="s">
        <v>5</v>
      </c>
      <c r="R514" t="s">
        <v>86</v>
      </c>
      <c r="S514" t="s">
        <v>87</v>
      </c>
      <c r="T514">
        <v>0</v>
      </c>
      <c r="U514">
        <v>0.25</v>
      </c>
      <c r="V514" s="2">
        <v>1.0416666666666666E-2</v>
      </c>
      <c r="W514">
        <v>0</v>
      </c>
      <c r="AA514" t="s">
        <v>88</v>
      </c>
      <c r="AB514" t="s">
        <v>100</v>
      </c>
      <c r="AC514" t="s">
        <v>84</v>
      </c>
      <c r="AD514" t="s">
        <v>90</v>
      </c>
    </row>
    <row r="515" spans="1:30" hidden="1">
      <c r="A515" s="1">
        <v>45532</v>
      </c>
      <c r="B515" t="s">
        <v>8</v>
      </c>
      <c r="C515" t="s">
        <v>75</v>
      </c>
      <c r="D515" t="s">
        <v>76</v>
      </c>
      <c r="E515" t="s">
        <v>91</v>
      </c>
      <c r="F515" t="s">
        <v>78</v>
      </c>
      <c r="G515" t="s">
        <v>79</v>
      </c>
      <c r="H515" t="s">
        <v>80</v>
      </c>
      <c r="I515" t="s">
        <v>81</v>
      </c>
      <c r="J515" t="s">
        <v>82</v>
      </c>
      <c r="K515" t="s">
        <v>76</v>
      </c>
      <c r="L515" t="s">
        <v>8</v>
      </c>
      <c r="M515" t="s">
        <v>83</v>
      </c>
      <c r="N515" t="s">
        <v>84</v>
      </c>
      <c r="O515" t="s">
        <v>85</v>
      </c>
      <c r="P515">
        <v>290497</v>
      </c>
      <c r="Q515" t="s">
        <v>5</v>
      </c>
      <c r="R515" t="s">
        <v>86</v>
      </c>
      <c r="S515" t="s">
        <v>87</v>
      </c>
      <c r="T515">
        <v>0</v>
      </c>
      <c r="U515">
        <v>1.5</v>
      </c>
      <c r="V515" s="2">
        <v>6.25E-2</v>
      </c>
      <c r="W515">
        <v>0</v>
      </c>
      <c r="AA515" t="s">
        <v>88</v>
      </c>
      <c r="AB515" t="s">
        <v>100</v>
      </c>
      <c r="AC515" t="s">
        <v>84</v>
      </c>
      <c r="AD515" t="s">
        <v>90</v>
      </c>
    </row>
    <row r="516" spans="1:30" hidden="1">
      <c r="A516" s="1">
        <v>45532</v>
      </c>
      <c r="B516" t="s">
        <v>108</v>
      </c>
      <c r="C516" t="s">
        <v>75</v>
      </c>
      <c r="D516" t="s">
        <v>76</v>
      </c>
      <c r="E516" t="s">
        <v>91</v>
      </c>
      <c r="F516" t="s">
        <v>78</v>
      </c>
      <c r="G516" t="s">
        <v>79</v>
      </c>
      <c r="H516" t="s">
        <v>80</v>
      </c>
      <c r="I516" t="s">
        <v>81</v>
      </c>
      <c r="J516" t="s">
        <v>82</v>
      </c>
      <c r="K516" t="s">
        <v>76</v>
      </c>
      <c r="L516" t="s">
        <v>8</v>
      </c>
      <c r="M516" t="s">
        <v>83</v>
      </c>
      <c r="N516" t="s">
        <v>93</v>
      </c>
      <c r="O516" t="s">
        <v>85</v>
      </c>
      <c r="P516">
        <v>290812</v>
      </c>
      <c r="Q516" t="s">
        <v>5</v>
      </c>
      <c r="R516" t="s">
        <v>86</v>
      </c>
      <c r="S516" t="s">
        <v>87</v>
      </c>
      <c r="T516">
        <v>0</v>
      </c>
      <c r="U516">
        <v>0.25</v>
      </c>
      <c r="V516" s="2">
        <v>1.0416666666666666E-2</v>
      </c>
      <c r="W516">
        <v>0</v>
      </c>
      <c r="AA516" t="s">
        <v>88</v>
      </c>
      <c r="AB516" t="s">
        <v>100</v>
      </c>
      <c r="AC516" t="s">
        <v>84</v>
      </c>
      <c r="AD516" t="s">
        <v>90</v>
      </c>
    </row>
    <row r="517" spans="1:30" hidden="1">
      <c r="A517" s="1">
        <v>45533</v>
      </c>
      <c r="B517" t="s">
        <v>14</v>
      </c>
      <c r="C517" t="s">
        <v>75</v>
      </c>
      <c r="D517" t="s">
        <v>76</v>
      </c>
      <c r="E517" t="s">
        <v>77</v>
      </c>
      <c r="F517" t="s">
        <v>78</v>
      </c>
      <c r="G517" t="s">
        <v>79</v>
      </c>
      <c r="H517" t="s">
        <v>80</v>
      </c>
      <c r="I517" t="s">
        <v>81</v>
      </c>
      <c r="J517" t="s">
        <v>82</v>
      </c>
      <c r="K517" t="s">
        <v>76</v>
      </c>
      <c r="L517" t="s">
        <v>8</v>
      </c>
      <c r="M517" t="s">
        <v>83</v>
      </c>
      <c r="N517" t="s">
        <v>84</v>
      </c>
      <c r="O517" t="s">
        <v>85</v>
      </c>
      <c r="P517">
        <v>291229</v>
      </c>
      <c r="Q517" t="s">
        <v>5</v>
      </c>
      <c r="R517" t="s">
        <v>86</v>
      </c>
      <c r="S517" t="s">
        <v>87</v>
      </c>
      <c r="T517">
        <v>0</v>
      </c>
      <c r="U517">
        <v>0.5</v>
      </c>
      <c r="V517" s="2">
        <v>2.0833333333333332E-2</v>
      </c>
      <c r="W517">
        <v>0</v>
      </c>
      <c r="AA517" t="s">
        <v>88</v>
      </c>
      <c r="AB517" t="s">
        <v>100</v>
      </c>
      <c r="AC517" t="s">
        <v>277</v>
      </c>
      <c r="AD517" t="s">
        <v>90</v>
      </c>
    </row>
    <row r="518" spans="1:30" hidden="1">
      <c r="A518" s="1">
        <v>45533</v>
      </c>
      <c r="B518" t="s">
        <v>254</v>
      </c>
      <c r="C518" t="s">
        <v>75</v>
      </c>
      <c r="D518" t="s">
        <v>76</v>
      </c>
      <c r="E518" t="s">
        <v>77</v>
      </c>
      <c r="F518" t="s">
        <v>78</v>
      </c>
      <c r="G518" t="s">
        <v>79</v>
      </c>
      <c r="H518" t="s">
        <v>80</v>
      </c>
      <c r="I518" t="s">
        <v>81</v>
      </c>
      <c r="J518" t="s">
        <v>82</v>
      </c>
      <c r="K518" t="s">
        <v>76</v>
      </c>
      <c r="L518" t="s">
        <v>8</v>
      </c>
      <c r="M518" t="s">
        <v>83</v>
      </c>
      <c r="N518" t="s">
        <v>84</v>
      </c>
      <c r="O518" t="s">
        <v>85</v>
      </c>
      <c r="P518">
        <v>290967</v>
      </c>
      <c r="Q518" t="s">
        <v>5</v>
      </c>
      <c r="R518" t="s">
        <v>86</v>
      </c>
      <c r="S518" t="s">
        <v>87</v>
      </c>
      <c r="T518">
        <v>0</v>
      </c>
      <c r="U518">
        <v>0.75</v>
      </c>
      <c r="V518" s="2">
        <v>3.125E-2</v>
      </c>
      <c r="W518">
        <v>0</v>
      </c>
      <c r="AA518" t="s">
        <v>88</v>
      </c>
      <c r="AB518" t="s">
        <v>100</v>
      </c>
      <c r="AC518" t="s">
        <v>84</v>
      </c>
      <c r="AD518" t="s">
        <v>90</v>
      </c>
    </row>
    <row r="519" spans="1:30" hidden="1">
      <c r="A519" s="1">
        <v>45533</v>
      </c>
      <c r="B519" t="s">
        <v>8</v>
      </c>
      <c r="C519" t="s">
        <v>75</v>
      </c>
      <c r="D519" t="s">
        <v>76</v>
      </c>
      <c r="E519" t="s">
        <v>91</v>
      </c>
      <c r="F519" t="s">
        <v>78</v>
      </c>
      <c r="G519" t="s">
        <v>79</v>
      </c>
      <c r="H519" t="s">
        <v>80</v>
      </c>
      <c r="I519" t="s">
        <v>81</v>
      </c>
      <c r="J519" t="s">
        <v>82</v>
      </c>
      <c r="K519" t="s">
        <v>76</v>
      </c>
      <c r="L519" t="s">
        <v>8</v>
      </c>
      <c r="M519" t="s">
        <v>83</v>
      </c>
      <c r="N519" t="s">
        <v>84</v>
      </c>
      <c r="O519" t="s">
        <v>85</v>
      </c>
      <c r="P519">
        <v>291434</v>
      </c>
      <c r="Q519" t="s">
        <v>5</v>
      </c>
      <c r="R519" t="s">
        <v>86</v>
      </c>
      <c r="S519" t="s">
        <v>87</v>
      </c>
      <c r="T519">
        <v>0</v>
      </c>
      <c r="U519">
        <v>1</v>
      </c>
      <c r="V519" s="2">
        <v>4.1666666666666664E-2</v>
      </c>
      <c r="W519">
        <v>0</v>
      </c>
      <c r="AA519" t="s">
        <v>88</v>
      </c>
      <c r="AB519" t="s">
        <v>100</v>
      </c>
      <c r="AC519" t="s">
        <v>84</v>
      </c>
      <c r="AD519" t="s">
        <v>90</v>
      </c>
    </row>
    <row r="520" spans="1:30" hidden="1">
      <c r="A520" s="1">
        <v>45533</v>
      </c>
      <c r="B520" t="s">
        <v>108</v>
      </c>
      <c r="C520" t="s">
        <v>75</v>
      </c>
      <c r="D520" t="s">
        <v>76</v>
      </c>
      <c r="E520" t="s">
        <v>91</v>
      </c>
      <c r="F520" t="s">
        <v>78</v>
      </c>
      <c r="G520" t="s">
        <v>79</v>
      </c>
      <c r="H520" t="s">
        <v>80</v>
      </c>
      <c r="I520" t="s">
        <v>81</v>
      </c>
      <c r="J520" t="s">
        <v>82</v>
      </c>
      <c r="K520" t="s">
        <v>76</v>
      </c>
      <c r="L520" t="s">
        <v>8</v>
      </c>
      <c r="M520" t="s">
        <v>83</v>
      </c>
      <c r="N520" t="s">
        <v>93</v>
      </c>
      <c r="O520" t="s">
        <v>85</v>
      </c>
      <c r="P520">
        <v>291516</v>
      </c>
      <c r="Q520" t="s">
        <v>5</v>
      </c>
      <c r="R520" t="s">
        <v>86</v>
      </c>
      <c r="S520" t="s">
        <v>87</v>
      </c>
      <c r="T520">
        <v>0</v>
      </c>
      <c r="U520">
        <v>0.25</v>
      </c>
      <c r="V520" s="2">
        <v>1.0416666666666666E-2</v>
      </c>
      <c r="W520">
        <v>0</v>
      </c>
      <c r="AA520" t="s">
        <v>88</v>
      </c>
      <c r="AB520" t="s">
        <v>100</v>
      </c>
      <c r="AC520" t="s">
        <v>84</v>
      </c>
      <c r="AD520" t="s">
        <v>90</v>
      </c>
    </row>
    <row r="521" spans="1:30" hidden="1">
      <c r="A521" s="1">
        <v>45534</v>
      </c>
      <c r="B521" t="s">
        <v>12</v>
      </c>
      <c r="C521" t="s">
        <v>75</v>
      </c>
      <c r="D521" t="s">
        <v>76</v>
      </c>
      <c r="E521" t="s">
        <v>91</v>
      </c>
      <c r="F521" t="s">
        <v>78</v>
      </c>
      <c r="G521" t="s">
        <v>79</v>
      </c>
      <c r="H521" t="s">
        <v>80</v>
      </c>
      <c r="I521" t="s">
        <v>81</v>
      </c>
      <c r="J521" t="s">
        <v>82</v>
      </c>
      <c r="K521" t="s">
        <v>76</v>
      </c>
      <c r="L521" t="s">
        <v>8</v>
      </c>
      <c r="M521" t="s">
        <v>83</v>
      </c>
      <c r="N521" t="s">
        <v>84</v>
      </c>
      <c r="O521" t="s">
        <v>85</v>
      </c>
      <c r="P521">
        <v>291970</v>
      </c>
      <c r="Q521" t="s">
        <v>5</v>
      </c>
      <c r="R521" t="s">
        <v>86</v>
      </c>
      <c r="S521" t="s">
        <v>87</v>
      </c>
      <c r="T521">
        <v>0</v>
      </c>
      <c r="U521">
        <v>0.5</v>
      </c>
      <c r="V521" s="2">
        <v>2.0833333333333332E-2</v>
      </c>
      <c r="W521">
        <v>0</v>
      </c>
      <c r="AA521" t="s">
        <v>88</v>
      </c>
      <c r="AB521" t="s">
        <v>100</v>
      </c>
      <c r="AC521" t="s">
        <v>84</v>
      </c>
      <c r="AD521" t="s">
        <v>90</v>
      </c>
    </row>
    <row r="522" spans="1:30" hidden="1">
      <c r="A522" s="1">
        <v>45534</v>
      </c>
      <c r="B522" t="s">
        <v>271</v>
      </c>
      <c r="C522" t="s">
        <v>75</v>
      </c>
      <c r="D522" t="s">
        <v>76</v>
      </c>
      <c r="E522" t="s">
        <v>91</v>
      </c>
      <c r="F522" t="s">
        <v>78</v>
      </c>
      <c r="G522" t="s">
        <v>79</v>
      </c>
      <c r="H522" t="s">
        <v>80</v>
      </c>
      <c r="I522" t="s">
        <v>81</v>
      </c>
      <c r="J522" t="s">
        <v>82</v>
      </c>
      <c r="K522" t="s">
        <v>76</v>
      </c>
      <c r="L522" t="s">
        <v>8</v>
      </c>
      <c r="M522" t="s">
        <v>83</v>
      </c>
      <c r="N522" t="s">
        <v>84</v>
      </c>
      <c r="O522" t="s">
        <v>85</v>
      </c>
      <c r="P522">
        <v>291648</v>
      </c>
      <c r="Q522" t="s">
        <v>5</v>
      </c>
      <c r="R522" t="s">
        <v>86</v>
      </c>
      <c r="S522" t="s">
        <v>87</v>
      </c>
      <c r="T522">
        <v>0</v>
      </c>
      <c r="U522">
        <v>0.25</v>
      </c>
      <c r="V522" s="2">
        <v>1.0416666666666666E-2</v>
      </c>
      <c r="W522">
        <v>0</v>
      </c>
      <c r="AA522" t="s">
        <v>88</v>
      </c>
      <c r="AB522" t="s">
        <v>100</v>
      </c>
      <c r="AC522" t="s">
        <v>200</v>
      </c>
      <c r="AD522" t="s">
        <v>90</v>
      </c>
    </row>
    <row r="523" spans="1:30" hidden="1">
      <c r="A523" s="1">
        <v>45534</v>
      </c>
      <c r="B523" t="s">
        <v>93</v>
      </c>
      <c r="C523" t="s">
        <v>75</v>
      </c>
      <c r="D523" t="s">
        <v>76</v>
      </c>
      <c r="E523" t="s">
        <v>91</v>
      </c>
      <c r="F523" t="s">
        <v>78</v>
      </c>
      <c r="G523" t="s">
        <v>79</v>
      </c>
      <c r="H523" t="s">
        <v>80</v>
      </c>
      <c r="I523" t="s">
        <v>81</v>
      </c>
      <c r="J523" t="s">
        <v>82</v>
      </c>
      <c r="K523" t="s">
        <v>76</v>
      </c>
      <c r="L523" t="s">
        <v>8</v>
      </c>
      <c r="M523" t="s">
        <v>83</v>
      </c>
      <c r="N523" t="s">
        <v>84</v>
      </c>
      <c r="O523" t="s">
        <v>85</v>
      </c>
      <c r="P523">
        <v>291279</v>
      </c>
      <c r="Q523" t="s">
        <v>4</v>
      </c>
      <c r="R523" t="s">
        <v>94</v>
      </c>
      <c r="S523" t="s">
        <v>87</v>
      </c>
      <c r="T523">
        <v>90</v>
      </c>
      <c r="U523">
        <v>0.5</v>
      </c>
      <c r="V523" s="2">
        <v>2.0833333333333332E-2</v>
      </c>
      <c r="W523">
        <v>45</v>
      </c>
      <c r="X523">
        <v>60</v>
      </c>
      <c r="Y523">
        <v>15</v>
      </c>
      <c r="Z523" t="s">
        <v>251</v>
      </c>
      <c r="AA523" t="s">
        <v>88</v>
      </c>
      <c r="AB523" t="s">
        <v>100</v>
      </c>
      <c r="AC523" t="s">
        <v>278</v>
      </c>
      <c r="AD523" t="s">
        <v>90</v>
      </c>
    </row>
    <row r="524" spans="1:30" hidden="1">
      <c r="A524" s="1">
        <v>45534</v>
      </c>
      <c r="B524" t="s">
        <v>8</v>
      </c>
      <c r="C524" t="s">
        <v>75</v>
      </c>
      <c r="D524" t="s">
        <v>76</v>
      </c>
      <c r="E524" t="s">
        <v>91</v>
      </c>
      <c r="F524" t="s">
        <v>78</v>
      </c>
      <c r="G524" t="s">
        <v>79</v>
      </c>
      <c r="H524" t="s">
        <v>80</v>
      </c>
      <c r="I524" t="s">
        <v>81</v>
      </c>
      <c r="J524" t="s">
        <v>82</v>
      </c>
      <c r="K524" t="s">
        <v>76</v>
      </c>
      <c r="L524" t="s">
        <v>8</v>
      </c>
      <c r="M524" t="s">
        <v>83</v>
      </c>
      <c r="N524" t="s">
        <v>84</v>
      </c>
      <c r="O524" t="s">
        <v>85</v>
      </c>
      <c r="P524">
        <v>292130</v>
      </c>
      <c r="Q524" t="s">
        <v>5</v>
      </c>
      <c r="R524" t="s">
        <v>86</v>
      </c>
      <c r="S524" t="s">
        <v>87</v>
      </c>
      <c r="T524">
        <v>0</v>
      </c>
      <c r="U524">
        <v>0.25</v>
      </c>
      <c r="V524" s="2">
        <v>1.0416666666666666E-2</v>
      </c>
      <c r="W524">
        <v>0</v>
      </c>
      <c r="AA524" t="s">
        <v>88</v>
      </c>
      <c r="AB524" t="s">
        <v>100</v>
      </c>
      <c r="AC524" t="s">
        <v>84</v>
      </c>
      <c r="AD524" t="s">
        <v>90</v>
      </c>
    </row>
    <row r="525" spans="1:30" hidden="1">
      <c r="A525" s="1">
        <v>45537</v>
      </c>
      <c r="B525" t="s">
        <v>10</v>
      </c>
      <c r="C525" t="s">
        <v>92</v>
      </c>
      <c r="D525" t="s">
        <v>76</v>
      </c>
      <c r="E525" t="s">
        <v>91</v>
      </c>
      <c r="F525" t="s">
        <v>78</v>
      </c>
      <c r="G525" t="s">
        <v>79</v>
      </c>
      <c r="H525" t="s">
        <v>80</v>
      </c>
      <c r="I525" t="s">
        <v>81</v>
      </c>
      <c r="J525" t="s">
        <v>82</v>
      </c>
      <c r="K525" t="s">
        <v>76</v>
      </c>
      <c r="L525" t="s">
        <v>8</v>
      </c>
      <c r="M525" t="s">
        <v>83</v>
      </c>
      <c r="N525" t="s">
        <v>93</v>
      </c>
      <c r="O525" t="s">
        <v>85</v>
      </c>
      <c r="P525">
        <v>293154</v>
      </c>
      <c r="Q525" t="s">
        <v>4</v>
      </c>
      <c r="R525" t="s">
        <v>94</v>
      </c>
      <c r="S525" t="s">
        <v>87</v>
      </c>
      <c r="T525">
        <v>90</v>
      </c>
      <c r="U525">
        <v>1</v>
      </c>
      <c r="V525" s="2">
        <v>4.1666666666666664E-2</v>
      </c>
      <c r="W525">
        <v>90</v>
      </c>
      <c r="X525">
        <v>120</v>
      </c>
      <c r="Y525">
        <v>30</v>
      </c>
      <c r="Z525" t="s">
        <v>279</v>
      </c>
      <c r="AA525" t="s">
        <v>88</v>
      </c>
      <c r="AB525" t="s">
        <v>100</v>
      </c>
      <c r="AC525" t="s">
        <v>280</v>
      </c>
      <c r="AD525" t="s">
        <v>90</v>
      </c>
    </row>
    <row r="526" spans="1:30" hidden="1">
      <c r="A526" s="1">
        <v>45537</v>
      </c>
      <c r="B526" t="s">
        <v>10</v>
      </c>
      <c r="C526" t="s">
        <v>92</v>
      </c>
      <c r="D526" t="s">
        <v>76</v>
      </c>
      <c r="E526" t="s">
        <v>91</v>
      </c>
      <c r="F526" t="s">
        <v>78</v>
      </c>
      <c r="G526" t="s">
        <v>79</v>
      </c>
      <c r="H526" t="s">
        <v>80</v>
      </c>
      <c r="I526" t="s">
        <v>81</v>
      </c>
      <c r="J526" t="s">
        <v>82</v>
      </c>
      <c r="K526" t="s">
        <v>76</v>
      </c>
      <c r="L526" t="s">
        <v>8</v>
      </c>
      <c r="M526" t="s">
        <v>83</v>
      </c>
      <c r="N526" t="s">
        <v>93</v>
      </c>
      <c r="O526" t="s">
        <v>85</v>
      </c>
      <c r="P526">
        <v>293155</v>
      </c>
      <c r="Q526" t="s">
        <v>5</v>
      </c>
      <c r="R526" t="s">
        <v>86</v>
      </c>
      <c r="S526" t="s">
        <v>87</v>
      </c>
      <c r="T526">
        <v>0</v>
      </c>
      <c r="U526">
        <v>0.5</v>
      </c>
      <c r="V526" s="2">
        <v>2.0833333333333332E-2</v>
      </c>
      <c r="W526">
        <v>0</v>
      </c>
      <c r="AA526" t="s">
        <v>88</v>
      </c>
      <c r="AB526" t="s">
        <v>100</v>
      </c>
      <c r="AC526" t="s">
        <v>281</v>
      </c>
      <c r="AD526" t="s">
        <v>90</v>
      </c>
    </row>
    <row r="527" spans="1:30" hidden="1">
      <c r="A527" s="1">
        <v>45537</v>
      </c>
      <c r="B527" t="s">
        <v>14</v>
      </c>
      <c r="C527" t="s">
        <v>75</v>
      </c>
      <c r="D527" t="s">
        <v>76</v>
      </c>
      <c r="E527" t="s">
        <v>77</v>
      </c>
      <c r="F527" t="s">
        <v>78</v>
      </c>
      <c r="G527" t="s">
        <v>79</v>
      </c>
      <c r="H527" t="s">
        <v>80</v>
      </c>
      <c r="I527" t="s">
        <v>81</v>
      </c>
      <c r="J527" t="s">
        <v>82</v>
      </c>
      <c r="K527" t="s">
        <v>76</v>
      </c>
      <c r="L527" t="s">
        <v>8</v>
      </c>
      <c r="M527" t="s">
        <v>83</v>
      </c>
      <c r="N527" t="s">
        <v>84</v>
      </c>
      <c r="O527" t="s">
        <v>85</v>
      </c>
      <c r="P527">
        <v>293672</v>
      </c>
      <c r="Q527" t="s">
        <v>5</v>
      </c>
      <c r="R527" t="s">
        <v>86</v>
      </c>
      <c r="S527" t="s">
        <v>87</v>
      </c>
      <c r="T527">
        <v>0</v>
      </c>
      <c r="U527">
        <v>0.25</v>
      </c>
      <c r="V527" s="2">
        <v>1.0416666666666666E-2</v>
      </c>
      <c r="W527">
        <v>0</v>
      </c>
      <c r="AA527" t="s">
        <v>88</v>
      </c>
      <c r="AB527" t="s">
        <v>100</v>
      </c>
      <c r="AC527" t="s">
        <v>282</v>
      </c>
      <c r="AD527" t="s">
        <v>90</v>
      </c>
    </row>
    <row r="528" spans="1:30" hidden="1">
      <c r="A528" s="1">
        <v>45537</v>
      </c>
      <c r="B528" t="s">
        <v>254</v>
      </c>
      <c r="C528" t="s">
        <v>75</v>
      </c>
      <c r="D528" t="s">
        <v>76</v>
      </c>
      <c r="E528" t="s">
        <v>77</v>
      </c>
      <c r="F528" t="s">
        <v>78</v>
      </c>
      <c r="G528" t="s">
        <v>79</v>
      </c>
      <c r="H528" t="s">
        <v>80</v>
      </c>
      <c r="I528" t="s">
        <v>81</v>
      </c>
      <c r="J528" t="s">
        <v>82</v>
      </c>
      <c r="K528" t="s">
        <v>76</v>
      </c>
      <c r="L528" t="s">
        <v>8</v>
      </c>
      <c r="M528" t="s">
        <v>83</v>
      </c>
      <c r="N528" t="s">
        <v>84</v>
      </c>
      <c r="O528" t="s">
        <v>85</v>
      </c>
      <c r="P528">
        <v>292827</v>
      </c>
      <c r="Q528" t="s">
        <v>5</v>
      </c>
      <c r="R528" t="s">
        <v>86</v>
      </c>
      <c r="S528" t="s">
        <v>87</v>
      </c>
      <c r="T528">
        <v>0</v>
      </c>
      <c r="U528">
        <v>0.75</v>
      </c>
      <c r="V528" s="2">
        <v>3.125E-2</v>
      </c>
      <c r="W528">
        <v>0</v>
      </c>
      <c r="AA528" t="s">
        <v>88</v>
      </c>
      <c r="AB528" t="s">
        <v>100</v>
      </c>
      <c r="AC528" t="s">
        <v>84</v>
      </c>
      <c r="AD528" t="s">
        <v>90</v>
      </c>
    </row>
    <row r="529" spans="1:30" hidden="1">
      <c r="A529" s="1">
        <v>45537</v>
      </c>
      <c r="B529" t="s">
        <v>254</v>
      </c>
      <c r="C529" t="s">
        <v>75</v>
      </c>
      <c r="D529" t="s">
        <v>76</v>
      </c>
      <c r="E529" t="s">
        <v>77</v>
      </c>
      <c r="F529" t="s">
        <v>78</v>
      </c>
      <c r="G529" t="s">
        <v>79</v>
      </c>
      <c r="H529" t="s">
        <v>80</v>
      </c>
      <c r="I529" t="s">
        <v>81</v>
      </c>
      <c r="J529" t="s">
        <v>82</v>
      </c>
      <c r="K529" t="s">
        <v>76</v>
      </c>
      <c r="L529" t="s">
        <v>8</v>
      </c>
      <c r="M529" t="s">
        <v>83</v>
      </c>
      <c r="N529" t="s">
        <v>84</v>
      </c>
      <c r="O529" t="s">
        <v>85</v>
      </c>
      <c r="P529">
        <v>293502</v>
      </c>
      <c r="Q529" t="s">
        <v>5</v>
      </c>
      <c r="R529" t="s">
        <v>86</v>
      </c>
      <c r="S529" t="s">
        <v>87</v>
      </c>
      <c r="T529">
        <v>0</v>
      </c>
      <c r="U529">
        <v>0.25</v>
      </c>
      <c r="V529" s="2">
        <v>1.0416666666666666E-2</v>
      </c>
      <c r="W529">
        <v>0</v>
      </c>
      <c r="AA529" t="s">
        <v>88</v>
      </c>
      <c r="AB529" t="s">
        <v>100</v>
      </c>
      <c r="AC529" t="s">
        <v>84</v>
      </c>
      <c r="AD529" t="s">
        <v>90</v>
      </c>
    </row>
    <row r="530" spans="1:30" hidden="1">
      <c r="A530" s="1">
        <v>45537</v>
      </c>
      <c r="B530" t="s">
        <v>8</v>
      </c>
      <c r="C530" t="s">
        <v>75</v>
      </c>
      <c r="D530" t="s">
        <v>76</v>
      </c>
      <c r="E530" t="s">
        <v>91</v>
      </c>
      <c r="F530" t="s">
        <v>78</v>
      </c>
      <c r="G530" t="s">
        <v>79</v>
      </c>
      <c r="H530" t="s">
        <v>80</v>
      </c>
      <c r="I530" t="s">
        <v>81</v>
      </c>
      <c r="J530" t="s">
        <v>82</v>
      </c>
      <c r="K530" t="s">
        <v>76</v>
      </c>
      <c r="L530" t="s">
        <v>8</v>
      </c>
      <c r="M530" t="s">
        <v>83</v>
      </c>
      <c r="N530" t="s">
        <v>84</v>
      </c>
      <c r="O530" t="s">
        <v>85</v>
      </c>
      <c r="P530">
        <v>293035</v>
      </c>
      <c r="Q530" t="s">
        <v>5</v>
      </c>
      <c r="R530" t="s">
        <v>86</v>
      </c>
      <c r="S530" t="s">
        <v>87</v>
      </c>
      <c r="T530">
        <v>0</v>
      </c>
      <c r="U530">
        <v>0.5</v>
      </c>
      <c r="V530" s="2">
        <v>2.0833333333333332E-2</v>
      </c>
      <c r="W530">
        <v>0</v>
      </c>
      <c r="AA530" t="s">
        <v>88</v>
      </c>
      <c r="AB530" t="s">
        <v>100</v>
      </c>
      <c r="AC530" t="s">
        <v>84</v>
      </c>
      <c r="AD530" t="s">
        <v>90</v>
      </c>
    </row>
    <row r="531" spans="1:30" hidden="1">
      <c r="A531" s="1">
        <v>45538</v>
      </c>
      <c r="B531" t="s">
        <v>10</v>
      </c>
      <c r="C531" t="s">
        <v>92</v>
      </c>
      <c r="D531" t="s">
        <v>76</v>
      </c>
      <c r="E531" t="s">
        <v>91</v>
      </c>
      <c r="F531" t="s">
        <v>78</v>
      </c>
      <c r="G531" t="s">
        <v>79</v>
      </c>
      <c r="H531" t="s">
        <v>80</v>
      </c>
      <c r="I531" t="s">
        <v>81</v>
      </c>
      <c r="J531" t="s">
        <v>82</v>
      </c>
      <c r="K531" t="s">
        <v>76</v>
      </c>
      <c r="L531" t="s">
        <v>8</v>
      </c>
      <c r="M531" t="s">
        <v>83</v>
      </c>
      <c r="N531" t="s">
        <v>93</v>
      </c>
      <c r="O531" t="s">
        <v>85</v>
      </c>
      <c r="P531">
        <v>293156</v>
      </c>
      <c r="Q531" t="s">
        <v>5</v>
      </c>
      <c r="R531" t="s">
        <v>86</v>
      </c>
      <c r="S531" t="s">
        <v>87</v>
      </c>
      <c r="T531">
        <v>0</v>
      </c>
      <c r="U531">
        <v>1</v>
      </c>
      <c r="V531" s="2">
        <v>4.1666666666666664E-2</v>
      </c>
      <c r="W531">
        <v>0</v>
      </c>
      <c r="AA531" t="s">
        <v>88</v>
      </c>
      <c r="AB531" t="s">
        <v>100</v>
      </c>
      <c r="AC531" t="s">
        <v>283</v>
      </c>
      <c r="AD531" t="s">
        <v>90</v>
      </c>
    </row>
    <row r="532" spans="1:30" hidden="1">
      <c r="A532" s="1">
        <v>45538</v>
      </c>
      <c r="B532" t="s">
        <v>211</v>
      </c>
      <c r="C532" t="s">
        <v>75</v>
      </c>
      <c r="D532" t="s">
        <v>76</v>
      </c>
      <c r="E532" t="s">
        <v>91</v>
      </c>
      <c r="F532" t="s">
        <v>78</v>
      </c>
      <c r="G532" t="s">
        <v>79</v>
      </c>
      <c r="H532" t="s">
        <v>80</v>
      </c>
      <c r="I532" t="s">
        <v>81</v>
      </c>
      <c r="J532" t="s">
        <v>82</v>
      </c>
      <c r="K532" t="s">
        <v>76</v>
      </c>
      <c r="L532" t="s">
        <v>8</v>
      </c>
      <c r="M532" t="s">
        <v>83</v>
      </c>
      <c r="N532" t="s">
        <v>93</v>
      </c>
      <c r="O532" t="s">
        <v>85</v>
      </c>
      <c r="P532">
        <v>293549</v>
      </c>
      <c r="Q532" t="s">
        <v>5</v>
      </c>
      <c r="R532" t="s">
        <v>86</v>
      </c>
      <c r="S532" t="s">
        <v>87</v>
      </c>
      <c r="T532">
        <v>0</v>
      </c>
      <c r="U532">
        <v>0.5</v>
      </c>
      <c r="V532" s="2">
        <v>2.0833333333333332E-2</v>
      </c>
      <c r="W532">
        <v>0</v>
      </c>
      <c r="AA532" t="s">
        <v>88</v>
      </c>
      <c r="AB532" t="s">
        <v>100</v>
      </c>
      <c r="AC532" t="s">
        <v>84</v>
      </c>
      <c r="AD532" t="s">
        <v>90</v>
      </c>
    </row>
    <row r="533" spans="1:30" hidden="1">
      <c r="A533" s="1">
        <v>45538</v>
      </c>
      <c r="B533" t="s">
        <v>254</v>
      </c>
      <c r="C533" t="s">
        <v>75</v>
      </c>
      <c r="D533" t="s">
        <v>76</v>
      </c>
      <c r="E533" t="s">
        <v>77</v>
      </c>
      <c r="F533" t="s">
        <v>78</v>
      </c>
      <c r="G533" t="s">
        <v>79</v>
      </c>
      <c r="H533" t="s">
        <v>80</v>
      </c>
      <c r="I533" t="s">
        <v>81</v>
      </c>
      <c r="J533" t="s">
        <v>82</v>
      </c>
      <c r="K533" t="s">
        <v>76</v>
      </c>
      <c r="L533" t="s">
        <v>8</v>
      </c>
      <c r="M533" t="s">
        <v>83</v>
      </c>
      <c r="N533" t="s">
        <v>84</v>
      </c>
      <c r="O533" t="s">
        <v>85</v>
      </c>
      <c r="P533">
        <v>293503</v>
      </c>
      <c r="Q533" t="s">
        <v>5</v>
      </c>
      <c r="R533" t="s">
        <v>86</v>
      </c>
      <c r="S533" t="s">
        <v>87</v>
      </c>
      <c r="T533">
        <v>0</v>
      </c>
      <c r="U533">
        <v>0.25</v>
      </c>
      <c r="V533" s="2">
        <v>1.0416666666666666E-2</v>
      </c>
      <c r="W533">
        <v>0</v>
      </c>
      <c r="AA533" t="s">
        <v>88</v>
      </c>
      <c r="AB533" t="s">
        <v>100</v>
      </c>
      <c r="AC533" t="s">
        <v>84</v>
      </c>
      <c r="AD533" t="s">
        <v>90</v>
      </c>
    </row>
    <row r="534" spans="1:30" hidden="1">
      <c r="A534" s="1">
        <v>45538</v>
      </c>
      <c r="B534" t="s">
        <v>8</v>
      </c>
      <c r="C534" t="s">
        <v>75</v>
      </c>
      <c r="D534" t="s">
        <v>76</v>
      </c>
      <c r="E534" t="s">
        <v>91</v>
      </c>
      <c r="F534" t="s">
        <v>78</v>
      </c>
      <c r="G534" t="s">
        <v>79</v>
      </c>
      <c r="H534" t="s">
        <v>80</v>
      </c>
      <c r="I534" t="s">
        <v>81</v>
      </c>
      <c r="J534" t="s">
        <v>82</v>
      </c>
      <c r="K534" t="s">
        <v>76</v>
      </c>
      <c r="L534" t="s">
        <v>8</v>
      </c>
      <c r="M534" t="s">
        <v>83</v>
      </c>
      <c r="N534" t="s">
        <v>84</v>
      </c>
      <c r="O534" t="s">
        <v>85</v>
      </c>
      <c r="P534">
        <v>293396</v>
      </c>
      <c r="Q534" t="s">
        <v>5</v>
      </c>
      <c r="R534" t="s">
        <v>86</v>
      </c>
      <c r="S534" t="s">
        <v>87</v>
      </c>
      <c r="T534">
        <v>0</v>
      </c>
      <c r="U534">
        <v>0.5</v>
      </c>
      <c r="V534" s="2">
        <v>2.0833333333333332E-2</v>
      </c>
      <c r="W534">
        <v>0</v>
      </c>
      <c r="AA534" t="s">
        <v>88</v>
      </c>
      <c r="AB534" t="s">
        <v>100</v>
      </c>
      <c r="AC534" t="s">
        <v>84</v>
      </c>
      <c r="AD534" t="s">
        <v>90</v>
      </c>
    </row>
    <row r="535" spans="1:30" hidden="1">
      <c r="A535" s="1">
        <v>45539</v>
      </c>
      <c r="B535" t="s">
        <v>12</v>
      </c>
      <c r="C535" t="s">
        <v>75</v>
      </c>
      <c r="D535" t="s">
        <v>76</v>
      </c>
      <c r="E535" t="s">
        <v>91</v>
      </c>
      <c r="F535" t="s">
        <v>78</v>
      </c>
      <c r="G535" t="s">
        <v>79</v>
      </c>
      <c r="H535" t="s">
        <v>80</v>
      </c>
      <c r="I535" t="s">
        <v>81</v>
      </c>
      <c r="J535" t="s">
        <v>82</v>
      </c>
      <c r="K535" t="s">
        <v>76</v>
      </c>
      <c r="L535" t="s">
        <v>8</v>
      </c>
      <c r="M535" t="s">
        <v>83</v>
      </c>
      <c r="N535" t="s">
        <v>84</v>
      </c>
      <c r="O535" t="s">
        <v>85</v>
      </c>
      <c r="P535">
        <v>294155</v>
      </c>
      <c r="Q535" t="s">
        <v>4</v>
      </c>
      <c r="R535" t="s">
        <v>94</v>
      </c>
      <c r="S535" t="s">
        <v>87</v>
      </c>
      <c r="T535">
        <v>90</v>
      </c>
      <c r="U535">
        <v>0.75</v>
      </c>
      <c r="V535" s="2">
        <v>3.125E-2</v>
      </c>
      <c r="W535">
        <v>67.5</v>
      </c>
      <c r="X535">
        <v>90</v>
      </c>
      <c r="Y535">
        <v>22.5</v>
      </c>
      <c r="Z535" t="s">
        <v>279</v>
      </c>
      <c r="AA535" t="s">
        <v>88</v>
      </c>
      <c r="AB535" t="s">
        <v>100</v>
      </c>
      <c r="AC535" t="s">
        <v>84</v>
      </c>
      <c r="AD535" t="s">
        <v>90</v>
      </c>
    </row>
    <row r="536" spans="1:30" hidden="1">
      <c r="A536" s="1">
        <v>45539</v>
      </c>
      <c r="B536" t="s">
        <v>254</v>
      </c>
      <c r="C536" t="s">
        <v>75</v>
      </c>
      <c r="D536" t="s">
        <v>76</v>
      </c>
      <c r="E536" t="s">
        <v>77</v>
      </c>
      <c r="F536" t="s">
        <v>78</v>
      </c>
      <c r="G536" t="s">
        <v>79</v>
      </c>
      <c r="H536" t="s">
        <v>80</v>
      </c>
      <c r="I536" t="s">
        <v>81</v>
      </c>
      <c r="J536" t="s">
        <v>82</v>
      </c>
      <c r="K536" t="s">
        <v>76</v>
      </c>
      <c r="L536" t="s">
        <v>8</v>
      </c>
      <c r="M536" t="s">
        <v>83</v>
      </c>
      <c r="N536" t="s">
        <v>84</v>
      </c>
      <c r="O536" t="s">
        <v>85</v>
      </c>
      <c r="P536">
        <v>293722</v>
      </c>
      <c r="Q536" t="s">
        <v>5</v>
      </c>
      <c r="R536" t="s">
        <v>86</v>
      </c>
      <c r="S536" t="s">
        <v>87</v>
      </c>
      <c r="T536">
        <v>0</v>
      </c>
      <c r="U536">
        <v>0.25</v>
      </c>
      <c r="V536" s="2">
        <v>1.0416666666666666E-2</v>
      </c>
      <c r="W536">
        <v>0</v>
      </c>
      <c r="AA536" t="s">
        <v>88</v>
      </c>
      <c r="AB536" t="s">
        <v>100</v>
      </c>
      <c r="AC536" t="s">
        <v>84</v>
      </c>
      <c r="AD536" t="s">
        <v>90</v>
      </c>
    </row>
    <row r="537" spans="1:30" hidden="1">
      <c r="A537" s="1">
        <v>45539</v>
      </c>
      <c r="B537" t="s">
        <v>254</v>
      </c>
      <c r="C537" t="s">
        <v>75</v>
      </c>
      <c r="D537" t="s">
        <v>76</v>
      </c>
      <c r="E537" t="s">
        <v>77</v>
      </c>
      <c r="F537" t="s">
        <v>78</v>
      </c>
      <c r="G537" t="s">
        <v>79</v>
      </c>
      <c r="H537" t="s">
        <v>80</v>
      </c>
      <c r="I537" t="s">
        <v>81</v>
      </c>
      <c r="J537" t="s">
        <v>82</v>
      </c>
      <c r="K537" t="s">
        <v>76</v>
      </c>
      <c r="L537" t="s">
        <v>8</v>
      </c>
      <c r="M537" t="s">
        <v>83</v>
      </c>
      <c r="N537" t="s">
        <v>84</v>
      </c>
      <c r="O537" t="s">
        <v>85</v>
      </c>
      <c r="P537">
        <v>293723</v>
      </c>
      <c r="Q537" t="s">
        <v>5</v>
      </c>
      <c r="R537" t="s">
        <v>86</v>
      </c>
      <c r="S537" t="s">
        <v>87</v>
      </c>
      <c r="T537">
        <v>0</v>
      </c>
      <c r="U537">
        <v>0.5</v>
      </c>
      <c r="V537" s="2">
        <v>2.0833333333333332E-2</v>
      </c>
      <c r="W537">
        <v>0</v>
      </c>
      <c r="AA537" t="s">
        <v>88</v>
      </c>
      <c r="AB537" t="s">
        <v>100</v>
      </c>
      <c r="AC537" t="s">
        <v>84</v>
      </c>
      <c r="AD537" t="s">
        <v>90</v>
      </c>
    </row>
    <row r="538" spans="1:30" hidden="1">
      <c r="A538" s="1">
        <v>45539</v>
      </c>
      <c r="B538" t="s">
        <v>8</v>
      </c>
      <c r="C538" t="s">
        <v>75</v>
      </c>
      <c r="D538" t="s">
        <v>76</v>
      </c>
      <c r="E538" t="s">
        <v>91</v>
      </c>
      <c r="F538" t="s">
        <v>78</v>
      </c>
      <c r="G538" t="s">
        <v>79</v>
      </c>
      <c r="H538" t="s">
        <v>80</v>
      </c>
      <c r="I538" t="s">
        <v>81</v>
      </c>
      <c r="J538" t="s">
        <v>82</v>
      </c>
      <c r="K538" t="s">
        <v>76</v>
      </c>
      <c r="L538" t="s">
        <v>8</v>
      </c>
      <c r="M538" t="s">
        <v>83</v>
      </c>
      <c r="N538" t="s">
        <v>84</v>
      </c>
      <c r="O538" t="s">
        <v>85</v>
      </c>
      <c r="P538">
        <v>293823</v>
      </c>
      <c r="Q538" t="s">
        <v>5</v>
      </c>
      <c r="R538" t="s">
        <v>86</v>
      </c>
      <c r="S538" t="s">
        <v>87</v>
      </c>
      <c r="T538">
        <v>0</v>
      </c>
      <c r="U538">
        <v>0.5</v>
      </c>
      <c r="V538" s="2">
        <v>2.0833333333333332E-2</v>
      </c>
      <c r="W538">
        <v>0</v>
      </c>
      <c r="AA538" t="s">
        <v>88</v>
      </c>
      <c r="AB538" t="s">
        <v>100</v>
      </c>
      <c r="AC538" t="s">
        <v>84</v>
      </c>
      <c r="AD538" t="s">
        <v>90</v>
      </c>
    </row>
    <row r="539" spans="1:30" hidden="1">
      <c r="A539" s="1">
        <v>45539</v>
      </c>
      <c r="B539" t="s">
        <v>108</v>
      </c>
      <c r="C539" t="s">
        <v>75</v>
      </c>
      <c r="D539" t="s">
        <v>76</v>
      </c>
      <c r="E539" t="s">
        <v>91</v>
      </c>
      <c r="F539" t="s">
        <v>78</v>
      </c>
      <c r="G539" t="s">
        <v>79</v>
      </c>
      <c r="H539" t="s">
        <v>80</v>
      </c>
      <c r="I539" t="s">
        <v>81</v>
      </c>
      <c r="J539" t="s">
        <v>82</v>
      </c>
      <c r="K539" t="s">
        <v>76</v>
      </c>
      <c r="L539" t="s">
        <v>8</v>
      </c>
      <c r="M539" t="s">
        <v>83</v>
      </c>
      <c r="N539" t="s">
        <v>93</v>
      </c>
      <c r="O539" t="s">
        <v>85</v>
      </c>
      <c r="P539">
        <v>295161</v>
      </c>
      <c r="Q539" t="s">
        <v>4</v>
      </c>
      <c r="R539" t="s">
        <v>94</v>
      </c>
      <c r="S539" t="s">
        <v>87</v>
      </c>
      <c r="T539">
        <v>90</v>
      </c>
      <c r="U539">
        <v>1</v>
      </c>
      <c r="V539" s="2">
        <v>4.1666666666666664E-2</v>
      </c>
      <c r="W539">
        <v>90</v>
      </c>
      <c r="X539">
        <v>120</v>
      </c>
      <c r="Y539">
        <v>30</v>
      </c>
      <c r="Z539" t="s">
        <v>279</v>
      </c>
      <c r="AA539" t="s">
        <v>88</v>
      </c>
      <c r="AB539" t="s">
        <v>100</v>
      </c>
      <c r="AC539" t="s">
        <v>284</v>
      </c>
      <c r="AD539" t="s">
        <v>90</v>
      </c>
    </row>
    <row r="540" spans="1:30" hidden="1">
      <c r="A540" s="1">
        <v>45539</v>
      </c>
      <c r="B540" t="s">
        <v>108</v>
      </c>
      <c r="C540" t="s">
        <v>75</v>
      </c>
      <c r="D540" t="s">
        <v>76</v>
      </c>
      <c r="E540" t="s">
        <v>91</v>
      </c>
      <c r="F540" t="s">
        <v>78</v>
      </c>
      <c r="G540" t="s">
        <v>79</v>
      </c>
      <c r="H540" t="s">
        <v>80</v>
      </c>
      <c r="I540" t="s">
        <v>81</v>
      </c>
      <c r="J540" t="s">
        <v>82</v>
      </c>
      <c r="K540" t="s">
        <v>76</v>
      </c>
      <c r="L540" t="s">
        <v>8</v>
      </c>
      <c r="M540" t="s">
        <v>83</v>
      </c>
      <c r="N540" t="s">
        <v>93</v>
      </c>
      <c r="O540" t="s">
        <v>85</v>
      </c>
      <c r="P540">
        <v>295152</v>
      </c>
      <c r="Q540" t="s">
        <v>5</v>
      </c>
      <c r="R540" t="s">
        <v>86</v>
      </c>
      <c r="S540" t="s">
        <v>87</v>
      </c>
      <c r="T540">
        <v>0</v>
      </c>
      <c r="U540">
        <v>4.25</v>
      </c>
      <c r="V540" s="2">
        <v>0.17708333333333334</v>
      </c>
      <c r="W540">
        <v>0</v>
      </c>
      <c r="AA540" t="s">
        <v>88</v>
      </c>
      <c r="AB540" t="s">
        <v>100</v>
      </c>
      <c r="AC540" t="s">
        <v>284</v>
      </c>
      <c r="AD540" t="s">
        <v>90</v>
      </c>
    </row>
    <row r="541" spans="1:30" hidden="1">
      <c r="A541" s="1">
        <v>45540</v>
      </c>
      <c r="B541" t="s">
        <v>10</v>
      </c>
      <c r="C541" t="s">
        <v>92</v>
      </c>
      <c r="D541" t="s">
        <v>76</v>
      </c>
      <c r="E541" t="s">
        <v>91</v>
      </c>
      <c r="F541" t="s">
        <v>78</v>
      </c>
      <c r="G541" t="s">
        <v>79</v>
      </c>
      <c r="H541" t="s">
        <v>80</v>
      </c>
      <c r="I541" t="s">
        <v>81</v>
      </c>
      <c r="J541" t="s">
        <v>82</v>
      </c>
      <c r="K541" t="s">
        <v>76</v>
      </c>
      <c r="L541" t="s">
        <v>8</v>
      </c>
      <c r="M541" t="s">
        <v>83</v>
      </c>
      <c r="N541" t="s">
        <v>93</v>
      </c>
      <c r="O541" t="s">
        <v>85</v>
      </c>
      <c r="P541">
        <v>298425</v>
      </c>
      <c r="Q541" t="s">
        <v>4</v>
      </c>
      <c r="R541" t="s">
        <v>94</v>
      </c>
      <c r="S541" t="s">
        <v>87</v>
      </c>
      <c r="T541">
        <v>90</v>
      </c>
      <c r="U541">
        <v>4</v>
      </c>
      <c r="V541" s="2">
        <v>0.16666666666666666</v>
      </c>
      <c r="W541">
        <v>360</v>
      </c>
      <c r="X541">
        <v>480</v>
      </c>
      <c r="Y541">
        <v>120</v>
      </c>
      <c r="Z541" t="s">
        <v>279</v>
      </c>
      <c r="AA541" t="s">
        <v>88</v>
      </c>
      <c r="AB541" t="s">
        <v>100</v>
      </c>
      <c r="AC541" t="s">
        <v>285</v>
      </c>
      <c r="AD541" t="s">
        <v>90</v>
      </c>
    </row>
    <row r="542" spans="1:30" hidden="1">
      <c r="A542" s="1">
        <v>45540</v>
      </c>
      <c r="B542" t="s">
        <v>10</v>
      </c>
      <c r="C542" t="s">
        <v>92</v>
      </c>
      <c r="D542" t="s">
        <v>76</v>
      </c>
      <c r="E542" t="s">
        <v>91</v>
      </c>
      <c r="F542" t="s">
        <v>78</v>
      </c>
      <c r="G542" t="s">
        <v>79</v>
      </c>
      <c r="H542" t="s">
        <v>80</v>
      </c>
      <c r="I542" t="s">
        <v>81</v>
      </c>
      <c r="J542" t="s">
        <v>82</v>
      </c>
      <c r="K542" t="s">
        <v>76</v>
      </c>
      <c r="L542" t="s">
        <v>8</v>
      </c>
      <c r="M542" t="s">
        <v>83</v>
      </c>
      <c r="N542" t="s">
        <v>93</v>
      </c>
      <c r="O542" t="s">
        <v>85</v>
      </c>
      <c r="P542">
        <v>298426</v>
      </c>
      <c r="Q542" t="s">
        <v>5</v>
      </c>
      <c r="R542" t="s">
        <v>86</v>
      </c>
      <c r="S542" t="s">
        <v>87</v>
      </c>
      <c r="T542">
        <v>0</v>
      </c>
      <c r="U542">
        <v>0.5</v>
      </c>
      <c r="V542" s="2">
        <v>2.0833333333333332E-2</v>
      </c>
      <c r="W542">
        <v>0</v>
      </c>
      <c r="AA542" t="s">
        <v>88</v>
      </c>
      <c r="AB542" t="s">
        <v>100</v>
      </c>
      <c r="AC542" t="s">
        <v>286</v>
      </c>
      <c r="AD542" t="s">
        <v>90</v>
      </c>
    </row>
    <row r="543" spans="1:30" hidden="1">
      <c r="A543" s="1">
        <v>45540</v>
      </c>
      <c r="B543" t="s">
        <v>12</v>
      </c>
      <c r="C543" t="s">
        <v>75</v>
      </c>
      <c r="D543" t="s">
        <v>76</v>
      </c>
      <c r="E543" t="s">
        <v>91</v>
      </c>
      <c r="F543" t="s">
        <v>78</v>
      </c>
      <c r="G543" t="s">
        <v>79</v>
      </c>
      <c r="H543" t="s">
        <v>80</v>
      </c>
      <c r="I543" t="s">
        <v>81</v>
      </c>
      <c r="J543" t="s">
        <v>82</v>
      </c>
      <c r="K543" t="s">
        <v>76</v>
      </c>
      <c r="L543" t="s">
        <v>8</v>
      </c>
      <c r="M543" t="s">
        <v>83</v>
      </c>
      <c r="N543" t="s">
        <v>84</v>
      </c>
      <c r="O543" t="s">
        <v>85</v>
      </c>
      <c r="P543">
        <v>294156</v>
      </c>
      <c r="Q543" t="s">
        <v>4</v>
      </c>
      <c r="R543" t="s">
        <v>94</v>
      </c>
      <c r="S543" t="s">
        <v>87</v>
      </c>
      <c r="T543">
        <v>90</v>
      </c>
      <c r="U543">
        <v>0.75</v>
      </c>
      <c r="V543" s="2">
        <v>3.125E-2</v>
      </c>
      <c r="W543">
        <v>67.5</v>
      </c>
      <c r="X543">
        <v>90</v>
      </c>
      <c r="Y543">
        <v>22.5</v>
      </c>
      <c r="Z543" t="s">
        <v>279</v>
      </c>
      <c r="AA543" t="s">
        <v>88</v>
      </c>
      <c r="AB543" t="s">
        <v>100</v>
      </c>
      <c r="AC543" t="s">
        <v>84</v>
      </c>
      <c r="AD543" t="s">
        <v>90</v>
      </c>
    </row>
    <row r="544" spans="1:30" hidden="1">
      <c r="A544" s="1">
        <v>45540</v>
      </c>
      <c r="B544" t="s">
        <v>254</v>
      </c>
      <c r="C544" t="s">
        <v>75</v>
      </c>
      <c r="D544" t="s">
        <v>76</v>
      </c>
      <c r="E544" t="s">
        <v>77</v>
      </c>
      <c r="F544" t="s">
        <v>78</v>
      </c>
      <c r="G544" t="s">
        <v>79</v>
      </c>
      <c r="H544" t="s">
        <v>80</v>
      </c>
      <c r="I544" t="s">
        <v>81</v>
      </c>
      <c r="J544" t="s">
        <v>82</v>
      </c>
      <c r="K544" t="s">
        <v>76</v>
      </c>
      <c r="L544" t="s">
        <v>8</v>
      </c>
      <c r="M544" t="s">
        <v>83</v>
      </c>
      <c r="N544" t="s">
        <v>84</v>
      </c>
      <c r="O544" t="s">
        <v>85</v>
      </c>
      <c r="P544">
        <v>294031</v>
      </c>
      <c r="Q544" t="s">
        <v>5</v>
      </c>
      <c r="R544" t="s">
        <v>86</v>
      </c>
      <c r="S544" t="s">
        <v>87</v>
      </c>
      <c r="T544">
        <v>0</v>
      </c>
      <c r="U544">
        <v>0.25</v>
      </c>
      <c r="V544" s="2">
        <v>1.0416666666666666E-2</v>
      </c>
      <c r="W544">
        <v>0</v>
      </c>
      <c r="AA544" t="s">
        <v>88</v>
      </c>
      <c r="AB544" t="s">
        <v>100</v>
      </c>
      <c r="AC544" t="s">
        <v>84</v>
      </c>
      <c r="AD544" t="s">
        <v>90</v>
      </c>
    </row>
    <row r="545" spans="1:30" hidden="1">
      <c r="A545" s="1">
        <v>45540</v>
      </c>
      <c r="B545" t="s">
        <v>8</v>
      </c>
      <c r="C545" t="s">
        <v>75</v>
      </c>
      <c r="D545" t="s">
        <v>76</v>
      </c>
      <c r="E545" t="s">
        <v>91</v>
      </c>
      <c r="F545" t="s">
        <v>78</v>
      </c>
      <c r="G545" t="s">
        <v>79</v>
      </c>
      <c r="H545" t="s">
        <v>80</v>
      </c>
      <c r="I545" t="s">
        <v>81</v>
      </c>
      <c r="J545" t="s">
        <v>82</v>
      </c>
      <c r="K545" t="s">
        <v>76</v>
      </c>
      <c r="L545" t="s">
        <v>8</v>
      </c>
      <c r="M545" t="s">
        <v>83</v>
      </c>
      <c r="N545" t="s">
        <v>84</v>
      </c>
      <c r="O545" t="s">
        <v>85</v>
      </c>
      <c r="P545">
        <v>294433</v>
      </c>
      <c r="Q545" t="s">
        <v>5</v>
      </c>
      <c r="R545" t="s">
        <v>86</v>
      </c>
      <c r="S545" t="s">
        <v>87</v>
      </c>
      <c r="T545">
        <v>0</v>
      </c>
      <c r="U545">
        <v>0.5</v>
      </c>
      <c r="V545" s="2">
        <v>2.0833333333333332E-2</v>
      </c>
      <c r="W545">
        <v>0</v>
      </c>
      <c r="AA545" t="s">
        <v>88</v>
      </c>
      <c r="AB545" t="s">
        <v>100</v>
      </c>
      <c r="AC545" t="s">
        <v>84</v>
      </c>
      <c r="AD545" t="s">
        <v>90</v>
      </c>
    </row>
    <row r="546" spans="1:30" hidden="1">
      <c r="A546" s="1">
        <v>45540</v>
      </c>
      <c r="B546" t="s">
        <v>108</v>
      </c>
      <c r="C546" t="s">
        <v>75</v>
      </c>
      <c r="D546" t="s">
        <v>76</v>
      </c>
      <c r="E546" t="s">
        <v>91</v>
      </c>
      <c r="F546" t="s">
        <v>78</v>
      </c>
      <c r="G546" t="s">
        <v>79</v>
      </c>
      <c r="H546" t="s">
        <v>80</v>
      </c>
      <c r="I546" t="s">
        <v>81</v>
      </c>
      <c r="J546" t="s">
        <v>82</v>
      </c>
      <c r="K546" t="s">
        <v>76</v>
      </c>
      <c r="L546" t="s">
        <v>8</v>
      </c>
      <c r="M546" t="s">
        <v>83</v>
      </c>
      <c r="N546" t="s">
        <v>93</v>
      </c>
      <c r="O546" t="s">
        <v>85</v>
      </c>
      <c r="P546">
        <v>295153</v>
      </c>
      <c r="Q546" t="s">
        <v>5</v>
      </c>
      <c r="R546" t="s">
        <v>86</v>
      </c>
      <c r="S546" t="s">
        <v>87</v>
      </c>
      <c r="T546">
        <v>0</v>
      </c>
      <c r="U546">
        <v>0.25</v>
      </c>
      <c r="V546" s="2">
        <v>1.0416666666666666E-2</v>
      </c>
      <c r="W546">
        <v>0</v>
      </c>
      <c r="AA546" t="s">
        <v>88</v>
      </c>
      <c r="AB546" t="s">
        <v>100</v>
      </c>
      <c r="AC546" t="s">
        <v>84</v>
      </c>
      <c r="AD546" t="s">
        <v>90</v>
      </c>
    </row>
    <row r="547" spans="1:30" hidden="1">
      <c r="A547" s="1">
        <v>45541</v>
      </c>
      <c r="B547" t="s">
        <v>12</v>
      </c>
      <c r="C547" t="s">
        <v>75</v>
      </c>
      <c r="D547" t="s">
        <v>76</v>
      </c>
      <c r="E547" t="s">
        <v>91</v>
      </c>
      <c r="F547" t="s">
        <v>78</v>
      </c>
      <c r="G547" t="s">
        <v>79</v>
      </c>
      <c r="H547" t="s">
        <v>80</v>
      </c>
      <c r="I547" t="s">
        <v>81</v>
      </c>
      <c r="J547" t="s">
        <v>82</v>
      </c>
      <c r="K547" t="s">
        <v>76</v>
      </c>
      <c r="L547" t="s">
        <v>8</v>
      </c>
      <c r="M547" t="s">
        <v>83</v>
      </c>
      <c r="N547" t="s">
        <v>84</v>
      </c>
      <c r="O547" t="s">
        <v>85</v>
      </c>
      <c r="P547">
        <v>295133</v>
      </c>
      <c r="Q547" t="s">
        <v>5</v>
      </c>
      <c r="R547" t="s">
        <v>86</v>
      </c>
      <c r="S547" t="s">
        <v>87</v>
      </c>
      <c r="T547">
        <v>0</v>
      </c>
      <c r="U547">
        <v>0.25</v>
      </c>
      <c r="V547" s="2">
        <v>1.0416666666666666E-2</v>
      </c>
      <c r="W547">
        <v>0</v>
      </c>
      <c r="AA547" t="s">
        <v>88</v>
      </c>
      <c r="AB547" t="s">
        <v>100</v>
      </c>
      <c r="AC547" t="s">
        <v>84</v>
      </c>
      <c r="AD547" t="s">
        <v>90</v>
      </c>
    </row>
    <row r="548" spans="1:30" hidden="1">
      <c r="A548" s="1">
        <v>45541</v>
      </c>
      <c r="B548" t="s">
        <v>254</v>
      </c>
      <c r="C548" t="s">
        <v>75</v>
      </c>
      <c r="D548" t="s">
        <v>76</v>
      </c>
      <c r="E548" t="s">
        <v>77</v>
      </c>
      <c r="F548" t="s">
        <v>78</v>
      </c>
      <c r="G548" t="s">
        <v>79</v>
      </c>
      <c r="H548" t="s">
        <v>80</v>
      </c>
      <c r="I548" t="s">
        <v>81</v>
      </c>
      <c r="J548" t="s">
        <v>82</v>
      </c>
      <c r="K548" t="s">
        <v>76</v>
      </c>
      <c r="L548" t="s">
        <v>8</v>
      </c>
      <c r="M548" t="s">
        <v>83</v>
      </c>
      <c r="N548" t="s">
        <v>84</v>
      </c>
      <c r="O548" t="s">
        <v>85</v>
      </c>
      <c r="P548">
        <v>294330</v>
      </c>
      <c r="Q548" t="s">
        <v>5</v>
      </c>
      <c r="R548" t="s">
        <v>86</v>
      </c>
      <c r="S548" t="s">
        <v>87</v>
      </c>
      <c r="T548">
        <v>0</v>
      </c>
      <c r="U548">
        <v>0.25</v>
      </c>
      <c r="V548" s="2">
        <v>1.0416666666666666E-2</v>
      </c>
      <c r="W548">
        <v>0</v>
      </c>
      <c r="AA548" t="s">
        <v>88</v>
      </c>
      <c r="AB548" t="s">
        <v>100</v>
      </c>
      <c r="AC548" t="s">
        <v>84</v>
      </c>
      <c r="AD548" t="s">
        <v>90</v>
      </c>
    </row>
    <row r="549" spans="1:30" hidden="1">
      <c r="A549" s="1">
        <v>45541</v>
      </c>
      <c r="B549" t="s">
        <v>8</v>
      </c>
      <c r="C549" t="s">
        <v>75</v>
      </c>
      <c r="D549" t="s">
        <v>76</v>
      </c>
      <c r="E549" t="s">
        <v>91</v>
      </c>
      <c r="F549" t="s">
        <v>78</v>
      </c>
      <c r="G549" t="s">
        <v>79</v>
      </c>
      <c r="H549" t="s">
        <v>80</v>
      </c>
      <c r="I549" t="s">
        <v>81</v>
      </c>
      <c r="J549" t="s">
        <v>82</v>
      </c>
      <c r="K549" t="s">
        <v>76</v>
      </c>
      <c r="L549" t="s">
        <v>8</v>
      </c>
      <c r="M549" t="s">
        <v>83</v>
      </c>
      <c r="N549" t="s">
        <v>84</v>
      </c>
      <c r="O549" t="s">
        <v>85</v>
      </c>
      <c r="P549">
        <v>294610</v>
      </c>
      <c r="Q549" t="s">
        <v>5</v>
      </c>
      <c r="R549" t="s">
        <v>86</v>
      </c>
      <c r="S549" t="s">
        <v>87</v>
      </c>
      <c r="T549">
        <v>0</v>
      </c>
      <c r="U549">
        <v>0.5</v>
      </c>
      <c r="V549" s="2">
        <v>2.0833333333333332E-2</v>
      </c>
      <c r="W549">
        <v>0</v>
      </c>
      <c r="AA549" t="s">
        <v>88</v>
      </c>
      <c r="AB549" t="s">
        <v>100</v>
      </c>
      <c r="AC549" t="s">
        <v>84</v>
      </c>
      <c r="AD549" t="s">
        <v>90</v>
      </c>
    </row>
    <row r="550" spans="1:30" hidden="1">
      <c r="A550" s="1">
        <v>45541</v>
      </c>
      <c r="B550" t="s">
        <v>108</v>
      </c>
      <c r="C550" t="s">
        <v>75</v>
      </c>
      <c r="D550" t="s">
        <v>76</v>
      </c>
      <c r="E550" t="s">
        <v>91</v>
      </c>
      <c r="F550" t="s">
        <v>78</v>
      </c>
      <c r="G550" t="s">
        <v>79</v>
      </c>
      <c r="H550" t="s">
        <v>80</v>
      </c>
      <c r="I550" t="s">
        <v>81</v>
      </c>
      <c r="J550" t="s">
        <v>82</v>
      </c>
      <c r="K550" t="s">
        <v>76</v>
      </c>
      <c r="L550" t="s">
        <v>8</v>
      </c>
      <c r="M550" t="s">
        <v>83</v>
      </c>
      <c r="N550" t="s">
        <v>93</v>
      </c>
      <c r="O550" t="s">
        <v>85</v>
      </c>
      <c r="P550">
        <v>295155</v>
      </c>
      <c r="Q550" t="s">
        <v>5</v>
      </c>
      <c r="R550" t="s">
        <v>86</v>
      </c>
      <c r="S550" t="s">
        <v>87</v>
      </c>
      <c r="T550">
        <v>0</v>
      </c>
      <c r="U550">
        <v>0.25</v>
      </c>
      <c r="V550" s="2">
        <v>1.0416666666666666E-2</v>
      </c>
      <c r="W550">
        <v>0</v>
      </c>
      <c r="AA550" t="s">
        <v>88</v>
      </c>
      <c r="AB550" t="s">
        <v>100</v>
      </c>
      <c r="AC550" t="s">
        <v>84</v>
      </c>
      <c r="AD550" t="s">
        <v>90</v>
      </c>
    </row>
    <row r="551" spans="1:30" hidden="1">
      <c r="A551" s="1">
        <v>45544</v>
      </c>
      <c r="B551" t="s">
        <v>14</v>
      </c>
      <c r="C551" t="s">
        <v>75</v>
      </c>
      <c r="D551" t="s">
        <v>76</v>
      </c>
      <c r="E551" t="s">
        <v>77</v>
      </c>
      <c r="F551" t="s">
        <v>78</v>
      </c>
      <c r="G551" t="s">
        <v>79</v>
      </c>
      <c r="H551" t="s">
        <v>80</v>
      </c>
      <c r="I551" t="s">
        <v>81</v>
      </c>
      <c r="J551" t="s">
        <v>82</v>
      </c>
      <c r="K551" t="s">
        <v>76</v>
      </c>
      <c r="L551" t="s">
        <v>8</v>
      </c>
      <c r="M551" t="s">
        <v>83</v>
      </c>
      <c r="N551" t="s">
        <v>84</v>
      </c>
      <c r="O551" t="s">
        <v>85</v>
      </c>
      <c r="P551">
        <v>295375</v>
      </c>
      <c r="Q551" t="s">
        <v>5</v>
      </c>
      <c r="R551" t="s">
        <v>86</v>
      </c>
      <c r="S551" t="s">
        <v>87</v>
      </c>
      <c r="T551">
        <v>0</v>
      </c>
      <c r="U551">
        <v>0.25</v>
      </c>
      <c r="V551" s="2">
        <v>1.0416666666666666E-2</v>
      </c>
      <c r="W551">
        <v>0</v>
      </c>
      <c r="AA551" t="s">
        <v>88</v>
      </c>
      <c r="AB551" t="s">
        <v>100</v>
      </c>
      <c r="AC551" t="s">
        <v>89</v>
      </c>
      <c r="AD551" t="s">
        <v>90</v>
      </c>
    </row>
    <row r="552" spans="1:30" hidden="1">
      <c r="A552" s="1">
        <v>45544</v>
      </c>
      <c r="B552" t="s">
        <v>12</v>
      </c>
      <c r="C552" t="s">
        <v>75</v>
      </c>
      <c r="D552" t="s">
        <v>76</v>
      </c>
      <c r="E552" t="s">
        <v>91</v>
      </c>
      <c r="F552" t="s">
        <v>78</v>
      </c>
      <c r="G552" t="s">
        <v>79</v>
      </c>
      <c r="H552" t="s">
        <v>80</v>
      </c>
      <c r="I552" t="s">
        <v>81</v>
      </c>
      <c r="J552" t="s">
        <v>82</v>
      </c>
      <c r="K552" t="s">
        <v>76</v>
      </c>
      <c r="L552" t="s">
        <v>8</v>
      </c>
      <c r="M552" t="s">
        <v>83</v>
      </c>
      <c r="N552" t="s">
        <v>84</v>
      </c>
      <c r="O552" t="s">
        <v>85</v>
      </c>
      <c r="P552">
        <v>295623</v>
      </c>
      <c r="Q552" t="s">
        <v>4</v>
      </c>
      <c r="R552" t="s">
        <v>94</v>
      </c>
      <c r="S552" t="s">
        <v>87</v>
      </c>
      <c r="T552">
        <v>90</v>
      </c>
      <c r="U552">
        <v>0.5</v>
      </c>
      <c r="V552" s="2">
        <v>2.0833333333333332E-2</v>
      </c>
      <c r="W552">
        <v>45</v>
      </c>
      <c r="X552">
        <v>60</v>
      </c>
      <c r="Y552">
        <v>15</v>
      </c>
      <c r="Z552" t="s">
        <v>279</v>
      </c>
      <c r="AA552" t="s">
        <v>88</v>
      </c>
      <c r="AB552" t="s">
        <v>100</v>
      </c>
      <c r="AC552" t="s">
        <v>84</v>
      </c>
      <c r="AD552" t="s">
        <v>90</v>
      </c>
    </row>
    <row r="553" spans="1:30" hidden="1">
      <c r="A553" s="1">
        <v>45544</v>
      </c>
      <c r="B553" t="s">
        <v>254</v>
      </c>
      <c r="C553" t="s">
        <v>75</v>
      </c>
      <c r="D553" t="s">
        <v>76</v>
      </c>
      <c r="E553" t="s">
        <v>77</v>
      </c>
      <c r="F553" t="s">
        <v>78</v>
      </c>
      <c r="G553" t="s">
        <v>79</v>
      </c>
      <c r="H553" t="s">
        <v>80</v>
      </c>
      <c r="I553" t="s">
        <v>81</v>
      </c>
      <c r="J553" t="s">
        <v>82</v>
      </c>
      <c r="K553" t="s">
        <v>76</v>
      </c>
      <c r="L553" t="s">
        <v>8</v>
      </c>
      <c r="M553" t="s">
        <v>83</v>
      </c>
      <c r="N553" t="s">
        <v>84</v>
      </c>
      <c r="O553" t="s">
        <v>85</v>
      </c>
      <c r="P553">
        <v>295739</v>
      </c>
      <c r="Q553" t="s">
        <v>5</v>
      </c>
      <c r="R553" t="s">
        <v>86</v>
      </c>
      <c r="S553" t="s">
        <v>87</v>
      </c>
      <c r="T553">
        <v>0</v>
      </c>
      <c r="U553">
        <v>0.25</v>
      </c>
      <c r="V553" s="2">
        <v>1.0416666666666666E-2</v>
      </c>
      <c r="W553">
        <v>0</v>
      </c>
      <c r="AA553" t="s">
        <v>88</v>
      </c>
      <c r="AB553" t="s">
        <v>100</v>
      </c>
      <c r="AC553" t="s">
        <v>84</v>
      </c>
      <c r="AD553" t="s">
        <v>90</v>
      </c>
    </row>
    <row r="554" spans="1:30" hidden="1">
      <c r="A554" s="1">
        <v>45544</v>
      </c>
      <c r="B554" t="s">
        <v>8</v>
      </c>
      <c r="C554" t="s">
        <v>75</v>
      </c>
      <c r="D554" t="s">
        <v>76</v>
      </c>
      <c r="E554" t="s">
        <v>91</v>
      </c>
      <c r="F554" t="s">
        <v>78</v>
      </c>
      <c r="G554" t="s">
        <v>79</v>
      </c>
      <c r="H554" t="s">
        <v>80</v>
      </c>
      <c r="I554" t="s">
        <v>81</v>
      </c>
      <c r="J554" t="s">
        <v>82</v>
      </c>
      <c r="K554" t="s">
        <v>76</v>
      </c>
      <c r="L554" t="s">
        <v>8</v>
      </c>
      <c r="M554" t="s">
        <v>83</v>
      </c>
      <c r="N554" t="s">
        <v>84</v>
      </c>
      <c r="O554" t="s">
        <v>85</v>
      </c>
      <c r="P554">
        <v>295404</v>
      </c>
      <c r="Q554" t="s">
        <v>5</v>
      </c>
      <c r="R554" t="s">
        <v>86</v>
      </c>
      <c r="S554" t="s">
        <v>87</v>
      </c>
      <c r="T554">
        <v>0</v>
      </c>
      <c r="U554">
        <v>0.75</v>
      </c>
      <c r="V554" s="2">
        <v>3.125E-2</v>
      </c>
      <c r="W554">
        <v>0</v>
      </c>
      <c r="AA554" t="s">
        <v>88</v>
      </c>
      <c r="AB554" t="s">
        <v>100</v>
      </c>
      <c r="AC554" t="s">
        <v>84</v>
      </c>
      <c r="AD554" t="s">
        <v>90</v>
      </c>
    </row>
    <row r="555" spans="1:30" hidden="1">
      <c r="A555" s="1">
        <v>45545</v>
      </c>
      <c r="B555" t="s">
        <v>12</v>
      </c>
      <c r="C555" t="s">
        <v>75</v>
      </c>
      <c r="D555" t="s">
        <v>76</v>
      </c>
      <c r="E555" t="s">
        <v>91</v>
      </c>
      <c r="F555" t="s">
        <v>78</v>
      </c>
      <c r="G555" t="s">
        <v>79</v>
      </c>
      <c r="H555" t="s">
        <v>80</v>
      </c>
      <c r="I555" t="s">
        <v>81</v>
      </c>
      <c r="J555" t="s">
        <v>82</v>
      </c>
      <c r="K555" t="s">
        <v>76</v>
      </c>
      <c r="L555" t="s">
        <v>8</v>
      </c>
      <c r="M555" t="s">
        <v>83</v>
      </c>
      <c r="N555" t="s">
        <v>84</v>
      </c>
      <c r="O555" t="s">
        <v>85</v>
      </c>
      <c r="P555">
        <v>296653</v>
      </c>
      <c r="Q555" t="s">
        <v>5</v>
      </c>
      <c r="R555" t="s">
        <v>86</v>
      </c>
      <c r="S555" t="s">
        <v>87</v>
      </c>
      <c r="T555">
        <v>0</v>
      </c>
      <c r="U555">
        <v>0.25</v>
      </c>
      <c r="V555" s="2">
        <v>1.0416666666666666E-2</v>
      </c>
      <c r="W555">
        <v>0</v>
      </c>
      <c r="AA555" t="s">
        <v>88</v>
      </c>
      <c r="AB555" t="s">
        <v>100</v>
      </c>
      <c r="AC555" t="s">
        <v>84</v>
      </c>
      <c r="AD555" t="s">
        <v>90</v>
      </c>
    </row>
    <row r="556" spans="1:30" hidden="1">
      <c r="A556" s="1">
        <v>45545</v>
      </c>
      <c r="B556" t="s">
        <v>254</v>
      </c>
      <c r="C556" t="s">
        <v>75</v>
      </c>
      <c r="D556" t="s">
        <v>76</v>
      </c>
      <c r="E556" t="s">
        <v>77</v>
      </c>
      <c r="F556" t="s">
        <v>78</v>
      </c>
      <c r="G556" t="s">
        <v>79</v>
      </c>
      <c r="H556" t="s">
        <v>80</v>
      </c>
      <c r="I556" t="s">
        <v>81</v>
      </c>
      <c r="J556" t="s">
        <v>82</v>
      </c>
      <c r="K556" t="s">
        <v>76</v>
      </c>
      <c r="L556" t="s">
        <v>8</v>
      </c>
      <c r="M556" t="s">
        <v>83</v>
      </c>
      <c r="N556" t="s">
        <v>84</v>
      </c>
      <c r="O556" t="s">
        <v>85</v>
      </c>
      <c r="P556">
        <v>295746</v>
      </c>
      <c r="Q556" t="s">
        <v>5</v>
      </c>
      <c r="R556" t="s">
        <v>86</v>
      </c>
      <c r="S556" t="s">
        <v>87</v>
      </c>
      <c r="T556">
        <v>0</v>
      </c>
      <c r="U556">
        <v>0.25</v>
      </c>
      <c r="V556" s="2">
        <v>1.0416666666666666E-2</v>
      </c>
      <c r="W556">
        <v>0</v>
      </c>
      <c r="AA556" t="s">
        <v>88</v>
      </c>
      <c r="AB556" t="s">
        <v>100</v>
      </c>
      <c r="AC556" t="s">
        <v>84</v>
      </c>
      <c r="AD556" t="s">
        <v>90</v>
      </c>
    </row>
    <row r="557" spans="1:30" hidden="1">
      <c r="A557" s="1">
        <v>45545</v>
      </c>
      <c r="B557" t="s">
        <v>8</v>
      </c>
      <c r="C557" t="s">
        <v>75</v>
      </c>
      <c r="D557" t="s">
        <v>76</v>
      </c>
      <c r="E557" t="s">
        <v>91</v>
      </c>
      <c r="F557" t="s">
        <v>78</v>
      </c>
      <c r="G557" t="s">
        <v>79</v>
      </c>
      <c r="H557" t="s">
        <v>80</v>
      </c>
      <c r="I557" t="s">
        <v>81</v>
      </c>
      <c r="J557" t="s">
        <v>82</v>
      </c>
      <c r="K557" t="s">
        <v>76</v>
      </c>
      <c r="L557" t="s">
        <v>8</v>
      </c>
      <c r="M557" t="s">
        <v>83</v>
      </c>
      <c r="N557" t="s">
        <v>84</v>
      </c>
      <c r="O557" t="s">
        <v>85</v>
      </c>
      <c r="P557">
        <v>295847</v>
      </c>
      <c r="Q557" t="s">
        <v>5</v>
      </c>
      <c r="R557" t="s">
        <v>86</v>
      </c>
      <c r="S557" t="s">
        <v>87</v>
      </c>
      <c r="T557">
        <v>0</v>
      </c>
      <c r="U557">
        <v>0.5</v>
      </c>
      <c r="V557" s="2">
        <v>2.0833333333333332E-2</v>
      </c>
      <c r="W557">
        <v>0</v>
      </c>
      <c r="AA557" t="s">
        <v>88</v>
      </c>
      <c r="AB557" t="s">
        <v>100</v>
      </c>
      <c r="AC557" t="s">
        <v>84</v>
      </c>
      <c r="AD557" t="s">
        <v>90</v>
      </c>
    </row>
    <row r="558" spans="1:30" hidden="1">
      <c r="A558" s="1">
        <v>45546</v>
      </c>
      <c r="B558" t="s">
        <v>16</v>
      </c>
      <c r="C558" t="s">
        <v>75</v>
      </c>
      <c r="D558" t="s">
        <v>76</v>
      </c>
      <c r="E558" t="s">
        <v>91</v>
      </c>
      <c r="F558" t="s">
        <v>78</v>
      </c>
      <c r="G558" t="s">
        <v>79</v>
      </c>
      <c r="H558" t="s">
        <v>80</v>
      </c>
      <c r="I558" t="s">
        <v>81</v>
      </c>
      <c r="J558" t="s">
        <v>82</v>
      </c>
      <c r="K558" t="s">
        <v>76</v>
      </c>
      <c r="L558" t="s">
        <v>8</v>
      </c>
      <c r="M558" t="s">
        <v>83</v>
      </c>
      <c r="N558" t="s">
        <v>93</v>
      </c>
      <c r="O558" t="s">
        <v>85</v>
      </c>
      <c r="P558">
        <v>296218</v>
      </c>
      <c r="Q558" t="s">
        <v>5</v>
      </c>
      <c r="R558" t="s">
        <v>86</v>
      </c>
      <c r="S558" t="s">
        <v>87</v>
      </c>
      <c r="T558">
        <v>0</v>
      </c>
      <c r="U558">
        <v>0.5</v>
      </c>
      <c r="V558" s="2">
        <v>2.0833333333333332E-2</v>
      </c>
      <c r="W558">
        <v>0</v>
      </c>
      <c r="AA558" t="s">
        <v>88</v>
      </c>
      <c r="AB558" t="s">
        <v>100</v>
      </c>
      <c r="AC558" t="s">
        <v>84</v>
      </c>
      <c r="AD558" t="s">
        <v>90</v>
      </c>
    </row>
    <row r="559" spans="1:30" hidden="1">
      <c r="A559" s="1">
        <v>45546</v>
      </c>
      <c r="B559" t="s">
        <v>12</v>
      </c>
      <c r="C559" t="s">
        <v>75</v>
      </c>
      <c r="D559" t="s">
        <v>76</v>
      </c>
      <c r="E559" t="s">
        <v>91</v>
      </c>
      <c r="F559" t="s">
        <v>78</v>
      </c>
      <c r="G559" t="s">
        <v>79</v>
      </c>
      <c r="H559" t="s">
        <v>80</v>
      </c>
      <c r="I559" t="s">
        <v>81</v>
      </c>
      <c r="J559" t="s">
        <v>82</v>
      </c>
      <c r="K559" t="s">
        <v>76</v>
      </c>
      <c r="L559" t="s">
        <v>8</v>
      </c>
      <c r="M559" t="s">
        <v>83</v>
      </c>
      <c r="N559" t="s">
        <v>84</v>
      </c>
      <c r="O559" t="s">
        <v>85</v>
      </c>
      <c r="P559">
        <v>296654</v>
      </c>
      <c r="Q559" t="s">
        <v>5</v>
      </c>
      <c r="R559" t="s">
        <v>86</v>
      </c>
      <c r="S559" t="s">
        <v>87</v>
      </c>
      <c r="T559">
        <v>0</v>
      </c>
      <c r="U559">
        <v>0.25</v>
      </c>
      <c r="V559" s="2">
        <v>1.0416666666666666E-2</v>
      </c>
      <c r="W559">
        <v>0</v>
      </c>
      <c r="AA559" t="s">
        <v>88</v>
      </c>
      <c r="AB559" t="s">
        <v>100</v>
      </c>
      <c r="AC559" t="s">
        <v>84</v>
      </c>
      <c r="AD559" t="s">
        <v>90</v>
      </c>
    </row>
    <row r="560" spans="1:30" hidden="1">
      <c r="A560" s="1">
        <v>45546</v>
      </c>
      <c r="B560" t="s">
        <v>254</v>
      </c>
      <c r="C560" t="s">
        <v>75</v>
      </c>
      <c r="D560" t="s">
        <v>76</v>
      </c>
      <c r="E560" t="s">
        <v>77</v>
      </c>
      <c r="F560" t="s">
        <v>78</v>
      </c>
      <c r="G560" t="s">
        <v>79</v>
      </c>
      <c r="H560" t="s">
        <v>80</v>
      </c>
      <c r="I560" t="s">
        <v>81</v>
      </c>
      <c r="J560" t="s">
        <v>82</v>
      </c>
      <c r="K560" t="s">
        <v>76</v>
      </c>
      <c r="L560" t="s">
        <v>8</v>
      </c>
      <c r="M560" t="s">
        <v>83</v>
      </c>
      <c r="N560" t="s">
        <v>84</v>
      </c>
      <c r="O560" t="s">
        <v>85</v>
      </c>
      <c r="P560">
        <v>296641</v>
      </c>
      <c r="Q560" t="s">
        <v>5</v>
      </c>
      <c r="R560" t="s">
        <v>86</v>
      </c>
      <c r="S560" t="s">
        <v>87</v>
      </c>
      <c r="T560">
        <v>0</v>
      </c>
      <c r="U560">
        <v>0.25</v>
      </c>
      <c r="V560" s="2">
        <v>1.0416666666666666E-2</v>
      </c>
      <c r="W560">
        <v>0</v>
      </c>
      <c r="AA560" t="s">
        <v>88</v>
      </c>
      <c r="AB560" t="s">
        <v>100</v>
      </c>
      <c r="AC560" t="s">
        <v>84</v>
      </c>
      <c r="AD560" t="s">
        <v>90</v>
      </c>
    </row>
    <row r="561" spans="1:30" hidden="1">
      <c r="A561" s="1">
        <v>45547</v>
      </c>
      <c r="B561" t="s">
        <v>12</v>
      </c>
      <c r="C561" t="s">
        <v>75</v>
      </c>
      <c r="D561" t="s">
        <v>76</v>
      </c>
      <c r="E561" t="s">
        <v>91</v>
      </c>
      <c r="F561" t="s">
        <v>78</v>
      </c>
      <c r="G561" t="s">
        <v>79</v>
      </c>
      <c r="H561" t="s">
        <v>80</v>
      </c>
      <c r="I561" t="s">
        <v>81</v>
      </c>
      <c r="J561" t="s">
        <v>82</v>
      </c>
      <c r="K561" t="s">
        <v>76</v>
      </c>
      <c r="L561" t="s">
        <v>8</v>
      </c>
      <c r="M561" t="s">
        <v>83</v>
      </c>
      <c r="N561" t="s">
        <v>84</v>
      </c>
      <c r="O561" t="s">
        <v>85</v>
      </c>
      <c r="P561">
        <v>296756</v>
      </c>
      <c r="Q561" t="s">
        <v>4</v>
      </c>
      <c r="R561" t="s">
        <v>94</v>
      </c>
      <c r="S561" t="s">
        <v>87</v>
      </c>
      <c r="T561">
        <v>90</v>
      </c>
      <c r="U561">
        <v>1</v>
      </c>
      <c r="V561" s="2">
        <v>4.1666666666666664E-2</v>
      </c>
      <c r="W561">
        <v>90</v>
      </c>
      <c r="X561">
        <v>120</v>
      </c>
      <c r="Y561">
        <v>30</v>
      </c>
      <c r="Z561" t="s">
        <v>279</v>
      </c>
      <c r="AA561" t="s">
        <v>88</v>
      </c>
      <c r="AB561" t="s">
        <v>100</v>
      </c>
      <c r="AC561" t="s">
        <v>84</v>
      </c>
      <c r="AD561" t="s">
        <v>90</v>
      </c>
    </row>
    <row r="562" spans="1:30" hidden="1">
      <c r="A562" s="1">
        <v>45547</v>
      </c>
      <c r="B562" t="s">
        <v>254</v>
      </c>
      <c r="C562" t="s">
        <v>75</v>
      </c>
      <c r="D562" t="s">
        <v>76</v>
      </c>
      <c r="E562" t="s">
        <v>77</v>
      </c>
      <c r="F562" t="s">
        <v>78</v>
      </c>
      <c r="G562" t="s">
        <v>79</v>
      </c>
      <c r="H562" t="s">
        <v>80</v>
      </c>
      <c r="I562" t="s">
        <v>81</v>
      </c>
      <c r="J562" t="s">
        <v>82</v>
      </c>
      <c r="K562" t="s">
        <v>76</v>
      </c>
      <c r="L562" t="s">
        <v>8</v>
      </c>
      <c r="M562" t="s">
        <v>83</v>
      </c>
      <c r="N562" t="s">
        <v>84</v>
      </c>
      <c r="O562" t="s">
        <v>85</v>
      </c>
      <c r="P562">
        <v>296648</v>
      </c>
      <c r="Q562" t="s">
        <v>5</v>
      </c>
      <c r="R562" t="s">
        <v>86</v>
      </c>
      <c r="S562" t="s">
        <v>87</v>
      </c>
      <c r="T562">
        <v>0</v>
      </c>
      <c r="U562">
        <v>0.25</v>
      </c>
      <c r="V562" s="2">
        <v>1.0416666666666666E-2</v>
      </c>
      <c r="W562">
        <v>0</v>
      </c>
      <c r="AA562" t="s">
        <v>88</v>
      </c>
      <c r="AB562" t="s">
        <v>100</v>
      </c>
      <c r="AC562" t="s">
        <v>84</v>
      </c>
      <c r="AD562" t="s">
        <v>90</v>
      </c>
    </row>
    <row r="563" spans="1:30" hidden="1">
      <c r="A563" s="1">
        <v>45547</v>
      </c>
      <c r="B563" t="s">
        <v>254</v>
      </c>
      <c r="C563" t="s">
        <v>75</v>
      </c>
      <c r="D563" t="s">
        <v>76</v>
      </c>
      <c r="E563" t="s">
        <v>77</v>
      </c>
      <c r="F563" t="s">
        <v>78</v>
      </c>
      <c r="G563" t="s">
        <v>79</v>
      </c>
      <c r="H563" t="s">
        <v>80</v>
      </c>
      <c r="I563" t="s">
        <v>81</v>
      </c>
      <c r="J563" t="s">
        <v>82</v>
      </c>
      <c r="K563" t="s">
        <v>76</v>
      </c>
      <c r="L563" t="s">
        <v>8</v>
      </c>
      <c r="M563" t="s">
        <v>83</v>
      </c>
      <c r="N563" t="s">
        <v>84</v>
      </c>
      <c r="O563" t="s">
        <v>85</v>
      </c>
      <c r="P563">
        <v>296809</v>
      </c>
      <c r="Q563" t="s">
        <v>5</v>
      </c>
      <c r="R563" t="s">
        <v>86</v>
      </c>
      <c r="S563" t="s">
        <v>87</v>
      </c>
      <c r="T563">
        <v>0</v>
      </c>
      <c r="U563">
        <v>0.5</v>
      </c>
      <c r="V563" s="2">
        <v>2.0833333333333332E-2</v>
      </c>
      <c r="W563">
        <v>0</v>
      </c>
      <c r="AA563" t="s">
        <v>88</v>
      </c>
      <c r="AB563" t="s">
        <v>100</v>
      </c>
      <c r="AC563" t="s">
        <v>84</v>
      </c>
      <c r="AD563" t="s">
        <v>90</v>
      </c>
    </row>
    <row r="564" spans="1:30" hidden="1">
      <c r="A564" s="1">
        <v>45547</v>
      </c>
      <c r="B564" t="s">
        <v>8</v>
      </c>
      <c r="C564" t="s">
        <v>75</v>
      </c>
      <c r="D564" t="s">
        <v>76</v>
      </c>
      <c r="E564" t="s">
        <v>91</v>
      </c>
      <c r="F564" t="s">
        <v>78</v>
      </c>
      <c r="G564" t="s">
        <v>79</v>
      </c>
      <c r="H564" t="s">
        <v>80</v>
      </c>
      <c r="I564" t="s">
        <v>81</v>
      </c>
      <c r="J564" t="s">
        <v>82</v>
      </c>
      <c r="K564" t="s">
        <v>76</v>
      </c>
      <c r="L564" t="s">
        <v>8</v>
      </c>
      <c r="M564" t="s">
        <v>83</v>
      </c>
      <c r="N564" t="s">
        <v>84</v>
      </c>
      <c r="O564" t="s">
        <v>85</v>
      </c>
      <c r="P564">
        <v>297015</v>
      </c>
      <c r="Q564" t="s">
        <v>5</v>
      </c>
      <c r="R564" t="s">
        <v>86</v>
      </c>
      <c r="S564" t="s">
        <v>87</v>
      </c>
      <c r="T564">
        <v>0</v>
      </c>
      <c r="U564">
        <v>0.25</v>
      </c>
      <c r="V564" s="2">
        <v>1.0416666666666666E-2</v>
      </c>
      <c r="W564">
        <v>0</v>
      </c>
      <c r="AA564" t="s">
        <v>88</v>
      </c>
      <c r="AB564" t="s">
        <v>100</v>
      </c>
      <c r="AC564" t="s">
        <v>84</v>
      </c>
      <c r="AD564" t="s">
        <v>90</v>
      </c>
    </row>
    <row r="565" spans="1:30" hidden="1">
      <c r="A565" s="1">
        <v>45548</v>
      </c>
      <c r="B565" t="s">
        <v>12</v>
      </c>
      <c r="C565" t="s">
        <v>75</v>
      </c>
      <c r="D565" t="s">
        <v>76</v>
      </c>
      <c r="E565" t="s">
        <v>91</v>
      </c>
      <c r="F565" t="s">
        <v>78</v>
      </c>
      <c r="G565" t="s">
        <v>79</v>
      </c>
      <c r="H565" t="s">
        <v>80</v>
      </c>
      <c r="I565" t="s">
        <v>81</v>
      </c>
      <c r="J565" t="s">
        <v>82</v>
      </c>
      <c r="K565" t="s">
        <v>76</v>
      </c>
      <c r="L565" t="s">
        <v>8</v>
      </c>
      <c r="M565" t="s">
        <v>83</v>
      </c>
      <c r="N565" t="s">
        <v>84</v>
      </c>
      <c r="O565" t="s">
        <v>85</v>
      </c>
      <c r="P565">
        <v>297704</v>
      </c>
      <c r="Q565" t="s">
        <v>4</v>
      </c>
      <c r="R565" t="s">
        <v>94</v>
      </c>
      <c r="S565" t="s">
        <v>87</v>
      </c>
      <c r="T565">
        <v>90</v>
      </c>
      <c r="U565">
        <v>1</v>
      </c>
      <c r="V565" s="2">
        <v>4.1666666666666664E-2</v>
      </c>
      <c r="W565">
        <v>90</v>
      </c>
      <c r="X565">
        <v>120</v>
      </c>
      <c r="Y565">
        <v>30</v>
      </c>
      <c r="Z565" t="s">
        <v>279</v>
      </c>
      <c r="AA565" t="s">
        <v>88</v>
      </c>
      <c r="AB565" t="s">
        <v>100</v>
      </c>
      <c r="AC565" t="s">
        <v>84</v>
      </c>
      <c r="AD565" t="s">
        <v>90</v>
      </c>
    </row>
    <row r="566" spans="1:30" hidden="1">
      <c r="A566" s="1">
        <v>45548</v>
      </c>
      <c r="B566" t="s">
        <v>8</v>
      </c>
      <c r="C566" t="s">
        <v>75</v>
      </c>
      <c r="D566" t="s">
        <v>76</v>
      </c>
      <c r="E566" t="s">
        <v>91</v>
      </c>
      <c r="F566" t="s">
        <v>78</v>
      </c>
      <c r="G566" t="s">
        <v>79</v>
      </c>
      <c r="H566" t="s">
        <v>80</v>
      </c>
      <c r="I566" t="s">
        <v>81</v>
      </c>
      <c r="J566" t="s">
        <v>82</v>
      </c>
      <c r="K566" t="s">
        <v>76</v>
      </c>
      <c r="L566" t="s">
        <v>8</v>
      </c>
      <c r="M566" t="s">
        <v>83</v>
      </c>
      <c r="N566" t="s">
        <v>84</v>
      </c>
      <c r="O566" t="s">
        <v>85</v>
      </c>
      <c r="P566">
        <v>297293</v>
      </c>
      <c r="Q566" t="s">
        <v>5</v>
      </c>
      <c r="R566" t="s">
        <v>86</v>
      </c>
      <c r="S566" t="s">
        <v>87</v>
      </c>
      <c r="T566">
        <v>0</v>
      </c>
      <c r="U566">
        <v>0.25</v>
      </c>
      <c r="V566" s="2">
        <v>1.0416666666666666E-2</v>
      </c>
      <c r="W566">
        <v>0</v>
      </c>
      <c r="AA566" t="s">
        <v>88</v>
      </c>
      <c r="AB566" t="s">
        <v>100</v>
      </c>
      <c r="AC566" t="s">
        <v>84</v>
      </c>
      <c r="AD566" t="s">
        <v>90</v>
      </c>
    </row>
    <row r="567" spans="1:30" hidden="1">
      <c r="A567" s="1">
        <v>45551</v>
      </c>
      <c r="B567" t="s">
        <v>14</v>
      </c>
      <c r="C567" t="s">
        <v>75</v>
      </c>
      <c r="D567" t="s">
        <v>76</v>
      </c>
      <c r="E567" t="s">
        <v>77</v>
      </c>
      <c r="F567" t="s">
        <v>78</v>
      </c>
      <c r="G567" t="s">
        <v>79</v>
      </c>
      <c r="H567" t="s">
        <v>80</v>
      </c>
      <c r="I567" t="s">
        <v>81</v>
      </c>
      <c r="J567" t="s">
        <v>82</v>
      </c>
      <c r="K567" t="s">
        <v>76</v>
      </c>
      <c r="L567" t="s">
        <v>8</v>
      </c>
      <c r="M567" t="s">
        <v>83</v>
      </c>
      <c r="N567" t="s">
        <v>84</v>
      </c>
      <c r="O567" t="s">
        <v>85</v>
      </c>
      <c r="P567">
        <v>298153</v>
      </c>
      <c r="Q567" t="s">
        <v>5</v>
      </c>
      <c r="R567" t="s">
        <v>86</v>
      </c>
      <c r="S567" t="s">
        <v>87</v>
      </c>
      <c r="T567">
        <v>0</v>
      </c>
      <c r="U567">
        <v>0.25</v>
      </c>
      <c r="V567" s="2">
        <v>1.0416666666666666E-2</v>
      </c>
      <c r="W567">
        <v>0</v>
      </c>
      <c r="AA567" t="s">
        <v>88</v>
      </c>
      <c r="AB567" t="s">
        <v>100</v>
      </c>
      <c r="AC567" t="s">
        <v>96</v>
      </c>
      <c r="AD567" t="s">
        <v>90</v>
      </c>
    </row>
    <row r="568" spans="1:30" hidden="1">
      <c r="A568" s="1">
        <v>45551</v>
      </c>
      <c r="B568" t="s">
        <v>12</v>
      </c>
      <c r="C568" t="s">
        <v>75</v>
      </c>
      <c r="D568" t="s">
        <v>76</v>
      </c>
      <c r="E568" t="s">
        <v>91</v>
      </c>
      <c r="F568" t="s">
        <v>78</v>
      </c>
      <c r="G568" t="s">
        <v>79</v>
      </c>
      <c r="H568" t="s">
        <v>80</v>
      </c>
      <c r="I568" t="s">
        <v>81</v>
      </c>
      <c r="J568" t="s">
        <v>82</v>
      </c>
      <c r="K568" t="s">
        <v>76</v>
      </c>
      <c r="L568" t="s">
        <v>8</v>
      </c>
      <c r="M568" t="s">
        <v>83</v>
      </c>
      <c r="N568" t="s">
        <v>84</v>
      </c>
      <c r="O568" t="s">
        <v>85</v>
      </c>
      <c r="P568">
        <v>298065</v>
      </c>
      <c r="Q568" t="s">
        <v>4</v>
      </c>
      <c r="R568" t="s">
        <v>94</v>
      </c>
      <c r="S568" t="s">
        <v>87</v>
      </c>
      <c r="T568">
        <v>90</v>
      </c>
      <c r="U568">
        <v>0.5</v>
      </c>
      <c r="V568" s="2">
        <v>2.0833333333333332E-2</v>
      </c>
      <c r="W568">
        <v>45</v>
      </c>
      <c r="X568">
        <v>60</v>
      </c>
      <c r="Y568">
        <v>15</v>
      </c>
      <c r="Z568" t="s">
        <v>279</v>
      </c>
      <c r="AA568" t="s">
        <v>88</v>
      </c>
      <c r="AB568" t="s">
        <v>100</v>
      </c>
      <c r="AC568" t="s">
        <v>84</v>
      </c>
      <c r="AD568" t="s">
        <v>90</v>
      </c>
    </row>
    <row r="569" spans="1:30" hidden="1">
      <c r="A569" s="1">
        <v>45552</v>
      </c>
      <c r="B569" t="s">
        <v>254</v>
      </c>
      <c r="C569" t="s">
        <v>75</v>
      </c>
      <c r="D569" t="s">
        <v>76</v>
      </c>
      <c r="E569" t="s">
        <v>77</v>
      </c>
      <c r="F569" t="s">
        <v>78</v>
      </c>
      <c r="G569" t="s">
        <v>79</v>
      </c>
      <c r="H569" t="s">
        <v>80</v>
      </c>
      <c r="I569" t="s">
        <v>81</v>
      </c>
      <c r="J569" t="s">
        <v>82</v>
      </c>
      <c r="K569" t="s">
        <v>76</v>
      </c>
      <c r="L569" t="s">
        <v>8</v>
      </c>
      <c r="M569" t="s">
        <v>83</v>
      </c>
      <c r="N569" t="s">
        <v>84</v>
      </c>
      <c r="O569" t="s">
        <v>85</v>
      </c>
      <c r="P569">
        <v>298503</v>
      </c>
      <c r="Q569" t="s">
        <v>5</v>
      </c>
      <c r="R569" t="s">
        <v>86</v>
      </c>
      <c r="S569" t="s">
        <v>87</v>
      </c>
      <c r="T569">
        <v>0</v>
      </c>
      <c r="U569">
        <v>0.25</v>
      </c>
      <c r="V569" s="2">
        <v>1.0416666666666666E-2</v>
      </c>
      <c r="W569">
        <v>0</v>
      </c>
      <c r="AA569" t="s">
        <v>88</v>
      </c>
      <c r="AB569" t="s">
        <v>100</v>
      </c>
      <c r="AC569" t="s">
        <v>84</v>
      </c>
      <c r="AD569" t="s">
        <v>90</v>
      </c>
    </row>
    <row r="570" spans="1:30" hidden="1">
      <c r="A570" s="1">
        <v>45552</v>
      </c>
      <c r="B570" t="s">
        <v>8</v>
      </c>
      <c r="C570" t="s">
        <v>75</v>
      </c>
      <c r="D570" t="s">
        <v>76</v>
      </c>
      <c r="E570" t="s">
        <v>91</v>
      </c>
      <c r="F570" t="s">
        <v>78</v>
      </c>
      <c r="G570" t="s">
        <v>79</v>
      </c>
      <c r="H570" t="s">
        <v>80</v>
      </c>
      <c r="I570" t="s">
        <v>81</v>
      </c>
      <c r="J570" t="s">
        <v>82</v>
      </c>
      <c r="K570" t="s">
        <v>76</v>
      </c>
      <c r="L570" t="s">
        <v>8</v>
      </c>
      <c r="M570" t="s">
        <v>83</v>
      </c>
      <c r="N570" t="s">
        <v>84</v>
      </c>
      <c r="O570" t="s">
        <v>85</v>
      </c>
      <c r="P570">
        <v>298906</v>
      </c>
      <c r="Q570" t="s">
        <v>5</v>
      </c>
      <c r="R570" t="s">
        <v>86</v>
      </c>
      <c r="S570" t="s">
        <v>87</v>
      </c>
      <c r="T570">
        <v>0</v>
      </c>
      <c r="U570">
        <v>0.25</v>
      </c>
      <c r="V570" s="2">
        <v>1.0416666666666666E-2</v>
      </c>
      <c r="W570">
        <v>0</v>
      </c>
      <c r="AA570" t="s">
        <v>88</v>
      </c>
      <c r="AB570" t="s">
        <v>100</v>
      </c>
      <c r="AC570" t="s">
        <v>84</v>
      </c>
      <c r="AD570" t="s">
        <v>90</v>
      </c>
    </row>
    <row r="571" spans="1:30" hidden="1">
      <c r="A571" s="1">
        <v>45553</v>
      </c>
      <c r="B571" t="s">
        <v>211</v>
      </c>
      <c r="C571" t="s">
        <v>75</v>
      </c>
      <c r="D571" t="s">
        <v>76</v>
      </c>
      <c r="E571" t="s">
        <v>91</v>
      </c>
      <c r="F571" t="s">
        <v>78</v>
      </c>
      <c r="G571" t="s">
        <v>79</v>
      </c>
      <c r="H571" t="s">
        <v>80</v>
      </c>
      <c r="I571" t="s">
        <v>81</v>
      </c>
      <c r="J571" t="s">
        <v>82</v>
      </c>
      <c r="K571" t="s">
        <v>76</v>
      </c>
      <c r="L571" t="s">
        <v>8</v>
      </c>
      <c r="M571" t="s">
        <v>83</v>
      </c>
      <c r="N571" t="s">
        <v>93</v>
      </c>
      <c r="O571" t="s">
        <v>85</v>
      </c>
      <c r="P571">
        <v>298897</v>
      </c>
      <c r="Q571" t="s">
        <v>5</v>
      </c>
      <c r="R571" t="s">
        <v>86</v>
      </c>
      <c r="S571" t="s">
        <v>87</v>
      </c>
      <c r="T571">
        <v>0</v>
      </c>
      <c r="U571">
        <v>0.5</v>
      </c>
      <c r="V571" s="2">
        <v>2.0833333333333332E-2</v>
      </c>
      <c r="W571">
        <v>0</v>
      </c>
      <c r="AA571" t="s">
        <v>88</v>
      </c>
      <c r="AB571" t="s">
        <v>100</v>
      </c>
      <c r="AC571" t="s">
        <v>84</v>
      </c>
      <c r="AD571" t="s">
        <v>90</v>
      </c>
    </row>
    <row r="572" spans="1:30" hidden="1">
      <c r="A572" s="1">
        <v>45553</v>
      </c>
      <c r="B572" t="s">
        <v>12</v>
      </c>
      <c r="C572" t="s">
        <v>75</v>
      </c>
      <c r="D572" t="s">
        <v>76</v>
      </c>
      <c r="E572" t="s">
        <v>91</v>
      </c>
      <c r="F572" t="s">
        <v>78</v>
      </c>
      <c r="G572" t="s">
        <v>79</v>
      </c>
      <c r="H572" t="s">
        <v>80</v>
      </c>
      <c r="I572" t="s">
        <v>81</v>
      </c>
      <c r="J572" t="s">
        <v>82</v>
      </c>
      <c r="K572" t="s">
        <v>76</v>
      </c>
      <c r="L572" t="s">
        <v>8</v>
      </c>
      <c r="M572" t="s">
        <v>83</v>
      </c>
      <c r="N572" t="s">
        <v>84</v>
      </c>
      <c r="O572" t="s">
        <v>85</v>
      </c>
      <c r="P572">
        <v>299517</v>
      </c>
      <c r="Q572" t="s">
        <v>5</v>
      </c>
      <c r="R572" t="s">
        <v>86</v>
      </c>
      <c r="S572" t="s">
        <v>87</v>
      </c>
      <c r="T572">
        <v>0</v>
      </c>
      <c r="U572">
        <v>0.25</v>
      </c>
      <c r="V572" s="2">
        <v>1.0416666666666666E-2</v>
      </c>
      <c r="W572">
        <v>0</v>
      </c>
      <c r="AA572" t="s">
        <v>88</v>
      </c>
      <c r="AB572" t="s">
        <v>100</v>
      </c>
      <c r="AC572" t="s">
        <v>84</v>
      </c>
      <c r="AD572" t="s">
        <v>90</v>
      </c>
    </row>
    <row r="573" spans="1:30" hidden="1">
      <c r="A573" s="1">
        <v>45553</v>
      </c>
      <c r="B573" t="s">
        <v>254</v>
      </c>
      <c r="C573" t="s">
        <v>75</v>
      </c>
      <c r="D573" t="s">
        <v>76</v>
      </c>
      <c r="E573" t="s">
        <v>77</v>
      </c>
      <c r="F573" t="s">
        <v>78</v>
      </c>
      <c r="G573" t="s">
        <v>79</v>
      </c>
      <c r="H573" t="s">
        <v>80</v>
      </c>
      <c r="I573" t="s">
        <v>81</v>
      </c>
      <c r="J573" t="s">
        <v>82</v>
      </c>
      <c r="K573" t="s">
        <v>76</v>
      </c>
      <c r="L573" t="s">
        <v>8</v>
      </c>
      <c r="M573" t="s">
        <v>83</v>
      </c>
      <c r="N573" t="s">
        <v>84</v>
      </c>
      <c r="O573" t="s">
        <v>85</v>
      </c>
      <c r="P573">
        <v>298873</v>
      </c>
      <c r="Q573" t="s">
        <v>5</v>
      </c>
      <c r="R573" t="s">
        <v>86</v>
      </c>
      <c r="S573" t="s">
        <v>87</v>
      </c>
      <c r="T573">
        <v>0</v>
      </c>
      <c r="U573">
        <v>0.25</v>
      </c>
      <c r="V573" s="2">
        <v>1.0416666666666666E-2</v>
      </c>
      <c r="W573">
        <v>0</v>
      </c>
      <c r="AA573" t="s">
        <v>88</v>
      </c>
      <c r="AB573" t="s">
        <v>100</v>
      </c>
      <c r="AC573" t="s">
        <v>84</v>
      </c>
      <c r="AD573" t="s">
        <v>90</v>
      </c>
    </row>
    <row r="574" spans="1:30" hidden="1">
      <c r="A574" s="1">
        <v>45553</v>
      </c>
      <c r="B574" t="s">
        <v>8</v>
      </c>
      <c r="C574" t="s">
        <v>75</v>
      </c>
      <c r="D574" t="s">
        <v>76</v>
      </c>
      <c r="E574" t="s">
        <v>91</v>
      </c>
      <c r="F574" t="s">
        <v>78</v>
      </c>
      <c r="G574" t="s">
        <v>79</v>
      </c>
      <c r="H574" t="s">
        <v>80</v>
      </c>
      <c r="I574" t="s">
        <v>81</v>
      </c>
      <c r="J574" t="s">
        <v>82</v>
      </c>
      <c r="K574" t="s">
        <v>76</v>
      </c>
      <c r="L574" t="s">
        <v>8</v>
      </c>
      <c r="M574" t="s">
        <v>83</v>
      </c>
      <c r="N574" t="s">
        <v>84</v>
      </c>
      <c r="O574" t="s">
        <v>85</v>
      </c>
      <c r="P574">
        <v>299341</v>
      </c>
      <c r="Q574" t="s">
        <v>5</v>
      </c>
      <c r="R574" t="s">
        <v>86</v>
      </c>
      <c r="S574" t="s">
        <v>87</v>
      </c>
      <c r="T574">
        <v>0</v>
      </c>
      <c r="U574">
        <v>0.5</v>
      </c>
      <c r="V574" s="2">
        <v>2.0833333333333332E-2</v>
      </c>
      <c r="W574">
        <v>0</v>
      </c>
      <c r="AA574" t="s">
        <v>88</v>
      </c>
      <c r="AB574" t="s">
        <v>100</v>
      </c>
      <c r="AC574" t="s">
        <v>84</v>
      </c>
      <c r="AD574" t="s">
        <v>90</v>
      </c>
    </row>
    <row r="575" spans="1:30" hidden="1">
      <c r="A575" s="1">
        <v>45554</v>
      </c>
      <c r="B575" t="s">
        <v>12</v>
      </c>
      <c r="C575" t="s">
        <v>75</v>
      </c>
      <c r="D575" t="s">
        <v>76</v>
      </c>
      <c r="E575" t="s">
        <v>91</v>
      </c>
      <c r="F575" t="s">
        <v>78</v>
      </c>
      <c r="G575" t="s">
        <v>79</v>
      </c>
      <c r="H575" t="s">
        <v>80</v>
      </c>
      <c r="I575" t="s">
        <v>81</v>
      </c>
      <c r="J575" t="s">
        <v>82</v>
      </c>
      <c r="K575" t="s">
        <v>76</v>
      </c>
      <c r="L575" t="s">
        <v>8</v>
      </c>
      <c r="M575" t="s">
        <v>83</v>
      </c>
      <c r="N575" t="s">
        <v>84</v>
      </c>
      <c r="O575" t="s">
        <v>85</v>
      </c>
      <c r="P575">
        <v>300067</v>
      </c>
      <c r="Q575" t="s">
        <v>5</v>
      </c>
      <c r="R575" t="s">
        <v>86</v>
      </c>
      <c r="S575" t="s">
        <v>87</v>
      </c>
      <c r="T575">
        <v>0</v>
      </c>
      <c r="U575">
        <v>0.25</v>
      </c>
      <c r="V575" s="2">
        <v>1.0416666666666666E-2</v>
      </c>
      <c r="W575">
        <v>0</v>
      </c>
      <c r="AA575" t="s">
        <v>88</v>
      </c>
      <c r="AB575" t="s">
        <v>100</v>
      </c>
      <c r="AC575" t="s">
        <v>84</v>
      </c>
      <c r="AD575" t="s">
        <v>90</v>
      </c>
    </row>
    <row r="576" spans="1:30" hidden="1">
      <c r="A576" s="1">
        <v>45554</v>
      </c>
      <c r="B576" t="s">
        <v>254</v>
      </c>
      <c r="C576" t="s">
        <v>75</v>
      </c>
      <c r="D576" t="s">
        <v>76</v>
      </c>
      <c r="E576" t="s">
        <v>77</v>
      </c>
      <c r="F576" t="s">
        <v>78</v>
      </c>
      <c r="G576" t="s">
        <v>79</v>
      </c>
      <c r="H576" t="s">
        <v>80</v>
      </c>
      <c r="I576" t="s">
        <v>81</v>
      </c>
      <c r="J576" t="s">
        <v>82</v>
      </c>
      <c r="K576" t="s">
        <v>76</v>
      </c>
      <c r="L576" t="s">
        <v>8</v>
      </c>
      <c r="M576" t="s">
        <v>83</v>
      </c>
      <c r="N576" t="s">
        <v>84</v>
      </c>
      <c r="O576" t="s">
        <v>85</v>
      </c>
      <c r="P576">
        <v>300358</v>
      </c>
      <c r="Q576" t="s">
        <v>5</v>
      </c>
      <c r="R576" t="s">
        <v>86</v>
      </c>
      <c r="S576" t="s">
        <v>87</v>
      </c>
      <c r="T576">
        <v>0</v>
      </c>
      <c r="U576">
        <v>0.25</v>
      </c>
      <c r="V576" s="2">
        <v>1.0416666666666666E-2</v>
      </c>
      <c r="W576">
        <v>0</v>
      </c>
      <c r="AA576" t="s">
        <v>88</v>
      </c>
      <c r="AB576" t="s">
        <v>100</v>
      </c>
      <c r="AC576" t="s">
        <v>84</v>
      </c>
      <c r="AD576" t="s">
        <v>90</v>
      </c>
    </row>
    <row r="577" spans="1:30" hidden="1">
      <c r="A577" s="1">
        <v>45554</v>
      </c>
      <c r="B577" t="s">
        <v>8</v>
      </c>
      <c r="C577" t="s">
        <v>75</v>
      </c>
      <c r="D577" t="s">
        <v>76</v>
      </c>
      <c r="E577" t="s">
        <v>91</v>
      </c>
      <c r="F577" t="s">
        <v>78</v>
      </c>
      <c r="G577" t="s">
        <v>79</v>
      </c>
      <c r="H577" t="s">
        <v>80</v>
      </c>
      <c r="I577" t="s">
        <v>81</v>
      </c>
      <c r="J577" t="s">
        <v>82</v>
      </c>
      <c r="K577" t="s">
        <v>76</v>
      </c>
      <c r="L577" t="s">
        <v>8</v>
      </c>
      <c r="M577" t="s">
        <v>83</v>
      </c>
      <c r="N577" t="s">
        <v>84</v>
      </c>
      <c r="O577" t="s">
        <v>85</v>
      </c>
      <c r="P577">
        <v>299697</v>
      </c>
      <c r="Q577" t="s">
        <v>5</v>
      </c>
      <c r="R577" t="s">
        <v>86</v>
      </c>
      <c r="S577" t="s">
        <v>87</v>
      </c>
      <c r="T577">
        <v>0</v>
      </c>
      <c r="U577">
        <v>0.25</v>
      </c>
      <c r="V577" s="2">
        <v>1.0416666666666666E-2</v>
      </c>
      <c r="W577">
        <v>0</v>
      </c>
      <c r="AA577" t="s">
        <v>88</v>
      </c>
      <c r="AB577" t="s">
        <v>100</v>
      </c>
      <c r="AC577" t="s">
        <v>84</v>
      </c>
      <c r="AD577" t="s">
        <v>90</v>
      </c>
    </row>
    <row r="578" spans="1:30" hidden="1">
      <c r="A578" s="1">
        <v>45555</v>
      </c>
      <c r="B578" t="s">
        <v>10</v>
      </c>
      <c r="C578" t="s">
        <v>92</v>
      </c>
      <c r="D578" t="s">
        <v>76</v>
      </c>
      <c r="E578" t="s">
        <v>91</v>
      </c>
      <c r="F578" t="s">
        <v>78</v>
      </c>
      <c r="G578" t="s">
        <v>79</v>
      </c>
      <c r="H578" t="s">
        <v>80</v>
      </c>
      <c r="I578" t="s">
        <v>81</v>
      </c>
      <c r="J578" t="s">
        <v>82</v>
      </c>
      <c r="K578" t="s">
        <v>76</v>
      </c>
      <c r="L578" t="s">
        <v>8</v>
      </c>
      <c r="M578" t="s">
        <v>83</v>
      </c>
      <c r="N578" t="s">
        <v>93</v>
      </c>
      <c r="O578" t="s">
        <v>85</v>
      </c>
      <c r="P578">
        <v>300068</v>
      </c>
      <c r="Q578" t="s">
        <v>4</v>
      </c>
      <c r="R578" t="s">
        <v>94</v>
      </c>
      <c r="S578" t="s">
        <v>87</v>
      </c>
      <c r="T578">
        <v>90</v>
      </c>
      <c r="U578">
        <v>4.5</v>
      </c>
      <c r="V578" s="2">
        <v>0.1875</v>
      </c>
      <c r="W578">
        <v>405</v>
      </c>
      <c r="X578">
        <v>540</v>
      </c>
      <c r="Y578">
        <v>135</v>
      </c>
      <c r="Z578" t="s">
        <v>279</v>
      </c>
      <c r="AA578" t="s">
        <v>88</v>
      </c>
      <c r="AB578" t="s">
        <v>100</v>
      </c>
      <c r="AC578" t="s">
        <v>287</v>
      </c>
      <c r="AD578" t="s">
        <v>90</v>
      </c>
    </row>
    <row r="579" spans="1:30" hidden="1">
      <c r="A579" s="1">
        <v>45555</v>
      </c>
      <c r="B579" t="s">
        <v>10</v>
      </c>
      <c r="C579" t="s">
        <v>92</v>
      </c>
      <c r="D579" t="s">
        <v>76</v>
      </c>
      <c r="E579" t="s">
        <v>91</v>
      </c>
      <c r="F579" t="s">
        <v>78</v>
      </c>
      <c r="G579" t="s">
        <v>79</v>
      </c>
      <c r="H579" t="s">
        <v>80</v>
      </c>
      <c r="I579" t="s">
        <v>81</v>
      </c>
      <c r="J579" t="s">
        <v>82</v>
      </c>
      <c r="K579" t="s">
        <v>76</v>
      </c>
      <c r="L579" t="s">
        <v>8</v>
      </c>
      <c r="M579" t="s">
        <v>83</v>
      </c>
      <c r="N579" t="s">
        <v>93</v>
      </c>
      <c r="O579" t="s">
        <v>85</v>
      </c>
      <c r="P579">
        <v>300023</v>
      </c>
      <c r="Q579" t="s">
        <v>5</v>
      </c>
      <c r="R579" t="s">
        <v>86</v>
      </c>
      <c r="S579" t="s">
        <v>87</v>
      </c>
      <c r="T579">
        <v>0</v>
      </c>
      <c r="U579">
        <v>0.5</v>
      </c>
      <c r="V579" s="2">
        <v>2.0833333333333332E-2</v>
      </c>
      <c r="W579">
        <v>0</v>
      </c>
      <c r="AA579" t="s">
        <v>88</v>
      </c>
      <c r="AB579" t="s">
        <v>100</v>
      </c>
      <c r="AC579" t="s">
        <v>288</v>
      </c>
      <c r="AD579" t="s">
        <v>90</v>
      </c>
    </row>
    <row r="580" spans="1:30" hidden="1">
      <c r="A580" s="1">
        <v>45555</v>
      </c>
      <c r="B580" t="s">
        <v>12</v>
      </c>
      <c r="C580" t="s">
        <v>75</v>
      </c>
      <c r="D580" t="s">
        <v>76</v>
      </c>
      <c r="E580" t="s">
        <v>91</v>
      </c>
      <c r="F580" t="s">
        <v>78</v>
      </c>
      <c r="G580" t="s">
        <v>79</v>
      </c>
      <c r="H580" t="s">
        <v>80</v>
      </c>
      <c r="I580" t="s">
        <v>81</v>
      </c>
      <c r="J580" t="s">
        <v>82</v>
      </c>
      <c r="K580" t="s">
        <v>76</v>
      </c>
      <c r="L580" t="s">
        <v>8</v>
      </c>
      <c r="M580" t="s">
        <v>83</v>
      </c>
      <c r="N580" t="s">
        <v>84</v>
      </c>
      <c r="O580" t="s">
        <v>85</v>
      </c>
      <c r="P580">
        <v>300060</v>
      </c>
      <c r="Q580" t="s">
        <v>4</v>
      </c>
      <c r="R580" t="s">
        <v>94</v>
      </c>
      <c r="S580" t="s">
        <v>87</v>
      </c>
      <c r="T580">
        <v>90</v>
      </c>
      <c r="U580">
        <v>0.75</v>
      </c>
      <c r="V580" s="2">
        <v>3.125E-2</v>
      </c>
      <c r="W580">
        <v>67.5</v>
      </c>
      <c r="X580">
        <v>90</v>
      </c>
      <c r="Y580">
        <v>22.5</v>
      </c>
      <c r="Z580" t="s">
        <v>279</v>
      </c>
      <c r="AA580" t="s">
        <v>88</v>
      </c>
      <c r="AB580" t="s">
        <v>100</v>
      </c>
      <c r="AC580" t="s">
        <v>84</v>
      </c>
      <c r="AD580" t="s">
        <v>90</v>
      </c>
    </row>
    <row r="581" spans="1:30" hidden="1">
      <c r="A581" s="1">
        <v>45555</v>
      </c>
      <c r="B581" t="s">
        <v>254</v>
      </c>
      <c r="C581" t="s">
        <v>75</v>
      </c>
      <c r="D581" t="s">
        <v>76</v>
      </c>
      <c r="E581" t="s">
        <v>77</v>
      </c>
      <c r="F581" t="s">
        <v>78</v>
      </c>
      <c r="G581" t="s">
        <v>79</v>
      </c>
      <c r="H581" t="s">
        <v>80</v>
      </c>
      <c r="I581" t="s">
        <v>81</v>
      </c>
      <c r="J581" t="s">
        <v>82</v>
      </c>
      <c r="K581" t="s">
        <v>76</v>
      </c>
      <c r="L581" t="s">
        <v>8</v>
      </c>
      <c r="M581" t="s">
        <v>83</v>
      </c>
      <c r="N581" t="s">
        <v>84</v>
      </c>
      <c r="O581" t="s">
        <v>85</v>
      </c>
      <c r="P581">
        <v>300359</v>
      </c>
      <c r="Q581" t="s">
        <v>5</v>
      </c>
      <c r="R581" t="s">
        <v>86</v>
      </c>
      <c r="S581" t="s">
        <v>87</v>
      </c>
      <c r="T581">
        <v>0</v>
      </c>
      <c r="U581">
        <v>0.25</v>
      </c>
      <c r="V581" s="2">
        <v>1.0416666666666666E-2</v>
      </c>
      <c r="W581">
        <v>0</v>
      </c>
      <c r="AA581" t="s">
        <v>88</v>
      </c>
      <c r="AB581" t="s">
        <v>100</v>
      </c>
      <c r="AC581" t="s">
        <v>84</v>
      </c>
      <c r="AD581" t="s">
        <v>90</v>
      </c>
    </row>
    <row r="582" spans="1:30" hidden="1">
      <c r="A582" s="1">
        <v>45555</v>
      </c>
      <c r="B582" t="s">
        <v>8</v>
      </c>
      <c r="C582" t="s">
        <v>75</v>
      </c>
      <c r="D582" t="s">
        <v>76</v>
      </c>
      <c r="E582" t="s">
        <v>91</v>
      </c>
      <c r="F582" t="s">
        <v>78</v>
      </c>
      <c r="G582" t="s">
        <v>79</v>
      </c>
      <c r="H582" t="s">
        <v>80</v>
      </c>
      <c r="I582" t="s">
        <v>81</v>
      </c>
      <c r="J582" t="s">
        <v>82</v>
      </c>
      <c r="K582" t="s">
        <v>76</v>
      </c>
      <c r="L582" t="s">
        <v>8</v>
      </c>
      <c r="M582" t="s">
        <v>83</v>
      </c>
      <c r="N582" t="s">
        <v>84</v>
      </c>
      <c r="O582" t="s">
        <v>85</v>
      </c>
      <c r="P582">
        <v>300201</v>
      </c>
      <c r="Q582" t="s">
        <v>5</v>
      </c>
      <c r="R582" t="s">
        <v>86</v>
      </c>
      <c r="S582" t="s">
        <v>87</v>
      </c>
      <c r="T582">
        <v>0</v>
      </c>
      <c r="U582">
        <v>0.25</v>
      </c>
      <c r="V582" s="2">
        <v>1.0416666666666666E-2</v>
      </c>
      <c r="W582">
        <v>0</v>
      </c>
      <c r="AA582" t="s">
        <v>88</v>
      </c>
      <c r="AB582" t="s">
        <v>100</v>
      </c>
      <c r="AC582" t="s">
        <v>84</v>
      </c>
      <c r="AD582" t="s">
        <v>90</v>
      </c>
    </row>
    <row r="583" spans="1:30" hidden="1">
      <c r="A583" s="1">
        <v>45558</v>
      </c>
      <c r="B583" t="s">
        <v>10</v>
      </c>
      <c r="C583" t="s">
        <v>92</v>
      </c>
      <c r="D583" t="s">
        <v>76</v>
      </c>
      <c r="E583" t="s">
        <v>91</v>
      </c>
      <c r="F583" t="s">
        <v>78</v>
      </c>
      <c r="G583" t="s">
        <v>79</v>
      </c>
      <c r="H583" t="s">
        <v>80</v>
      </c>
      <c r="I583" t="s">
        <v>81</v>
      </c>
      <c r="J583" t="s">
        <v>82</v>
      </c>
      <c r="K583" t="s">
        <v>76</v>
      </c>
      <c r="L583" t="s">
        <v>8</v>
      </c>
      <c r="M583" t="s">
        <v>83</v>
      </c>
      <c r="N583" t="s">
        <v>93</v>
      </c>
      <c r="O583" t="s">
        <v>85</v>
      </c>
      <c r="P583">
        <v>300970</v>
      </c>
      <c r="Q583" t="s">
        <v>4</v>
      </c>
      <c r="R583" t="s">
        <v>94</v>
      </c>
      <c r="S583" t="s">
        <v>87</v>
      </c>
      <c r="T583">
        <v>90</v>
      </c>
      <c r="U583">
        <v>5.75</v>
      </c>
      <c r="V583" s="2">
        <v>0.23958333333333334</v>
      </c>
      <c r="W583">
        <v>517.5</v>
      </c>
      <c r="X583">
        <v>690</v>
      </c>
      <c r="Y583">
        <v>172.5</v>
      </c>
      <c r="Z583" t="s">
        <v>279</v>
      </c>
      <c r="AA583" t="s">
        <v>88</v>
      </c>
      <c r="AB583" t="s">
        <v>100</v>
      </c>
      <c r="AC583" t="s">
        <v>289</v>
      </c>
      <c r="AD583" t="s">
        <v>90</v>
      </c>
    </row>
    <row r="584" spans="1:30" hidden="1">
      <c r="A584" s="1">
        <v>45558</v>
      </c>
      <c r="B584" t="s">
        <v>10</v>
      </c>
      <c r="C584" t="s">
        <v>92</v>
      </c>
      <c r="D584" t="s">
        <v>76</v>
      </c>
      <c r="E584" t="s">
        <v>91</v>
      </c>
      <c r="F584" t="s">
        <v>78</v>
      </c>
      <c r="G584" t="s">
        <v>79</v>
      </c>
      <c r="H584" t="s">
        <v>80</v>
      </c>
      <c r="I584" t="s">
        <v>81</v>
      </c>
      <c r="J584" t="s">
        <v>82</v>
      </c>
      <c r="K584" t="s">
        <v>76</v>
      </c>
      <c r="L584" t="s">
        <v>8</v>
      </c>
      <c r="M584" t="s">
        <v>83</v>
      </c>
      <c r="N584" t="s">
        <v>93</v>
      </c>
      <c r="O584" t="s">
        <v>85</v>
      </c>
      <c r="P584">
        <v>300969</v>
      </c>
      <c r="Q584" t="s">
        <v>5</v>
      </c>
      <c r="R584" t="s">
        <v>86</v>
      </c>
      <c r="S584" t="s">
        <v>87</v>
      </c>
      <c r="T584">
        <v>0</v>
      </c>
      <c r="U584">
        <v>0.25</v>
      </c>
      <c r="V584" s="2">
        <v>1.0416666666666666E-2</v>
      </c>
      <c r="W584">
        <v>0</v>
      </c>
      <c r="AA584" t="s">
        <v>88</v>
      </c>
      <c r="AB584" t="s">
        <v>100</v>
      </c>
      <c r="AC584" t="s">
        <v>290</v>
      </c>
      <c r="AD584" t="s">
        <v>90</v>
      </c>
    </row>
    <row r="585" spans="1:30" hidden="1">
      <c r="A585" s="1">
        <v>45558</v>
      </c>
      <c r="B585" t="s">
        <v>14</v>
      </c>
      <c r="C585" t="s">
        <v>75</v>
      </c>
      <c r="D585" t="s">
        <v>76</v>
      </c>
      <c r="E585" t="s">
        <v>77</v>
      </c>
      <c r="F585" t="s">
        <v>78</v>
      </c>
      <c r="G585" t="s">
        <v>79</v>
      </c>
      <c r="H585" t="s">
        <v>80</v>
      </c>
      <c r="I585" t="s">
        <v>81</v>
      </c>
      <c r="J585" t="s">
        <v>82</v>
      </c>
      <c r="K585" t="s">
        <v>76</v>
      </c>
      <c r="L585" t="s">
        <v>8</v>
      </c>
      <c r="M585" t="s">
        <v>83</v>
      </c>
      <c r="N585" t="s">
        <v>84</v>
      </c>
      <c r="O585" t="s">
        <v>85</v>
      </c>
      <c r="P585">
        <v>300852</v>
      </c>
      <c r="Q585" t="s">
        <v>5</v>
      </c>
      <c r="R585" t="s">
        <v>86</v>
      </c>
      <c r="S585" t="s">
        <v>87</v>
      </c>
      <c r="T585">
        <v>0</v>
      </c>
      <c r="U585">
        <v>0.25</v>
      </c>
      <c r="V585" s="2">
        <v>1.0416666666666666E-2</v>
      </c>
      <c r="W585">
        <v>0</v>
      </c>
      <c r="AA585" t="s">
        <v>88</v>
      </c>
      <c r="AB585" t="s">
        <v>100</v>
      </c>
      <c r="AC585" t="s">
        <v>96</v>
      </c>
      <c r="AD585" t="s">
        <v>90</v>
      </c>
    </row>
    <row r="586" spans="1:30" hidden="1">
      <c r="A586" s="1">
        <v>45558</v>
      </c>
      <c r="B586" t="s">
        <v>12</v>
      </c>
      <c r="C586" t="s">
        <v>75</v>
      </c>
      <c r="D586" t="s">
        <v>76</v>
      </c>
      <c r="E586" t="s">
        <v>91</v>
      </c>
      <c r="F586" t="s">
        <v>78</v>
      </c>
      <c r="G586" t="s">
        <v>79</v>
      </c>
      <c r="H586" t="s">
        <v>80</v>
      </c>
      <c r="I586" t="s">
        <v>81</v>
      </c>
      <c r="J586" t="s">
        <v>82</v>
      </c>
      <c r="K586" t="s">
        <v>76</v>
      </c>
      <c r="L586" t="s">
        <v>8</v>
      </c>
      <c r="M586" t="s">
        <v>83</v>
      </c>
      <c r="N586" t="s">
        <v>84</v>
      </c>
      <c r="O586" t="s">
        <v>85</v>
      </c>
      <c r="P586">
        <v>300972</v>
      </c>
      <c r="Q586" t="s">
        <v>4</v>
      </c>
      <c r="R586" t="s">
        <v>94</v>
      </c>
      <c r="S586" t="s">
        <v>87</v>
      </c>
      <c r="T586">
        <v>90</v>
      </c>
      <c r="U586">
        <v>0.5</v>
      </c>
      <c r="V586" s="2">
        <v>2.0833333333333332E-2</v>
      </c>
      <c r="W586">
        <v>45</v>
      </c>
      <c r="X586">
        <v>60</v>
      </c>
      <c r="Y586">
        <v>15</v>
      </c>
      <c r="Z586" t="s">
        <v>279</v>
      </c>
      <c r="AA586" t="s">
        <v>88</v>
      </c>
      <c r="AB586" t="s">
        <v>100</v>
      </c>
      <c r="AC586" t="s">
        <v>84</v>
      </c>
      <c r="AD586" t="s">
        <v>90</v>
      </c>
    </row>
    <row r="587" spans="1:30" hidden="1">
      <c r="A587" s="1">
        <v>45559</v>
      </c>
      <c r="B587" t="s">
        <v>10</v>
      </c>
      <c r="C587" t="s">
        <v>92</v>
      </c>
      <c r="D587" t="s">
        <v>76</v>
      </c>
      <c r="E587" t="s">
        <v>91</v>
      </c>
      <c r="F587" t="s">
        <v>78</v>
      </c>
      <c r="G587" t="s">
        <v>79</v>
      </c>
      <c r="H587" t="s">
        <v>80</v>
      </c>
      <c r="I587" t="s">
        <v>81</v>
      </c>
      <c r="J587" t="s">
        <v>82</v>
      </c>
      <c r="K587" t="s">
        <v>76</v>
      </c>
      <c r="L587" t="s">
        <v>8</v>
      </c>
      <c r="M587" t="s">
        <v>83</v>
      </c>
      <c r="N587" t="s">
        <v>93</v>
      </c>
      <c r="O587" t="s">
        <v>85</v>
      </c>
      <c r="P587">
        <v>300967</v>
      </c>
      <c r="Q587" t="s">
        <v>4</v>
      </c>
      <c r="R587" t="s">
        <v>94</v>
      </c>
      <c r="S587" t="s">
        <v>87</v>
      </c>
      <c r="T587">
        <v>90</v>
      </c>
      <c r="U587">
        <v>7</v>
      </c>
      <c r="V587" s="2">
        <v>0.29166666666666669</v>
      </c>
      <c r="W587">
        <v>630</v>
      </c>
      <c r="X587">
        <v>840</v>
      </c>
      <c r="Y587">
        <v>210</v>
      </c>
      <c r="Z587" t="s">
        <v>279</v>
      </c>
      <c r="AA587" t="s">
        <v>88</v>
      </c>
      <c r="AB587" t="s">
        <v>100</v>
      </c>
      <c r="AC587" t="s">
        <v>291</v>
      </c>
      <c r="AD587" t="s">
        <v>90</v>
      </c>
    </row>
    <row r="588" spans="1:30" hidden="1">
      <c r="A588" s="1">
        <v>45559</v>
      </c>
      <c r="B588" t="s">
        <v>12</v>
      </c>
      <c r="C588" t="s">
        <v>75</v>
      </c>
      <c r="D588" t="s">
        <v>76</v>
      </c>
      <c r="E588" t="s">
        <v>91</v>
      </c>
      <c r="F588" t="s">
        <v>78</v>
      </c>
      <c r="G588" t="s">
        <v>79</v>
      </c>
      <c r="H588" t="s">
        <v>80</v>
      </c>
      <c r="I588" t="s">
        <v>81</v>
      </c>
      <c r="J588" t="s">
        <v>82</v>
      </c>
      <c r="K588" t="s">
        <v>76</v>
      </c>
      <c r="L588" t="s">
        <v>8</v>
      </c>
      <c r="M588" t="s">
        <v>83</v>
      </c>
      <c r="N588" t="s">
        <v>84</v>
      </c>
      <c r="O588" t="s">
        <v>85</v>
      </c>
      <c r="P588">
        <v>301342</v>
      </c>
      <c r="Q588" t="s">
        <v>5</v>
      </c>
      <c r="R588" t="s">
        <v>86</v>
      </c>
      <c r="S588" t="s">
        <v>87</v>
      </c>
      <c r="T588">
        <v>0</v>
      </c>
      <c r="U588">
        <v>0.25</v>
      </c>
      <c r="V588" s="2">
        <v>1.0416666666666666E-2</v>
      </c>
      <c r="W588">
        <v>0</v>
      </c>
      <c r="AA588" t="s">
        <v>88</v>
      </c>
      <c r="AB588" t="s">
        <v>100</v>
      </c>
      <c r="AC588" t="s">
        <v>84</v>
      </c>
      <c r="AD588" t="s">
        <v>90</v>
      </c>
    </row>
    <row r="589" spans="1:30" hidden="1">
      <c r="A589" s="1">
        <v>45560</v>
      </c>
      <c r="B589" t="s">
        <v>10</v>
      </c>
      <c r="C589" t="s">
        <v>92</v>
      </c>
      <c r="D589" t="s">
        <v>76</v>
      </c>
      <c r="E589" t="s">
        <v>91</v>
      </c>
      <c r="F589" t="s">
        <v>78</v>
      </c>
      <c r="G589" t="s">
        <v>79</v>
      </c>
      <c r="H589" t="s">
        <v>80</v>
      </c>
      <c r="I589" t="s">
        <v>81</v>
      </c>
      <c r="J589" t="s">
        <v>82</v>
      </c>
      <c r="K589" t="s">
        <v>76</v>
      </c>
      <c r="L589" t="s">
        <v>8</v>
      </c>
      <c r="M589" t="s">
        <v>83</v>
      </c>
      <c r="N589" t="s">
        <v>93</v>
      </c>
      <c r="O589" t="s">
        <v>85</v>
      </c>
      <c r="P589">
        <v>301199</v>
      </c>
      <c r="Q589" t="s">
        <v>4</v>
      </c>
      <c r="R589" t="s">
        <v>94</v>
      </c>
      <c r="S589" t="s">
        <v>87</v>
      </c>
      <c r="T589">
        <v>90</v>
      </c>
      <c r="U589">
        <v>1</v>
      </c>
      <c r="V589" s="2">
        <v>4.1666666666666664E-2</v>
      </c>
      <c r="W589">
        <v>90</v>
      </c>
      <c r="X589">
        <v>120</v>
      </c>
      <c r="Y589">
        <v>30</v>
      </c>
      <c r="Z589" t="s">
        <v>279</v>
      </c>
      <c r="AA589" t="s">
        <v>88</v>
      </c>
      <c r="AB589" t="s">
        <v>100</v>
      </c>
      <c r="AC589" t="s">
        <v>292</v>
      </c>
      <c r="AD589" t="s">
        <v>90</v>
      </c>
    </row>
    <row r="590" spans="1:30" hidden="1">
      <c r="A590" s="1">
        <v>45560</v>
      </c>
      <c r="B590" t="s">
        <v>12</v>
      </c>
      <c r="C590" t="s">
        <v>75</v>
      </c>
      <c r="D590" t="s">
        <v>76</v>
      </c>
      <c r="E590" t="s">
        <v>91</v>
      </c>
      <c r="F590" t="s">
        <v>78</v>
      </c>
      <c r="G590" t="s">
        <v>79</v>
      </c>
      <c r="H590" t="s">
        <v>80</v>
      </c>
      <c r="I590" t="s">
        <v>81</v>
      </c>
      <c r="J590" t="s">
        <v>82</v>
      </c>
      <c r="K590" t="s">
        <v>76</v>
      </c>
      <c r="L590" t="s">
        <v>8</v>
      </c>
      <c r="M590" t="s">
        <v>83</v>
      </c>
      <c r="N590" t="s">
        <v>84</v>
      </c>
      <c r="O590" t="s">
        <v>85</v>
      </c>
      <c r="P590">
        <v>301341</v>
      </c>
      <c r="Q590" t="s">
        <v>5</v>
      </c>
      <c r="R590" t="s">
        <v>86</v>
      </c>
      <c r="S590" t="s">
        <v>87</v>
      </c>
      <c r="T590">
        <v>0</v>
      </c>
      <c r="U590">
        <v>0.25</v>
      </c>
      <c r="V590" s="2">
        <v>1.0416666666666666E-2</v>
      </c>
      <c r="W590">
        <v>0</v>
      </c>
      <c r="AA590" t="s">
        <v>88</v>
      </c>
      <c r="AB590" t="s">
        <v>100</v>
      </c>
      <c r="AC590" t="s">
        <v>84</v>
      </c>
      <c r="AD590" t="s">
        <v>90</v>
      </c>
    </row>
    <row r="591" spans="1:30" hidden="1">
      <c r="A591" s="1">
        <v>45560</v>
      </c>
      <c r="B591" t="s">
        <v>254</v>
      </c>
      <c r="C591" t="s">
        <v>75</v>
      </c>
      <c r="D591" t="s">
        <v>76</v>
      </c>
      <c r="E591" t="s">
        <v>77</v>
      </c>
      <c r="F591" t="s">
        <v>78</v>
      </c>
      <c r="G591" t="s">
        <v>79</v>
      </c>
      <c r="H591" t="s">
        <v>80</v>
      </c>
      <c r="I591" t="s">
        <v>81</v>
      </c>
      <c r="J591" t="s">
        <v>82</v>
      </c>
      <c r="K591" t="s">
        <v>76</v>
      </c>
      <c r="L591" t="s">
        <v>8</v>
      </c>
      <c r="M591" t="s">
        <v>83</v>
      </c>
      <c r="N591" t="s">
        <v>84</v>
      </c>
      <c r="O591" t="s">
        <v>85</v>
      </c>
      <c r="P591">
        <v>302132</v>
      </c>
      <c r="Q591" t="s">
        <v>5</v>
      </c>
      <c r="R591" t="s">
        <v>86</v>
      </c>
      <c r="S591" t="s">
        <v>87</v>
      </c>
      <c r="T591">
        <v>0</v>
      </c>
      <c r="U591">
        <v>0.25</v>
      </c>
      <c r="V591" s="2">
        <v>1.0416666666666666E-2</v>
      </c>
      <c r="W591">
        <v>0</v>
      </c>
      <c r="AA591" t="s">
        <v>88</v>
      </c>
      <c r="AB591" t="s">
        <v>100</v>
      </c>
      <c r="AC591" t="s">
        <v>84</v>
      </c>
      <c r="AD591" t="s">
        <v>90</v>
      </c>
    </row>
    <row r="592" spans="1:30" hidden="1">
      <c r="A592" s="1">
        <v>45560</v>
      </c>
      <c r="B592" t="s">
        <v>8</v>
      </c>
      <c r="C592" t="s">
        <v>75</v>
      </c>
      <c r="D592" t="s">
        <v>76</v>
      </c>
      <c r="E592" t="s">
        <v>91</v>
      </c>
      <c r="F592" t="s">
        <v>78</v>
      </c>
      <c r="G592" t="s">
        <v>79</v>
      </c>
      <c r="H592" t="s">
        <v>80</v>
      </c>
      <c r="I592" t="s">
        <v>81</v>
      </c>
      <c r="J592" t="s">
        <v>82</v>
      </c>
      <c r="K592" t="s">
        <v>76</v>
      </c>
      <c r="L592" t="s">
        <v>8</v>
      </c>
      <c r="M592" t="s">
        <v>83</v>
      </c>
      <c r="N592" t="s">
        <v>84</v>
      </c>
      <c r="O592" t="s">
        <v>85</v>
      </c>
      <c r="P592">
        <v>301499</v>
      </c>
      <c r="Q592" t="s">
        <v>5</v>
      </c>
      <c r="R592" t="s">
        <v>86</v>
      </c>
      <c r="S592" t="s">
        <v>87</v>
      </c>
      <c r="T592">
        <v>0</v>
      </c>
      <c r="U592">
        <v>0.75</v>
      </c>
      <c r="V592" s="2">
        <v>3.125E-2</v>
      </c>
      <c r="W592">
        <v>0</v>
      </c>
      <c r="AA592" t="s">
        <v>88</v>
      </c>
      <c r="AB592" t="s">
        <v>100</v>
      </c>
      <c r="AC592" t="s">
        <v>84</v>
      </c>
      <c r="AD592" t="s">
        <v>90</v>
      </c>
    </row>
    <row r="593" spans="1:30" hidden="1">
      <c r="A593" s="1">
        <v>45561</v>
      </c>
      <c r="B593" t="s">
        <v>10</v>
      </c>
      <c r="C593" t="s">
        <v>92</v>
      </c>
      <c r="D593" t="s">
        <v>76</v>
      </c>
      <c r="E593" t="s">
        <v>91</v>
      </c>
      <c r="F593" t="s">
        <v>78</v>
      </c>
      <c r="G593" t="s">
        <v>79</v>
      </c>
      <c r="H593" t="s">
        <v>80</v>
      </c>
      <c r="I593" t="s">
        <v>81</v>
      </c>
      <c r="J593" t="s">
        <v>82</v>
      </c>
      <c r="K593" t="s">
        <v>76</v>
      </c>
      <c r="L593" t="s">
        <v>8</v>
      </c>
      <c r="M593" t="s">
        <v>83</v>
      </c>
      <c r="N593" t="s">
        <v>93</v>
      </c>
      <c r="O593" t="s">
        <v>85</v>
      </c>
      <c r="P593">
        <v>301846</v>
      </c>
      <c r="Q593" t="s">
        <v>5</v>
      </c>
      <c r="R593" t="s">
        <v>86</v>
      </c>
      <c r="S593" t="s">
        <v>87</v>
      </c>
      <c r="T593">
        <v>0</v>
      </c>
      <c r="U593">
        <v>0.25</v>
      </c>
      <c r="V593" s="2">
        <v>1.0416666666666666E-2</v>
      </c>
      <c r="W593">
        <v>0</v>
      </c>
      <c r="AA593" t="s">
        <v>88</v>
      </c>
      <c r="AB593" t="s">
        <v>100</v>
      </c>
      <c r="AC593" t="s">
        <v>293</v>
      </c>
      <c r="AD593" t="s">
        <v>90</v>
      </c>
    </row>
    <row r="594" spans="1:30" hidden="1">
      <c r="A594" s="1">
        <v>45561</v>
      </c>
      <c r="B594" t="s">
        <v>8</v>
      </c>
      <c r="C594" t="s">
        <v>75</v>
      </c>
      <c r="D594" t="s">
        <v>76</v>
      </c>
      <c r="E594" t="s">
        <v>91</v>
      </c>
      <c r="F594" t="s">
        <v>78</v>
      </c>
      <c r="G594" t="s">
        <v>79</v>
      </c>
      <c r="H594" t="s">
        <v>80</v>
      </c>
      <c r="I594" t="s">
        <v>81</v>
      </c>
      <c r="J594" t="s">
        <v>82</v>
      </c>
      <c r="K594" t="s">
        <v>76</v>
      </c>
      <c r="L594" t="s">
        <v>8</v>
      </c>
      <c r="M594" t="s">
        <v>83</v>
      </c>
      <c r="N594" t="s">
        <v>84</v>
      </c>
      <c r="O594" t="s">
        <v>85</v>
      </c>
      <c r="P594">
        <v>302055</v>
      </c>
      <c r="Q594" t="s">
        <v>5</v>
      </c>
      <c r="R594" t="s">
        <v>86</v>
      </c>
      <c r="S594" t="s">
        <v>87</v>
      </c>
      <c r="T594">
        <v>0</v>
      </c>
      <c r="U594">
        <v>0.5</v>
      </c>
      <c r="V594" s="2">
        <v>2.0833333333333332E-2</v>
      </c>
      <c r="W594">
        <v>0</v>
      </c>
      <c r="AA594" t="s">
        <v>88</v>
      </c>
      <c r="AB594" t="s">
        <v>100</v>
      </c>
      <c r="AC594" t="s">
        <v>84</v>
      </c>
      <c r="AD594" t="s">
        <v>90</v>
      </c>
    </row>
    <row r="595" spans="1:30" hidden="1">
      <c r="A595" s="1">
        <v>45562</v>
      </c>
      <c r="B595" t="s">
        <v>12</v>
      </c>
      <c r="C595" t="s">
        <v>75</v>
      </c>
      <c r="D595" t="s">
        <v>76</v>
      </c>
      <c r="E595" t="s">
        <v>91</v>
      </c>
      <c r="F595" t="s">
        <v>78</v>
      </c>
      <c r="G595" t="s">
        <v>79</v>
      </c>
      <c r="H595" t="s">
        <v>80</v>
      </c>
      <c r="I595" t="s">
        <v>81</v>
      </c>
      <c r="J595" t="s">
        <v>82</v>
      </c>
      <c r="K595" t="s">
        <v>76</v>
      </c>
      <c r="L595" t="s">
        <v>8</v>
      </c>
      <c r="M595" t="s">
        <v>83</v>
      </c>
      <c r="N595" t="s">
        <v>84</v>
      </c>
      <c r="O595" t="s">
        <v>85</v>
      </c>
      <c r="P595">
        <v>303002</v>
      </c>
      <c r="Q595" t="s">
        <v>5</v>
      </c>
      <c r="R595" t="s">
        <v>86</v>
      </c>
      <c r="S595" t="s">
        <v>87</v>
      </c>
      <c r="T595">
        <v>0</v>
      </c>
      <c r="U595">
        <v>0.25</v>
      </c>
      <c r="V595" s="2">
        <v>1.0416666666666666E-2</v>
      </c>
      <c r="W595">
        <v>0</v>
      </c>
      <c r="AA595" t="s">
        <v>88</v>
      </c>
      <c r="AB595" t="s">
        <v>100</v>
      </c>
      <c r="AC595" t="s">
        <v>84</v>
      </c>
      <c r="AD595" t="s">
        <v>90</v>
      </c>
    </row>
    <row r="596" spans="1:30" hidden="1">
      <c r="A596" s="1">
        <v>45565</v>
      </c>
      <c r="B596" t="s">
        <v>10</v>
      </c>
      <c r="C596" t="s">
        <v>92</v>
      </c>
      <c r="D596" t="s">
        <v>76</v>
      </c>
      <c r="E596" t="s">
        <v>91</v>
      </c>
      <c r="F596" t="s">
        <v>78</v>
      </c>
      <c r="G596" t="s">
        <v>79</v>
      </c>
      <c r="H596" t="s">
        <v>80</v>
      </c>
      <c r="I596" t="s">
        <v>81</v>
      </c>
      <c r="J596" t="s">
        <v>82</v>
      </c>
      <c r="K596" t="s">
        <v>76</v>
      </c>
      <c r="L596" t="s">
        <v>8</v>
      </c>
      <c r="M596" t="s">
        <v>83</v>
      </c>
      <c r="N596" t="s">
        <v>93</v>
      </c>
      <c r="O596" t="s">
        <v>85</v>
      </c>
      <c r="P596">
        <v>304152</v>
      </c>
      <c r="Q596" t="s">
        <v>5</v>
      </c>
      <c r="R596" t="s">
        <v>86</v>
      </c>
      <c r="S596" t="s">
        <v>87</v>
      </c>
      <c r="T596">
        <v>0</v>
      </c>
      <c r="U596">
        <v>0.5</v>
      </c>
      <c r="V596" s="2">
        <v>2.0833333333333332E-2</v>
      </c>
      <c r="W596">
        <v>0</v>
      </c>
      <c r="AA596" t="s">
        <v>88</v>
      </c>
      <c r="AB596" t="s">
        <v>100</v>
      </c>
      <c r="AC596" t="s">
        <v>294</v>
      </c>
      <c r="AD596" t="s">
        <v>90</v>
      </c>
    </row>
    <row r="597" spans="1:30" hidden="1">
      <c r="A597" s="1">
        <v>45565</v>
      </c>
      <c r="B597" t="s">
        <v>14</v>
      </c>
      <c r="C597" t="s">
        <v>75</v>
      </c>
      <c r="D597" t="s">
        <v>76</v>
      </c>
      <c r="E597" t="s">
        <v>77</v>
      </c>
      <c r="F597" t="s">
        <v>78</v>
      </c>
      <c r="G597" t="s">
        <v>79</v>
      </c>
      <c r="H597" t="s">
        <v>80</v>
      </c>
      <c r="I597" t="s">
        <v>81</v>
      </c>
      <c r="J597" t="s">
        <v>82</v>
      </c>
      <c r="K597" t="s">
        <v>76</v>
      </c>
      <c r="L597" t="s">
        <v>8</v>
      </c>
      <c r="M597" t="s">
        <v>83</v>
      </c>
      <c r="N597" t="s">
        <v>84</v>
      </c>
      <c r="O597" t="s">
        <v>85</v>
      </c>
      <c r="P597">
        <v>304592</v>
      </c>
      <c r="Q597" t="s">
        <v>5</v>
      </c>
      <c r="R597" t="s">
        <v>86</v>
      </c>
      <c r="S597" t="s">
        <v>87</v>
      </c>
      <c r="T597">
        <v>0</v>
      </c>
      <c r="U597">
        <v>0.25</v>
      </c>
      <c r="V597" s="2">
        <v>1.0416666666666666E-2</v>
      </c>
      <c r="W597">
        <v>0</v>
      </c>
      <c r="AA597" t="s">
        <v>88</v>
      </c>
      <c r="AB597" t="s">
        <v>100</v>
      </c>
      <c r="AC597" t="s">
        <v>89</v>
      </c>
      <c r="AD597" t="s">
        <v>90</v>
      </c>
    </row>
    <row r="598" spans="1:30" hidden="1">
      <c r="A598" s="1">
        <v>45565</v>
      </c>
      <c r="B598" t="s">
        <v>16</v>
      </c>
      <c r="C598" t="s">
        <v>75</v>
      </c>
      <c r="D598" t="s">
        <v>76</v>
      </c>
      <c r="E598" t="s">
        <v>91</v>
      </c>
      <c r="F598" t="s">
        <v>78</v>
      </c>
      <c r="G598" t="s">
        <v>79</v>
      </c>
      <c r="H598" t="s">
        <v>80</v>
      </c>
      <c r="I598" t="s">
        <v>81</v>
      </c>
      <c r="J598" t="s">
        <v>82</v>
      </c>
      <c r="K598" t="s">
        <v>76</v>
      </c>
      <c r="L598" t="s">
        <v>8</v>
      </c>
      <c r="M598" t="s">
        <v>83</v>
      </c>
      <c r="N598" t="s">
        <v>93</v>
      </c>
      <c r="O598" t="s">
        <v>85</v>
      </c>
      <c r="P598">
        <v>304480</v>
      </c>
      <c r="Q598" t="s">
        <v>5</v>
      </c>
      <c r="R598" t="s">
        <v>86</v>
      </c>
      <c r="S598" t="s">
        <v>87</v>
      </c>
      <c r="T598">
        <v>0</v>
      </c>
      <c r="U598">
        <v>0.25</v>
      </c>
      <c r="V598" s="2">
        <v>1.0416666666666666E-2</v>
      </c>
      <c r="W598">
        <v>0</v>
      </c>
      <c r="AA598" t="s">
        <v>88</v>
      </c>
      <c r="AB598" t="s">
        <v>100</v>
      </c>
      <c r="AC598" t="s">
        <v>84</v>
      </c>
      <c r="AD598" t="s">
        <v>90</v>
      </c>
    </row>
    <row r="599" spans="1:30" hidden="1">
      <c r="A599" s="1">
        <v>45565</v>
      </c>
      <c r="B599" t="s">
        <v>12</v>
      </c>
      <c r="C599" t="s">
        <v>75</v>
      </c>
      <c r="D599" t="s">
        <v>76</v>
      </c>
      <c r="E599" t="s">
        <v>91</v>
      </c>
      <c r="F599" t="s">
        <v>78</v>
      </c>
      <c r="G599" t="s">
        <v>79</v>
      </c>
      <c r="H599" t="s">
        <v>80</v>
      </c>
      <c r="I599" t="s">
        <v>81</v>
      </c>
      <c r="J599" t="s">
        <v>82</v>
      </c>
      <c r="K599" t="s">
        <v>76</v>
      </c>
      <c r="L599" t="s">
        <v>8</v>
      </c>
      <c r="M599" t="s">
        <v>83</v>
      </c>
      <c r="N599" t="s">
        <v>84</v>
      </c>
      <c r="O599" t="s">
        <v>85</v>
      </c>
      <c r="P599">
        <v>304283</v>
      </c>
      <c r="Q599" t="s">
        <v>5</v>
      </c>
      <c r="R599" t="s">
        <v>86</v>
      </c>
      <c r="S599" t="s">
        <v>87</v>
      </c>
      <c r="T599">
        <v>0</v>
      </c>
      <c r="U599">
        <v>0.75</v>
      </c>
      <c r="V599" s="2">
        <v>3.125E-2</v>
      </c>
      <c r="W599">
        <v>0</v>
      </c>
      <c r="AA599" t="s">
        <v>88</v>
      </c>
      <c r="AB599" t="s">
        <v>100</v>
      </c>
      <c r="AC599" t="s">
        <v>84</v>
      </c>
      <c r="AD599" t="s">
        <v>90</v>
      </c>
    </row>
    <row r="600" spans="1:30" hidden="1">
      <c r="A600" s="1">
        <v>45566</v>
      </c>
      <c r="B600" t="s">
        <v>10</v>
      </c>
      <c r="C600" t="s">
        <v>92</v>
      </c>
      <c r="D600" t="s">
        <v>76</v>
      </c>
      <c r="E600" t="s">
        <v>91</v>
      </c>
      <c r="F600" t="s">
        <v>78</v>
      </c>
      <c r="G600" t="s">
        <v>79</v>
      </c>
      <c r="H600" t="s">
        <v>80</v>
      </c>
      <c r="I600" t="s">
        <v>81</v>
      </c>
      <c r="J600" t="s">
        <v>82</v>
      </c>
      <c r="K600" t="s">
        <v>76</v>
      </c>
      <c r="L600" t="s">
        <v>8</v>
      </c>
      <c r="M600" t="s">
        <v>83</v>
      </c>
      <c r="N600" t="s">
        <v>93</v>
      </c>
      <c r="O600" t="s">
        <v>85</v>
      </c>
      <c r="P600">
        <v>305272</v>
      </c>
      <c r="Q600" t="s">
        <v>4</v>
      </c>
      <c r="R600" t="s">
        <v>94</v>
      </c>
      <c r="S600" t="s">
        <v>87</v>
      </c>
      <c r="T600">
        <v>90</v>
      </c>
      <c r="U600">
        <v>5.75</v>
      </c>
      <c r="V600" s="2">
        <v>0.23958333333333334</v>
      </c>
      <c r="W600">
        <v>517.5</v>
      </c>
      <c r="X600">
        <v>690</v>
      </c>
      <c r="Y600">
        <v>172.5</v>
      </c>
      <c r="Z600" t="s">
        <v>295</v>
      </c>
      <c r="AA600" t="s">
        <v>88</v>
      </c>
      <c r="AB600" t="s">
        <v>100</v>
      </c>
      <c r="AC600" t="s">
        <v>296</v>
      </c>
      <c r="AD600" t="s">
        <v>90</v>
      </c>
    </row>
    <row r="601" spans="1:30" hidden="1">
      <c r="A601" s="1">
        <v>45566</v>
      </c>
      <c r="B601" t="s">
        <v>10</v>
      </c>
      <c r="C601" t="s">
        <v>92</v>
      </c>
      <c r="D601" t="s">
        <v>76</v>
      </c>
      <c r="E601" t="s">
        <v>91</v>
      </c>
      <c r="F601" t="s">
        <v>78</v>
      </c>
      <c r="G601" t="s">
        <v>79</v>
      </c>
      <c r="H601" t="s">
        <v>80</v>
      </c>
      <c r="I601" t="s">
        <v>81</v>
      </c>
      <c r="J601" t="s">
        <v>82</v>
      </c>
      <c r="K601" t="s">
        <v>76</v>
      </c>
      <c r="L601" t="s">
        <v>8</v>
      </c>
      <c r="M601" t="s">
        <v>83</v>
      </c>
      <c r="N601" t="s">
        <v>93</v>
      </c>
      <c r="O601" t="s">
        <v>85</v>
      </c>
      <c r="P601">
        <v>305273</v>
      </c>
      <c r="Q601" t="s">
        <v>5</v>
      </c>
      <c r="R601" t="s">
        <v>86</v>
      </c>
      <c r="S601" t="s">
        <v>87</v>
      </c>
      <c r="T601">
        <v>0</v>
      </c>
      <c r="U601">
        <v>0.25</v>
      </c>
      <c r="V601" s="2">
        <v>1.0416666666666666E-2</v>
      </c>
      <c r="W601">
        <v>0</v>
      </c>
      <c r="AA601" t="s">
        <v>88</v>
      </c>
      <c r="AB601" t="s">
        <v>100</v>
      </c>
      <c r="AC601" t="s">
        <v>297</v>
      </c>
      <c r="AD601" t="s">
        <v>90</v>
      </c>
    </row>
    <row r="602" spans="1:30" hidden="1">
      <c r="A602" s="1">
        <v>45566</v>
      </c>
      <c r="B602" t="s">
        <v>16</v>
      </c>
      <c r="C602" t="s">
        <v>75</v>
      </c>
      <c r="D602" t="s">
        <v>76</v>
      </c>
      <c r="E602" t="s">
        <v>91</v>
      </c>
      <c r="F602" t="s">
        <v>78</v>
      </c>
      <c r="G602" t="s">
        <v>79</v>
      </c>
      <c r="H602" t="s">
        <v>80</v>
      </c>
      <c r="I602" t="s">
        <v>81</v>
      </c>
      <c r="J602" t="s">
        <v>82</v>
      </c>
      <c r="K602" t="s">
        <v>76</v>
      </c>
      <c r="L602" t="s">
        <v>8</v>
      </c>
      <c r="M602" t="s">
        <v>83</v>
      </c>
      <c r="N602" t="s">
        <v>93</v>
      </c>
      <c r="O602" t="s">
        <v>85</v>
      </c>
      <c r="P602">
        <v>305368</v>
      </c>
      <c r="Q602" t="s">
        <v>5</v>
      </c>
      <c r="R602" t="s">
        <v>86</v>
      </c>
      <c r="S602" t="s">
        <v>87</v>
      </c>
      <c r="T602">
        <v>0</v>
      </c>
      <c r="U602">
        <v>0.25</v>
      </c>
      <c r="V602" s="2">
        <v>1.0416666666666666E-2</v>
      </c>
      <c r="W602">
        <v>0</v>
      </c>
      <c r="AA602" t="s">
        <v>88</v>
      </c>
      <c r="AB602" t="s">
        <v>100</v>
      </c>
      <c r="AC602" t="s">
        <v>84</v>
      </c>
      <c r="AD602" t="s">
        <v>90</v>
      </c>
    </row>
    <row r="603" spans="1:30" hidden="1">
      <c r="A603" s="1">
        <v>45566</v>
      </c>
      <c r="B603" t="s">
        <v>12</v>
      </c>
      <c r="C603" t="s">
        <v>75</v>
      </c>
      <c r="D603" t="s">
        <v>76</v>
      </c>
      <c r="E603" t="s">
        <v>91</v>
      </c>
      <c r="F603" t="s">
        <v>78</v>
      </c>
      <c r="G603" t="s">
        <v>79</v>
      </c>
      <c r="H603" t="s">
        <v>80</v>
      </c>
      <c r="I603" t="s">
        <v>81</v>
      </c>
      <c r="J603" t="s">
        <v>82</v>
      </c>
      <c r="K603" t="s">
        <v>76</v>
      </c>
      <c r="L603" t="s">
        <v>8</v>
      </c>
      <c r="M603" t="s">
        <v>83</v>
      </c>
      <c r="N603" t="s">
        <v>84</v>
      </c>
      <c r="O603" t="s">
        <v>85</v>
      </c>
      <c r="P603">
        <v>306205</v>
      </c>
      <c r="Q603" t="s">
        <v>5</v>
      </c>
      <c r="R603" t="s">
        <v>86</v>
      </c>
      <c r="S603" t="s">
        <v>87</v>
      </c>
      <c r="T603">
        <v>0</v>
      </c>
      <c r="U603">
        <v>0.25</v>
      </c>
      <c r="V603" s="2">
        <v>1.0416666666666666E-2</v>
      </c>
      <c r="W603">
        <v>0</v>
      </c>
      <c r="AA603" t="s">
        <v>88</v>
      </c>
      <c r="AB603" t="s">
        <v>100</v>
      </c>
      <c r="AC603" t="s">
        <v>84</v>
      </c>
      <c r="AD603" t="s">
        <v>90</v>
      </c>
    </row>
    <row r="604" spans="1:30" hidden="1">
      <c r="A604" s="1">
        <v>45567</v>
      </c>
      <c r="B604" t="s">
        <v>10</v>
      </c>
      <c r="C604" t="s">
        <v>92</v>
      </c>
      <c r="D604" t="s">
        <v>76</v>
      </c>
      <c r="E604" t="s">
        <v>91</v>
      </c>
      <c r="F604" t="s">
        <v>78</v>
      </c>
      <c r="G604" t="s">
        <v>79</v>
      </c>
      <c r="H604" t="s">
        <v>80</v>
      </c>
      <c r="I604" t="s">
        <v>81</v>
      </c>
      <c r="J604" t="s">
        <v>82</v>
      </c>
      <c r="K604" t="s">
        <v>76</v>
      </c>
      <c r="L604" t="s">
        <v>8</v>
      </c>
      <c r="M604" t="s">
        <v>83</v>
      </c>
      <c r="N604" t="s">
        <v>93</v>
      </c>
      <c r="O604" t="s">
        <v>85</v>
      </c>
      <c r="P604">
        <v>305383</v>
      </c>
      <c r="Q604" t="s">
        <v>4</v>
      </c>
      <c r="R604" t="s">
        <v>94</v>
      </c>
      <c r="S604" t="s">
        <v>87</v>
      </c>
      <c r="T604">
        <v>90</v>
      </c>
      <c r="U604">
        <v>1.5</v>
      </c>
      <c r="V604" s="2">
        <v>6.25E-2</v>
      </c>
      <c r="W604">
        <v>135</v>
      </c>
      <c r="X604">
        <v>180</v>
      </c>
      <c r="Y604">
        <v>45</v>
      </c>
      <c r="Z604" t="s">
        <v>295</v>
      </c>
      <c r="AA604" t="s">
        <v>88</v>
      </c>
      <c r="AB604" t="s">
        <v>100</v>
      </c>
      <c r="AC604" t="s">
        <v>298</v>
      </c>
      <c r="AD604" t="s">
        <v>90</v>
      </c>
    </row>
    <row r="605" spans="1:30" hidden="1">
      <c r="A605" s="1">
        <v>45567</v>
      </c>
      <c r="B605" t="s">
        <v>10</v>
      </c>
      <c r="C605" t="s">
        <v>92</v>
      </c>
      <c r="D605" t="s">
        <v>76</v>
      </c>
      <c r="E605" t="s">
        <v>91</v>
      </c>
      <c r="F605" t="s">
        <v>78</v>
      </c>
      <c r="G605" t="s">
        <v>79</v>
      </c>
      <c r="H605" t="s">
        <v>80</v>
      </c>
      <c r="I605" t="s">
        <v>81</v>
      </c>
      <c r="J605" t="s">
        <v>82</v>
      </c>
      <c r="K605" t="s">
        <v>76</v>
      </c>
      <c r="L605" t="s">
        <v>8</v>
      </c>
      <c r="M605" t="s">
        <v>83</v>
      </c>
      <c r="N605" t="s">
        <v>93</v>
      </c>
      <c r="O605" t="s">
        <v>85</v>
      </c>
      <c r="P605">
        <v>305266</v>
      </c>
      <c r="Q605" t="s">
        <v>5</v>
      </c>
      <c r="R605" t="s">
        <v>86</v>
      </c>
      <c r="S605" t="s">
        <v>87</v>
      </c>
      <c r="T605">
        <v>0</v>
      </c>
      <c r="U605">
        <v>0.25</v>
      </c>
      <c r="V605" s="2">
        <v>1.0416666666666666E-2</v>
      </c>
      <c r="W605">
        <v>0</v>
      </c>
      <c r="AA605" t="s">
        <v>88</v>
      </c>
      <c r="AB605" t="s">
        <v>100</v>
      </c>
      <c r="AC605" t="s">
        <v>299</v>
      </c>
      <c r="AD605" t="s">
        <v>90</v>
      </c>
    </row>
    <row r="606" spans="1:30" hidden="1">
      <c r="A606" s="1">
        <v>45567</v>
      </c>
      <c r="B606" t="s">
        <v>12</v>
      </c>
      <c r="C606" t="s">
        <v>75</v>
      </c>
      <c r="D606" t="s">
        <v>76</v>
      </c>
      <c r="E606" t="s">
        <v>91</v>
      </c>
      <c r="F606" t="s">
        <v>78</v>
      </c>
      <c r="G606" t="s">
        <v>79</v>
      </c>
      <c r="H606" t="s">
        <v>80</v>
      </c>
      <c r="I606" t="s">
        <v>81</v>
      </c>
      <c r="J606" t="s">
        <v>82</v>
      </c>
      <c r="K606" t="s">
        <v>76</v>
      </c>
      <c r="L606" t="s">
        <v>8</v>
      </c>
      <c r="M606" t="s">
        <v>83</v>
      </c>
      <c r="N606" t="s">
        <v>84</v>
      </c>
      <c r="O606" t="s">
        <v>85</v>
      </c>
      <c r="P606">
        <v>306214</v>
      </c>
      <c r="Q606" t="s">
        <v>5</v>
      </c>
      <c r="R606" t="s">
        <v>86</v>
      </c>
      <c r="S606" t="s">
        <v>87</v>
      </c>
      <c r="T606">
        <v>0</v>
      </c>
      <c r="U606">
        <v>0.25</v>
      </c>
      <c r="V606" s="2">
        <v>1.0416666666666666E-2</v>
      </c>
      <c r="W606">
        <v>0</v>
      </c>
      <c r="AA606" t="s">
        <v>88</v>
      </c>
      <c r="AB606" t="s">
        <v>100</v>
      </c>
      <c r="AC606" t="s">
        <v>84</v>
      </c>
      <c r="AD606" t="s">
        <v>90</v>
      </c>
    </row>
    <row r="607" spans="1:30" hidden="1">
      <c r="A607" s="1">
        <v>45567</v>
      </c>
      <c r="B607" t="s">
        <v>8</v>
      </c>
      <c r="C607" t="s">
        <v>75</v>
      </c>
      <c r="D607" t="s">
        <v>76</v>
      </c>
      <c r="E607" t="s">
        <v>91</v>
      </c>
      <c r="F607" t="s">
        <v>78</v>
      </c>
      <c r="G607" t="s">
        <v>79</v>
      </c>
      <c r="H607" t="s">
        <v>80</v>
      </c>
      <c r="I607" t="s">
        <v>81</v>
      </c>
      <c r="J607" t="s">
        <v>82</v>
      </c>
      <c r="K607" t="s">
        <v>76</v>
      </c>
      <c r="L607" t="s">
        <v>8</v>
      </c>
      <c r="M607" t="s">
        <v>83</v>
      </c>
      <c r="N607" t="s">
        <v>84</v>
      </c>
      <c r="O607" t="s">
        <v>85</v>
      </c>
      <c r="P607">
        <v>305635</v>
      </c>
      <c r="Q607" t="s">
        <v>5</v>
      </c>
      <c r="R607" t="s">
        <v>86</v>
      </c>
      <c r="S607" t="s">
        <v>87</v>
      </c>
      <c r="T607">
        <v>0</v>
      </c>
      <c r="U607">
        <v>0.25</v>
      </c>
      <c r="V607" s="2">
        <v>1.0416666666666666E-2</v>
      </c>
      <c r="W607">
        <v>0</v>
      </c>
      <c r="AA607" t="s">
        <v>88</v>
      </c>
      <c r="AB607" t="s">
        <v>100</v>
      </c>
      <c r="AC607" t="s">
        <v>84</v>
      </c>
      <c r="AD607" t="s">
        <v>90</v>
      </c>
    </row>
    <row r="608" spans="1:30" hidden="1">
      <c r="A608" s="1">
        <v>45568</v>
      </c>
      <c r="B608" t="s">
        <v>10</v>
      </c>
      <c r="C608" t="s">
        <v>92</v>
      </c>
      <c r="D608" t="s">
        <v>76</v>
      </c>
      <c r="E608" t="s">
        <v>91</v>
      </c>
      <c r="F608" t="s">
        <v>78</v>
      </c>
      <c r="G608" t="s">
        <v>79</v>
      </c>
      <c r="H608" t="s">
        <v>80</v>
      </c>
      <c r="I608" t="s">
        <v>81</v>
      </c>
      <c r="J608" t="s">
        <v>82</v>
      </c>
      <c r="K608" t="s">
        <v>76</v>
      </c>
      <c r="L608" t="s">
        <v>8</v>
      </c>
      <c r="M608" t="s">
        <v>83</v>
      </c>
      <c r="N608" t="s">
        <v>93</v>
      </c>
      <c r="O608" t="s">
        <v>85</v>
      </c>
      <c r="P608">
        <v>306254</v>
      </c>
      <c r="Q608" t="s">
        <v>4</v>
      </c>
      <c r="R608" t="s">
        <v>94</v>
      </c>
      <c r="S608" t="s">
        <v>87</v>
      </c>
      <c r="T608">
        <v>90</v>
      </c>
      <c r="U608">
        <v>4</v>
      </c>
      <c r="V608" s="2">
        <v>0.16666666666666666</v>
      </c>
      <c r="W608">
        <v>360</v>
      </c>
      <c r="X608">
        <v>480</v>
      </c>
      <c r="Y608">
        <v>120</v>
      </c>
      <c r="Z608" t="s">
        <v>295</v>
      </c>
      <c r="AA608" t="s">
        <v>88</v>
      </c>
      <c r="AB608" t="s">
        <v>100</v>
      </c>
      <c r="AC608" t="s">
        <v>300</v>
      </c>
      <c r="AD608" t="s">
        <v>90</v>
      </c>
    </row>
    <row r="609" spans="1:30" hidden="1">
      <c r="A609" s="1">
        <v>45568</v>
      </c>
      <c r="B609" t="s">
        <v>10</v>
      </c>
      <c r="C609" t="s">
        <v>92</v>
      </c>
      <c r="D609" t="s">
        <v>76</v>
      </c>
      <c r="E609" t="s">
        <v>91</v>
      </c>
      <c r="F609" t="s">
        <v>78</v>
      </c>
      <c r="G609" t="s">
        <v>79</v>
      </c>
      <c r="H609" t="s">
        <v>80</v>
      </c>
      <c r="I609" t="s">
        <v>81</v>
      </c>
      <c r="J609" t="s">
        <v>82</v>
      </c>
      <c r="K609" t="s">
        <v>76</v>
      </c>
      <c r="L609" t="s">
        <v>8</v>
      </c>
      <c r="M609" t="s">
        <v>83</v>
      </c>
      <c r="N609" t="s">
        <v>93</v>
      </c>
      <c r="O609" t="s">
        <v>85</v>
      </c>
      <c r="P609">
        <v>306151</v>
      </c>
      <c r="Q609" t="s">
        <v>5</v>
      </c>
      <c r="R609" t="s">
        <v>86</v>
      </c>
      <c r="S609" t="s">
        <v>87</v>
      </c>
      <c r="T609">
        <v>0</v>
      </c>
      <c r="U609">
        <v>1</v>
      </c>
      <c r="V609" s="2">
        <v>4.1666666666666664E-2</v>
      </c>
      <c r="W609">
        <v>0</v>
      </c>
      <c r="AA609" t="s">
        <v>88</v>
      </c>
      <c r="AB609" t="s">
        <v>100</v>
      </c>
      <c r="AC609" t="s">
        <v>301</v>
      </c>
      <c r="AD609" t="s">
        <v>90</v>
      </c>
    </row>
    <row r="610" spans="1:30" hidden="1">
      <c r="A610" s="1">
        <v>45569</v>
      </c>
      <c r="B610" t="s">
        <v>10</v>
      </c>
      <c r="C610" t="s">
        <v>92</v>
      </c>
      <c r="D610" t="s">
        <v>76</v>
      </c>
      <c r="E610" t="s">
        <v>91</v>
      </c>
      <c r="F610" t="s">
        <v>78</v>
      </c>
      <c r="G610" t="s">
        <v>79</v>
      </c>
      <c r="H610" t="s">
        <v>80</v>
      </c>
      <c r="I610" t="s">
        <v>81</v>
      </c>
      <c r="J610" t="s">
        <v>82</v>
      </c>
      <c r="K610" t="s">
        <v>76</v>
      </c>
      <c r="L610" t="s">
        <v>8</v>
      </c>
      <c r="M610" t="s">
        <v>83</v>
      </c>
      <c r="N610" t="s">
        <v>93</v>
      </c>
      <c r="O610" t="s">
        <v>85</v>
      </c>
      <c r="P610">
        <v>306250</v>
      </c>
      <c r="Q610" t="s">
        <v>4</v>
      </c>
      <c r="R610" t="s">
        <v>94</v>
      </c>
      <c r="S610" t="s">
        <v>87</v>
      </c>
      <c r="T610">
        <v>90</v>
      </c>
      <c r="U610">
        <v>0.5</v>
      </c>
      <c r="V610" s="2">
        <v>2.0833333333333332E-2</v>
      </c>
      <c r="W610">
        <v>45</v>
      </c>
      <c r="X610">
        <v>60</v>
      </c>
      <c r="Y610">
        <v>15</v>
      </c>
      <c r="Z610" t="s">
        <v>295</v>
      </c>
      <c r="AA610" t="s">
        <v>88</v>
      </c>
      <c r="AB610" t="s">
        <v>100</v>
      </c>
      <c r="AC610" t="s">
        <v>302</v>
      </c>
      <c r="AD610" t="s">
        <v>90</v>
      </c>
    </row>
    <row r="611" spans="1:30" hidden="1">
      <c r="A611" s="1">
        <v>45569</v>
      </c>
      <c r="B611" t="s">
        <v>10</v>
      </c>
      <c r="C611" t="s">
        <v>92</v>
      </c>
      <c r="D611" t="s">
        <v>76</v>
      </c>
      <c r="E611" t="s">
        <v>91</v>
      </c>
      <c r="F611" t="s">
        <v>78</v>
      </c>
      <c r="G611" t="s">
        <v>79</v>
      </c>
      <c r="H611" t="s">
        <v>80</v>
      </c>
      <c r="I611" t="s">
        <v>81</v>
      </c>
      <c r="J611" t="s">
        <v>82</v>
      </c>
      <c r="K611" t="s">
        <v>76</v>
      </c>
      <c r="L611" t="s">
        <v>8</v>
      </c>
      <c r="M611" t="s">
        <v>83</v>
      </c>
      <c r="N611" t="s">
        <v>93</v>
      </c>
      <c r="O611" t="s">
        <v>85</v>
      </c>
      <c r="P611">
        <v>306251</v>
      </c>
      <c r="Q611" t="s">
        <v>5</v>
      </c>
      <c r="R611" t="s">
        <v>86</v>
      </c>
      <c r="S611" t="s">
        <v>87</v>
      </c>
      <c r="T611">
        <v>0</v>
      </c>
      <c r="U611">
        <v>0.25</v>
      </c>
      <c r="V611" s="2">
        <v>1.0416666666666666E-2</v>
      </c>
      <c r="W611">
        <v>0</v>
      </c>
      <c r="AA611" t="s">
        <v>88</v>
      </c>
      <c r="AB611" t="s">
        <v>100</v>
      </c>
      <c r="AC611" t="s">
        <v>303</v>
      </c>
      <c r="AD611" t="s">
        <v>90</v>
      </c>
    </row>
    <row r="612" spans="1:30" hidden="1">
      <c r="A612" s="1">
        <v>45569</v>
      </c>
      <c r="B612" t="s">
        <v>8</v>
      </c>
      <c r="C612" t="s">
        <v>75</v>
      </c>
      <c r="D612" t="s">
        <v>76</v>
      </c>
      <c r="E612" t="s">
        <v>91</v>
      </c>
      <c r="F612" t="s">
        <v>78</v>
      </c>
      <c r="G612" t="s">
        <v>79</v>
      </c>
      <c r="H612" t="s">
        <v>80</v>
      </c>
      <c r="I612" t="s">
        <v>81</v>
      </c>
      <c r="J612" t="s">
        <v>82</v>
      </c>
      <c r="K612" t="s">
        <v>76</v>
      </c>
      <c r="L612" t="s">
        <v>8</v>
      </c>
      <c r="M612" t="s">
        <v>83</v>
      </c>
      <c r="N612" t="s">
        <v>84</v>
      </c>
      <c r="O612" t="s">
        <v>85</v>
      </c>
      <c r="P612">
        <v>306400</v>
      </c>
      <c r="Q612" t="s">
        <v>5</v>
      </c>
      <c r="R612" t="s">
        <v>86</v>
      </c>
      <c r="S612" t="s">
        <v>87</v>
      </c>
      <c r="T612">
        <v>0</v>
      </c>
      <c r="U612">
        <v>0.25</v>
      </c>
      <c r="V612" s="2">
        <v>1.0416666666666666E-2</v>
      </c>
      <c r="W612">
        <v>0</v>
      </c>
      <c r="AA612" t="s">
        <v>88</v>
      </c>
      <c r="AB612" t="s">
        <v>100</v>
      </c>
      <c r="AC612" t="s">
        <v>84</v>
      </c>
      <c r="AD612" t="s">
        <v>90</v>
      </c>
    </row>
    <row r="613" spans="1:30" hidden="1">
      <c r="A613" s="1">
        <v>45569</v>
      </c>
      <c r="B613" t="s">
        <v>108</v>
      </c>
      <c r="C613" t="s">
        <v>75</v>
      </c>
      <c r="D613" t="s">
        <v>76</v>
      </c>
      <c r="E613" t="s">
        <v>91</v>
      </c>
      <c r="F613" t="s">
        <v>78</v>
      </c>
      <c r="G613" t="s">
        <v>79</v>
      </c>
      <c r="H613" t="s">
        <v>80</v>
      </c>
      <c r="I613" t="s">
        <v>81</v>
      </c>
      <c r="J613" t="s">
        <v>82</v>
      </c>
      <c r="K613" t="s">
        <v>76</v>
      </c>
      <c r="L613" t="s">
        <v>8</v>
      </c>
      <c r="M613" t="s">
        <v>83</v>
      </c>
      <c r="N613" t="s">
        <v>93</v>
      </c>
      <c r="O613" t="s">
        <v>85</v>
      </c>
      <c r="P613">
        <v>308971</v>
      </c>
      <c r="Q613" t="s">
        <v>5</v>
      </c>
      <c r="R613" t="s">
        <v>86</v>
      </c>
      <c r="S613" t="s">
        <v>87</v>
      </c>
      <c r="T613">
        <v>0</v>
      </c>
      <c r="U613">
        <v>0.5</v>
      </c>
      <c r="V613" s="2">
        <v>2.0833333333333332E-2</v>
      </c>
      <c r="W613">
        <v>0</v>
      </c>
      <c r="AA613" t="s">
        <v>88</v>
      </c>
      <c r="AB613" t="s">
        <v>100</v>
      </c>
      <c r="AC613" t="s">
        <v>304</v>
      </c>
      <c r="AD613" t="s">
        <v>90</v>
      </c>
    </row>
    <row r="614" spans="1:30" hidden="1">
      <c r="A614" s="1">
        <v>45572</v>
      </c>
      <c r="B614" t="s">
        <v>10</v>
      </c>
      <c r="C614" t="s">
        <v>92</v>
      </c>
      <c r="D614" t="s">
        <v>76</v>
      </c>
      <c r="E614" t="s">
        <v>91</v>
      </c>
      <c r="F614" t="s">
        <v>78</v>
      </c>
      <c r="G614" t="s">
        <v>79</v>
      </c>
      <c r="H614" t="s">
        <v>80</v>
      </c>
      <c r="I614" t="s">
        <v>81</v>
      </c>
      <c r="J614" t="s">
        <v>82</v>
      </c>
      <c r="K614" t="s">
        <v>76</v>
      </c>
      <c r="L614" t="s">
        <v>8</v>
      </c>
      <c r="M614" t="s">
        <v>83</v>
      </c>
      <c r="N614" t="s">
        <v>93</v>
      </c>
      <c r="O614" t="s">
        <v>85</v>
      </c>
      <c r="P614">
        <v>306880</v>
      </c>
      <c r="Q614" t="s">
        <v>4</v>
      </c>
      <c r="R614" t="s">
        <v>94</v>
      </c>
      <c r="S614" t="s">
        <v>87</v>
      </c>
      <c r="T614">
        <v>90</v>
      </c>
      <c r="U614">
        <v>2.5</v>
      </c>
      <c r="V614" s="2">
        <v>0.10416666666666667</v>
      </c>
      <c r="W614">
        <v>225</v>
      </c>
      <c r="X614">
        <v>300</v>
      </c>
      <c r="Y614">
        <v>75</v>
      </c>
      <c r="Z614" t="s">
        <v>295</v>
      </c>
      <c r="AA614" t="s">
        <v>88</v>
      </c>
      <c r="AB614" t="s">
        <v>100</v>
      </c>
      <c r="AC614" t="s">
        <v>305</v>
      </c>
      <c r="AD614" t="s">
        <v>90</v>
      </c>
    </row>
    <row r="615" spans="1:30" hidden="1">
      <c r="A615" s="1">
        <v>45572</v>
      </c>
      <c r="B615" t="s">
        <v>10</v>
      </c>
      <c r="C615" t="s">
        <v>92</v>
      </c>
      <c r="D615" t="s">
        <v>76</v>
      </c>
      <c r="E615" t="s">
        <v>91</v>
      </c>
      <c r="F615" t="s">
        <v>78</v>
      </c>
      <c r="G615" t="s">
        <v>79</v>
      </c>
      <c r="H615" t="s">
        <v>80</v>
      </c>
      <c r="I615" t="s">
        <v>81</v>
      </c>
      <c r="J615" t="s">
        <v>82</v>
      </c>
      <c r="K615" t="s">
        <v>76</v>
      </c>
      <c r="L615" t="s">
        <v>8</v>
      </c>
      <c r="M615" t="s">
        <v>83</v>
      </c>
      <c r="N615" t="s">
        <v>93</v>
      </c>
      <c r="O615" t="s">
        <v>85</v>
      </c>
      <c r="P615">
        <v>306879</v>
      </c>
      <c r="Q615" t="s">
        <v>5</v>
      </c>
      <c r="R615" t="s">
        <v>86</v>
      </c>
      <c r="S615" t="s">
        <v>87</v>
      </c>
      <c r="T615">
        <v>0</v>
      </c>
      <c r="U615">
        <v>0.25</v>
      </c>
      <c r="V615" s="2">
        <v>1.0416666666666666E-2</v>
      </c>
      <c r="W615">
        <v>0</v>
      </c>
      <c r="AA615" t="s">
        <v>88</v>
      </c>
      <c r="AB615" t="s">
        <v>100</v>
      </c>
      <c r="AC615" t="s">
        <v>297</v>
      </c>
      <c r="AD615" t="s">
        <v>90</v>
      </c>
    </row>
    <row r="616" spans="1:30" hidden="1">
      <c r="A616" s="1">
        <v>45572</v>
      </c>
      <c r="B616" t="s">
        <v>14</v>
      </c>
      <c r="C616" t="s">
        <v>75</v>
      </c>
      <c r="D616" t="s">
        <v>76</v>
      </c>
      <c r="E616" t="s">
        <v>77</v>
      </c>
      <c r="F616" t="s">
        <v>78</v>
      </c>
      <c r="G616" t="s">
        <v>79</v>
      </c>
      <c r="H616" t="s">
        <v>80</v>
      </c>
      <c r="I616" t="s">
        <v>81</v>
      </c>
      <c r="J616" t="s">
        <v>82</v>
      </c>
      <c r="K616" t="s">
        <v>76</v>
      </c>
      <c r="L616" t="s">
        <v>8</v>
      </c>
      <c r="M616" t="s">
        <v>83</v>
      </c>
      <c r="N616" t="s">
        <v>84</v>
      </c>
      <c r="O616" t="s">
        <v>85</v>
      </c>
      <c r="P616">
        <v>307187</v>
      </c>
      <c r="Q616" t="s">
        <v>5</v>
      </c>
      <c r="R616" t="s">
        <v>86</v>
      </c>
      <c r="S616" t="s">
        <v>87</v>
      </c>
      <c r="T616">
        <v>0</v>
      </c>
      <c r="U616">
        <v>0.25</v>
      </c>
      <c r="V616" s="2">
        <v>1.0416666666666666E-2</v>
      </c>
      <c r="W616">
        <v>0</v>
      </c>
      <c r="AA616" t="s">
        <v>88</v>
      </c>
      <c r="AB616" t="s">
        <v>100</v>
      </c>
      <c r="AC616" t="s">
        <v>96</v>
      </c>
      <c r="AD616" t="s">
        <v>90</v>
      </c>
    </row>
    <row r="617" spans="1:30" hidden="1">
      <c r="A617" s="1">
        <v>45572</v>
      </c>
      <c r="B617" t="s">
        <v>16</v>
      </c>
      <c r="C617" t="s">
        <v>75</v>
      </c>
      <c r="D617" t="s">
        <v>76</v>
      </c>
      <c r="E617" t="s">
        <v>91</v>
      </c>
      <c r="F617" t="s">
        <v>78</v>
      </c>
      <c r="G617" t="s">
        <v>79</v>
      </c>
      <c r="H617" t="s">
        <v>80</v>
      </c>
      <c r="I617" t="s">
        <v>81</v>
      </c>
      <c r="J617" t="s">
        <v>82</v>
      </c>
      <c r="K617" t="s">
        <v>76</v>
      </c>
      <c r="L617" t="s">
        <v>8</v>
      </c>
      <c r="M617" t="s">
        <v>83</v>
      </c>
      <c r="N617" t="s">
        <v>93</v>
      </c>
      <c r="O617" t="s">
        <v>85</v>
      </c>
      <c r="P617">
        <v>307021</v>
      </c>
      <c r="Q617" t="s">
        <v>5</v>
      </c>
      <c r="R617" t="s">
        <v>86</v>
      </c>
      <c r="S617" t="s">
        <v>87</v>
      </c>
      <c r="T617">
        <v>0</v>
      </c>
      <c r="U617">
        <v>0.5</v>
      </c>
      <c r="V617" s="2">
        <v>2.0833333333333332E-2</v>
      </c>
      <c r="W617">
        <v>0</v>
      </c>
      <c r="AA617" t="s">
        <v>88</v>
      </c>
      <c r="AB617" t="s">
        <v>100</v>
      </c>
      <c r="AC617" t="s">
        <v>84</v>
      </c>
      <c r="AD617" t="s">
        <v>90</v>
      </c>
    </row>
    <row r="618" spans="1:30" hidden="1">
      <c r="A618" s="1">
        <v>45572</v>
      </c>
      <c r="B618" t="s">
        <v>12</v>
      </c>
      <c r="C618" t="s">
        <v>75</v>
      </c>
      <c r="D618" t="s">
        <v>76</v>
      </c>
      <c r="E618" t="s">
        <v>91</v>
      </c>
      <c r="F618" t="s">
        <v>78</v>
      </c>
      <c r="G618" t="s">
        <v>79</v>
      </c>
      <c r="H618" t="s">
        <v>80</v>
      </c>
      <c r="I618" t="s">
        <v>81</v>
      </c>
      <c r="J618" t="s">
        <v>82</v>
      </c>
      <c r="K618" t="s">
        <v>76</v>
      </c>
      <c r="L618" t="s">
        <v>8</v>
      </c>
      <c r="M618" t="s">
        <v>83</v>
      </c>
      <c r="N618" t="s">
        <v>84</v>
      </c>
      <c r="O618" t="s">
        <v>85</v>
      </c>
      <c r="P618">
        <v>307047</v>
      </c>
      <c r="Q618" t="s">
        <v>4</v>
      </c>
      <c r="R618" t="s">
        <v>94</v>
      </c>
      <c r="S618" t="s">
        <v>87</v>
      </c>
      <c r="T618">
        <v>90</v>
      </c>
      <c r="U618">
        <v>0.25</v>
      </c>
      <c r="V618" s="2">
        <v>1.0416666666666666E-2</v>
      </c>
      <c r="W618">
        <v>22.5</v>
      </c>
      <c r="X618">
        <v>30</v>
      </c>
      <c r="Y618">
        <v>7.5</v>
      </c>
      <c r="Z618" t="s">
        <v>295</v>
      </c>
      <c r="AA618" t="s">
        <v>88</v>
      </c>
      <c r="AB618" t="s">
        <v>100</v>
      </c>
      <c r="AC618" t="s">
        <v>84</v>
      </c>
      <c r="AD618" t="s">
        <v>90</v>
      </c>
    </row>
    <row r="619" spans="1:30" hidden="1">
      <c r="A619" s="1">
        <v>45572</v>
      </c>
      <c r="B619" t="s">
        <v>8</v>
      </c>
      <c r="C619" t="s">
        <v>75</v>
      </c>
      <c r="D619" t="s">
        <v>76</v>
      </c>
      <c r="E619" t="s">
        <v>91</v>
      </c>
      <c r="F619" t="s">
        <v>78</v>
      </c>
      <c r="G619" t="s">
        <v>79</v>
      </c>
      <c r="H619" t="s">
        <v>80</v>
      </c>
      <c r="I619" t="s">
        <v>81</v>
      </c>
      <c r="J619" t="s">
        <v>82</v>
      </c>
      <c r="K619" t="s">
        <v>76</v>
      </c>
      <c r="L619" t="s">
        <v>8</v>
      </c>
      <c r="M619" t="s">
        <v>83</v>
      </c>
      <c r="N619" t="s">
        <v>84</v>
      </c>
      <c r="O619" t="s">
        <v>85</v>
      </c>
      <c r="P619">
        <v>307313</v>
      </c>
      <c r="Q619" t="s">
        <v>5</v>
      </c>
      <c r="R619" t="s">
        <v>86</v>
      </c>
      <c r="S619" t="s">
        <v>87</v>
      </c>
      <c r="T619">
        <v>0</v>
      </c>
      <c r="U619">
        <v>0.5</v>
      </c>
      <c r="V619" s="2">
        <v>2.0833333333333332E-2</v>
      </c>
      <c r="W619">
        <v>0</v>
      </c>
      <c r="AA619" t="s">
        <v>88</v>
      </c>
      <c r="AB619" t="s">
        <v>100</v>
      </c>
      <c r="AC619" t="s">
        <v>84</v>
      </c>
      <c r="AD619" t="s">
        <v>90</v>
      </c>
    </row>
    <row r="620" spans="1:30" hidden="1">
      <c r="A620" s="1">
        <v>45573</v>
      </c>
      <c r="B620" t="s">
        <v>10</v>
      </c>
      <c r="C620" t="s">
        <v>92</v>
      </c>
      <c r="D620" t="s">
        <v>76</v>
      </c>
      <c r="E620" t="s">
        <v>91</v>
      </c>
      <c r="F620" t="s">
        <v>78</v>
      </c>
      <c r="G620" t="s">
        <v>79</v>
      </c>
      <c r="H620" t="s">
        <v>80</v>
      </c>
      <c r="I620" t="s">
        <v>81</v>
      </c>
      <c r="J620" t="s">
        <v>82</v>
      </c>
      <c r="K620" t="s">
        <v>76</v>
      </c>
      <c r="L620" t="s">
        <v>8</v>
      </c>
      <c r="M620" t="s">
        <v>83</v>
      </c>
      <c r="N620" t="s">
        <v>93</v>
      </c>
      <c r="O620" t="s">
        <v>85</v>
      </c>
      <c r="P620">
        <v>307378</v>
      </c>
      <c r="Q620" t="s">
        <v>4</v>
      </c>
      <c r="R620" t="s">
        <v>94</v>
      </c>
      <c r="S620" t="s">
        <v>87</v>
      </c>
      <c r="T620">
        <v>90</v>
      </c>
      <c r="U620">
        <v>2.75</v>
      </c>
      <c r="V620" s="2">
        <v>0.11458333333333333</v>
      </c>
      <c r="W620">
        <v>247.5</v>
      </c>
      <c r="X620">
        <v>330</v>
      </c>
      <c r="Y620">
        <v>82.5</v>
      </c>
      <c r="Z620" t="s">
        <v>295</v>
      </c>
      <c r="AA620" t="s">
        <v>88</v>
      </c>
      <c r="AB620" t="s">
        <v>100</v>
      </c>
      <c r="AC620" t="s">
        <v>306</v>
      </c>
      <c r="AD620" t="s">
        <v>90</v>
      </c>
    </row>
    <row r="621" spans="1:30" hidden="1">
      <c r="A621" s="1">
        <v>45573</v>
      </c>
      <c r="B621" t="s">
        <v>10</v>
      </c>
      <c r="C621" t="s">
        <v>92</v>
      </c>
      <c r="D621" t="s">
        <v>76</v>
      </c>
      <c r="E621" t="s">
        <v>91</v>
      </c>
      <c r="F621" t="s">
        <v>78</v>
      </c>
      <c r="G621" t="s">
        <v>79</v>
      </c>
      <c r="H621" t="s">
        <v>80</v>
      </c>
      <c r="I621" t="s">
        <v>81</v>
      </c>
      <c r="J621" t="s">
        <v>82</v>
      </c>
      <c r="K621" t="s">
        <v>76</v>
      </c>
      <c r="L621" t="s">
        <v>8</v>
      </c>
      <c r="M621" t="s">
        <v>83</v>
      </c>
      <c r="N621" t="s">
        <v>93</v>
      </c>
      <c r="O621" t="s">
        <v>85</v>
      </c>
      <c r="P621">
        <v>307379</v>
      </c>
      <c r="Q621" t="s">
        <v>5</v>
      </c>
      <c r="R621" t="s">
        <v>86</v>
      </c>
      <c r="S621" t="s">
        <v>87</v>
      </c>
      <c r="T621">
        <v>0</v>
      </c>
      <c r="U621">
        <v>0.25</v>
      </c>
      <c r="V621" s="2">
        <v>1.0416666666666666E-2</v>
      </c>
      <c r="W621">
        <v>0</v>
      </c>
      <c r="AA621" t="s">
        <v>88</v>
      </c>
      <c r="AB621" t="s">
        <v>100</v>
      </c>
      <c r="AC621" t="s">
        <v>303</v>
      </c>
      <c r="AD621" t="s">
        <v>90</v>
      </c>
    </row>
    <row r="622" spans="1:30" hidden="1">
      <c r="A622" s="1">
        <v>45573</v>
      </c>
      <c r="B622" t="s">
        <v>12</v>
      </c>
      <c r="C622" t="s">
        <v>75</v>
      </c>
      <c r="D622" t="s">
        <v>76</v>
      </c>
      <c r="E622" t="s">
        <v>91</v>
      </c>
      <c r="F622" t="s">
        <v>78</v>
      </c>
      <c r="G622" t="s">
        <v>79</v>
      </c>
      <c r="H622" t="s">
        <v>80</v>
      </c>
      <c r="I622" t="s">
        <v>81</v>
      </c>
      <c r="J622" t="s">
        <v>82</v>
      </c>
      <c r="K622" t="s">
        <v>76</v>
      </c>
      <c r="L622" t="s">
        <v>8</v>
      </c>
      <c r="M622" t="s">
        <v>83</v>
      </c>
      <c r="N622" t="s">
        <v>84</v>
      </c>
      <c r="O622" t="s">
        <v>85</v>
      </c>
      <c r="P622">
        <v>307948</v>
      </c>
      <c r="Q622" t="s">
        <v>4</v>
      </c>
      <c r="R622" t="s">
        <v>94</v>
      </c>
      <c r="S622" t="s">
        <v>87</v>
      </c>
      <c r="T622">
        <v>90</v>
      </c>
      <c r="U622">
        <v>0.5</v>
      </c>
      <c r="V622" s="2">
        <v>2.0833333333333332E-2</v>
      </c>
      <c r="W622">
        <v>45</v>
      </c>
      <c r="X622">
        <v>60</v>
      </c>
      <c r="Y622">
        <v>15</v>
      </c>
      <c r="Z622" t="s">
        <v>295</v>
      </c>
      <c r="AA622" t="s">
        <v>88</v>
      </c>
      <c r="AB622" t="s">
        <v>100</v>
      </c>
      <c r="AC622" t="s">
        <v>84</v>
      </c>
      <c r="AD622" t="s">
        <v>90</v>
      </c>
    </row>
    <row r="623" spans="1:30" hidden="1">
      <c r="A623" s="1">
        <v>45573</v>
      </c>
      <c r="B623" t="s">
        <v>8</v>
      </c>
      <c r="C623" t="s">
        <v>75</v>
      </c>
      <c r="D623" t="s">
        <v>76</v>
      </c>
      <c r="E623" t="s">
        <v>91</v>
      </c>
      <c r="F623" t="s">
        <v>78</v>
      </c>
      <c r="G623" t="s">
        <v>79</v>
      </c>
      <c r="H623" t="s">
        <v>80</v>
      </c>
      <c r="I623" t="s">
        <v>81</v>
      </c>
      <c r="J623" t="s">
        <v>82</v>
      </c>
      <c r="K623" t="s">
        <v>76</v>
      </c>
      <c r="L623" t="s">
        <v>8</v>
      </c>
      <c r="M623" t="s">
        <v>83</v>
      </c>
      <c r="N623" t="s">
        <v>84</v>
      </c>
      <c r="O623" t="s">
        <v>85</v>
      </c>
      <c r="P623">
        <v>307581</v>
      </c>
      <c r="Q623" t="s">
        <v>5</v>
      </c>
      <c r="R623" t="s">
        <v>86</v>
      </c>
      <c r="S623" t="s">
        <v>87</v>
      </c>
      <c r="T623">
        <v>0</v>
      </c>
      <c r="U623">
        <v>0.25</v>
      </c>
      <c r="V623" s="2">
        <v>1.0416666666666666E-2</v>
      </c>
      <c r="W623">
        <v>0</v>
      </c>
      <c r="AA623" t="s">
        <v>88</v>
      </c>
      <c r="AB623" t="s">
        <v>100</v>
      </c>
      <c r="AC623" t="s">
        <v>84</v>
      </c>
      <c r="AD623" t="s">
        <v>90</v>
      </c>
    </row>
    <row r="624" spans="1:30" hidden="1">
      <c r="A624" s="1">
        <v>45574</v>
      </c>
      <c r="B624" t="s">
        <v>108</v>
      </c>
      <c r="C624" t="s">
        <v>75</v>
      </c>
      <c r="D624" t="s">
        <v>76</v>
      </c>
      <c r="E624" t="s">
        <v>91</v>
      </c>
      <c r="F624" t="s">
        <v>78</v>
      </c>
      <c r="G624" t="s">
        <v>79</v>
      </c>
      <c r="H624" t="s">
        <v>80</v>
      </c>
      <c r="I624" t="s">
        <v>81</v>
      </c>
      <c r="J624" t="s">
        <v>82</v>
      </c>
      <c r="K624" t="s">
        <v>76</v>
      </c>
      <c r="L624" t="s">
        <v>8</v>
      </c>
      <c r="M624" t="s">
        <v>83</v>
      </c>
      <c r="N624" t="s">
        <v>93</v>
      </c>
      <c r="O624" t="s">
        <v>85</v>
      </c>
      <c r="P624">
        <v>309061</v>
      </c>
      <c r="Q624" t="s">
        <v>5</v>
      </c>
      <c r="R624" t="s">
        <v>86</v>
      </c>
      <c r="S624" t="s">
        <v>87</v>
      </c>
      <c r="T624">
        <v>0</v>
      </c>
      <c r="U624">
        <v>0.25</v>
      </c>
      <c r="V624" s="2">
        <v>1.0416666666666666E-2</v>
      </c>
      <c r="W624">
        <v>0</v>
      </c>
      <c r="AA624" t="s">
        <v>88</v>
      </c>
      <c r="AB624" t="s">
        <v>100</v>
      </c>
      <c r="AC624" t="s">
        <v>84</v>
      </c>
      <c r="AD624" t="s">
        <v>90</v>
      </c>
    </row>
    <row r="625" spans="1:30" hidden="1">
      <c r="A625" s="1">
        <v>45575</v>
      </c>
      <c r="B625" t="s">
        <v>10</v>
      </c>
      <c r="C625" t="s">
        <v>92</v>
      </c>
      <c r="D625" t="s">
        <v>76</v>
      </c>
      <c r="E625" t="s">
        <v>91</v>
      </c>
      <c r="F625" t="s">
        <v>78</v>
      </c>
      <c r="G625" t="s">
        <v>79</v>
      </c>
      <c r="H625" t="s">
        <v>80</v>
      </c>
      <c r="I625" t="s">
        <v>81</v>
      </c>
      <c r="J625" t="s">
        <v>82</v>
      </c>
      <c r="K625" t="s">
        <v>76</v>
      </c>
      <c r="L625" t="s">
        <v>8</v>
      </c>
      <c r="M625" t="s">
        <v>83</v>
      </c>
      <c r="N625" t="s">
        <v>93</v>
      </c>
      <c r="O625" t="s">
        <v>85</v>
      </c>
      <c r="P625">
        <v>309337</v>
      </c>
      <c r="Q625" t="s">
        <v>4</v>
      </c>
      <c r="R625" t="s">
        <v>94</v>
      </c>
      <c r="S625" t="s">
        <v>87</v>
      </c>
      <c r="T625">
        <v>90</v>
      </c>
      <c r="U625">
        <v>1.5</v>
      </c>
      <c r="V625" s="2">
        <v>6.25E-2</v>
      </c>
      <c r="W625">
        <v>135</v>
      </c>
      <c r="X625">
        <v>180</v>
      </c>
      <c r="Y625">
        <v>45</v>
      </c>
      <c r="Z625" t="s">
        <v>295</v>
      </c>
      <c r="AA625" t="s">
        <v>88</v>
      </c>
      <c r="AB625" t="s">
        <v>100</v>
      </c>
      <c r="AC625" t="s">
        <v>307</v>
      </c>
      <c r="AD625" t="s">
        <v>90</v>
      </c>
    </row>
    <row r="626" spans="1:30" hidden="1">
      <c r="A626" s="1">
        <v>45575</v>
      </c>
      <c r="B626" t="s">
        <v>10</v>
      </c>
      <c r="C626" t="s">
        <v>92</v>
      </c>
      <c r="D626" t="s">
        <v>76</v>
      </c>
      <c r="E626" t="s">
        <v>91</v>
      </c>
      <c r="F626" t="s">
        <v>78</v>
      </c>
      <c r="G626" t="s">
        <v>79</v>
      </c>
      <c r="H626" t="s">
        <v>80</v>
      </c>
      <c r="I626" t="s">
        <v>81</v>
      </c>
      <c r="J626" t="s">
        <v>82</v>
      </c>
      <c r="K626" t="s">
        <v>76</v>
      </c>
      <c r="L626" t="s">
        <v>8</v>
      </c>
      <c r="M626" t="s">
        <v>83</v>
      </c>
      <c r="N626" t="s">
        <v>93</v>
      </c>
      <c r="O626" t="s">
        <v>85</v>
      </c>
      <c r="P626">
        <v>308325</v>
      </c>
      <c r="Q626" t="s">
        <v>5</v>
      </c>
      <c r="R626" t="s">
        <v>86</v>
      </c>
      <c r="S626" t="s">
        <v>87</v>
      </c>
      <c r="T626">
        <v>0</v>
      </c>
      <c r="U626">
        <v>0.25</v>
      </c>
      <c r="V626" s="2">
        <v>1.0416666666666666E-2</v>
      </c>
      <c r="W626">
        <v>0</v>
      </c>
      <c r="AA626" t="s">
        <v>88</v>
      </c>
      <c r="AB626" t="s">
        <v>100</v>
      </c>
      <c r="AC626" t="s">
        <v>303</v>
      </c>
      <c r="AD626" t="s">
        <v>90</v>
      </c>
    </row>
    <row r="627" spans="1:30" hidden="1">
      <c r="A627" s="1">
        <v>45575</v>
      </c>
      <c r="B627" t="s">
        <v>16</v>
      </c>
      <c r="C627" t="s">
        <v>75</v>
      </c>
      <c r="D627" t="s">
        <v>76</v>
      </c>
      <c r="E627" t="s">
        <v>91</v>
      </c>
      <c r="F627" t="s">
        <v>78</v>
      </c>
      <c r="G627" t="s">
        <v>79</v>
      </c>
      <c r="H627" t="s">
        <v>80</v>
      </c>
      <c r="I627" t="s">
        <v>81</v>
      </c>
      <c r="J627" t="s">
        <v>82</v>
      </c>
      <c r="K627" t="s">
        <v>76</v>
      </c>
      <c r="L627" t="s">
        <v>8</v>
      </c>
      <c r="M627" t="s">
        <v>83</v>
      </c>
      <c r="N627" t="s">
        <v>93</v>
      </c>
      <c r="O627" t="s">
        <v>85</v>
      </c>
      <c r="P627">
        <v>308435</v>
      </c>
      <c r="Q627" t="s">
        <v>5</v>
      </c>
      <c r="R627" t="s">
        <v>86</v>
      </c>
      <c r="S627" t="s">
        <v>87</v>
      </c>
      <c r="T627">
        <v>0</v>
      </c>
      <c r="U627">
        <v>0.25</v>
      </c>
      <c r="V627" s="2">
        <v>1.0416666666666666E-2</v>
      </c>
      <c r="W627">
        <v>0</v>
      </c>
      <c r="AA627" t="s">
        <v>88</v>
      </c>
      <c r="AB627" t="s">
        <v>100</v>
      </c>
      <c r="AC627" t="s">
        <v>84</v>
      </c>
      <c r="AD627" t="s">
        <v>90</v>
      </c>
    </row>
    <row r="628" spans="1:30" hidden="1">
      <c r="A628" s="1">
        <v>45575</v>
      </c>
      <c r="B628" t="s">
        <v>12</v>
      </c>
      <c r="C628" t="s">
        <v>75</v>
      </c>
      <c r="D628" t="s">
        <v>76</v>
      </c>
      <c r="E628" t="s">
        <v>91</v>
      </c>
      <c r="F628" t="s">
        <v>78</v>
      </c>
      <c r="G628" t="s">
        <v>79</v>
      </c>
      <c r="H628" t="s">
        <v>80</v>
      </c>
      <c r="I628" t="s">
        <v>81</v>
      </c>
      <c r="J628" t="s">
        <v>82</v>
      </c>
      <c r="K628" t="s">
        <v>76</v>
      </c>
      <c r="L628" t="s">
        <v>8</v>
      </c>
      <c r="M628" t="s">
        <v>83</v>
      </c>
      <c r="N628" t="s">
        <v>84</v>
      </c>
      <c r="O628" t="s">
        <v>85</v>
      </c>
      <c r="P628">
        <v>308691</v>
      </c>
      <c r="Q628" t="s">
        <v>5</v>
      </c>
      <c r="R628" t="s">
        <v>86</v>
      </c>
      <c r="S628" t="s">
        <v>87</v>
      </c>
      <c r="T628">
        <v>0</v>
      </c>
      <c r="U628">
        <v>0.25</v>
      </c>
      <c r="V628" s="2">
        <v>1.0416666666666666E-2</v>
      </c>
      <c r="W628">
        <v>0</v>
      </c>
      <c r="AA628" t="s">
        <v>88</v>
      </c>
      <c r="AB628" t="s">
        <v>100</v>
      </c>
      <c r="AC628" t="s">
        <v>84</v>
      </c>
      <c r="AD628" t="s">
        <v>90</v>
      </c>
    </row>
    <row r="629" spans="1:30" hidden="1">
      <c r="A629" s="1">
        <v>45575</v>
      </c>
      <c r="B629" t="s">
        <v>108</v>
      </c>
      <c r="C629" t="s">
        <v>75</v>
      </c>
      <c r="D629" t="s">
        <v>76</v>
      </c>
      <c r="E629" t="s">
        <v>91</v>
      </c>
      <c r="F629" t="s">
        <v>78</v>
      </c>
      <c r="G629" t="s">
        <v>79</v>
      </c>
      <c r="H629" t="s">
        <v>80</v>
      </c>
      <c r="I629" t="s">
        <v>81</v>
      </c>
      <c r="J629" t="s">
        <v>82</v>
      </c>
      <c r="K629" t="s">
        <v>76</v>
      </c>
      <c r="L629" t="s">
        <v>8</v>
      </c>
      <c r="M629" t="s">
        <v>83</v>
      </c>
      <c r="N629" t="s">
        <v>93</v>
      </c>
      <c r="O629" t="s">
        <v>85</v>
      </c>
      <c r="P629">
        <v>309120</v>
      </c>
      <c r="Q629" t="s">
        <v>4</v>
      </c>
      <c r="R629" t="s">
        <v>94</v>
      </c>
      <c r="S629" t="s">
        <v>87</v>
      </c>
      <c r="T629">
        <v>90</v>
      </c>
      <c r="U629">
        <v>2</v>
      </c>
      <c r="V629" s="2">
        <v>8.3333333333333329E-2</v>
      </c>
      <c r="W629">
        <v>180</v>
      </c>
      <c r="X629">
        <v>240</v>
      </c>
      <c r="Y629">
        <v>60</v>
      </c>
      <c r="Z629" t="s">
        <v>295</v>
      </c>
      <c r="AA629" t="s">
        <v>88</v>
      </c>
      <c r="AB629" t="s">
        <v>100</v>
      </c>
      <c r="AC629" t="s">
        <v>308</v>
      </c>
      <c r="AD629" t="s">
        <v>90</v>
      </c>
    </row>
    <row r="630" spans="1:30" hidden="1">
      <c r="A630" s="1">
        <v>45575</v>
      </c>
      <c r="B630" t="s">
        <v>108</v>
      </c>
      <c r="C630" t="s">
        <v>75</v>
      </c>
      <c r="D630" t="s">
        <v>76</v>
      </c>
      <c r="E630" t="s">
        <v>91</v>
      </c>
      <c r="F630" t="s">
        <v>78</v>
      </c>
      <c r="G630" t="s">
        <v>79</v>
      </c>
      <c r="H630" t="s">
        <v>80</v>
      </c>
      <c r="I630" t="s">
        <v>81</v>
      </c>
      <c r="J630" t="s">
        <v>82</v>
      </c>
      <c r="K630" t="s">
        <v>76</v>
      </c>
      <c r="L630" t="s">
        <v>8</v>
      </c>
      <c r="M630" t="s">
        <v>83</v>
      </c>
      <c r="N630" t="s">
        <v>93</v>
      </c>
      <c r="O630" t="s">
        <v>85</v>
      </c>
      <c r="P630">
        <v>309114</v>
      </c>
      <c r="Q630" t="s">
        <v>5</v>
      </c>
      <c r="R630" t="s">
        <v>86</v>
      </c>
      <c r="S630" t="s">
        <v>87</v>
      </c>
      <c r="T630">
        <v>0</v>
      </c>
      <c r="U630">
        <v>0.25</v>
      </c>
      <c r="V630" s="2">
        <v>1.0416666666666666E-2</v>
      </c>
      <c r="W630">
        <v>0</v>
      </c>
      <c r="AA630" t="s">
        <v>88</v>
      </c>
      <c r="AB630" t="s">
        <v>100</v>
      </c>
      <c r="AC630" t="s">
        <v>309</v>
      </c>
      <c r="AD630" t="s">
        <v>90</v>
      </c>
    </row>
    <row r="631" spans="1:30" hidden="1">
      <c r="A631" s="1">
        <v>45576</v>
      </c>
      <c r="B631" t="s">
        <v>8</v>
      </c>
      <c r="C631" t="s">
        <v>75</v>
      </c>
      <c r="D631" t="s">
        <v>76</v>
      </c>
      <c r="E631" t="s">
        <v>91</v>
      </c>
      <c r="F631" t="s">
        <v>78</v>
      </c>
      <c r="G631" t="s">
        <v>79</v>
      </c>
      <c r="H631" t="s">
        <v>80</v>
      </c>
      <c r="I631" t="s">
        <v>81</v>
      </c>
      <c r="J631" t="s">
        <v>82</v>
      </c>
      <c r="K631" t="s">
        <v>76</v>
      </c>
      <c r="L631" t="s">
        <v>8</v>
      </c>
      <c r="M631" t="s">
        <v>83</v>
      </c>
      <c r="N631" t="s">
        <v>84</v>
      </c>
      <c r="O631" t="s">
        <v>85</v>
      </c>
      <c r="P631">
        <v>309017</v>
      </c>
      <c r="Q631" t="s">
        <v>5</v>
      </c>
      <c r="R631" t="s">
        <v>86</v>
      </c>
      <c r="S631" t="s">
        <v>87</v>
      </c>
      <c r="T631">
        <v>0</v>
      </c>
      <c r="U631">
        <v>0.25</v>
      </c>
      <c r="V631" s="2">
        <v>1.0416666666666666E-2</v>
      </c>
      <c r="W631">
        <v>0</v>
      </c>
      <c r="AA631" t="s">
        <v>88</v>
      </c>
      <c r="AB631" t="s">
        <v>100</v>
      </c>
      <c r="AC631" t="s">
        <v>84</v>
      </c>
      <c r="AD631" t="s">
        <v>90</v>
      </c>
    </row>
    <row r="632" spans="1:30" hidden="1">
      <c r="A632" s="1">
        <v>45579</v>
      </c>
      <c r="B632" t="s">
        <v>10</v>
      </c>
      <c r="C632" t="s">
        <v>92</v>
      </c>
      <c r="D632" t="s">
        <v>76</v>
      </c>
      <c r="E632" t="s">
        <v>91</v>
      </c>
      <c r="F632" t="s">
        <v>78</v>
      </c>
      <c r="G632" t="s">
        <v>79</v>
      </c>
      <c r="H632" t="s">
        <v>80</v>
      </c>
      <c r="I632" t="s">
        <v>81</v>
      </c>
      <c r="J632" t="s">
        <v>82</v>
      </c>
      <c r="K632" t="s">
        <v>76</v>
      </c>
      <c r="L632" t="s">
        <v>8</v>
      </c>
      <c r="M632" t="s">
        <v>83</v>
      </c>
      <c r="N632" t="s">
        <v>93</v>
      </c>
      <c r="O632" t="s">
        <v>85</v>
      </c>
      <c r="P632">
        <v>309499</v>
      </c>
      <c r="Q632" t="s">
        <v>4</v>
      </c>
      <c r="R632" t="s">
        <v>94</v>
      </c>
      <c r="S632" t="s">
        <v>87</v>
      </c>
      <c r="T632">
        <v>90</v>
      </c>
      <c r="U632">
        <v>4</v>
      </c>
      <c r="V632" s="2">
        <v>0.16666666666666666</v>
      </c>
      <c r="W632">
        <v>360</v>
      </c>
      <c r="X632">
        <v>480</v>
      </c>
      <c r="Y632">
        <v>120</v>
      </c>
      <c r="Z632" t="s">
        <v>295</v>
      </c>
      <c r="AA632" t="s">
        <v>88</v>
      </c>
      <c r="AB632" t="s">
        <v>100</v>
      </c>
      <c r="AC632" t="s">
        <v>310</v>
      </c>
      <c r="AD632" t="s">
        <v>90</v>
      </c>
    </row>
    <row r="633" spans="1:30" hidden="1">
      <c r="A633" s="1">
        <v>45579</v>
      </c>
      <c r="B633" t="s">
        <v>10</v>
      </c>
      <c r="C633" t="s">
        <v>92</v>
      </c>
      <c r="D633" t="s">
        <v>76</v>
      </c>
      <c r="E633" t="s">
        <v>91</v>
      </c>
      <c r="F633" t="s">
        <v>78</v>
      </c>
      <c r="G633" t="s">
        <v>79</v>
      </c>
      <c r="H633" t="s">
        <v>80</v>
      </c>
      <c r="I633" t="s">
        <v>81</v>
      </c>
      <c r="J633" t="s">
        <v>82</v>
      </c>
      <c r="K633" t="s">
        <v>76</v>
      </c>
      <c r="L633" t="s">
        <v>8</v>
      </c>
      <c r="M633" t="s">
        <v>83</v>
      </c>
      <c r="N633" t="s">
        <v>93</v>
      </c>
      <c r="O633" t="s">
        <v>85</v>
      </c>
      <c r="P633">
        <v>309500</v>
      </c>
      <c r="Q633" t="s">
        <v>5</v>
      </c>
      <c r="R633" t="s">
        <v>86</v>
      </c>
      <c r="S633" t="s">
        <v>87</v>
      </c>
      <c r="T633">
        <v>0</v>
      </c>
      <c r="U633">
        <v>0.25</v>
      </c>
      <c r="V633" s="2">
        <v>1.0416666666666666E-2</v>
      </c>
      <c r="W633">
        <v>0</v>
      </c>
      <c r="AA633" t="s">
        <v>88</v>
      </c>
      <c r="AB633" t="s">
        <v>100</v>
      </c>
      <c r="AC633" t="s">
        <v>303</v>
      </c>
      <c r="AD633" t="s">
        <v>90</v>
      </c>
    </row>
    <row r="634" spans="1:30" hidden="1">
      <c r="A634" s="1">
        <v>45579</v>
      </c>
      <c r="B634" t="s">
        <v>14</v>
      </c>
      <c r="C634" t="s">
        <v>75</v>
      </c>
      <c r="D634" t="s">
        <v>76</v>
      </c>
      <c r="E634" t="s">
        <v>77</v>
      </c>
      <c r="F634" t="s">
        <v>78</v>
      </c>
      <c r="G634" t="s">
        <v>79</v>
      </c>
      <c r="H634" t="s">
        <v>80</v>
      </c>
      <c r="I634" t="s">
        <v>81</v>
      </c>
      <c r="J634" t="s">
        <v>82</v>
      </c>
      <c r="K634" t="s">
        <v>76</v>
      </c>
      <c r="L634" t="s">
        <v>8</v>
      </c>
      <c r="M634" t="s">
        <v>83</v>
      </c>
      <c r="N634" t="s">
        <v>84</v>
      </c>
      <c r="O634" t="s">
        <v>85</v>
      </c>
      <c r="P634">
        <v>309574</v>
      </c>
      <c r="Q634" t="s">
        <v>5</v>
      </c>
      <c r="R634" t="s">
        <v>86</v>
      </c>
      <c r="S634" t="s">
        <v>87</v>
      </c>
      <c r="T634">
        <v>0</v>
      </c>
      <c r="U634">
        <v>0.25</v>
      </c>
      <c r="V634" s="2">
        <v>1.0416666666666666E-2</v>
      </c>
      <c r="W634">
        <v>0</v>
      </c>
      <c r="AA634" t="s">
        <v>88</v>
      </c>
      <c r="AB634" t="s">
        <v>100</v>
      </c>
      <c r="AC634" t="s">
        <v>96</v>
      </c>
      <c r="AD634" t="s">
        <v>90</v>
      </c>
    </row>
    <row r="635" spans="1:30" hidden="1">
      <c r="A635" s="1">
        <v>45579</v>
      </c>
      <c r="B635" t="s">
        <v>12</v>
      </c>
      <c r="C635" t="s">
        <v>75</v>
      </c>
      <c r="D635" t="s">
        <v>76</v>
      </c>
      <c r="E635" t="s">
        <v>91</v>
      </c>
      <c r="F635" t="s">
        <v>78</v>
      </c>
      <c r="G635" t="s">
        <v>79</v>
      </c>
      <c r="H635" t="s">
        <v>80</v>
      </c>
      <c r="I635" t="s">
        <v>81</v>
      </c>
      <c r="J635" t="s">
        <v>82</v>
      </c>
      <c r="K635" t="s">
        <v>76</v>
      </c>
      <c r="L635" t="s">
        <v>8</v>
      </c>
      <c r="M635" t="s">
        <v>83</v>
      </c>
      <c r="N635" t="s">
        <v>84</v>
      </c>
      <c r="O635" t="s">
        <v>85</v>
      </c>
      <c r="P635">
        <v>311241</v>
      </c>
      <c r="Q635" t="s">
        <v>4</v>
      </c>
      <c r="R635" t="s">
        <v>94</v>
      </c>
      <c r="S635" t="s">
        <v>87</v>
      </c>
      <c r="T635">
        <v>90</v>
      </c>
      <c r="U635">
        <v>0.75</v>
      </c>
      <c r="V635" s="2">
        <v>3.125E-2</v>
      </c>
      <c r="W635">
        <v>67.5</v>
      </c>
      <c r="X635">
        <v>90</v>
      </c>
      <c r="Y635">
        <v>22.5</v>
      </c>
      <c r="Z635" t="s">
        <v>295</v>
      </c>
      <c r="AA635" t="s">
        <v>88</v>
      </c>
      <c r="AB635" t="s">
        <v>100</v>
      </c>
      <c r="AC635" t="s">
        <v>84</v>
      </c>
      <c r="AD635" t="s">
        <v>90</v>
      </c>
    </row>
    <row r="636" spans="1:30" hidden="1">
      <c r="A636" s="1">
        <v>45579</v>
      </c>
      <c r="B636" t="s">
        <v>8</v>
      </c>
      <c r="C636" t="s">
        <v>75</v>
      </c>
      <c r="D636" t="s">
        <v>76</v>
      </c>
      <c r="E636" t="s">
        <v>91</v>
      </c>
      <c r="F636" t="s">
        <v>78</v>
      </c>
      <c r="G636" t="s">
        <v>79</v>
      </c>
      <c r="H636" t="s">
        <v>80</v>
      </c>
      <c r="I636" t="s">
        <v>81</v>
      </c>
      <c r="J636" t="s">
        <v>82</v>
      </c>
      <c r="K636" t="s">
        <v>76</v>
      </c>
      <c r="L636" t="s">
        <v>8</v>
      </c>
      <c r="M636" t="s">
        <v>83</v>
      </c>
      <c r="N636" t="s">
        <v>84</v>
      </c>
      <c r="O636" t="s">
        <v>85</v>
      </c>
      <c r="P636">
        <v>309677</v>
      </c>
      <c r="Q636" t="s">
        <v>5</v>
      </c>
      <c r="R636" t="s">
        <v>86</v>
      </c>
      <c r="S636" t="s">
        <v>87</v>
      </c>
      <c r="T636">
        <v>0</v>
      </c>
      <c r="U636">
        <v>0.25</v>
      </c>
      <c r="V636" s="2">
        <v>1.0416666666666666E-2</v>
      </c>
      <c r="W636">
        <v>0</v>
      </c>
      <c r="AA636" t="s">
        <v>88</v>
      </c>
      <c r="AB636" t="s">
        <v>100</v>
      </c>
      <c r="AC636" t="s">
        <v>84</v>
      </c>
      <c r="AD636" t="s">
        <v>90</v>
      </c>
    </row>
    <row r="637" spans="1:30" hidden="1">
      <c r="A637" s="1">
        <v>45579</v>
      </c>
      <c r="B637" t="s">
        <v>108</v>
      </c>
      <c r="C637" t="s">
        <v>75</v>
      </c>
      <c r="D637" t="s">
        <v>76</v>
      </c>
      <c r="E637" t="s">
        <v>91</v>
      </c>
      <c r="F637" t="s">
        <v>78</v>
      </c>
      <c r="G637" t="s">
        <v>79</v>
      </c>
      <c r="H637" t="s">
        <v>80</v>
      </c>
      <c r="I637" t="s">
        <v>81</v>
      </c>
      <c r="J637" t="s">
        <v>82</v>
      </c>
      <c r="K637" t="s">
        <v>76</v>
      </c>
      <c r="L637" t="s">
        <v>8</v>
      </c>
      <c r="M637" t="s">
        <v>83</v>
      </c>
      <c r="N637" t="s">
        <v>93</v>
      </c>
      <c r="O637" t="s">
        <v>85</v>
      </c>
      <c r="P637">
        <v>310444</v>
      </c>
      <c r="Q637" t="s">
        <v>4</v>
      </c>
      <c r="R637" t="s">
        <v>94</v>
      </c>
      <c r="S637" t="s">
        <v>87</v>
      </c>
      <c r="T637">
        <v>90</v>
      </c>
      <c r="U637">
        <v>2</v>
      </c>
      <c r="V637" s="2">
        <v>8.3333333333333329E-2</v>
      </c>
      <c r="W637">
        <v>180</v>
      </c>
      <c r="X637">
        <v>240</v>
      </c>
      <c r="Y637">
        <v>60</v>
      </c>
      <c r="Z637" t="s">
        <v>295</v>
      </c>
      <c r="AA637" t="s">
        <v>88</v>
      </c>
      <c r="AB637" t="s">
        <v>100</v>
      </c>
      <c r="AC637" t="s">
        <v>84</v>
      </c>
      <c r="AD637" t="s">
        <v>90</v>
      </c>
    </row>
    <row r="638" spans="1:30" hidden="1">
      <c r="A638" s="1">
        <v>45579</v>
      </c>
      <c r="B638" t="s">
        <v>108</v>
      </c>
      <c r="C638" t="s">
        <v>75</v>
      </c>
      <c r="D638" t="s">
        <v>76</v>
      </c>
      <c r="E638" t="s">
        <v>91</v>
      </c>
      <c r="F638" t="s">
        <v>78</v>
      </c>
      <c r="G638" t="s">
        <v>79</v>
      </c>
      <c r="H638" t="s">
        <v>80</v>
      </c>
      <c r="I638" t="s">
        <v>81</v>
      </c>
      <c r="J638" t="s">
        <v>82</v>
      </c>
      <c r="K638" t="s">
        <v>76</v>
      </c>
      <c r="L638" t="s">
        <v>8</v>
      </c>
      <c r="M638" t="s">
        <v>83</v>
      </c>
      <c r="N638" t="s">
        <v>93</v>
      </c>
      <c r="O638" t="s">
        <v>85</v>
      </c>
      <c r="P638">
        <v>310446</v>
      </c>
      <c r="Q638" t="s">
        <v>5</v>
      </c>
      <c r="R638" t="s">
        <v>86</v>
      </c>
      <c r="S638" t="s">
        <v>87</v>
      </c>
      <c r="T638">
        <v>0</v>
      </c>
      <c r="U638">
        <v>4</v>
      </c>
      <c r="V638" s="2">
        <v>0.16666666666666666</v>
      </c>
      <c r="W638">
        <v>0</v>
      </c>
      <c r="AA638" t="s">
        <v>88</v>
      </c>
      <c r="AB638" t="s">
        <v>100</v>
      </c>
      <c r="AC638" t="s">
        <v>311</v>
      </c>
      <c r="AD638" t="s">
        <v>90</v>
      </c>
    </row>
    <row r="639" spans="1:30" hidden="1">
      <c r="A639" s="1">
        <v>45580</v>
      </c>
      <c r="B639" t="s">
        <v>10</v>
      </c>
      <c r="C639" t="s">
        <v>92</v>
      </c>
      <c r="D639" t="s">
        <v>76</v>
      </c>
      <c r="E639" t="s">
        <v>91</v>
      </c>
      <c r="F639" t="s">
        <v>78</v>
      </c>
      <c r="G639" t="s">
        <v>79</v>
      </c>
      <c r="H639" t="s">
        <v>80</v>
      </c>
      <c r="I639" t="s">
        <v>81</v>
      </c>
      <c r="J639" t="s">
        <v>82</v>
      </c>
      <c r="K639" t="s">
        <v>76</v>
      </c>
      <c r="L639" t="s">
        <v>8</v>
      </c>
      <c r="M639" t="s">
        <v>83</v>
      </c>
      <c r="N639" t="s">
        <v>93</v>
      </c>
      <c r="O639" t="s">
        <v>85</v>
      </c>
      <c r="P639">
        <v>309958</v>
      </c>
      <c r="Q639" t="s">
        <v>4</v>
      </c>
      <c r="R639" t="s">
        <v>94</v>
      </c>
      <c r="S639" t="s">
        <v>87</v>
      </c>
      <c r="T639">
        <v>90</v>
      </c>
      <c r="U639">
        <v>0.25</v>
      </c>
      <c r="V639" s="2">
        <v>1.0416666666666666E-2</v>
      </c>
      <c r="W639">
        <v>22.5</v>
      </c>
      <c r="X639">
        <v>30</v>
      </c>
      <c r="Y639">
        <v>7.5</v>
      </c>
      <c r="Z639" t="s">
        <v>295</v>
      </c>
      <c r="AA639" t="s">
        <v>88</v>
      </c>
      <c r="AB639" t="s">
        <v>100</v>
      </c>
      <c r="AC639" t="s">
        <v>312</v>
      </c>
      <c r="AD639" t="s">
        <v>90</v>
      </c>
    </row>
    <row r="640" spans="1:30" hidden="1">
      <c r="A640" s="1">
        <v>45580</v>
      </c>
      <c r="B640" t="s">
        <v>10</v>
      </c>
      <c r="C640" t="s">
        <v>92</v>
      </c>
      <c r="D640" t="s">
        <v>76</v>
      </c>
      <c r="E640" t="s">
        <v>91</v>
      </c>
      <c r="F640" t="s">
        <v>78</v>
      </c>
      <c r="G640" t="s">
        <v>79</v>
      </c>
      <c r="H640" t="s">
        <v>80</v>
      </c>
      <c r="I640" t="s">
        <v>81</v>
      </c>
      <c r="J640" t="s">
        <v>82</v>
      </c>
      <c r="K640" t="s">
        <v>76</v>
      </c>
      <c r="L640" t="s">
        <v>8</v>
      </c>
      <c r="M640" t="s">
        <v>83</v>
      </c>
      <c r="N640" t="s">
        <v>93</v>
      </c>
      <c r="O640" t="s">
        <v>85</v>
      </c>
      <c r="P640">
        <v>309957</v>
      </c>
      <c r="Q640" t="s">
        <v>5</v>
      </c>
      <c r="R640" t="s">
        <v>86</v>
      </c>
      <c r="S640" t="s">
        <v>87</v>
      </c>
      <c r="T640">
        <v>0</v>
      </c>
      <c r="U640">
        <v>0.75</v>
      </c>
      <c r="V640" s="2">
        <v>3.125E-2</v>
      </c>
      <c r="W640">
        <v>0</v>
      </c>
      <c r="AA640" t="s">
        <v>88</v>
      </c>
      <c r="AB640" t="s">
        <v>100</v>
      </c>
      <c r="AC640" t="s">
        <v>313</v>
      </c>
      <c r="AD640" t="s">
        <v>90</v>
      </c>
    </row>
    <row r="641" spans="1:30" hidden="1">
      <c r="A641" s="1">
        <v>45580</v>
      </c>
      <c r="B641" t="s">
        <v>12</v>
      </c>
      <c r="C641" t="s">
        <v>75</v>
      </c>
      <c r="D641" t="s">
        <v>76</v>
      </c>
      <c r="E641" t="s">
        <v>91</v>
      </c>
      <c r="F641" t="s">
        <v>78</v>
      </c>
      <c r="G641" t="s">
        <v>79</v>
      </c>
      <c r="H641" t="s">
        <v>80</v>
      </c>
      <c r="I641" t="s">
        <v>81</v>
      </c>
      <c r="J641" t="s">
        <v>82</v>
      </c>
      <c r="K641" t="s">
        <v>76</v>
      </c>
      <c r="L641" t="s">
        <v>8</v>
      </c>
      <c r="M641" t="s">
        <v>83</v>
      </c>
      <c r="N641" t="s">
        <v>84</v>
      </c>
      <c r="O641" t="s">
        <v>85</v>
      </c>
      <c r="P641">
        <v>311261</v>
      </c>
      <c r="Q641" t="s">
        <v>4</v>
      </c>
      <c r="R641" t="s">
        <v>94</v>
      </c>
      <c r="S641" t="s">
        <v>87</v>
      </c>
      <c r="T641">
        <v>90</v>
      </c>
      <c r="U641">
        <v>0.5</v>
      </c>
      <c r="V641" s="2">
        <v>2.0833333333333332E-2</v>
      </c>
      <c r="W641">
        <v>45</v>
      </c>
      <c r="X641">
        <v>60</v>
      </c>
      <c r="Y641">
        <v>15</v>
      </c>
      <c r="Z641" t="s">
        <v>295</v>
      </c>
      <c r="AA641" t="s">
        <v>88</v>
      </c>
      <c r="AB641" t="s">
        <v>100</v>
      </c>
      <c r="AC641" t="s">
        <v>84</v>
      </c>
      <c r="AD641" t="s">
        <v>90</v>
      </c>
    </row>
    <row r="642" spans="1:30" hidden="1">
      <c r="A642" s="1">
        <v>45580</v>
      </c>
      <c r="B642" t="s">
        <v>8</v>
      </c>
      <c r="C642" t="s">
        <v>75</v>
      </c>
      <c r="D642" t="s">
        <v>76</v>
      </c>
      <c r="E642" t="s">
        <v>91</v>
      </c>
      <c r="F642" t="s">
        <v>78</v>
      </c>
      <c r="G642" t="s">
        <v>79</v>
      </c>
      <c r="H642" t="s">
        <v>80</v>
      </c>
      <c r="I642" t="s">
        <v>81</v>
      </c>
      <c r="J642" t="s">
        <v>82</v>
      </c>
      <c r="K642" t="s">
        <v>76</v>
      </c>
      <c r="L642" t="s">
        <v>8</v>
      </c>
      <c r="M642" t="s">
        <v>83</v>
      </c>
      <c r="N642" t="s">
        <v>84</v>
      </c>
      <c r="O642" t="s">
        <v>85</v>
      </c>
      <c r="P642">
        <v>310187</v>
      </c>
      <c r="Q642" t="s">
        <v>5</v>
      </c>
      <c r="R642" t="s">
        <v>86</v>
      </c>
      <c r="S642" t="s">
        <v>87</v>
      </c>
      <c r="T642">
        <v>0</v>
      </c>
      <c r="U642">
        <v>0.25</v>
      </c>
      <c r="V642" s="2">
        <v>1.0416666666666666E-2</v>
      </c>
      <c r="W642">
        <v>0</v>
      </c>
      <c r="AA642" t="s">
        <v>88</v>
      </c>
      <c r="AB642" t="s">
        <v>100</v>
      </c>
      <c r="AC642" t="s">
        <v>84</v>
      </c>
      <c r="AD642" t="s">
        <v>90</v>
      </c>
    </row>
    <row r="643" spans="1:30" hidden="1">
      <c r="A643" s="1">
        <v>45580</v>
      </c>
      <c r="B643" t="s">
        <v>108</v>
      </c>
      <c r="C643" t="s">
        <v>75</v>
      </c>
      <c r="D643" t="s">
        <v>76</v>
      </c>
      <c r="E643" t="s">
        <v>91</v>
      </c>
      <c r="F643" t="s">
        <v>78</v>
      </c>
      <c r="G643" t="s">
        <v>79</v>
      </c>
      <c r="H643" t="s">
        <v>80</v>
      </c>
      <c r="I643" t="s">
        <v>81</v>
      </c>
      <c r="J643" t="s">
        <v>82</v>
      </c>
      <c r="K643" t="s">
        <v>76</v>
      </c>
      <c r="L643" t="s">
        <v>8</v>
      </c>
      <c r="M643" t="s">
        <v>83</v>
      </c>
      <c r="N643" t="s">
        <v>93</v>
      </c>
      <c r="O643" t="s">
        <v>85</v>
      </c>
      <c r="P643">
        <v>310445</v>
      </c>
      <c r="Q643" t="s">
        <v>5</v>
      </c>
      <c r="R643" t="s">
        <v>86</v>
      </c>
      <c r="S643" t="s">
        <v>87</v>
      </c>
      <c r="T643">
        <v>0</v>
      </c>
      <c r="U643">
        <v>1</v>
      </c>
      <c r="V643" s="2">
        <v>4.1666666666666664E-2</v>
      </c>
      <c r="W643">
        <v>0</v>
      </c>
      <c r="AA643" t="s">
        <v>88</v>
      </c>
      <c r="AB643" t="s">
        <v>100</v>
      </c>
      <c r="AC643" t="s">
        <v>84</v>
      </c>
      <c r="AD643" t="s">
        <v>90</v>
      </c>
    </row>
    <row r="644" spans="1:30" hidden="1">
      <c r="A644" s="1">
        <v>45580</v>
      </c>
      <c r="B644" t="s">
        <v>108</v>
      </c>
      <c r="C644" t="s">
        <v>75</v>
      </c>
      <c r="D644" t="s">
        <v>76</v>
      </c>
      <c r="E644" t="s">
        <v>91</v>
      </c>
      <c r="F644" t="s">
        <v>78</v>
      </c>
      <c r="G644" t="s">
        <v>79</v>
      </c>
      <c r="H644" t="s">
        <v>80</v>
      </c>
      <c r="I644" t="s">
        <v>81</v>
      </c>
      <c r="J644" t="s">
        <v>82</v>
      </c>
      <c r="K644" t="s">
        <v>76</v>
      </c>
      <c r="L644" t="s">
        <v>8</v>
      </c>
      <c r="M644" t="s">
        <v>83</v>
      </c>
      <c r="N644" t="s">
        <v>93</v>
      </c>
      <c r="O644" t="s">
        <v>85</v>
      </c>
      <c r="P644">
        <v>310447</v>
      </c>
      <c r="Q644" t="s">
        <v>5</v>
      </c>
      <c r="R644" t="s">
        <v>86</v>
      </c>
      <c r="S644" t="s">
        <v>87</v>
      </c>
      <c r="T644">
        <v>0</v>
      </c>
      <c r="U644">
        <v>3.25</v>
      </c>
      <c r="V644" s="2">
        <v>0.13541666666666666</v>
      </c>
      <c r="W644">
        <v>0</v>
      </c>
      <c r="AA644" t="s">
        <v>88</v>
      </c>
      <c r="AB644" t="s">
        <v>100</v>
      </c>
      <c r="AC644" t="s">
        <v>314</v>
      </c>
      <c r="AD644" t="s">
        <v>90</v>
      </c>
    </row>
    <row r="645" spans="1:30" hidden="1">
      <c r="A645" s="1">
        <v>45581</v>
      </c>
      <c r="B645" t="s">
        <v>10</v>
      </c>
      <c r="C645" t="s">
        <v>92</v>
      </c>
      <c r="D645" t="s">
        <v>76</v>
      </c>
      <c r="E645" t="s">
        <v>91</v>
      </c>
      <c r="F645" t="s">
        <v>78</v>
      </c>
      <c r="G645" t="s">
        <v>79</v>
      </c>
      <c r="H645" t="s">
        <v>80</v>
      </c>
      <c r="I645" t="s">
        <v>81</v>
      </c>
      <c r="J645" t="s">
        <v>82</v>
      </c>
      <c r="K645" t="s">
        <v>76</v>
      </c>
      <c r="L645" t="s">
        <v>8</v>
      </c>
      <c r="M645" t="s">
        <v>83</v>
      </c>
      <c r="N645" t="s">
        <v>93</v>
      </c>
      <c r="O645" t="s">
        <v>85</v>
      </c>
      <c r="P645">
        <v>310990</v>
      </c>
      <c r="Q645" t="s">
        <v>5</v>
      </c>
      <c r="R645" t="s">
        <v>86</v>
      </c>
      <c r="S645" t="s">
        <v>87</v>
      </c>
      <c r="T645">
        <v>0</v>
      </c>
      <c r="U645">
        <v>0.25</v>
      </c>
      <c r="V645" s="2">
        <v>1.0416666666666666E-2</v>
      </c>
      <c r="W645">
        <v>0</v>
      </c>
      <c r="AA645" t="s">
        <v>88</v>
      </c>
      <c r="AB645" t="s">
        <v>100</v>
      </c>
      <c r="AC645" t="s">
        <v>303</v>
      </c>
      <c r="AD645" t="s">
        <v>90</v>
      </c>
    </row>
    <row r="646" spans="1:30" hidden="1">
      <c r="A646" s="1">
        <v>45581</v>
      </c>
      <c r="B646" t="s">
        <v>211</v>
      </c>
      <c r="C646" t="s">
        <v>75</v>
      </c>
      <c r="D646" t="s">
        <v>76</v>
      </c>
      <c r="E646" t="s">
        <v>91</v>
      </c>
      <c r="F646" t="s">
        <v>78</v>
      </c>
      <c r="G646" t="s">
        <v>79</v>
      </c>
      <c r="H646" t="s">
        <v>80</v>
      </c>
      <c r="I646" t="s">
        <v>81</v>
      </c>
      <c r="J646" t="s">
        <v>82</v>
      </c>
      <c r="K646" t="s">
        <v>76</v>
      </c>
      <c r="L646" t="s">
        <v>8</v>
      </c>
      <c r="M646" t="s">
        <v>83</v>
      </c>
      <c r="N646" t="s">
        <v>93</v>
      </c>
      <c r="O646" t="s">
        <v>85</v>
      </c>
      <c r="P646">
        <v>310958</v>
      </c>
      <c r="Q646" t="s">
        <v>5</v>
      </c>
      <c r="R646" t="s">
        <v>86</v>
      </c>
      <c r="S646" t="s">
        <v>87</v>
      </c>
      <c r="T646">
        <v>0</v>
      </c>
      <c r="U646">
        <v>0.5</v>
      </c>
      <c r="V646" s="2">
        <v>2.0833333333333332E-2</v>
      </c>
      <c r="W646">
        <v>0</v>
      </c>
      <c r="AA646" t="s">
        <v>88</v>
      </c>
      <c r="AB646" t="s">
        <v>100</v>
      </c>
      <c r="AC646" t="s">
        <v>84</v>
      </c>
      <c r="AD646" t="s">
        <v>90</v>
      </c>
    </row>
    <row r="647" spans="1:30" hidden="1">
      <c r="A647" s="1">
        <v>45581</v>
      </c>
      <c r="B647" t="s">
        <v>16</v>
      </c>
      <c r="C647" t="s">
        <v>75</v>
      </c>
      <c r="D647" t="s">
        <v>76</v>
      </c>
      <c r="E647" t="s">
        <v>91</v>
      </c>
      <c r="F647" t="s">
        <v>78</v>
      </c>
      <c r="G647" t="s">
        <v>79</v>
      </c>
      <c r="H647" t="s">
        <v>80</v>
      </c>
      <c r="I647" t="s">
        <v>81</v>
      </c>
      <c r="J647" t="s">
        <v>82</v>
      </c>
      <c r="K647" t="s">
        <v>76</v>
      </c>
      <c r="L647" t="s">
        <v>8</v>
      </c>
      <c r="M647" t="s">
        <v>83</v>
      </c>
      <c r="N647" t="s">
        <v>93</v>
      </c>
      <c r="O647" t="s">
        <v>85</v>
      </c>
      <c r="P647">
        <v>310977</v>
      </c>
      <c r="Q647" t="s">
        <v>5</v>
      </c>
      <c r="R647" t="s">
        <v>86</v>
      </c>
      <c r="S647" t="s">
        <v>87</v>
      </c>
      <c r="T647">
        <v>0</v>
      </c>
      <c r="U647">
        <v>0.25</v>
      </c>
      <c r="V647" s="2">
        <v>1.0416666666666666E-2</v>
      </c>
      <c r="W647">
        <v>0</v>
      </c>
      <c r="AA647" t="s">
        <v>88</v>
      </c>
      <c r="AB647" t="s">
        <v>100</v>
      </c>
      <c r="AC647" t="s">
        <v>84</v>
      </c>
      <c r="AD647" t="s">
        <v>90</v>
      </c>
    </row>
    <row r="648" spans="1:30" hidden="1">
      <c r="A648" s="1">
        <v>45581</v>
      </c>
      <c r="B648" t="s">
        <v>8</v>
      </c>
      <c r="C648" t="s">
        <v>75</v>
      </c>
      <c r="D648" t="s">
        <v>76</v>
      </c>
      <c r="E648" t="s">
        <v>91</v>
      </c>
      <c r="F648" t="s">
        <v>78</v>
      </c>
      <c r="G648" t="s">
        <v>79</v>
      </c>
      <c r="H648" t="s">
        <v>80</v>
      </c>
      <c r="I648" t="s">
        <v>81</v>
      </c>
      <c r="J648" t="s">
        <v>82</v>
      </c>
      <c r="K648" t="s">
        <v>76</v>
      </c>
      <c r="L648" t="s">
        <v>8</v>
      </c>
      <c r="M648" t="s">
        <v>83</v>
      </c>
      <c r="N648" t="s">
        <v>84</v>
      </c>
      <c r="O648" t="s">
        <v>85</v>
      </c>
      <c r="P648">
        <v>310852</v>
      </c>
      <c r="Q648" t="s">
        <v>5</v>
      </c>
      <c r="R648" t="s">
        <v>86</v>
      </c>
      <c r="S648" t="s">
        <v>87</v>
      </c>
      <c r="T648">
        <v>0</v>
      </c>
      <c r="U648">
        <v>0.25</v>
      </c>
      <c r="V648" s="2">
        <v>1.0416666666666666E-2</v>
      </c>
      <c r="W648">
        <v>0</v>
      </c>
      <c r="AA648" t="s">
        <v>88</v>
      </c>
      <c r="AB648" t="s">
        <v>100</v>
      </c>
      <c r="AC648" t="s">
        <v>84</v>
      </c>
      <c r="AD648" t="s">
        <v>90</v>
      </c>
    </row>
    <row r="649" spans="1:30" hidden="1">
      <c r="A649" s="1">
        <v>45581</v>
      </c>
      <c r="B649" t="s">
        <v>108</v>
      </c>
      <c r="C649" t="s">
        <v>75</v>
      </c>
      <c r="D649" t="s">
        <v>76</v>
      </c>
      <c r="E649" t="s">
        <v>91</v>
      </c>
      <c r="F649" t="s">
        <v>78</v>
      </c>
      <c r="G649" t="s">
        <v>79</v>
      </c>
      <c r="H649" t="s">
        <v>80</v>
      </c>
      <c r="I649" t="s">
        <v>81</v>
      </c>
      <c r="J649" t="s">
        <v>82</v>
      </c>
      <c r="K649" t="s">
        <v>76</v>
      </c>
      <c r="L649" t="s">
        <v>8</v>
      </c>
      <c r="M649" t="s">
        <v>83</v>
      </c>
      <c r="N649" t="s">
        <v>93</v>
      </c>
      <c r="O649" t="s">
        <v>85</v>
      </c>
      <c r="P649">
        <v>310655</v>
      </c>
      <c r="Q649" t="s">
        <v>4</v>
      </c>
      <c r="R649" t="s">
        <v>94</v>
      </c>
      <c r="S649" t="s">
        <v>87</v>
      </c>
      <c r="T649">
        <v>90</v>
      </c>
      <c r="U649">
        <v>2.5</v>
      </c>
      <c r="V649" s="2">
        <v>0.10416666666666667</v>
      </c>
      <c r="W649">
        <v>225</v>
      </c>
      <c r="X649">
        <v>300</v>
      </c>
      <c r="Y649">
        <v>75</v>
      </c>
      <c r="Z649" t="s">
        <v>295</v>
      </c>
      <c r="AA649" t="s">
        <v>88</v>
      </c>
      <c r="AB649" t="s">
        <v>100</v>
      </c>
      <c r="AC649" t="s">
        <v>315</v>
      </c>
      <c r="AD649" t="s">
        <v>90</v>
      </c>
    </row>
    <row r="650" spans="1:30" hidden="1">
      <c r="A650" s="1">
        <v>45581</v>
      </c>
      <c r="B650" t="s">
        <v>108</v>
      </c>
      <c r="C650" t="s">
        <v>75</v>
      </c>
      <c r="D650" t="s">
        <v>76</v>
      </c>
      <c r="E650" t="s">
        <v>91</v>
      </c>
      <c r="F650" t="s">
        <v>78</v>
      </c>
      <c r="G650" t="s">
        <v>79</v>
      </c>
      <c r="H650" t="s">
        <v>80</v>
      </c>
      <c r="I650" t="s">
        <v>81</v>
      </c>
      <c r="J650" t="s">
        <v>82</v>
      </c>
      <c r="K650" t="s">
        <v>76</v>
      </c>
      <c r="L650" t="s">
        <v>8</v>
      </c>
      <c r="M650" t="s">
        <v>83</v>
      </c>
      <c r="N650" t="s">
        <v>93</v>
      </c>
      <c r="O650" t="s">
        <v>85</v>
      </c>
      <c r="P650">
        <v>310656</v>
      </c>
      <c r="Q650" t="s">
        <v>5</v>
      </c>
      <c r="R650" t="s">
        <v>86</v>
      </c>
      <c r="S650" t="s">
        <v>87</v>
      </c>
      <c r="T650">
        <v>0</v>
      </c>
      <c r="U650">
        <v>1.25</v>
      </c>
      <c r="V650" s="2">
        <v>5.2083333333333336E-2</v>
      </c>
      <c r="W650">
        <v>0</v>
      </c>
      <c r="AA650" t="s">
        <v>88</v>
      </c>
      <c r="AB650" t="s">
        <v>100</v>
      </c>
      <c r="AC650" t="s">
        <v>316</v>
      </c>
      <c r="AD650" t="s">
        <v>90</v>
      </c>
    </row>
    <row r="651" spans="1:30" hidden="1">
      <c r="A651" s="1">
        <v>45582</v>
      </c>
      <c r="B651" t="s">
        <v>8</v>
      </c>
      <c r="C651" t="s">
        <v>75</v>
      </c>
      <c r="D651" t="s">
        <v>76</v>
      </c>
      <c r="E651" t="s">
        <v>91</v>
      </c>
      <c r="F651" t="s">
        <v>78</v>
      </c>
      <c r="G651" t="s">
        <v>79</v>
      </c>
      <c r="H651" t="s">
        <v>80</v>
      </c>
      <c r="I651" t="s">
        <v>81</v>
      </c>
      <c r="J651" t="s">
        <v>82</v>
      </c>
      <c r="K651" t="s">
        <v>76</v>
      </c>
      <c r="L651" t="s">
        <v>8</v>
      </c>
      <c r="M651" t="s">
        <v>83</v>
      </c>
      <c r="N651" t="s">
        <v>84</v>
      </c>
      <c r="O651" t="s">
        <v>85</v>
      </c>
      <c r="P651">
        <v>311173</v>
      </c>
      <c r="Q651" t="s">
        <v>5</v>
      </c>
      <c r="R651" t="s">
        <v>86</v>
      </c>
      <c r="S651" t="s">
        <v>87</v>
      </c>
      <c r="T651">
        <v>0</v>
      </c>
      <c r="U651">
        <v>0.5</v>
      </c>
      <c r="V651" s="2">
        <v>2.0833333333333332E-2</v>
      </c>
      <c r="W651">
        <v>0</v>
      </c>
      <c r="AA651" t="s">
        <v>88</v>
      </c>
      <c r="AB651" t="s">
        <v>100</v>
      </c>
      <c r="AC651" t="s">
        <v>84</v>
      </c>
      <c r="AD651" t="s">
        <v>90</v>
      </c>
    </row>
    <row r="652" spans="1:30" hidden="1">
      <c r="A652" s="1">
        <v>45583</v>
      </c>
      <c r="B652" t="s">
        <v>8</v>
      </c>
      <c r="C652" t="s">
        <v>75</v>
      </c>
      <c r="D652" t="s">
        <v>76</v>
      </c>
      <c r="E652" t="s">
        <v>91</v>
      </c>
      <c r="F652" t="s">
        <v>78</v>
      </c>
      <c r="G652" t="s">
        <v>79</v>
      </c>
      <c r="H652" t="s">
        <v>80</v>
      </c>
      <c r="I652" t="s">
        <v>81</v>
      </c>
      <c r="J652" t="s">
        <v>82</v>
      </c>
      <c r="K652" t="s">
        <v>76</v>
      </c>
      <c r="L652" t="s">
        <v>8</v>
      </c>
      <c r="M652" t="s">
        <v>83</v>
      </c>
      <c r="N652" t="s">
        <v>84</v>
      </c>
      <c r="O652" t="s">
        <v>85</v>
      </c>
      <c r="P652">
        <v>312547</v>
      </c>
      <c r="Q652" t="s">
        <v>5</v>
      </c>
      <c r="R652" t="s">
        <v>86</v>
      </c>
      <c r="S652" t="s">
        <v>87</v>
      </c>
      <c r="T652">
        <v>0</v>
      </c>
      <c r="U652">
        <v>0.25</v>
      </c>
      <c r="V652" s="2">
        <v>1.0416666666666666E-2</v>
      </c>
      <c r="W652">
        <v>0</v>
      </c>
      <c r="AA652" t="s">
        <v>88</v>
      </c>
      <c r="AB652" t="s">
        <v>100</v>
      </c>
      <c r="AC652" t="s">
        <v>84</v>
      </c>
      <c r="AD652" t="s">
        <v>90</v>
      </c>
    </row>
    <row r="653" spans="1:30" hidden="1">
      <c r="A653" s="1">
        <v>45586</v>
      </c>
      <c r="B653" t="s">
        <v>10</v>
      </c>
      <c r="C653" t="s">
        <v>92</v>
      </c>
      <c r="D653" t="s">
        <v>76</v>
      </c>
      <c r="E653" t="s">
        <v>91</v>
      </c>
      <c r="F653" t="s">
        <v>78</v>
      </c>
      <c r="G653" t="s">
        <v>79</v>
      </c>
      <c r="H653" t="s">
        <v>80</v>
      </c>
      <c r="I653" t="s">
        <v>81</v>
      </c>
      <c r="J653" t="s">
        <v>82</v>
      </c>
      <c r="K653" t="s">
        <v>76</v>
      </c>
      <c r="L653" t="s">
        <v>8</v>
      </c>
      <c r="M653" t="s">
        <v>83</v>
      </c>
      <c r="N653" t="s">
        <v>93</v>
      </c>
      <c r="O653" t="s">
        <v>85</v>
      </c>
      <c r="P653">
        <v>312442</v>
      </c>
      <c r="Q653" t="s">
        <v>5</v>
      </c>
      <c r="R653" t="s">
        <v>86</v>
      </c>
      <c r="S653" t="s">
        <v>87</v>
      </c>
      <c r="T653">
        <v>0</v>
      </c>
      <c r="U653">
        <v>0.25</v>
      </c>
      <c r="V653" s="2">
        <v>1.0416666666666666E-2</v>
      </c>
      <c r="W653">
        <v>0</v>
      </c>
      <c r="AA653" t="s">
        <v>88</v>
      </c>
      <c r="AB653" t="s">
        <v>100</v>
      </c>
      <c r="AC653" t="s">
        <v>303</v>
      </c>
      <c r="AD653" t="s">
        <v>90</v>
      </c>
    </row>
    <row r="654" spans="1:30" hidden="1">
      <c r="A654" s="1">
        <v>45586</v>
      </c>
      <c r="B654" t="s">
        <v>12</v>
      </c>
      <c r="C654" t="s">
        <v>75</v>
      </c>
      <c r="D654" t="s">
        <v>76</v>
      </c>
      <c r="E654" t="s">
        <v>91</v>
      </c>
      <c r="F654" t="s">
        <v>78</v>
      </c>
      <c r="G654" t="s">
        <v>79</v>
      </c>
      <c r="H654" t="s">
        <v>80</v>
      </c>
      <c r="I654" t="s">
        <v>81</v>
      </c>
      <c r="J654" t="s">
        <v>82</v>
      </c>
      <c r="K654" t="s">
        <v>76</v>
      </c>
      <c r="L654" t="s">
        <v>8</v>
      </c>
      <c r="M654" t="s">
        <v>83</v>
      </c>
      <c r="N654" t="s">
        <v>84</v>
      </c>
      <c r="O654" t="s">
        <v>85</v>
      </c>
      <c r="P654">
        <v>312090</v>
      </c>
      <c r="Q654" t="s">
        <v>4</v>
      </c>
      <c r="R654" t="s">
        <v>94</v>
      </c>
      <c r="S654" t="s">
        <v>87</v>
      </c>
      <c r="T654">
        <v>90</v>
      </c>
      <c r="U654">
        <v>0.5</v>
      </c>
      <c r="V654" s="2">
        <v>2.0833333333333332E-2</v>
      </c>
      <c r="W654">
        <v>45</v>
      </c>
      <c r="X654">
        <v>60</v>
      </c>
      <c r="Y654">
        <v>15</v>
      </c>
      <c r="Z654" t="s">
        <v>295</v>
      </c>
      <c r="AA654" t="s">
        <v>88</v>
      </c>
      <c r="AB654" t="s">
        <v>100</v>
      </c>
      <c r="AC654" t="s">
        <v>84</v>
      </c>
      <c r="AD654" t="s">
        <v>90</v>
      </c>
    </row>
    <row r="655" spans="1:30" hidden="1">
      <c r="A655" s="1">
        <v>45586</v>
      </c>
      <c r="B655" t="s">
        <v>108</v>
      </c>
      <c r="C655" t="s">
        <v>75</v>
      </c>
      <c r="D655" t="s">
        <v>76</v>
      </c>
      <c r="E655" t="s">
        <v>91</v>
      </c>
      <c r="F655" t="s">
        <v>78</v>
      </c>
      <c r="G655" t="s">
        <v>79</v>
      </c>
      <c r="H655" t="s">
        <v>80</v>
      </c>
      <c r="I655" t="s">
        <v>81</v>
      </c>
      <c r="J655" t="s">
        <v>82</v>
      </c>
      <c r="K655" t="s">
        <v>76</v>
      </c>
      <c r="L655" t="s">
        <v>8</v>
      </c>
      <c r="M655" t="s">
        <v>83</v>
      </c>
      <c r="N655" t="s">
        <v>93</v>
      </c>
      <c r="O655" t="s">
        <v>85</v>
      </c>
      <c r="P655">
        <v>312144</v>
      </c>
      <c r="Q655" t="s">
        <v>5</v>
      </c>
      <c r="R655" t="s">
        <v>86</v>
      </c>
      <c r="S655" t="s">
        <v>87</v>
      </c>
      <c r="T655">
        <v>0</v>
      </c>
      <c r="U655" s="19" t="s">
        <v>317</v>
      </c>
      <c r="V655" s="2">
        <v>5.5555555555555552E-2</v>
      </c>
      <c r="W655">
        <v>0</v>
      </c>
      <c r="AA655" t="s">
        <v>88</v>
      </c>
      <c r="AB655" t="s">
        <v>100</v>
      </c>
      <c r="AC655" t="s">
        <v>318</v>
      </c>
      <c r="AD655" t="s">
        <v>90</v>
      </c>
    </row>
    <row r="656" spans="1:30" hidden="1">
      <c r="A656" s="1">
        <v>45587</v>
      </c>
      <c r="B656" t="s">
        <v>10</v>
      </c>
      <c r="C656" t="s">
        <v>92</v>
      </c>
      <c r="D656" t="s">
        <v>76</v>
      </c>
      <c r="E656" t="s">
        <v>91</v>
      </c>
      <c r="F656" t="s">
        <v>78</v>
      </c>
      <c r="G656" t="s">
        <v>79</v>
      </c>
      <c r="H656" t="s">
        <v>80</v>
      </c>
      <c r="I656" t="s">
        <v>81</v>
      </c>
      <c r="J656" t="s">
        <v>82</v>
      </c>
      <c r="K656" t="s">
        <v>76</v>
      </c>
      <c r="L656" t="s">
        <v>8</v>
      </c>
      <c r="M656" t="s">
        <v>83</v>
      </c>
      <c r="N656" t="s">
        <v>93</v>
      </c>
      <c r="O656" t="s">
        <v>85</v>
      </c>
      <c r="P656">
        <v>312966</v>
      </c>
      <c r="Q656" t="s">
        <v>4</v>
      </c>
      <c r="R656" t="s">
        <v>94</v>
      </c>
      <c r="S656" t="s">
        <v>87</v>
      </c>
      <c r="T656">
        <v>90</v>
      </c>
      <c r="U656">
        <v>6.75</v>
      </c>
      <c r="V656" s="2">
        <v>0.28125</v>
      </c>
      <c r="W656">
        <v>607.5</v>
      </c>
      <c r="X656">
        <v>810</v>
      </c>
      <c r="Y656">
        <v>202.5</v>
      </c>
      <c r="Z656" t="s">
        <v>295</v>
      </c>
      <c r="AA656" t="s">
        <v>88</v>
      </c>
      <c r="AB656" t="s">
        <v>100</v>
      </c>
      <c r="AC656" t="s">
        <v>319</v>
      </c>
      <c r="AD656" t="s">
        <v>90</v>
      </c>
    </row>
    <row r="657" spans="1:30" hidden="1">
      <c r="A657" s="1">
        <v>45587</v>
      </c>
      <c r="B657" t="s">
        <v>10</v>
      </c>
      <c r="C657" t="s">
        <v>92</v>
      </c>
      <c r="D657" t="s">
        <v>76</v>
      </c>
      <c r="E657" t="s">
        <v>91</v>
      </c>
      <c r="F657" t="s">
        <v>78</v>
      </c>
      <c r="G657" t="s">
        <v>79</v>
      </c>
      <c r="H657" t="s">
        <v>80</v>
      </c>
      <c r="I657" t="s">
        <v>81</v>
      </c>
      <c r="J657" t="s">
        <v>82</v>
      </c>
      <c r="K657" t="s">
        <v>76</v>
      </c>
      <c r="L657" t="s">
        <v>8</v>
      </c>
      <c r="M657" t="s">
        <v>83</v>
      </c>
      <c r="N657" t="s">
        <v>93</v>
      </c>
      <c r="O657" t="s">
        <v>85</v>
      </c>
      <c r="P657">
        <v>312960</v>
      </c>
      <c r="Q657" t="s">
        <v>5</v>
      </c>
      <c r="R657" t="s">
        <v>86</v>
      </c>
      <c r="S657" t="s">
        <v>87</v>
      </c>
      <c r="T657">
        <v>0</v>
      </c>
      <c r="U657">
        <v>0.25</v>
      </c>
      <c r="V657" s="2">
        <v>1.0416666666666666E-2</v>
      </c>
      <c r="W657">
        <v>0</v>
      </c>
      <c r="AA657" t="s">
        <v>88</v>
      </c>
      <c r="AB657" t="s">
        <v>100</v>
      </c>
      <c r="AC657" t="s">
        <v>320</v>
      </c>
      <c r="AD657" t="s">
        <v>90</v>
      </c>
    </row>
    <row r="658" spans="1:30" hidden="1">
      <c r="A658" s="1">
        <v>45587</v>
      </c>
      <c r="B658" t="s">
        <v>14</v>
      </c>
      <c r="C658" t="s">
        <v>75</v>
      </c>
      <c r="D658" t="s">
        <v>76</v>
      </c>
      <c r="E658" t="s">
        <v>77</v>
      </c>
      <c r="F658" t="s">
        <v>78</v>
      </c>
      <c r="G658" t="s">
        <v>79</v>
      </c>
      <c r="H658" t="s">
        <v>80</v>
      </c>
      <c r="I658" t="s">
        <v>81</v>
      </c>
      <c r="J658" t="s">
        <v>82</v>
      </c>
      <c r="K658" t="s">
        <v>76</v>
      </c>
      <c r="L658" t="s">
        <v>8</v>
      </c>
      <c r="M658" t="s">
        <v>83</v>
      </c>
      <c r="N658" t="s">
        <v>84</v>
      </c>
      <c r="O658" t="s">
        <v>85</v>
      </c>
      <c r="P658">
        <v>312947</v>
      </c>
      <c r="Q658" t="s">
        <v>5</v>
      </c>
      <c r="R658" t="s">
        <v>86</v>
      </c>
      <c r="S658" t="s">
        <v>87</v>
      </c>
      <c r="T658">
        <v>0</v>
      </c>
      <c r="U658">
        <v>0.25</v>
      </c>
      <c r="V658" s="2">
        <v>1.0416666666666666E-2</v>
      </c>
      <c r="W658">
        <v>0</v>
      </c>
      <c r="AA658" t="s">
        <v>88</v>
      </c>
      <c r="AB658" t="s">
        <v>100</v>
      </c>
      <c r="AC658" t="s">
        <v>96</v>
      </c>
      <c r="AD658" t="s">
        <v>90</v>
      </c>
    </row>
    <row r="659" spans="1:30" hidden="1">
      <c r="A659" s="1">
        <v>45587</v>
      </c>
      <c r="B659" t="s">
        <v>12</v>
      </c>
      <c r="C659" t="s">
        <v>75</v>
      </c>
      <c r="D659" t="s">
        <v>76</v>
      </c>
      <c r="E659" t="s">
        <v>91</v>
      </c>
      <c r="F659" t="s">
        <v>78</v>
      </c>
      <c r="G659" t="s">
        <v>79</v>
      </c>
      <c r="H659" t="s">
        <v>80</v>
      </c>
      <c r="I659" t="s">
        <v>81</v>
      </c>
      <c r="J659" t="s">
        <v>82</v>
      </c>
      <c r="K659" t="s">
        <v>76</v>
      </c>
      <c r="L659" t="s">
        <v>8</v>
      </c>
      <c r="M659" t="s">
        <v>83</v>
      </c>
      <c r="N659" t="s">
        <v>84</v>
      </c>
      <c r="O659" t="s">
        <v>85</v>
      </c>
      <c r="P659">
        <v>312772</v>
      </c>
      <c r="Q659" t="s">
        <v>4</v>
      </c>
      <c r="R659" t="s">
        <v>94</v>
      </c>
      <c r="S659" t="s">
        <v>87</v>
      </c>
      <c r="T659">
        <v>90</v>
      </c>
      <c r="U659">
        <v>1.5</v>
      </c>
      <c r="V659" s="2">
        <v>6.25E-2</v>
      </c>
      <c r="W659">
        <v>135</v>
      </c>
      <c r="X659">
        <v>180</v>
      </c>
      <c r="Y659">
        <v>45</v>
      </c>
      <c r="Z659" t="s">
        <v>295</v>
      </c>
      <c r="AA659" t="s">
        <v>88</v>
      </c>
      <c r="AB659" t="s">
        <v>100</v>
      </c>
      <c r="AC659" t="s">
        <v>84</v>
      </c>
      <c r="AD659" t="s">
        <v>90</v>
      </c>
    </row>
    <row r="660" spans="1:30" hidden="1">
      <c r="A660" s="1">
        <v>45587</v>
      </c>
      <c r="B660" t="s">
        <v>8</v>
      </c>
      <c r="C660" t="s">
        <v>75</v>
      </c>
      <c r="D660" t="s">
        <v>76</v>
      </c>
      <c r="E660" t="s">
        <v>91</v>
      </c>
      <c r="F660" t="s">
        <v>78</v>
      </c>
      <c r="G660" t="s">
        <v>79</v>
      </c>
      <c r="H660" t="s">
        <v>80</v>
      </c>
      <c r="I660" t="s">
        <v>81</v>
      </c>
      <c r="J660" t="s">
        <v>82</v>
      </c>
      <c r="K660" t="s">
        <v>76</v>
      </c>
      <c r="L660" t="s">
        <v>8</v>
      </c>
      <c r="M660" t="s">
        <v>83</v>
      </c>
      <c r="N660" t="s">
        <v>84</v>
      </c>
      <c r="O660" t="s">
        <v>85</v>
      </c>
      <c r="P660">
        <v>312914</v>
      </c>
      <c r="Q660" t="s">
        <v>5</v>
      </c>
      <c r="R660" t="s">
        <v>86</v>
      </c>
      <c r="S660" t="s">
        <v>87</v>
      </c>
      <c r="T660">
        <v>0</v>
      </c>
      <c r="U660">
        <v>0.25</v>
      </c>
      <c r="V660" s="2">
        <v>1.0416666666666666E-2</v>
      </c>
      <c r="W660">
        <v>0</v>
      </c>
      <c r="AA660" t="s">
        <v>88</v>
      </c>
      <c r="AB660" t="s">
        <v>100</v>
      </c>
      <c r="AC660" t="s">
        <v>84</v>
      </c>
      <c r="AD660" t="s">
        <v>90</v>
      </c>
    </row>
    <row r="661" spans="1:30" hidden="1">
      <c r="A661" s="1">
        <v>45588</v>
      </c>
      <c r="B661" t="s">
        <v>8</v>
      </c>
      <c r="C661" t="s">
        <v>75</v>
      </c>
      <c r="D661" t="s">
        <v>76</v>
      </c>
      <c r="E661" t="s">
        <v>91</v>
      </c>
      <c r="F661" t="s">
        <v>78</v>
      </c>
      <c r="G661" t="s">
        <v>79</v>
      </c>
      <c r="H661" t="s">
        <v>80</v>
      </c>
      <c r="I661" t="s">
        <v>81</v>
      </c>
      <c r="J661" t="s">
        <v>82</v>
      </c>
      <c r="K661" t="s">
        <v>76</v>
      </c>
      <c r="L661" t="s">
        <v>8</v>
      </c>
      <c r="M661" t="s">
        <v>83</v>
      </c>
      <c r="N661" t="s">
        <v>84</v>
      </c>
      <c r="O661" t="s">
        <v>85</v>
      </c>
      <c r="P661">
        <v>313473</v>
      </c>
      <c r="Q661" t="s">
        <v>5</v>
      </c>
      <c r="R661" t="s">
        <v>86</v>
      </c>
      <c r="S661" t="s">
        <v>87</v>
      </c>
      <c r="T661">
        <v>0</v>
      </c>
      <c r="U661">
        <v>0.25</v>
      </c>
      <c r="V661" s="2">
        <v>1.0416666666666666E-2</v>
      </c>
      <c r="W661">
        <v>0</v>
      </c>
      <c r="AA661" t="s">
        <v>88</v>
      </c>
      <c r="AB661" t="s">
        <v>100</v>
      </c>
      <c r="AC661" t="s">
        <v>84</v>
      </c>
      <c r="AD661" t="s">
        <v>90</v>
      </c>
    </row>
    <row r="662" spans="1:30" hidden="1">
      <c r="A662" s="1">
        <v>45589</v>
      </c>
      <c r="B662" t="s">
        <v>8</v>
      </c>
      <c r="C662" t="s">
        <v>75</v>
      </c>
      <c r="D662" t="s">
        <v>76</v>
      </c>
      <c r="E662" t="s">
        <v>91</v>
      </c>
      <c r="F662" t="s">
        <v>78</v>
      </c>
      <c r="G662" t="s">
        <v>79</v>
      </c>
      <c r="H662" t="s">
        <v>80</v>
      </c>
      <c r="I662" t="s">
        <v>81</v>
      </c>
      <c r="J662" t="s">
        <v>82</v>
      </c>
      <c r="K662" t="s">
        <v>76</v>
      </c>
      <c r="L662" t="s">
        <v>8</v>
      </c>
      <c r="M662" t="s">
        <v>83</v>
      </c>
      <c r="N662" t="s">
        <v>84</v>
      </c>
      <c r="O662" t="s">
        <v>85</v>
      </c>
      <c r="P662">
        <v>313858</v>
      </c>
      <c r="Q662" t="s">
        <v>5</v>
      </c>
      <c r="R662" t="s">
        <v>86</v>
      </c>
      <c r="S662" t="s">
        <v>87</v>
      </c>
      <c r="T662">
        <v>0</v>
      </c>
      <c r="U662">
        <v>0.25</v>
      </c>
      <c r="V662" s="2">
        <v>1.0416666666666666E-2</v>
      </c>
      <c r="W662">
        <v>0</v>
      </c>
      <c r="AA662" t="s">
        <v>88</v>
      </c>
      <c r="AB662" t="s">
        <v>100</v>
      </c>
      <c r="AC662" t="s">
        <v>84</v>
      </c>
      <c r="AD662" t="s">
        <v>90</v>
      </c>
    </row>
    <row r="663" spans="1:30" hidden="1">
      <c r="A663" s="1">
        <v>45589</v>
      </c>
      <c r="B663" t="s">
        <v>108</v>
      </c>
      <c r="C663" t="s">
        <v>75</v>
      </c>
      <c r="D663" t="s">
        <v>76</v>
      </c>
      <c r="E663" t="s">
        <v>91</v>
      </c>
      <c r="F663" t="s">
        <v>78</v>
      </c>
      <c r="G663" t="s">
        <v>79</v>
      </c>
      <c r="H663" t="s">
        <v>80</v>
      </c>
      <c r="I663" t="s">
        <v>81</v>
      </c>
      <c r="J663" t="s">
        <v>82</v>
      </c>
      <c r="K663" t="s">
        <v>76</v>
      </c>
      <c r="L663" t="s">
        <v>8</v>
      </c>
      <c r="M663" t="s">
        <v>83</v>
      </c>
      <c r="N663" t="s">
        <v>93</v>
      </c>
      <c r="O663" t="s">
        <v>85</v>
      </c>
      <c r="P663">
        <v>313812</v>
      </c>
      <c r="Q663" t="s">
        <v>5</v>
      </c>
      <c r="R663" t="s">
        <v>86</v>
      </c>
      <c r="S663" t="s">
        <v>87</v>
      </c>
      <c r="T663">
        <v>0</v>
      </c>
      <c r="U663">
        <v>2</v>
      </c>
      <c r="V663" s="2">
        <v>8.3333333333333329E-2</v>
      </c>
      <c r="W663">
        <v>0</v>
      </c>
      <c r="AA663" t="s">
        <v>88</v>
      </c>
      <c r="AB663" t="s">
        <v>100</v>
      </c>
      <c r="AC663" t="s">
        <v>321</v>
      </c>
      <c r="AD663" t="s">
        <v>90</v>
      </c>
    </row>
    <row r="664" spans="1:30" hidden="1">
      <c r="A664" s="1">
        <v>45590</v>
      </c>
      <c r="B664" t="s">
        <v>10</v>
      </c>
      <c r="C664" t="s">
        <v>92</v>
      </c>
      <c r="D664" t="s">
        <v>76</v>
      </c>
      <c r="E664" t="s">
        <v>91</v>
      </c>
      <c r="F664" t="s">
        <v>78</v>
      </c>
      <c r="G664" t="s">
        <v>79</v>
      </c>
      <c r="H664" t="s">
        <v>80</v>
      </c>
      <c r="I664" t="s">
        <v>81</v>
      </c>
      <c r="J664" t="s">
        <v>82</v>
      </c>
      <c r="K664" t="s">
        <v>76</v>
      </c>
      <c r="L664" t="s">
        <v>8</v>
      </c>
      <c r="M664" t="s">
        <v>83</v>
      </c>
      <c r="N664" t="s">
        <v>93</v>
      </c>
      <c r="O664" t="s">
        <v>85</v>
      </c>
      <c r="P664">
        <v>314482</v>
      </c>
      <c r="Q664" t="s">
        <v>5</v>
      </c>
      <c r="R664" t="s">
        <v>86</v>
      </c>
      <c r="S664" t="s">
        <v>87</v>
      </c>
      <c r="T664">
        <v>0</v>
      </c>
      <c r="U664">
        <v>0.25</v>
      </c>
      <c r="V664" s="2">
        <v>1.0416666666666666E-2</v>
      </c>
      <c r="W664">
        <v>0</v>
      </c>
      <c r="AA664" t="s">
        <v>88</v>
      </c>
      <c r="AB664" t="s">
        <v>100</v>
      </c>
      <c r="AC664" t="s">
        <v>297</v>
      </c>
      <c r="AD664" t="s">
        <v>90</v>
      </c>
    </row>
    <row r="665" spans="1:30" hidden="1">
      <c r="A665" s="1">
        <v>45590</v>
      </c>
      <c r="B665" t="s">
        <v>8</v>
      </c>
      <c r="C665" t="s">
        <v>75</v>
      </c>
      <c r="D665" t="s">
        <v>76</v>
      </c>
      <c r="E665" t="s">
        <v>91</v>
      </c>
      <c r="F665" t="s">
        <v>78</v>
      </c>
      <c r="G665" t="s">
        <v>79</v>
      </c>
      <c r="H665" t="s">
        <v>80</v>
      </c>
      <c r="I665" t="s">
        <v>81</v>
      </c>
      <c r="J665" t="s">
        <v>82</v>
      </c>
      <c r="K665" t="s">
        <v>76</v>
      </c>
      <c r="L665" t="s">
        <v>8</v>
      </c>
      <c r="M665" t="s">
        <v>83</v>
      </c>
      <c r="N665" t="s">
        <v>84</v>
      </c>
      <c r="O665" t="s">
        <v>85</v>
      </c>
      <c r="P665">
        <v>314249</v>
      </c>
      <c r="Q665" t="s">
        <v>5</v>
      </c>
      <c r="R665" t="s">
        <v>86</v>
      </c>
      <c r="S665" t="s">
        <v>87</v>
      </c>
      <c r="T665">
        <v>0</v>
      </c>
      <c r="U665">
        <v>0.25</v>
      </c>
      <c r="V665" s="2">
        <v>1.0416666666666666E-2</v>
      </c>
      <c r="W665">
        <v>0</v>
      </c>
      <c r="AA665" t="s">
        <v>88</v>
      </c>
      <c r="AB665" t="s">
        <v>100</v>
      </c>
      <c r="AC665" t="s">
        <v>84</v>
      </c>
      <c r="AD665" t="s">
        <v>90</v>
      </c>
    </row>
    <row r="666" spans="1:30" hidden="1">
      <c r="A666" s="1">
        <v>45593</v>
      </c>
      <c r="B666" t="s">
        <v>10</v>
      </c>
      <c r="C666" t="s">
        <v>92</v>
      </c>
      <c r="D666" t="s">
        <v>76</v>
      </c>
      <c r="E666" t="s">
        <v>91</v>
      </c>
      <c r="F666" t="s">
        <v>78</v>
      </c>
      <c r="G666" t="s">
        <v>79</v>
      </c>
      <c r="H666" t="s">
        <v>80</v>
      </c>
      <c r="I666" t="s">
        <v>81</v>
      </c>
      <c r="J666" t="s">
        <v>82</v>
      </c>
      <c r="K666" t="s">
        <v>76</v>
      </c>
      <c r="L666" t="s">
        <v>8</v>
      </c>
      <c r="M666" t="s">
        <v>83</v>
      </c>
      <c r="N666" t="s">
        <v>93</v>
      </c>
      <c r="O666" t="s">
        <v>85</v>
      </c>
      <c r="P666">
        <v>315296</v>
      </c>
      <c r="Q666" t="s">
        <v>5</v>
      </c>
      <c r="R666" t="s">
        <v>86</v>
      </c>
      <c r="S666" t="s">
        <v>87</v>
      </c>
      <c r="T666">
        <v>0</v>
      </c>
      <c r="U666">
        <v>0.75</v>
      </c>
      <c r="V666" s="2">
        <v>3.125E-2</v>
      </c>
      <c r="W666">
        <v>0</v>
      </c>
      <c r="AA666" t="s">
        <v>88</v>
      </c>
      <c r="AB666" t="s">
        <v>100</v>
      </c>
      <c r="AC666" t="s">
        <v>322</v>
      </c>
      <c r="AD666" t="s">
        <v>90</v>
      </c>
    </row>
    <row r="667" spans="1:30" hidden="1">
      <c r="A667" s="1">
        <v>45593</v>
      </c>
      <c r="B667" t="s">
        <v>14</v>
      </c>
      <c r="C667" t="s">
        <v>75</v>
      </c>
      <c r="D667" t="s">
        <v>76</v>
      </c>
      <c r="E667" t="s">
        <v>77</v>
      </c>
      <c r="F667" t="s">
        <v>78</v>
      </c>
      <c r="G667" t="s">
        <v>79</v>
      </c>
      <c r="H667" t="s">
        <v>80</v>
      </c>
      <c r="I667" t="s">
        <v>81</v>
      </c>
      <c r="J667" t="s">
        <v>82</v>
      </c>
      <c r="K667" t="s">
        <v>76</v>
      </c>
      <c r="L667" t="s">
        <v>8</v>
      </c>
      <c r="M667" t="s">
        <v>83</v>
      </c>
      <c r="N667" t="s">
        <v>84</v>
      </c>
      <c r="O667" t="s">
        <v>85</v>
      </c>
      <c r="P667">
        <v>315317</v>
      </c>
      <c r="Q667" t="s">
        <v>5</v>
      </c>
      <c r="R667" t="s">
        <v>86</v>
      </c>
      <c r="S667" t="s">
        <v>87</v>
      </c>
      <c r="T667">
        <v>0</v>
      </c>
      <c r="U667">
        <v>0.25</v>
      </c>
      <c r="V667" s="2">
        <v>1.0416666666666666E-2</v>
      </c>
      <c r="W667">
        <v>0</v>
      </c>
      <c r="AA667" t="s">
        <v>88</v>
      </c>
      <c r="AB667" t="s">
        <v>100</v>
      </c>
      <c r="AC667" t="s">
        <v>229</v>
      </c>
      <c r="AD667" t="s">
        <v>90</v>
      </c>
    </row>
    <row r="668" spans="1:30" hidden="1">
      <c r="A668" s="1">
        <v>45593</v>
      </c>
      <c r="B668" t="s">
        <v>271</v>
      </c>
      <c r="C668" t="s">
        <v>75</v>
      </c>
      <c r="D668" t="s">
        <v>76</v>
      </c>
      <c r="E668" t="s">
        <v>91</v>
      </c>
      <c r="F668" t="s">
        <v>78</v>
      </c>
      <c r="G668" t="s">
        <v>79</v>
      </c>
      <c r="H668" t="s">
        <v>80</v>
      </c>
      <c r="I668" t="s">
        <v>81</v>
      </c>
      <c r="J668" t="s">
        <v>82</v>
      </c>
      <c r="K668" t="s">
        <v>76</v>
      </c>
      <c r="L668" t="s">
        <v>8</v>
      </c>
      <c r="M668" t="s">
        <v>83</v>
      </c>
      <c r="N668" t="s">
        <v>84</v>
      </c>
      <c r="O668" t="s">
        <v>85</v>
      </c>
      <c r="P668">
        <v>315045</v>
      </c>
      <c r="Q668" t="s">
        <v>5</v>
      </c>
      <c r="R668" t="s">
        <v>86</v>
      </c>
      <c r="S668" t="s">
        <v>87</v>
      </c>
      <c r="T668">
        <v>0</v>
      </c>
      <c r="U668">
        <v>0.25</v>
      </c>
      <c r="V668" s="2">
        <v>1.0416666666666666E-2</v>
      </c>
      <c r="W668">
        <v>0</v>
      </c>
      <c r="AA668" t="s">
        <v>88</v>
      </c>
      <c r="AB668" t="s">
        <v>100</v>
      </c>
      <c r="AC668" t="s">
        <v>323</v>
      </c>
      <c r="AD668" t="s">
        <v>90</v>
      </c>
    </row>
    <row r="669" spans="1:30" hidden="1">
      <c r="A669" s="1">
        <v>45593</v>
      </c>
      <c r="B669" t="s">
        <v>8</v>
      </c>
      <c r="C669" t="s">
        <v>75</v>
      </c>
      <c r="D669" t="s">
        <v>76</v>
      </c>
      <c r="E669" t="s">
        <v>91</v>
      </c>
      <c r="F669" t="s">
        <v>78</v>
      </c>
      <c r="G669" t="s">
        <v>79</v>
      </c>
      <c r="H669" t="s">
        <v>80</v>
      </c>
      <c r="I669" t="s">
        <v>81</v>
      </c>
      <c r="J669" t="s">
        <v>82</v>
      </c>
      <c r="K669" t="s">
        <v>76</v>
      </c>
      <c r="L669" t="s">
        <v>8</v>
      </c>
      <c r="M669" t="s">
        <v>83</v>
      </c>
      <c r="N669" t="s">
        <v>84</v>
      </c>
      <c r="O669" t="s">
        <v>85</v>
      </c>
      <c r="P669">
        <v>315411</v>
      </c>
      <c r="Q669" t="s">
        <v>5</v>
      </c>
      <c r="R669" t="s">
        <v>86</v>
      </c>
      <c r="S669" t="s">
        <v>87</v>
      </c>
      <c r="T669">
        <v>0</v>
      </c>
      <c r="U669">
        <v>0.5</v>
      </c>
      <c r="V669" s="2">
        <v>2.0833333333333332E-2</v>
      </c>
      <c r="W669">
        <v>0</v>
      </c>
      <c r="AA669" t="s">
        <v>88</v>
      </c>
      <c r="AB669" t="s">
        <v>100</v>
      </c>
      <c r="AC669" t="s">
        <v>84</v>
      </c>
      <c r="AD669" t="s">
        <v>90</v>
      </c>
    </row>
    <row r="670" spans="1:30" hidden="1">
      <c r="A670" s="1">
        <v>45595</v>
      </c>
      <c r="B670" t="s">
        <v>10</v>
      </c>
      <c r="C670" t="s">
        <v>92</v>
      </c>
      <c r="D670" t="s">
        <v>76</v>
      </c>
      <c r="E670" t="s">
        <v>91</v>
      </c>
      <c r="F670" t="s">
        <v>78</v>
      </c>
      <c r="G670" t="s">
        <v>79</v>
      </c>
      <c r="H670" t="s">
        <v>80</v>
      </c>
      <c r="I670" t="s">
        <v>81</v>
      </c>
      <c r="J670" t="s">
        <v>82</v>
      </c>
      <c r="K670" t="s">
        <v>76</v>
      </c>
      <c r="L670" t="s">
        <v>8</v>
      </c>
      <c r="M670" t="s">
        <v>83</v>
      </c>
      <c r="N670" t="s">
        <v>93</v>
      </c>
      <c r="O670" t="s">
        <v>85</v>
      </c>
      <c r="P670">
        <v>316089</v>
      </c>
      <c r="Q670" t="s">
        <v>5</v>
      </c>
      <c r="R670" t="s">
        <v>86</v>
      </c>
      <c r="S670" t="s">
        <v>87</v>
      </c>
      <c r="T670">
        <v>0</v>
      </c>
      <c r="U670">
        <v>0.25</v>
      </c>
      <c r="V670" s="2">
        <v>1.0416666666666666E-2</v>
      </c>
      <c r="W670">
        <v>0</v>
      </c>
      <c r="AA670" t="s">
        <v>88</v>
      </c>
      <c r="AB670" t="s">
        <v>100</v>
      </c>
      <c r="AC670" t="s">
        <v>324</v>
      </c>
      <c r="AD670" t="s">
        <v>90</v>
      </c>
    </row>
    <row r="671" spans="1:30" hidden="1">
      <c r="A671" s="1">
        <v>45595</v>
      </c>
      <c r="B671" t="s">
        <v>8</v>
      </c>
      <c r="C671" t="s">
        <v>75</v>
      </c>
      <c r="D671" t="s">
        <v>76</v>
      </c>
      <c r="E671" t="s">
        <v>91</v>
      </c>
      <c r="F671" t="s">
        <v>78</v>
      </c>
      <c r="G671" t="s">
        <v>79</v>
      </c>
      <c r="H671" t="s">
        <v>80</v>
      </c>
      <c r="I671" t="s">
        <v>81</v>
      </c>
      <c r="J671" t="s">
        <v>82</v>
      </c>
      <c r="K671" t="s">
        <v>76</v>
      </c>
      <c r="L671" t="s">
        <v>8</v>
      </c>
      <c r="M671" t="s">
        <v>83</v>
      </c>
      <c r="N671" t="s">
        <v>84</v>
      </c>
      <c r="O671" t="s">
        <v>85</v>
      </c>
      <c r="P671">
        <v>316725</v>
      </c>
      <c r="Q671" t="s">
        <v>5</v>
      </c>
      <c r="R671" t="s">
        <v>86</v>
      </c>
      <c r="S671" t="s">
        <v>87</v>
      </c>
      <c r="T671">
        <v>0</v>
      </c>
      <c r="U671">
        <v>0.25</v>
      </c>
      <c r="V671" s="2">
        <v>1.0416666666666666E-2</v>
      </c>
      <c r="W671">
        <v>0</v>
      </c>
      <c r="AA671" t="s">
        <v>88</v>
      </c>
      <c r="AB671" t="s">
        <v>100</v>
      </c>
      <c r="AC671" t="s">
        <v>84</v>
      </c>
      <c r="AD671" t="s">
        <v>90</v>
      </c>
    </row>
    <row r="672" spans="1:30" hidden="1">
      <c r="A672" s="1">
        <v>45596</v>
      </c>
      <c r="B672" t="s">
        <v>8</v>
      </c>
      <c r="C672" t="s">
        <v>75</v>
      </c>
      <c r="D672" t="s">
        <v>76</v>
      </c>
      <c r="E672" t="s">
        <v>91</v>
      </c>
      <c r="F672" t="s">
        <v>78</v>
      </c>
      <c r="G672" t="s">
        <v>79</v>
      </c>
      <c r="H672" t="s">
        <v>80</v>
      </c>
      <c r="I672" t="s">
        <v>81</v>
      </c>
      <c r="J672" t="s">
        <v>82</v>
      </c>
      <c r="K672" t="s">
        <v>76</v>
      </c>
      <c r="L672" t="s">
        <v>8</v>
      </c>
      <c r="M672" t="s">
        <v>83</v>
      </c>
      <c r="N672" t="s">
        <v>84</v>
      </c>
      <c r="O672" t="s">
        <v>85</v>
      </c>
      <c r="P672">
        <v>317281</v>
      </c>
      <c r="Q672" t="s">
        <v>5</v>
      </c>
      <c r="R672" t="s">
        <v>86</v>
      </c>
      <c r="S672" t="s">
        <v>87</v>
      </c>
      <c r="T672">
        <v>0</v>
      </c>
      <c r="U672">
        <v>0.25</v>
      </c>
      <c r="V672" s="2">
        <v>1.0416666666666666E-2</v>
      </c>
      <c r="W672">
        <v>0</v>
      </c>
      <c r="AA672" t="s">
        <v>88</v>
      </c>
      <c r="AB672" t="s">
        <v>100</v>
      </c>
      <c r="AC672" t="s">
        <v>84</v>
      </c>
      <c r="AD672" t="s">
        <v>90</v>
      </c>
    </row>
    <row r="673" spans="1:30" hidden="1">
      <c r="A673" s="1">
        <v>45597</v>
      </c>
      <c r="B673" t="s">
        <v>14</v>
      </c>
      <c r="C673" t="s">
        <v>75</v>
      </c>
      <c r="D673" t="s">
        <v>76</v>
      </c>
      <c r="E673" t="s">
        <v>77</v>
      </c>
      <c r="F673" t="s">
        <v>78</v>
      </c>
      <c r="G673" t="s">
        <v>79</v>
      </c>
      <c r="H673" t="s">
        <v>80</v>
      </c>
      <c r="I673" t="s">
        <v>81</v>
      </c>
      <c r="J673" t="s">
        <v>82</v>
      </c>
      <c r="K673" t="s">
        <v>76</v>
      </c>
      <c r="L673" t="s">
        <v>8</v>
      </c>
      <c r="M673" t="s">
        <v>83</v>
      </c>
      <c r="N673" t="s">
        <v>84</v>
      </c>
      <c r="O673" t="s">
        <v>85</v>
      </c>
      <c r="P673">
        <v>318838</v>
      </c>
      <c r="Q673" t="s">
        <v>5</v>
      </c>
      <c r="R673" t="s">
        <v>86</v>
      </c>
      <c r="S673" t="s">
        <v>87</v>
      </c>
      <c r="T673">
        <v>0</v>
      </c>
      <c r="U673">
        <v>0.25</v>
      </c>
      <c r="V673" s="2">
        <v>1.0416666666666666E-2</v>
      </c>
      <c r="W673">
        <v>0</v>
      </c>
      <c r="AA673" t="s">
        <v>88</v>
      </c>
      <c r="AB673" t="s">
        <v>100</v>
      </c>
      <c r="AC673" t="s">
        <v>325</v>
      </c>
      <c r="AD673" t="s">
        <v>90</v>
      </c>
    </row>
    <row r="674" spans="1:30" hidden="1">
      <c r="A674" s="1">
        <v>45600</v>
      </c>
      <c r="B674" t="s">
        <v>10</v>
      </c>
      <c r="C674" t="s">
        <v>92</v>
      </c>
      <c r="D674" t="s">
        <v>76</v>
      </c>
      <c r="E674" t="s">
        <v>91</v>
      </c>
      <c r="F674" t="s">
        <v>78</v>
      </c>
      <c r="G674" t="s">
        <v>79</v>
      </c>
      <c r="H674" t="s">
        <v>80</v>
      </c>
      <c r="I674" t="s">
        <v>81</v>
      </c>
      <c r="J674" t="s">
        <v>82</v>
      </c>
      <c r="K674" t="s">
        <v>76</v>
      </c>
      <c r="L674" t="s">
        <v>8</v>
      </c>
      <c r="M674" t="s">
        <v>83</v>
      </c>
      <c r="N674" t="s">
        <v>93</v>
      </c>
      <c r="O674" t="s">
        <v>85</v>
      </c>
      <c r="P674">
        <v>319014</v>
      </c>
      <c r="Q674" t="s">
        <v>4</v>
      </c>
      <c r="R674" t="s">
        <v>94</v>
      </c>
      <c r="S674" t="s">
        <v>87</v>
      </c>
      <c r="T674">
        <v>90</v>
      </c>
      <c r="U674">
        <v>4.75</v>
      </c>
      <c r="V674" s="2">
        <v>0.19791666666666666</v>
      </c>
      <c r="W674">
        <v>427.5</v>
      </c>
      <c r="X674">
        <v>570</v>
      </c>
      <c r="Y674">
        <v>142.5</v>
      </c>
      <c r="Z674" t="s">
        <v>326</v>
      </c>
      <c r="AA674" t="s">
        <v>88</v>
      </c>
      <c r="AB674" t="s">
        <v>100</v>
      </c>
      <c r="AC674" t="s">
        <v>327</v>
      </c>
      <c r="AD674" t="s">
        <v>90</v>
      </c>
    </row>
    <row r="675" spans="1:30" hidden="1">
      <c r="A675" s="1">
        <v>45600</v>
      </c>
      <c r="B675" t="s">
        <v>10</v>
      </c>
      <c r="C675" t="s">
        <v>92</v>
      </c>
      <c r="D675" t="s">
        <v>76</v>
      </c>
      <c r="E675" t="s">
        <v>91</v>
      </c>
      <c r="F675" t="s">
        <v>78</v>
      </c>
      <c r="G675" t="s">
        <v>79</v>
      </c>
      <c r="H675" t="s">
        <v>80</v>
      </c>
      <c r="I675" t="s">
        <v>81</v>
      </c>
      <c r="J675" t="s">
        <v>82</v>
      </c>
      <c r="K675" t="s">
        <v>76</v>
      </c>
      <c r="L675" t="s">
        <v>8</v>
      </c>
      <c r="M675" t="s">
        <v>83</v>
      </c>
      <c r="N675" t="s">
        <v>93</v>
      </c>
      <c r="O675" t="s">
        <v>85</v>
      </c>
      <c r="P675">
        <v>319013</v>
      </c>
      <c r="Q675" t="s">
        <v>5</v>
      </c>
      <c r="R675" t="s">
        <v>86</v>
      </c>
      <c r="S675" t="s">
        <v>87</v>
      </c>
      <c r="T675">
        <v>0</v>
      </c>
      <c r="U675">
        <v>0.25</v>
      </c>
      <c r="V675" s="2">
        <v>1.0416666666666666E-2</v>
      </c>
      <c r="W675">
        <v>0</v>
      </c>
      <c r="AA675" t="s">
        <v>88</v>
      </c>
      <c r="AB675" t="s">
        <v>100</v>
      </c>
      <c r="AC675" t="s">
        <v>297</v>
      </c>
      <c r="AD675" t="s">
        <v>90</v>
      </c>
    </row>
    <row r="676" spans="1:30" hidden="1">
      <c r="A676" s="1">
        <v>45600</v>
      </c>
      <c r="B676" t="s">
        <v>8</v>
      </c>
      <c r="C676" t="s">
        <v>75</v>
      </c>
      <c r="D676" t="s">
        <v>76</v>
      </c>
      <c r="E676" t="s">
        <v>91</v>
      </c>
      <c r="F676" t="s">
        <v>78</v>
      </c>
      <c r="G676" t="s">
        <v>79</v>
      </c>
      <c r="H676" t="s">
        <v>80</v>
      </c>
      <c r="I676" t="s">
        <v>81</v>
      </c>
      <c r="J676" t="s">
        <v>82</v>
      </c>
      <c r="K676" t="s">
        <v>76</v>
      </c>
      <c r="L676" t="s">
        <v>8</v>
      </c>
      <c r="M676" t="s">
        <v>83</v>
      </c>
      <c r="N676" t="s">
        <v>84</v>
      </c>
      <c r="O676" t="s">
        <v>85</v>
      </c>
      <c r="P676">
        <v>318742</v>
      </c>
      <c r="Q676" t="s">
        <v>5</v>
      </c>
      <c r="R676" t="s">
        <v>86</v>
      </c>
      <c r="S676" t="s">
        <v>87</v>
      </c>
      <c r="T676">
        <v>0</v>
      </c>
      <c r="U676">
        <v>0.5</v>
      </c>
      <c r="V676" s="2">
        <v>2.0833333333333332E-2</v>
      </c>
      <c r="W676">
        <v>0</v>
      </c>
      <c r="AA676" t="s">
        <v>88</v>
      </c>
      <c r="AB676" t="s">
        <v>100</v>
      </c>
      <c r="AC676" t="s">
        <v>84</v>
      </c>
      <c r="AD676" t="s">
        <v>90</v>
      </c>
    </row>
    <row r="677" spans="1:30" hidden="1">
      <c r="A677" s="1">
        <v>45601</v>
      </c>
      <c r="B677" t="s">
        <v>10</v>
      </c>
      <c r="C677" t="s">
        <v>92</v>
      </c>
      <c r="D677" t="s">
        <v>76</v>
      </c>
      <c r="E677" t="s">
        <v>91</v>
      </c>
      <c r="F677" t="s">
        <v>78</v>
      </c>
      <c r="G677" t="s">
        <v>79</v>
      </c>
      <c r="H677" t="s">
        <v>80</v>
      </c>
      <c r="I677" t="s">
        <v>81</v>
      </c>
      <c r="J677" t="s">
        <v>82</v>
      </c>
      <c r="K677" t="s">
        <v>76</v>
      </c>
      <c r="L677" t="s">
        <v>8</v>
      </c>
      <c r="M677" t="s">
        <v>83</v>
      </c>
      <c r="N677" t="s">
        <v>93</v>
      </c>
      <c r="O677" t="s">
        <v>85</v>
      </c>
      <c r="P677">
        <v>319012</v>
      </c>
      <c r="Q677" t="s">
        <v>5</v>
      </c>
      <c r="R677" t="s">
        <v>86</v>
      </c>
      <c r="S677" t="s">
        <v>87</v>
      </c>
      <c r="T677">
        <v>0</v>
      </c>
      <c r="U677">
        <v>8</v>
      </c>
      <c r="V677" s="2">
        <v>0.33333333333333331</v>
      </c>
      <c r="W677">
        <v>0</v>
      </c>
      <c r="AA677" t="s">
        <v>88</v>
      </c>
      <c r="AB677" t="s">
        <v>100</v>
      </c>
      <c r="AC677" t="s">
        <v>328</v>
      </c>
      <c r="AD677" t="s">
        <v>90</v>
      </c>
    </row>
    <row r="678" spans="1:30" hidden="1">
      <c r="A678" s="1">
        <v>45601</v>
      </c>
      <c r="B678" t="s">
        <v>12</v>
      </c>
      <c r="C678" t="s">
        <v>75</v>
      </c>
      <c r="D678" t="s">
        <v>76</v>
      </c>
      <c r="E678" t="s">
        <v>91</v>
      </c>
      <c r="F678" t="s">
        <v>78</v>
      </c>
      <c r="G678" t="s">
        <v>79</v>
      </c>
      <c r="H678" t="s">
        <v>80</v>
      </c>
      <c r="I678" t="s">
        <v>81</v>
      </c>
      <c r="J678" t="s">
        <v>82</v>
      </c>
      <c r="K678" t="s">
        <v>76</v>
      </c>
      <c r="L678" t="s">
        <v>8</v>
      </c>
      <c r="M678" t="s">
        <v>83</v>
      </c>
      <c r="N678" t="s">
        <v>84</v>
      </c>
      <c r="O678" t="s">
        <v>85</v>
      </c>
      <c r="P678">
        <v>319452</v>
      </c>
      <c r="Q678" t="s">
        <v>5</v>
      </c>
      <c r="R678" t="s">
        <v>86</v>
      </c>
      <c r="S678" t="s">
        <v>87</v>
      </c>
      <c r="T678">
        <v>0</v>
      </c>
      <c r="U678">
        <v>0.25</v>
      </c>
      <c r="V678" s="2">
        <v>1.0416666666666666E-2</v>
      </c>
      <c r="W678">
        <v>0</v>
      </c>
      <c r="AA678" t="s">
        <v>88</v>
      </c>
      <c r="AB678" t="s">
        <v>100</v>
      </c>
      <c r="AC678" t="s">
        <v>84</v>
      </c>
      <c r="AD678" t="s">
        <v>90</v>
      </c>
    </row>
    <row r="679" spans="1:30" hidden="1">
      <c r="A679" s="1">
        <v>45601</v>
      </c>
      <c r="B679" t="s">
        <v>8</v>
      </c>
      <c r="C679" t="s">
        <v>75</v>
      </c>
      <c r="D679" t="s">
        <v>76</v>
      </c>
      <c r="E679" t="s">
        <v>91</v>
      </c>
      <c r="F679" t="s">
        <v>78</v>
      </c>
      <c r="G679" t="s">
        <v>79</v>
      </c>
      <c r="H679" t="s">
        <v>80</v>
      </c>
      <c r="I679" t="s">
        <v>81</v>
      </c>
      <c r="J679" t="s">
        <v>82</v>
      </c>
      <c r="K679" t="s">
        <v>76</v>
      </c>
      <c r="L679" t="s">
        <v>8</v>
      </c>
      <c r="M679" t="s">
        <v>83</v>
      </c>
      <c r="N679" t="s">
        <v>84</v>
      </c>
      <c r="O679" t="s">
        <v>85</v>
      </c>
      <c r="P679">
        <v>319242</v>
      </c>
      <c r="Q679" t="s">
        <v>5</v>
      </c>
      <c r="R679" t="s">
        <v>86</v>
      </c>
      <c r="S679" t="s">
        <v>87</v>
      </c>
      <c r="T679">
        <v>0</v>
      </c>
      <c r="U679">
        <v>0.25</v>
      </c>
      <c r="V679" s="2">
        <v>1.0416666666666666E-2</v>
      </c>
      <c r="W679">
        <v>0</v>
      </c>
      <c r="AA679" t="s">
        <v>88</v>
      </c>
      <c r="AB679" t="s">
        <v>100</v>
      </c>
      <c r="AC679" t="s">
        <v>84</v>
      </c>
      <c r="AD679" t="s">
        <v>90</v>
      </c>
    </row>
    <row r="680" spans="1:30" hidden="1">
      <c r="A680" s="1">
        <v>45602</v>
      </c>
      <c r="B680" t="s">
        <v>10</v>
      </c>
      <c r="C680" t="s">
        <v>92</v>
      </c>
      <c r="D680" t="s">
        <v>76</v>
      </c>
      <c r="E680" t="s">
        <v>91</v>
      </c>
      <c r="F680" t="s">
        <v>78</v>
      </c>
      <c r="G680" t="s">
        <v>79</v>
      </c>
      <c r="H680" t="s">
        <v>80</v>
      </c>
      <c r="I680" t="s">
        <v>81</v>
      </c>
      <c r="J680" t="s">
        <v>82</v>
      </c>
      <c r="K680" t="s">
        <v>76</v>
      </c>
      <c r="L680" t="s">
        <v>8</v>
      </c>
      <c r="M680" t="s">
        <v>83</v>
      </c>
      <c r="N680" t="s">
        <v>93</v>
      </c>
      <c r="O680" t="s">
        <v>85</v>
      </c>
      <c r="P680">
        <v>320095</v>
      </c>
      <c r="Q680" t="s">
        <v>4</v>
      </c>
      <c r="R680" t="s">
        <v>94</v>
      </c>
      <c r="S680" t="s">
        <v>87</v>
      </c>
      <c r="T680">
        <v>90</v>
      </c>
      <c r="U680">
        <v>4.5</v>
      </c>
      <c r="V680" s="2">
        <v>0.1875</v>
      </c>
      <c r="W680">
        <v>405</v>
      </c>
      <c r="X680">
        <v>540</v>
      </c>
      <c r="Y680">
        <v>135</v>
      </c>
      <c r="Z680" t="s">
        <v>326</v>
      </c>
      <c r="AA680" t="s">
        <v>88</v>
      </c>
      <c r="AB680" t="s">
        <v>100</v>
      </c>
      <c r="AC680" t="s">
        <v>329</v>
      </c>
      <c r="AD680" t="s">
        <v>90</v>
      </c>
    </row>
    <row r="681" spans="1:30" hidden="1">
      <c r="A681" s="1">
        <v>45602</v>
      </c>
      <c r="B681" t="s">
        <v>10</v>
      </c>
      <c r="C681" t="s">
        <v>92</v>
      </c>
      <c r="D681" t="s">
        <v>76</v>
      </c>
      <c r="E681" t="s">
        <v>91</v>
      </c>
      <c r="F681" t="s">
        <v>78</v>
      </c>
      <c r="G681" t="s">
        <v>79</v>
      </c>
      <c r="H681" t="s">
        <v>80</v>
      </c>
      <c r="I681" t="s">
        <v>81</v>
      </c>
      <c r="J681" t="s">
        <v>82</v>
      </c>
      <c r="K681" t="s">
        <v>76</v>
      </c>
      <c r="L681" t="s">
        <v>8</v>
      </c>
      <c r="M681" t="s">
        <v>83</v>
      </c>
      <c r="N681" t="s">
        <v>93</v>
      </c>
      <c r="O681" t="s">
        <v>85</v>
      </c>
      <c r="P681">
        <v>320094</v>
      </c>
      <c r="Q681" t="s">
        <v>5</v>
      </c>
      <c r="R681" t="s">
        <v>86</v>
      </c>
      <c r="S681" t="s">
        <v>87</v>
      </c>
      <c r="T681">
        <v>0</v>
      </c>
      <c r="U681">
        <v>0.25</v>
      </c>
      <c r="V681" s="2">
        <v>1.0416666666666666E-2</v>
      </c>
      <c r="W681">
        <v>0</v>
      </c>
      <c r="AA681" t="s">
        <v>88</v>
      </c>
      <c r="AB681" t="s">
        <v>100</v>
      </c>
      <c r="AC681" t="s">
        <v>297</v>
      </c>
      <c r="AD681" t="s">
        <v>90</v>
      </c>
    </row>
    <row r="682" spans="1:30" hidden="1">
      <c r="A682" s="1">
        <v>45602</v>
      </c>
      <c r="B682" t="s">
        <v>12</v>
      </c>
      <c r="C682" t="s">
        <v>75</v>
      </c>
      <c r="D682" t="s">
        <v>76</v>
      </c>
      <c r="E682" t="s">
        <v>91</v>
      </c>
      <c r="F682" t="s">
        <v>78</v>
      </c>
      <c r="G682" t="s">
        <v>79</v>
      </c>
      <c r="H682" t="s">
        <v>80</v>
      </c>
      <c r="I682" t="s">
        <v>81</v>
      </c>
      <c r="J682" t="s">
        <v>82</v>
      </c>
      <c r="K682" t="s">
        <v>76</v>
      </c>
      <c r="L682" t="s">
        <v>8</v>
      </c>
      <c r="M682" t="s">
        <v>83</v>
      </c>
      <c r="N682" t="s">
        <v>84</v>
      </c>
      <c r="O682" t="s">
        <v>85</v>
      </c>
      <c r="P682">
        <v>321063</v>
      </c>
      <c r="Q682" t="s">
        <v>5</v>
      </c>
      <c r="R682" t="s">
        <v>86</v>
      </c>
      <c r="S682" t="s">
        <v>87</v>
      </c>
      <c r="T682">
        <v>0</v>
      </c>
      <c r="U682">
        <v>0.25</v>
      </c>
      <c r="V682" s="2">
        <v>1.0416666666666666E-2</v>
      </c>
      <c r="W682">
        <v>0</v>
      </c>
      <c r="AA682" t="s">
        <v>88</v>
      </c>
      <c r="AB682" t="s">
        <v>100</v>
      </c>
      <c r="AC682" t="s">
        <v>84</v>
      </c>
      <c r="AD682" t="s">
        <v>90</v>
      </c>
    </row>
    <row r="683" spans="1:30" hidden="1">
      <c r="A683" s="1">
        <v>45602</v>
      </c>
      <c r="B683" t="s">
        <v>8</v>
      </c>
      <c r="C683" t="s">
        <v>75</v>
      </c>
      <c r="D683" t="s">
        <v>76</v>
      </c>
      <c r="E683" t="s">
        <v>91</v>
      </c>
      <c r="F683" t="s">
        <v>78</v>
      </c>
      <c r="G683" t="s">
        <v>79</v>
      </c>
      <c r="H683" t="s">
        <v>80</v>
      </c>
      <c r="I683" t="s">
        <v>81</v>
      </c>
      <c r="J683" t="s">
        <v>82</v>
      </c>
      <c r="K683" t="s">
        <v>76</v>
      </c>
      <c r="L683" t="s">
        <v>8</v>
      </c>
      <c r="M683" t="s">
        <v>83</v>
      </c>
      <c r="N683" t="s">
        <v>84</v>
      </c>
      <c r="O683" t="s">
        <v>85</v>
      </c>
      <c r="P683">
        <v>319829</v>
      </c>
      <c r="Q683" t="s">
        <v>5</v>
      </c>
      <c r="R683" t="s">
        <v>86</v>
      </c>
      <c r="S683" t="s">
        <v>87</v>
      </c>
      <c r="T683">
        <v>0</v>
      </c>
      <c r="U683">
        <v>0.25</v>
      </c>
      <c r="V683" s="2">
        <v>1.0416666666666666E-2</v>
      </c>
      <c r="W683">
        <v>0</v>
      </c>
      <c r="AA683" t="s">
        <v>88</v>
      </c>
      <c r="AB683" t="s">
        <v>100</v>
      </c>
      <c r="AC683" t="s">
        <v>84</v>
      </c>
      <c r="AD683" t="s">
        <v>90</v>
      </c>
    </row>
    <row r="684" spans="1:30" hidden="1">
      <c r="A684" s="1">
        <v>45603</v>
      </c>
      <c r="B684" t="s">
        <v>10</v>
      </c>
      <c r="C684" t="s">
        <v>92</v>
      </c>
      <c r="D684" t="s">
        <v>76</v>
      </c>
      <c r="E684" t="s">
        <v>91</v>
      </c>
      <c r="F684" t="s">
        <v>78</v>
      </c>
      <c r="G684" t="s">
        <v>79</v>
      </c>
      <c r="H684" t="s">
        <v>80</v>
      </c>
      <c r="I684" t="s">
        <v>81</v>
      </c>
      <c r="J684" t="s">
        <v>82</v>
      </c>
      <c r="K684" t="s">
        <v>76</v>
      </c>
      <c r="L684" t="s">
        <v>8</v>
      </c>
      <c r="M684" t="s">
        <v>83</v>
      </c>
      <c r="N684" t="s">
        <v>93</v>
      </c>
      <c r="O684" t="s">
        <v>85</v>
      </c>
      <c r="P684">
        <v>320096</v>
      </c>
      <c r="Q684" t="s">
        <v>4</v>
      </c>
      <c r="R684" t="s">
        <v>94</v>
      </c>
      <c r="S684" t="s">
        <v>87</v>
      </c>
      <c r="T684">
        <v>90</v>
      </c>
      <c r="U684">
        <v>4.5</v>
      </c>
      <c r="V684" s="2">
        <v>0.1875</v>
      </c>
      <c r="W684">
        <v>405</v>
      </c>
      <c r="X684">
        <v>540</v>
      </c>
      <c r="Y684">
        <v>135</v>
      </c>
      <c r="Z684" t="s">
        <v>326</v>
      </c>
      <c r="AA684" t="s">
        <v>88</v>
      </c>
      <c r="AB684" t="s">
        <v>100</v>
      </c>
      <c r="AC684" t="s">
        <v>330</v>
      </c>
      <c r="AD684" t="s">
        <v>90</v>
      </c>
    </row>
    <row r="685" spans="1:30" hidden="1">
      <c r="A685" s="1">
        <v>45603</v>
      </c>
      <c r="B685" t="s">
        <v>10</v>
      </c>
      <c r="C685" t="s">
        <v>92</v>
      </c>
      <c r="D685" t="s">
        <v>76</v>
      </c>
      <c r="E685" t="s">
        <v>91</v>
      </c>
      <c r="F685" t="s">
        <v>78</v>
      </c>
      <c r="G685" t="s">
        <v>79</v>
      </c>
      <c r="H685" t="s">
        <v>80</v>
      </c>
      <c r="I685" t="s">
        <v>81</v>
      </c>
      <c r="J685" t="s">
        <v>82</v>
      </c>
      <c r="K685" t="s">
        <v>76</v>
      </c>
      <c r="L685" t="s">
        <v>8</v>
      </c>
      <c r="M685" t="s">
        <v>83</v>
      </c>
      <c r="N685" t="s">
        <v>93</v>
      </c>
      <c r="O685" t="s">
        <v>85</v>
      </c>
      <c r="P685">
        <v>320097</v>
      </c>
      <c r="Q685" t="s">
        <v>5</v>
      </c>
      <c r="R685" t="s">
        <v>86</v>
      </c>
      <c r="S685" t="s">
        <v>87</v>
      </c>
      <c r="T685">
        <v>0</v>
      </c>
      <c r="U685">
        <v>3.5</v>
      </c>
      <c r="V685" s="2">
        <v>0.14583333333333334</v>
      </c>
      <c r="W685">
        <v>0</v>
      </c>
      <c r="AA685" t="s">
        <v>88</v>
      </c>
      <c r="AB685" t="s">
        <v>100</v>
      </c>
      <c r="AC685" t="s">
        <v>331</v>
      </c>
      <c r="AD685" t="s">
        <v>90</v>
      </c>
    </row>
    <row r="686" spans="1:30" hidden="1">
      <c r="A686" s="1">
        <v>45603</v>
      </c>
      <c r="B686" t="s">
        <v>12</v>
      </c>
      <c r="C686" t="s">
        <v>75</v>
      </c>
      <c r="D686" t="s">
        <v>76</v>
      </c>
      <c r="E686" t="s">
        <v>91</v>
      </c>
      <c r="F686" t="s">
        <v>78</v>
      </c>
      <c r="G686" t="s">
        <v>79</v>
      </c>
      <c r="H686" t="s">
        <v>80</v>
      </c>
      <c r="I686" t="s">
        <v>81</v>
      </c>
      <c r="J686" t="s">
        <v>82</v>
      </c>
      <c r="K686" t="s">
        <v>76</v>
      </c>
      <c r="L686" t="s">
        <v>8</v>
      </c>
      <c r="M686" t="s">
        <v>83</v>
      </c>
      <c r="N686" t="s">
        <v>84</v>
      </c>
      <c r="O686" t="s">
        <v>85</v>
      </c>
      <c r="P686">
        <v>321075</v>
      </c>
      <c r="Q686" t="s">
        <v>4</v>
      </c>
      <c r="R686" t="s">
        <v>94</v>
      </c>
      <c r="S686" t="s">
        <v>87</v>
      </c>
      <c r="T686">
        <v>90</v>
      </c>
      <c r="U686">
        <v>2.5</v>
      </c>
      <c r="V686" s="2">
        <v>0.10416666666666667</v>
      </c>
      <c r="W686">
        <v>225</v>
      </c>
      <c r="X686">
        <v>300</v>
      </c>
      <c r="Y686">
        <v>75</v>
      </c>
      <c r="Z686" t="s">
        <v>326</v>
      </c>
      <c r="AA686" t="s">
        <v>88</v>
      </c>
      <c r="AB686" t="s">
        <v>100</v>
      </c>
      <c r="AC686" t="s">
        <v>84</v>
      </c>
      <c r="AD686" t="s">
        <v>90</v>
      </c>
    </row>
    <row r="687" spans="1:30" hidden="1">
      <c r="A687" s="1">
        <v>45603</v>
      </c>
      <c r="B687" t="s">
        <v>8</v>
      </c>
      <c r="C687" t="s">
        <v>75</v>
      </c>
      <c r="D687" t="s">
        <v>76</v>
      </c>
      <c r="E687" t="s">
        <v>91</v>
      </c>
      <c r="F687" t="s">
        <v>78</v>
      </c>
      <c r="G687" t="s">
        <v>79</v>
      </c>
      <c r="H687" t="s">
        <v>80</v>
      </c>
      <c r="I687" t="s">
        <v>81</v>
      </c>
      <c r="J687" t="s">
        <v>82</v>
      </c>
      <c r="K687" t="s">
        <v>76</v>
      </c>
      <c r="L687" t="s">
        <v>8</v>
      </c>
      <c r="M687" t="s">
        <v>83</v>
      </c>
      <c r="N687" t="s">
        <v>84</v>
      </c>
      <c r="O687" t="s">
        <v>85</v>
      </c>
      <c r="P687">
        <v>320325</v>
      </c>
      <c r="Q687" t="s">
        <v>5</v>
      </c>
      <c r="R687" t="s">
        <v>86</v>
      </c>
      <c r="S687" t="s">
        <v>87</v>
      </c>
      <c r="T687">
        <v>0</v>
      </c>
      <c r="U687">
        <v>0.75</v>
      </c>
      <c r="V687" s="2">
        <v>3.125E-2</v>
      </c>
      <c r="W687">
        <v>0</v>
      </c>
      <c r="AA687" t="s">
        <v>88</v>
      </c>
      <c r="AB687" t="s">
        <v>100</v>
      </c>
      <c r="AC687" t="s">
        <v>84</v>
      </c>
      <c r="AD687" t="s">
        <v>90</v>
      </c>
    </row>
    <row r="688" spans="1:30" hidden="1">
      <c r="A688" s="1">
        <v>45604</v>
      </c>
      <c r="B688" t="s">
        <v>10</v>
      </c>
      <c r="C688" t="s">
        <v>92</v>
      </c>
      <c r="D688" t="s">
        <v>76</v>
      </c>
      <c r="E688" t="s">
        <v>91</v>
      </c>
      <c r="F688" t="s">
        <v>78</v>
      </c>
      <c r="G688" t="s">
        <v>79</v>
      </c>
      <c r="H688" t="s">
        <v>80</v>
      </c>
      <c r="I688" t="s">
        <v>81</v>
      </c>
      <c r="J688" t="s">
        <v>82</v>
      </c>
      <c r="K688" t="s">
        <v>76</v>
      </c>
      <c r="L688" t="s">
        <v>8</v>
      </c>
      <c r="M688" t="s">
        <v>83</v>
      </c>
      <c r="N688" t="s">
        <v>93</v>
      </c>
      <c r="O688" t="s">
        <v>85</v>
      </c>
      <c r="P688">
        <v>321100</v>
      </c>
      <c r="Q688" t="s">
        <v>4</v>
      </c>
      <c r="R688" t="s">
        <v>94</v>
      </c>
      <c r="S688" t="s">
        <v>87</v>
      </c>
      <c r="T688">
        <v>90</v>
      </c>
      <c r="U688">
        <v>1.5</v>
      </c>
      <c r="V688" s="2">
        <v>6.25E-2</v>
      </c>
      <c r="W688">
        <v>135</v>
      </c>
      <c r="X688">
        <v>180</v>
      </c>
      <c r="Y688">
        <v>45</v>
      </c>
      <c r="Z688" t="s">
        <v>326</v>
      </c>
      <c r="AA688" t="s">
        <v>88</v>
      </c>
      <c r="AB688" t="s">
        <v>100</v>
      </c>
      <c r="AC688" t="s">
        <v>332</v>
      </c>
      <c r="AD688" t="s">
        <v>90</v>
      </c>
    </row>
    <row r="689" spans="1:30" hidden="1">
      <c r="A689" s="1">
        <v>45604</v>
      </c>
      <c r="B689" t="s">
        <v>10</v>
      </c>
      <c r="C689" t="s">
        <v>92</v>
      </c>
      <c r="D689" t="s">
        <v>76</v>
      </c>
      <c r="E689" t="s">
        <v>91</v>
      </c>
      <c r="F689" t="s">
        <v>78</v>
      </c>
      <c r="G689" t="s">
        <v>79</v>
      </c>
      <c r="H689" t="s">
        <v>80</v>
      </c>
      <c r="I689" t="s">
        <v>81</v>
      </c>
      <c r="J689" t="s">
        <v>82</v>
      </c>
      <c r="K689" t="s">
        <v>76</v>
      </c>
      <c r="L689" t="s">
        <v>8</v>
      </c>
      <c r="M689" t="s">
        <v>83</v>
      </c>
      <c r="N689" t="s">
        <v>93</v>
      </c>
      <c r="O689" t="s">
        <v>85</v>
      </c>
      <c r="P689">
        <v>321102</v>
      </c>
      <c r="Q689" t="s">
        <v>5</v>
      </c>
      <c r="R689" t="s">
        <v>86</v>
      </c>
      <c r="S689" t="s">
        <v>87</v>
      </c>
      <c r="T689">
        <v>0</v>
      </c>
      <c r="U689">
        <v>1.5</v>
      </c>
      <c r="V689" s="2">
        <v>6.25E-2</v>
      </c>
      <c r="W689">
        <v>0</v>
      </c>
      <c r="AA689" t="s">
        <v>88</v>
      </c>
      <c r="AB689" t="s">
        <v>100</v>
      </c>
      <c r="AC689" t="s">
        <v>333</v>
      </c>
      <c r="AD689" t="s">
        <v>90</v>
      </c>
    </row>
    <row r="690" spans="1:30" hidden="1">
      <c r="A690" s="1">
        <v>45604</v>
      </c>
      <c r="B690" t="s">
        <v>12</v>
      </c>
      <c r="C690" t="s">
        <v>75</v>
      </c>
      <c r="D690" t="s">
        <v>76</v>
      </c>
      <c r="E690" t="s">
        <v>91</v>
      </c>
      <c r="F690" t="s">
        <v>78</v>
      </c>
      <c r="G690" t="s">
        <v>79</v>
      </c>
      <c r="H690" t="s">
        <v>80</v>
      </c>
      <c r="I690" t="s">
        <v>81</v>
      </c>
      <c r="J690" t="s">
        <v>82</v>
      </c>
      <c r="K690" t="s">
        <v>76</v>
      </c>
      <c r="L690" t="s">
        <v>8</v>
      </c>
      <c r="M690" t="s">
        <v>83</v>
      </c>
      <c r="N690" t="s">
        <v>84</v>
      </c>
      <c r="O690" t="s">
        <v>85</v>
      </c>
      <c r="P690">
        <v>321095</v>
      </c>
      <c r="Q690" t="s">
        <v>5</v>
      </c>
      <c r="R690" t="s">
        <v>86</v>
      </c>
      <c r="S690" t="s">
        <v>87</v>
      </c>
      <c r="T690">
        <v>0</v>
      </c>
      <c r="U690">
        <v>0.25</v>
      </c>
      <c r="V690" s="2">
        <v>1.0416666666666666E-2</v>
      </c>
      <c r="W690">
        <v>0</v>
      </c>
      <c r="AA690" t="s">
        <v>88</v>
      </c>
      <c r="AB690" t="s">
        <v>100</v>
      </c>
      <c r="AC690" t="s">
        <v>84</v>
      </c>
      <c r="AD690" t="s">
        <v>90</v>
      </c>
    </row>
    <row r="691" spans="1:30" hidden="1">
      <c r="A691" s="1">
        <v>45604</v>
      </c>
      <c r="B691" t="s">
        <v>8</v>
      </c>
      <c r="C691" t="s">
        <v>75</v>
      </c>
      <c r="D691" t="s">
        <v>76</v>
      </c>
      <c r="E691" t="s">
        <v>91</v>
      </c>
      <c r="F691" t="s">
        <v>78</v>
      </c>
      <c r="G691" t="s">
        <v>79</v>
      </c>
      <c r="H691" t="s">
        <v>80</v>
      </c>
      <c r="I691" t="s">
        <v>81</v>
      </c>
      <c r="J691" t="s">
        <v>82</v>
      </c>
      <c r="K691" t="s">
        <v>76</v>
      </c>
      <c r="L691" t="s">
        <v>8</v>
      </c>
      <c r="M691" t="s">
        <v>83</v>
      </c>
      <c r="N691" t="s">
        <v>84</v>
      </c>
      <c r="O691" t="s">
        <v>85</v>
      </c>
      <c r="P691">
        <v>320849</v>
      </c>
      <c r="Q691" t="s">
        <v>5</v>
      </c>
      <c r="R691" t="s">
        <v>86</v>
      </c>
      <c r="S691" t="s">
        <v>87</v>
      </c>
      <c r="T691">
        <v>0</v>
      </c>
      <c r="U691">
        <v>0.5</v>
      </c>
      <c r="V691" s="2">
        <v>2.0833333333333332E-2</v>
      </c>
      <c r="W691">
        <v>0</v>
      </c>
      <c r="AA691" t="s">
        <v>88</v>
      </c>
      <c r="AB691" t="s">
        <v>100</v>
      </c>
      <c r="AC691" t="s">
        <v>84</v>
      </c>
      <c r="AD691" t="s">
        <v>90</v>
      </c>
    </row>
    <row r="692" spans="1:30" hidden="1">
      <c r="A692" s="1">
        <v>45607</v>
      </c>
      <c r="B692" t="s">
        <v>10</v>
      </c>
      <c r="C692" t="s">
        <v>92</v>
      </c>
      <c r="D692" t="s">
        <v>76</v>
      </c>
      <c r="E692" t="s">
        <v>91</v>
      </c>
      <c r="F692" t="s">
        <v>78</v>
      </c>
      <c r="G692" t="s">
        <v>79</v>
      </c>
      <c r="H692" t="s">
        <v>80</v>
      </c>
      <c r="I692" t="s">
        <v>81</v>
      </c>
      <c r="J692" t="s">
        <v>82</v>
      </c>
      <c r="K692" t="s">
        <v>76</v>
      </c>
      <c r="L692" t="s">
        <v>8</v>
      </c>
      <c r="M692" t="s">
        <v>83</v>
      </c>
      <c r="N692" t="s">
        <v>93</v>
      </c>
      <c r="O692" t="s">
        <v>85</v>
      </c>
      <c r="P692">
        <v>321957</v>
      </c>
      <c r="Q692" t="s">
        <v>4</v>
      </c>
      <c r="R692" t="s">
        <v>94</v>
      </c>
      <c r="S692" t="s">
        <v>87</v>
      </c>
      <c r="T692">
        <v>90</v>
      </c>
      <c r="U692">
        <v>1.5</v>
      </c>
      <c r="V692" s="2">
        <v>6.25E-2</v>
      </c>
      <c r="W692">
        <v>135</v>
      </c>
      <c r="X692">
        <v>180</v>
      </c>
      <c r="Y692">
        <v>45</v>
      </c>
      <c r="Z692" t="s">
        <v>326</v>
      </c>
      <c r="AA692" t="s">
        <v>88</v>
      </c>
      <c r="AB692" t="s">
        <v>100</v>
      </c>
      <c r="AC692" t="s">
        <v>334</v>
      </c>
      <c r="AD692" t="s">
        <v>90</v>
      </c>
    </row>
    <row r="693" spans="1:30" hidden="1">
      <c r="A693" s="1">
        <v>45607</v>
      </c>
      <c r="B693" t="s">
        <v>10</v>
      </c>
      <c r="C693" t="s">
        <v>92</v>
      </c>
      <c r="D693" t="s">
        <v>76</v>
      </c>
      <c r="E693" t="s">
        <v>91</v>
      </c>
      <c r="F693" t="s">
        <v>78</v>
      </c>
      <c r="G693" t="s">
        <v>79</v>
      </c>
      <c r="H693" t="s">
        <v>80</v>
      </c>
      <c r="I693" t="s">
        <v>81</v>
      </c>
      <c r="J693" t="s">
        <v>82</v>
      </c>
      <c r="K693" t="s">
        <v>76</v>
      </c>
      <c r="L693" t="s">
        <v>8</v>
      </c>
      <c r="M693" t="s">
        <v>83</v>
      </c>
      <c r="N693" t="s">
        <v>93</v>
      </c>
      <c r="O693" t="s">
        <v>85</v>
      </c>
      <c r="P693">
        <v>321956</v>
      </c>
      <c r="Q693" t="s">
        <v>5</v>
      </c>
      <c r="R693" t="s">
        <v>86</v>
      </c>
      <c r="S693" t="s">
        <v>87</v>
      </c>
      <c r="T693">
        <v>0</v>
      </c>
      <c r="U693">
        <v>3.25</v>
      </c>
      <c r="V693" s="2">
        <v>0.13541666666666666</v>
      </c>
      <c r="W693">
        <v>0</v>
      </c>
      <c r="AA693" t="s">
        <v>88</v>
      </c>
      <c r="AB693" t="s">
        <v>100</v>
      </c>
      <c r="AC693" t="s">
        <v>335</v>
      </c>
      <c r="AD693" t="s">
        <v>90</v>
      </c>
    </row>
    <row r="694" spans="1:30" hidden="1">
      <c r="A694" s="1">
        <v>45607</v>
      </c>
      <c r="B694" t="s">
        <v>14</v>
      </c>
      <c r="C694" t="s">
        <v>75</v>
      </c>
      <c r="D694" t="s">
        <v>76</v>
      </c>
      <c r="E694" t="s">
        <v>77</v>
      </c>
      <c r="F694" t="s">
        <v>78</v>
      </c>
      <c r="G694" t="s">
        <v>79</v>
      </c>
      <c r="H694" t="s">
        <v>80</v>
      </c>
      <c r="I694" t="s">
        <v>81</v>
      </c>
      <c r="J694" t="s">
        <v>82</v>
      </c>
      <c r="K694" t="s">
        <v>76</v>
      </c>
      <c r="L694" t="s">
        <v>8</v>
      </c>
      <c r="M694" t="s">
        <v>83</v>
      </c>
      <c r="N694" t="s">
        <v>84</v>
      </c>
      <c r="O694" t="s">
        <v>85</v>
      </c>
      <c r="P694">
        <v>321637</v>
      </c>
      <c r="Q694" t="s">
        <v>5</v>
      </c>
      <c r="R694" t="s">
        <v>86</v>
      </c>
      <c r="S694" t="s">
        <v>87</v>
      </c>
      <c r="T694">
        <v>0</v>
      </c>
      <c r="U694">
        <v>0.25</v>
      </c>
      <c r="V694" s="2">
        <v>1.0416666666666666E-2</v>
      </c>
      <c r="W694">
        <v>0</v>
      </c>
      <c r="AA694" t="s">
        <v>88</v>
      </c>
      <c r="AB694" t="s">
        <v>100</v>
      </c>
      <c r="AC694" t="s">
        <v>229</v>
      </c>
      <c r="AD694" t="s">
        <v>90</v>
      </c>
    </row>
    <row r="695" spans="1:30" hidden="1">
      <c r="A695" s="1">
        <v>45607</v>
      </c>
      <c r="B695" t="s">
        <v>12</v>
      </c>
      <c r="C695" t="s">
        <v>75</v>
      </c>
      <c r="D695" t="s">
        <v>76</v>
      </c>
      <c r="E695" t="s">
        <v>91</v>
      </c>
      <c r="F695" t="s">
        <v>78</v>
      </c>
      <c r="G695" t="s">
        <v>79</v>
      </c>
      <c r="H695" t="s">
        <v>80</v>
      </c>
      <c r="I695" t="s">
        <v>81</v>
      </c>
      <c r="J695" t="s">
        <v>82</v>
      </c>
      <c r="K695" t="s">
        <v>76</v>
      </c>
      <c r="L695" t="s">
        <v>8</v>
      </c>
      <c r="M695" t="s">
        <v>83</v>
      </c>
      <c r="N695" t="s">
        <v>84</v>
      </c>
      <c r="O695" t="s">
        <v>85</v>
      </c>
      <c r="P695">
        <v>321728</v>
      </c>
      <c r="Q695" t="s">
        <v>4</v>
      </c>
      <c r="R695" t="s">
        <v>94</v>
      </c>
      <c r="S695" t="s">
        <v>87</v>
      </c>
      <c r="T695">
        <v>90</v>
      </c>
      <c r="U695">
        <v>0.75</v>
      </c>
      <c r="V695" s="2">
        <v>3.125E-2</v>
      </c>
      <c r="W695">
        <v>67.5</v>
      </c>
      <c r="X695">
        <v>90</v>
      </c>
      <c r="Y695">
        <v>22.5</v>
      </c>
      <c r="Z695" t="s">
        <v>326</v>
      </c>
      <c r="AA695" t="s">
        <v>88</v>
      </c>
      <c r="AB695" t="s">
        <v>100</v>
      </c>
      <c r="AC695" t="s">
        <v>84</v>
      </c>
      <c r="AD695" t="s">
        <v>90</v>
      </c>
    </row>
    <row r="696" spans="1:30" hidden="1">
      <c r="A696" s="1">
        <v>45607</v>
      </c>
      <c r="B696" t="s">
        <v>8</v>
      </c>
      <c r="C696" t="s">
        <v>75</v>
      </c>
      <c r="D696" t="s">
        <v>76</v>
      </c>
      <c r="E696" t="s">
        <v>91</v>
      </c>
      <c r="F696" t="s">
        <v>78</v>
      </c>
      <c r="G696" t="s">
        <v>79</v>
      </c>
      <c r="H696" t="s">
        <v>80</v>
      </c>
      <c r="I696" t="s">
        <v>81</v>
      </c>
      <c r="J696" t="s">
        <v>82</v>
      </c>
      <c r="K696" t="s">
        <v>76</v>
      </c>
      <c r="L696" t="s">
        <v>8</v>
      </c>
      <c r="M696" t="s">
        <v>83</v>
      </c>
      <c r="N696" t="s">
        <v>84</v>
      </c>
      <c r="O696" t="s">
        <v>85</v>
      </c>
      <c r="P696">
        <v>321663</v>
      </c>
      <c r="Q696" t="s">
        <v>5</v>
      </c>
      <c r="R696" t="s">
        <v>86</v>
      </c>
      <c r="S696" t="s">
        <v>87</v>
      </c>
      <c r="T696">
        <v>0</v>
      </c>
      <c r="U696">
        <v>0.75</v>
      </c>
      <c r="V696" s="2">
        <v>3.125E-2</v>
      </c>
      <c r="W696">
        <v>0</v>
      </c>
      <c r="AA696" t="s">
        <v>88</v>
      </c>
      <c r="AB696" t="s">
        <v>100</v>
      </c>
      <c r="AC696" t="s">
        <v>84</v>
      </c>
      <c r="AD696" t="s">
        <v>90</v>
      </c>
    </row>
    <row r="697" spans="1:30" hidden="1">
      <c r="A697" s="1">
        <v>45608</v>
      </c>
      <c r="B697" t="s">
        <v>10</v>
      </c>
      <c r="C697" t="s">
        <v>92</v>
      </c>
      <c r="D697" t="s">
        <v>76</v>
      </c>
      <c r="E697" t="s">
        <v>91</v>
      </c>
      <c r="F697" t="s">
        <v>78</v>
      </c>
      <c r="G697" t="s">
        <v>79</v>
      </c>
      <c r="H697" t="s">
        <v>80</v>
      </c>
      <c r="I697" t="s">
        <v>81</v>
      </c>
      <c r="J697" t="s">
        <v>82</v>
      </c>
      <c r="K697" t="s">
        <v>76</v>
      </c>
      <c r="L697" t="s">
        <v>8</v>
      </c>
      <c r="M697" t="s">
        <v>83</v>
      </c>
      <c r="N697" t="s">
        <v>93</v>
      </c>
      <c r="O697" t="s">
        <v>85</v>
      </c>
      <c r="P697">
        <v>321954</v>
      </c>
      <c r="Q697" t="s">
        <v>4</v>
      </c>
      <c r="R697" t="s">
        <v>94</v>
      </c>
      <c r="S697" t="s">
        <v>87</v>
      </c>
      <c r="T697">
        <v>90</v>
      </c>
      <c r="U697">
        <v>5</v>
      </c>
      <c r="V697" s="2">
        <v>0.20833333333333334</v>
      </c>
      <c r="W697">
        <v>450</v>
      </c>
      <c r="X697">
        <v>600</v>
      </c>
      <c r="Y697">
        <v>150</v>
      </c>
      <c r="Z697" t="s">
        <v>326</v>
      </c>
      <c r="AA697" t="s">
        <v>88</v>
      </c>
      <c r="AB697" t="s">
        <v>100</v>
      </c>
      <c r="AC697" t="s">
        <v>336</v>
      </c>
      <c r="AD697" t="s">
        <v>90</v>
      </c>
    </row>
    <row r="698" spans="1:30" hidden="1">
      <c r="A698" s="1">
        <v>45608</v>
      </c>
      <c r="B698" t="s">
        <v>10</v>
      </c>
      <c r="C698" t="s">
        <v>92</v>
      </c>
      <c r="D698" t="s">
        <v>76</v>
      </c>
      <c r="E698" t="s">
        <v>91</v>
      </c>
      <c r="F698" t="s">
        <v>78</v>
      </c>
      <c r="G698" t="s">
        <v>79</v>
      </c>
      <c r="H698" t="s">
        <v>80</v>
      </c>
      <c r="I698" t="s">
        <v>81</v>
      </c>
      <c r="J698" t="s">
        <v>82</v>
      </c>
      <c r="K698" t="s">
        <v>76</v>
      </c>
      <c r="L698" t="s">
        <v>8</v>
      </c>
      <c r="M698" t="s">
        <v>83</v>
      </c>
      <c r="N698" t="s">
        <v>93</v>
      </c>
      <c r="O698" t="s">
        <v>85</v>
      </c>
      <c r="P698">
        <v>321953</v>
      </c>
      <c r="Q698" t="s">
        <v>5</v>
      </c>
      <c r="R698" t="s">
        <v>86</v>
      </c>
      <c r="S698" t="s">
        <v>87</v>
      </c>
      <c r="T698">
        <v>0</v>
      </c>
      <c r="U698">
        <v>3</v>
      </c>
      <c r="V698" s="2">
        <v>0.125</v>
      </c>
      <c r="W698">
        <v>0</v>
      </c>
      <c r="AA698" t="s">
        <v>88</v>
      </c>
      <c r="AB698" t="s">
        <v>100</v>
      </c>
      <c r="AC698" t="s">
        <v>337</v>
      </c>
      <c r="AD698" t="s">
        <v>90</v>
      </c>
    </row>
    <row r="699" spans="1:30" hidden="1">
      <c r="A699" s="1">
        <v>45608</v>
      </c>
      <c r="B699" t="s">
        <v>12</v>
      </c>
      <c r="C699" t="s">
        <v>75</v>
      </c>
      <c r="D699" t="s">
        <v>76</v>
      </c>
      <c r="E699" t="s">
        <v>91</v>
      </c>
      <c r="F699" t="s">
        <v>78</v>
      </c>
      <c r="G699" t="s">
        <v>79</v>
      </c>
      <c r="H699" t="s">
        <v>80</v>
      </c>
      <c r="I699" t="s">
        <v>81</v>
      </c>
      <c r="J699" t="s">
        <v>82</v>
      </c>
      <c r="K699" t="s">
        <v>76</v>
      </c>
      <c r="L699" t="s">
        <v>8</v>
      </c>
      <c r="M699" t="s">
        <v>83</v>
      </c>
      <c r="N699" t="s">
        <v>84</v>
      </c>
      <c r="O699" t="s">
        <v>85</v>
      </c>
      <c r="P699">
        <v>322008</v>
      </c>
      <c r="Q699" t="s">
        <v>5</v>
      </c>
      <c r="R699" t="s">
        <v>86</v>
      </c>
      <c r="S699" t="s">
        <v>87</v>
      </c>
      <c r="T699">
        <v>0</v>
      </c>
      <c r="U699">
        <v>0.25</v>
      </c>
      <c r="V699" s="2">
        <v>1.0416666666666666E-2</v>
      </c>
      <c r="W699">
        <v>0</v>
      </c>
      <c r="AA699" t="s">
        <v>88</v>
      </c>
      <c r="AB699" t="s">
        <v>100</v>
      </c>
      <c r="AC699" t="s">
        <v>84</v>
      </c>
      <c r="AD699" t="s">
        <v>90</v>
      </c>
    </row>
    <row r="700" spans="1:30" hidden="1">
      <c r="A700" s="1">
        <v>45608</v>
      </c>
      <c r="B700" t="s">
        <v>8</v>
      </c>
      <c r="C700" t="s">
        <v>75</v>
      </c>
      <c r="D700" t="s">
        <v>76</v>
      </c>
      <c r="E700" t="s">
        <v>91</v>
      </c>
      <c r="F700" t="s">
        <v>78</v>
      </c>
      <c r="G700" t="s">
        <v>79</v>
      </c>
      <c r="H700" t="s">
        <v>80</v>
      </c>
      <c r="I700" t="s">
        <v>81</v>
      </c>
      <c r="J700" t="s">
        <v>82</v>
      </c>
      <c r="K700" t="s">
        <v>76</v>
      </c>
      <c r="L700" t="s">
        <v>8</v>
      </c>
      <c r="M700" t="s">
        <v>83</v>
      </c>
      <c r="N700" t="s">
        <v>84</v>
      </c>
      <c r="O700" t="s">
        <v>85</v>
      </c>
      <c r="P700">
        <v>322199</v>
      </c>
      <c r="Q700" t="s">
        <v>5</v>
      </c>
      <c r="R700" t="s">
        <v>86</v>
      </c>
      <c r="S700" t="s">
        <v>87</v>
      </c>
      <c r="T700">
        <v>0</v>
      </c>
      <c r="U700">
        <v>0.5</v>
      </c>
      <c r="V700" s="2">
        <v>2.0833333333333332E-2</v>
      </c>
      <c r="W700">
        <v>0</v>
      </c>
      <c r="AA700" t="s">
        <v>88</v>
      </c>
      <c r="AB700" t="s">
        <v>100</v>
      </c>
      <c r="AC700" t="s">
        <v>84</v>
      </c>
      <c r="AD700" t="s">
        <v>90</v>
      </c>
    </row>
    <row r="701" spans="1:30" hidden="1">
      <c r="A701" s="1">
        <v>45609</v>
      </c>
      <c r="B701" t="s">
        <v>10</v>
      </c>
      <c r="C701" t="s">
        <v>92</v>
      </c>
      <c r="D701" t="s">
        <v>76</v>
      </c>
      <c r="E701" t="s">
        <v>91</v>
      </c>
      <c r="F701" t="s">
        <v>78</v>
      </c>
      <c r="G701" t="s">
        <v>79</v>
      </c>
      <c r="H701" t="s">
        <v>80</v>
      </c>
      <c r="I701" t="s">
        <v>81</v>
      </c>
      <c r="J701" t="s">
        <v>82</v>
      </c>
      <c r="K701" t="s">
        <v>76</v>
      </c>
      <c r="L701" t="s">
        <v>8</v>
      </c>
      <c r="M701" t="s">
        <v>83</v>
      </c>
      <c r="N701" t="s">
        <v>93</v>
      </c>
      <c r="O701" t="s">
        <v>85</v>
      </c>
      <c r="P701">
        <v>322894</v>
      </c>
      <c r="Q701" t="s">
        <v>4</v>
      </c>
      <c r="R701" t="s">
        <v>94</v>
      </c>
      <c r="S701" t="s">
        <v>87</v>
      </c>
      <c r="T701">
        <v>90</v>
      </c>
      <c r="U701">
        <v>0.25</v>
      </c>
      <c r="V701" s="2">
        <v>1.0416666666666666E-2</v>
      </c>
      <c r="W701">
        <v>22.5</v>
      </c>
      <c r="X701">
        <v>30</v>
      </c>
      <c r="Y701">
        <v>7.5</v>
      </c>
      <c r="Z701" t="s">
        <v>326</v>
      </c>
      <c r="AA701" t="s">
        <v>88</v>
      </c>
      <c r="AB701" t="s">
        <v>100</v>
      </c>
      <c r="AC701" t="s">
        <v>338</v>
      </c>
      <c r="AD701" t="s">
        <v>90</v>
      </c>
    </row>
    <row r="702" spans="1:30" hidden="1">
      <c r="A702" s="1">
        <v>45609</v>
      </c>
      <c r="B702" t="s">
        <v>10</v>
      </c>
      <c r="C702" t="s">
        <v>92</v>
      </c>
      <c r="D702" t="s">
        <v>76</v>
      </c>
      <c r="E702" t="s">
        <v>91</v>
      </c>
      <c r="F702" t="s">
        <v>78</v>
      </c>
      <c r="G702" t="s">
        <v>79</v>
      </c>
      <c r="H702" t="s">
        <v>80</v>
      </c>
      <c r="I702" t="s">
        <v>81</v>
      </c>
      <c r="J702" t="s">
        <v>82</v>
      </c>
      <c r="K702" t="s">
        <v>76</v>
      </c>
      <c r="L702" t="s">
        <v>8</v>
      </c>
      <c r="M702" t="s">
        <v>83</v>
      </c>
      <c r="N702" t="s">
        <v>93</v>
      </c>
      <c r="O702" t="s">
        <v>85</v>
      </c>
      <c r="P702">
        <v>322895</v>
      </c>
      <c r="Q702" t="s">
        <v>5</v>
      </c>
      <c r="R702" t="s">
        <v>86</v>
      </c>
      <c r="S702" t="s">
        <v>87</v>
      </c>
      <c r="T702">
        <v>0</v>
      </c>
      <c r="U702">
        <v>0.25</v>
      </c>
      <c r="V702" s="2">
        <v>1.0416666666666666E-2</v>
      </c>
      <c r="W702">
        <v>0</v>
      </c>
      <c r="AA702" t="s">
        <v>88</v>
      </c>
      <c r="AB702" t="s">
        <v>100</v>
      </c>
      <c r="AC702" t="s">
        <v>303</v>
      </c>
      <c r="AD702" t="s">
        <v>90</v>
      </c>
    </row>
    <row r="703" spans="1:30" hidden="1">
      <c r="A703" s="1">
        <v>45609</v>
      </c>
      <c r="B703" t="s">
        <v>8</v>
      </c>
      <c r="C703" t="s">
        <v>75</v>
      </c>
      <c r="D703" t="s">
        <v>76</v>
      </c>
      <c r="E703" t="s">
        <v>91</v>
      </c>
      <c r="F703" t="s">
        <v>78</v>
      </c>
      <c r="G703" t="s">
        <v>79</v>
      </c>
      <c r="H703" t="s">
        <v>80</v>
      </c>
      <c r="I703" t="s">
        <v>81</v>
      </c>
      <c r="J703" t="s">
        <v>82</v>
      </c>
      <c r="K703" t="s">
        <v>76</v>
      </c>
      <c r="L703" t="s">
        <v>8</v>
      </c>
      <c r="M703" t="s">
        <v>83</v>
      </c>
      <c r="N703" t="s">
        <v>84</v>
      </c>
      <c r="O703" t="s">
        <v>85</v>
      </c>
      <c r="P703">
        <v>322741</v>
      </c>
      <c r="Q703" t="s">
        <v>5</v>
      </c>
      <c r="R703" t="s">
        <v>86</v>
      </c>
      <c r="S703" t="s">
        <v>87</v>
      </c>
      <c r="T703">
        <v>0</v>
      </c>
      <c r="U703">
        <v>0.25</v>
      </c>
      <c r="V703" s="2">
        <v>1.0416666666666666E-2</v>
      </c>
      <c r="W703">
        <v>0</v>
      </c>
      <c r="AA703" t="s">
        <v>88</v>
      </c>
      <c r="AB703" t="s">
        <v>100</v>
      </c>
      <c r="AC703" t="s">
        <v>84</v>
      </c>
      <c r="AD703" t="s">
        <v>90</v>
      </c>
    </row>
    <row r="704" spans="1:30" hidden="1">
      <c r="A704" s="1">
        <v>45610</v>
      </c>
      <c r="B704" t="s">
        <v>10</v>
      </c>
      <c r="C704" t="s">
        <v>92</v>
      </c>
      <c r="D704" t="s">
        <v>76</v>
      </c>
      <c r="E704" t="s">
        <v>91</v>
      </c>
      <c r="F704" t="s">
        <v>78</v>
      </c>
      <c r="G704" t="s">
        <v>79</v>
      </c>
      <c r="H704" t="s">
        <v>80</v>
      </c>
      <c r="I704" t="s">
        <v>81</v>
      </c>
      <c r="J704" t="s">
        <v>82</v>
      </c>
      <c r="K704" t="s">
        <v>76</v>
      </c>
      <c r="L704" t="s">
        <v>8</v>
      </c>
      <c r="M704" t="s">
        <v>83</v>
      </c>
      <c r="N704" t="s">
        <v>93</v>
      </c>
      <c r="O704" t="s">
        <v>85</v>
      </c>
      <c r="P704">
        <v>322891</v>
      </c>
      <c r="Q704" t="s">
        <v>5</v>
      </c>
      <c r="R704" t="s">
        <v>86</v>
      </c>
      <c r="S704" t="s">
        <v>87</v>
      </c>
      <c r="T704">
        <v>0</v>
      </c>
      <c r="U704">
        <v>3</v>
      </c>
      <c r="V704" s="2">
        <v>0.125</v>
      </c>
      <c r="W704">
        <v>0</v>
      </c>
      <c r="AA704" t="s">
        <v>88</v>
      </c>
      <c r="AB704" t="s">
        <v>100</v>
      </c>
      <c r="AC704" t="s">
        <v>339</v>
      </c>
      <c r="AD704" t="s">
        <v>90</v>
      </c>
    </row>
    <row r="705" spans="1:30" hidden="1">
      <c r="A705" s="1">
        <v>45610</v>
      </c>
      <c r="B705" t="s">
        <v>16</v>
      </c>
      <c r="C705" t="s">
        <v>75</v>
      </c>
      <c r="D705" t="s">
        <v>76</v>
      </c>
      <c r="E705" t="s">
        <v>91</v>
      </c>
      <c r="F705" t="s">
        <v>78</v>
      </c>
      <c r="G705" t="s">
        <v>79</v>
      </c>
      <c r="H705" t="s">
        <v>80</v>
      </c>
      <c r="I705" t="s">
        <v>81</v>
      </c>
      <c r="J705" t="s">
        <v>82</v>
      </c>
      <c r="K705" t="s">
        <v>76</v>
      </c>
      <c r="L705" t="s">
        <v>8</v>
      </c>
      <c r="M705" t="s">
        <v>83</v>
      </c>
      <c r="N705" t="s">
        <v>93</v>
      </c>
      <c r="O705" t="s">
        <v>85</v>
      </c>
      <c r="P705">
        <v>324267</v>
      </c>
      <c r="Q705" t="s">
        <v>5</v>
      </c>
      <c r="R705" t="s">
        <v>86</v>
      </c>
      <c r="S705" t="s">
        <v>87</v>
      </c>
      <c r="T705">
        <v>0</v>
      </c>
      <c r="U705">
        <v>1</v>
      </c>
      <c r="V705" s="2">
        <v>4.1666666666666664E-2</v>
      </c>
      <c r="W705">
        <v>0</v>
      </c>
      <c r="AA705" t="s">
        <v>88</v>
      </c>
      <c r="AB705" t="s">
        <v>100</v>
      </c>
      <c r="AC705" t="s">
        <v>84</v>
      </c>
      <c r="AD705" t="s">
        <v>90</v>
      </c>
    </row>
    <row r="706" spans="1:30" hidden="1">
      <c r="A706" s="1">
        <v>45610</v>
      </c>
      <c r="B706" t="s">
        <v>12</v>
      </c>
      <c r="C706" t="s">
        <v>75</v>
      </c>
      <c r="D706" t="s">
        <v>76</v>
      </c>
      <c r="E706" t="s">
        <v>91</v>
      </c>
      <c r="F706" t="s">
        <v>78</v>
      </c>
      <c r="G706" t="s">
        <v>79</v>
      </c>
      <c r="H706" t="s">
        <v>80</v>
      </c>
      <c r="I706" t="s">
        <v>81</v>
      </c>
      <c r="J706" t="s">
        <v>82</v>
      </c>
      <c r="K706" t="s">
        <v>76</v>
      </c>
      <c r="L706" t="s">
        <v>8</v>
      </c>
      <c r="M706" t="s">
        <v>83</v>
      </c>
      <c r="N706" t="s">
        <v>84</v>
      </c>
      <c r="O706" t="s">
        <v>85</v>
      </c>
      <c r="P706">
        <v>323263</v>
      </c>
      <c r="Q706" t="s">
        <v>5</v>
      </c>
      <c r="R706" t="s">
        <v>86</v>
      </c>
      <c r="S706" t="s">
        <v>87</v>
      </c>
      <c r="T706">
        <v>0</v>
      </c>
      <c r="U706">
        <v>0.25</v>
      </c>
      <c r="V706" s="2">
        <v>1.0416666666666666E-2</v>
      </c>
      <c r="W706">
        <v>0</v>
      </c>
      <c r="AA706" t="s">
        <v>88</v>
      </c>
      <c r="AB706" t="s">
        <v>100</v>
      </c>
      <c r="AC706" t="s">
        <v>84</v>
      </c>
      <c r="AD706" t="s">
        <v>90</v>
      </c>
    </row>
    <row r="707" spans="1:30" hidden="1">
      <c r="A707" s="1">
        <v>45610</v>
      </c>
      <c r="B707" t="s">
        <v>8</v>
      </c>
      <c r="C707" t="s">
        <v>75</v>
      </c>
      <c r="D707" t="s">
        <v>76</v>
      </c>
      <c r="E707" t="s">
        <v>91</v>
      </c>
      <c r="F707" t="s">
        <v>78</v>
      </c>
      <c r="G707" t="s">
        <v>79</v>
      </c>
      <c r="H707" t="s">
        <v>80</v>
      </c>
      <c r="I707" t="s">
        <v>81</v>
      </c>
      <c r="J707" t="s">
        <v>82</v>
      </c>
      <c r="K707" t="s">
        <v>76</v>
      </c>
      <c r="L707" t="s">
        <v>8</v>
      </c>
      <c r="M707" t="s">
        <v>83</v>
      </c>
      <c r="N707" t="s">
        <v>84</v>
      </c>
      <c r="O707" t="s">
        <v>85</v>
      </c>
      <c r="P707">
        <v>323220</v>
      </c>
      <c r="Q707" t="s">
        <v>5</v>
      </c>
      <c r="R707" t="s">
        <v>86</v>
      </c>
      <c r="S707" t="s">
        <v>87</v>
      </c>
      <c r="T707">
        <v>0</v>
      </c>
      <c r="U707">
        <v>0.5</v>
      </c>
      <c r="V707" s="2">
        <v>2.0833333333333332E-2</v>
      </c>
      <c r="W707">
        <v>0</v>
      </c>
      <c r="AA707" t="s">
        <v>88</v>
      </c>
      <c r="AB707" t="s">
        <v>100</v>
      </c>
      <c r="AC707" t="s">
        <v>84</v>
      </c>
      <c r="AD707" t="s">
        <v>90</v>
      </c>
    </row>
    <row r="708" spans="1:30" hidden="1">
      <c r="A708" s="1">
        <v>45611</v>
      </c>
      <c r="B708" t="s">
        <v>10</v>
      </c>
      <c r="C708" t="s">
        <v>92</v>
      </c>
      <c r="D708" t="s">
        <v>76</v>
      </c>
      <c r="E708" t="s">
        <v>91</v>
      </c>
      <c r="F708" t="s">
        <v>78</v>
      </c>
      <c r="G708" t="s">
        <v>79</v>
      </c>
      <c r="H708" t="s">
        <v>80</v>
      </c>
      <c r="I708" t="s">
        <v>81</v>
      </c>
      <c r="J708" t="s">
        <v>82</v>
      </c>
      <c r="K708" t="s">
        <v>76</v>
      </c>
      <c r="L708" t="s">
        <v>8</v>
      </c>
      <c r="M708" t="s">
        <v>83</v>
      </c>
      <c r="N708" t="s">
        <v>93</v>
      </c>
      <c r="O708" t="s">
        <v>85</v>
      </c>
      <c r="P708">
        <v>323462</v>
      </c>
      <c r="Q708" t="s">
        <v>5</v>
      </c>
      <c r="R708" t="s">
        <v>86</v>
      </c>
      <c r="S708" t="s">
        <v>87</v>
      </c>
      <c r="T708">
        <v>0</v>
      </c>
      <c r="U708">
        <v>0.25</v>
      </c>
      <c r="V708" s="2">
        <v>1.0416666666666666E-2</v>
      </c>
      <c r="W708">
        <v>0</v>
      </c>
      <c r="AA708" t="s">
        <v>88</v>
      </c>
      <c r="AB708" t="s">
        <v>100</v>
      </c>
      <c r="AC708" t="s">
        <v>297</v>
      </c>
      <c r="AD708" t="s">
        <v>90</v>
      </c>
    </row>
    <row r="709" spans="1:30" hidden="1">
      <c r="A709" s="1">
        <v>45611</v>
      </c>
      <c r="B709" t="s">
        <v>12</v>
      </c>
      <c r="C709" t="s">
        <v>75</v>
      </c>
      <c r="D709" t="s">
        <v>76</v>
      </c>
      <c r="E709" t="s">
        <v>91</v>
      </c>
      <c r="F709" t="s">
        <v>78</v>
      </c>
      <c r="G709" t="s">
        <v>79</v>
      </c>
      <c r="H709" t="s">
        <v>80</v>
      </c>
      <c r="I709" t="s">
        <v>81</v>
      </c>
      <c r="J709" t="s">
        <v>82</v>
      </c>
      <c r="K709" t="s">
        <v>76</v>
      </c>
      <c r="L709" t="s">
        <v>8</v>
      </c>
      <c r="M709" t="s">
        <v>83</v>
      </c>
      <c r="N709" t="s">
        <v>84</v>
      </c>
      <c r="O709" t="s">
        <v>85</v>
      </c>
      <c r="P709">
        <v>324126</v>
      </c>
      <c r="Q709" t="s">
        <v>5</v>
      </c>
      <c r="R709" t="s">
        <v>86</v>
      </c>
      <c r="S709" t="s">
        <v>87</v>
      </c>
      <c r="T709">
        <v>0</v>
      </c>
      <c r="U709">
        <v>0.25</v>
      </c>
      <c r="V709" s="2">
        <v>1.0416666666666666E-2</v>
      </c>
      <c r="W709">
        <v>0</v>
      </c>
      <c r="AA709" t="s">
        <v>88</v>
      </c>
      <c r="AB709" t="s">
        <v>100</v>
      </c>
      <c r="AC709" t="s">
        <v>84</v>
      </c>
      <c r="AD709" t="s">
        <v>90</v>
      </c>
    </row>
    <row r="710" spans="1:30" hidden="1">
      <c r="A710" s="1">
        <v>45611</v>
      </c>
      <c r="B710" t="s">
        <v>8</v>
      </c>
      <c r="C710" t="s">
        <v>75</v>
      </c>
      <c r="D710" t="s">
        <v>76</v>
      </c>
      <c r="E710" t="s">
        <v>91</v>
      </c>
      <c r="F710" t="s">
        <v>78</v>
      </c>
      <c r="G710" t="s">
        <v>79</v>
      </c>
      <c r="H710" t="s">
        <v>80</v>
      </c>
      <c r="I710" t="s">
        <v>81</v>
      </c>
      <c r="J710" t="s">
        <v>82</v>
      </c>
      <c r="K710" t="s">
        <v>76</v>
      </c>
      <c r="L710" t="s">
        <v>8</v>
      </c>
      <c r="M710" t="s">
        <v>83</v>
      </c>
      <c r="N710" t="s">
        <v>84</v>
      </c>
      <c r="O710" t="s">
        <v>85</v>
      </c>
      <c r="P710">
        <v>323866</v>
      </c>
      <c r="Q710" t="s">
        <v>5</v>
      </c>
      <c r="R710" t="s">
        <v>86</v>
      </c>
      <c r="S710" t="s">
        <v>87</v>
      </c>
      <c r="T710">
        <v>0</v>
      </c>
      <c r="U710">
        <v>0.25</v>
      </c>
      <c r="V710" s="2">
        <v>1.0416666666666666E-2</v>
      </c>
      <c r="W710">
        <v>0</v>
      </c>
      <c r="AA710" t="s">
        <v>88</v>
      </c>
      <c r="AB710" t="s">
        <v>100</v>
      </c>
      <c r="AC710" t="s">
        <v>84</v>
      </c>
      <c r="AD710" t="s">
        <v>90</v>
      </c>
    </row>
    <row r="711" spans="1:30" hidden="1">
      <c r="A711" s="1">
        <v>45614</v>
      </c>
      <c r="B711" t="s">
        <v>14</v>
      </c>
      <c r="C711" t="s">
        <v>75</v>
      </c>
      <c r="D711" t="s">
        <v>76</v>
      </c>
      <c r="E711" t="s">
        <v>77</v>
      </c>
      <c r="F711" t="s">
        <v>78</v>
      </c>
      <c r="G711" t="s">
        <v>79</v>
      </c>
      <c r="H711" t="s">
        <v>80</v>
      </c>
      <c r="I711" t="s">
        <v>81</v>
      </c>
      <c r="J711" t="s">
        <v>82</v>
      </c>
      <c r="K711" t="s">
        <v>76</v>
      </c>
      <c r="L711" t="s">
        <v>8</v>
      </c>
      <c r="M711" t="s">
        <v>83</v>
      </c>
      <c r="N711" t="s">
        <v>84</v>
      </c>
      <c r="O711" t="s">
        <v>85</v>
      </c>
      <c r="P711">
        <v>324720</v>
      </c>
      <c r="Q711" t="s">
        <v>5</v>
      </c>
      <c r="R711" t="s">
        <v>86</v>
      </c>
      <c r="S711" t="s">
        <v>87</v>
      </c>
      <c r="T711">
        <v>0</v>
      </c>
      <c r="U711">
        <v>0.25</v>
      </c>
      <c r="V711" s="2">
        <v>1.0416666666666666E-2</v>
      </c>
      <c r="W711">
        <v>0</v>
      </c>
      <c r="AA711" t="s">
        <v>88</v>
      </c>
      <c r="AB711" t="s">
        <v>100</v>
      </c>
      <c r="AC711" t="s">
        <v>96</v>
      </c>
      <c r="AD711" t="s">
        <v>90</v>
      </c>
    </row>
    <row r="712" spans="1:30" hidden="1">
      <c r="A712" s="1">
        <v>45614</v>
      </c>
      <c r="B712" t="s">
        <v>12</v>
      </c>
      <c r="C712" t="s">
        <v>75</v>
      </c>
      <c r="D712" t="s">
        <v>76</v>
      </c>
      <c r="E712" t="s">
        <v>91</v>
      </c>
      <c r="F712" t="s">
        <v>78</v>
      </c>
      <c r="G712" t="s">
        <v>79</v>
      </c>
      <c r="H712" t="s">
        <v>80</v>
      </c>
      <c r="I712" t="s">
        <v>81</v>
      </c>
      <c r="J712" t="s">
        <v>82</v>
      </c>
      <c r="K712" t="s">
        <v>76</v>
      </c>
      <c r="L712" t="s">
        <v>8</v>
      </c>
      <c r="M712" t="s">
        <v>83</v>
      </c>
      <c r="N712" t="s">
        <v>84</v>
      </c>
      <c r="O712" t="s">
        <v>85</v>
      </c>
      <c r="P712">
        <v>324818</v>
      </c>
      <c r="Q712" t="s">
        <v>5</v>
      </c>
      <c r="R712" t="s">
        <v>86</v>
      </c>
      <c r="S712" t="s">
        <v>87</v>
      </c>
      <c r="T712">
        <v>0</v>
      </c>
      <c r="U712">
        <v>0.25</v>
      </c>
      <c r="V712" s="2">
        <v>1.0416666666666666E-2</v>
      </c>
      <c r="W712">
        <v>0</v>
      </c>
      <c r="AA712" t="s">
        <v>88</v>
      </c>
      <c r="AB712" t="s">
        <v>100</v>
      </c>
      <c r="AC712" t="s">
        <v>84</v>
      </c>
      <c r="AD712" t="s">
        <v>90</v>
      </c>
    </row>
    <row r="713" spans="1:30" hidden="1">
      <c r="A713" s="1">
        <v>45614</v>
      </c>
      <c r="B713" t="s">
        <v>8</v>
      </c>
      <c r="C713" t="s">
        <v>75</v>
      </c>
      <c r="D713" t="s">
        <v>76</v>
      </c>
      <c r="E713" t="s">
        <v>91</v>
      </c>
      <c r="F713" t="s">
        <v>78</v>
      </c>
      <c r="G713" t="s">
        <v>79</v>
      </c>
      <c r="H713" t="s">
        <v>80</v>
      </c>
      <c r="I713" t="s">
        <v>81</v>
      </c>
      <c r="J713" t="s">
        <v>82</v>
      </c>
      <c r="K713" t="s">
        <v>76</v>
      </c>
      <c r="L713" t="s">
        <v>8</v>
      </c>
      <c r="M713" t="s">
        <v>83</v>
      </c>
      <c r="N713" t="s">
        <v>84</v>
      </c>
      <c r="O713" t="s">
        <v>85</v>
      </c>
      <c r="P713">
        <v>324587</v>
      </c>
      <c r="Q713" t="s">
        <v>5</v>
      </c>
      <c r="R713" t="s">
        <v>86</v>
      </c>
      <c r="S713" t="s">
        <v>87</v>
      </c>
      <c r="T713">
        <v>0</v>
      </c>
      <c r="U713">
        <v>0.25</v>
      </c>
      <c r="V713" s="2">
        <v>1.0416666666666666E-2</v>
      </c>
      <c r="W713">
        <v>0</v>
      </c>
      <c r="AA713" t="s">
        <v>88</v>
      </c>
      <c r="AB713" t="s">
        <v>100</v>
      </c>
      <c r="AC713" t="s">
        <v>84</v>
      </c>
      <c r="AD713" t="s">
        <v>90</v>
      </c>
    </row>
    <row r="714" spans="1:30" hidden="1">
      <c r="A714" s="1">
        <v>45615</v>
      </c>
      <c r="B714" t="s">
        <v>10</v>
      </c>
      <c r="C714" t="s">
        <v>92</v>
      </c>
      <c r="D714" t="s">
        <v>76</v>
      </c>
      <c r="E714" t="s">
        <v>91</v>
      </c>
      <c r="F714" t="s">
        <v>78</v>
      </c>
      <c r="G714" t="s">
        <v>79</v>
      </c>
      <c r="H714" t="s">
        <v>80</v>
      </c>
      <c r="I714" t="s">
        <v>81</v>
      </c>
      <c r="J714" t="s">
        <v>82</v>
      </c>
      <c r="K714" t="s">
        <v>76</v>
      </c>
      <c r="L714" t="s">
        <v>8</v>
      </c>
      <c r="M714" t="s">
        <v>83</v>
      </c>
      <c r="N714" t="s">
        <v>93</v>
      </c>
      <c r="O714" t="s">
        <v>85</v>
      </c>
      <c r="P714">
        <v>324966</v>
      </c>
      <c r="Q714" t="s">
        <v>5</v>
      </c>
      <c r="R714" t="s">
        <v>86</v>
      </c>
      <c r="S714" t="s">
        <v>87</v>
      </c>
      <c r="T714">
        <v>0</v>
      </c>
      <c r="U714">
        <v>0.25</v>
      </c>
      <c r="V714" s="2">
        <v>1.0416666666666666E-2</v>
      </c>
      <c r="W714">
        <v>0</v>
      </c>
      <c r="AA714" t="s">
        <v>88</v>
      </c>
      <c r="AB714" t="s">
        <v>100</v>
      </c>
      <c r="AC714" t="s">
        <v>340</v>
      </c>
      <c r="AD714" t="s">
        <v>90</v>
      </c>
    </row>
    <row r="715" spans="1:30" hidden="1">
      <c r="A715" s="1">
        <v>45615</v>
      </c>
      <c r="B715" t="s">
        <v>12</v>
      </c>
      <c r="C715" t="s">
        <v>75</v>
      </c>
      <c r="D715" t="s">
        <v>76</v>
      </c>
      <c r="E715" t="s">
        <v>91</v>
      </c>
      <c r="F715" t="s">
        <v>78</v>
      </c>
      <c r="G715" t="s">
        <v>79</v>
      </c>
      <c r="H715" t="s">
        <v>80</v>
      </c>
      <c r="I715" t="s">
        <v>81</v>
      </c>
      <c r="J715" t="s">
        <v>82</v>
      </c>
      <c r="K715" t="s">
        <v>76</v>
      </c>
      <c r="L715" t="s">
        <v>8</v>
      </c>
      <c r="M715" t="s">
        <v>83</v>
      </c>
      <c r="N715" t="s">
        <v>84</v>
      </c>
      <c r="O715" t="s">
        <v>85</v>
      </c>
      <c r="P715">
        <v>325419</v>
      </c>
      <c r="Q715" t="s">
        <v>5</v>
      </c>
      <c r="R715" t="s">
        <v>86</v>
      </c>
      <c r="S715" t="s">
        <v>87</v>
      </c>
      <c r="T715">
        <v>0</v>
      </c>
      <c r="U715">
        <v>0.25</v>
      </c>
      <c r="V715" s="2">
        <v>1.0416666666666666E-2</v>
      </c>
      <c r="W715">
        <v>0</v>
      </c>
      <c r="AA715" t="s">
        <v>88</v>
      </c>
      <c r="AB715" t="s">
        <v>100</v>
      </c>
      <c r="AC715" t="s">
        <v>84</v>
      </c>
      <c r="AD715" t="s">
        <v>90</v>
      </c>
    </row>
    <row r="716" spans="1:30" hidden="1">
      <c r="A716" s="1">
        <v>45615</v>
      </c>
      <c r="B716" t="s">
        <v>271</v>
      </c>
      <c r="C716" t="s">
        <v>75</v>
      </c>
      <c r="D716" t="s">
        <v>76</v>
      </c>
      <c r="E716" t="s">
        <v>91</v>
      </c>
      <c r="F716" t="s">
        <v>78</v>
      </c>
      <c r="G716" t="s">
        <v>79</v>
      </c>
      <c r="H716" t="s">
        <v>80</v>
      </c>
      <c r="I716" t="s">
        <v>81</v>
      </c>
      <c r="J716" t="s">
        <v>82</v>
      </c>
      <c r="K716" t="s">
        <v>76</v>
      </c>
      <c r="L716" t="s">
        <v>8</v>
      </c>
      <c r="M716" t="s">
        <v>83</v>
      </c>
      <c r="N716" t="s">
        <v>84</v>
      </c>
      <c r="O716" t="s">
        <v>85</v>
      </c>
      <c r="P716">
        <v>325703</v>
      </c>
      <c r="Q716" t="s">
        <v>4</v>
      </c>
      <c r="R716" t="s">
        <v>94</v>
      </c>
      <c r="S716" t="s">
        <v>87</v>
      </c>
      <c r="T716">
        <v>90</v>
      </c>
      <c r="U716">
        <v>1</v>
      </c>
      <c r="V716" s="2">
        <v>4.1666666666666664E-2</v>
      </c>
      <c r="W716">
        <v>90</v>
      </c>
      <c r="X716">
        <v>120</v>
      </c>
      <c r="Y716">
        <v>30</v>
      </c>
      <c r="Z716" t="s">
        <v>326</v>
      </c>
      <c r="AA716" t="s">
        <v>88</v>
      </c>
      <c r="AB716" t="s">
        <v>100</v>
      </c>
      <c r="AC716" t="s">
        <v>341</v>
      </c>
      <c r="AD716" t="s">
        <v>90</v>
      </c>
    </row>
    <row r="717" spans="1:30" hidden="1">
      <c r="A717" s="1">
        <v>45615</v>
      </c>
      <c r="B717" t="s">
        <v>8</v>
      </c>
      <c r="C717" t="s">
        <v>75</v>
      </c>
      <c r="D717" t="s">
        <v>76</v>
      </c>
      <c r="E717" t="s">
        <v>91</v>
      </c>
      <c r="F717" t="s">
        <v>78</v>
      </c>
      <c r="G717" t="s">
        <v>79</v>
      </c>
      <c r="H717" t="s">
        <v>80</v>
      </c>
      <c r="I717" t="s">
        <v>81</v>
      </c>
      <c r="J717" t="s">
        <v>82</v>
      </c>
      <c r="K717" t="s">
        <v>76</v>
      </c>
      <c r="L717" t="s">
        <v>8</v>
      </c>
      <c r="M717" t="s">
        <v>83</v>
      </c>
      <c r="N717" t="s">
        <v>84</v>
      </c>
      <c r="O717" t="s">
        <v>85</v>
      </c>
      <c r="P717">
        <v>325194</v>
      </c>
      <c r="Q717" t="s">
        <v>5</v>
      </c>
      <c r="R717" t="s">
        <v>86</v>
      </c>
      <c r="S717" t="s">
        <v>87</v>
      </c>
      <c r="T717">
        <v>0</v>
      </c>
      <c r="U717">
        <v>0.25</v>
      </c>
      <c r="V717" s="2">
        <v>1.0416666666666666E-2</v>
      </c>
      <c r="W717">
        <v>0</v>
      </c>
      <c r="AA717" t="s">
        <v>88</v>
      </c>
      <c r="AB717" t="s">
        <v>100</v>
      </c>
      <c r="AC717" t="s">
        <v>84</v>
      </c>
      <c r="AD717" t="s">
        <v>90</v>
      </c>
    </row>
    <row r="718" spans="1:30" hidden="1">
      <c r="A718" s="1">
        <v>45616</v>
      </c>
      <c r="B718" t="s">
        <v>12</v>
      </c>
      <c r="C718" t="s">
        <v>75</v>
      </c>
      <c r="D718" t="s">
        <v>76</v>
      </c>
      <c r="E718" t="s">
        <v>91</v>
      </c>
      <c r="F718" t="s">
        <v>78</v>
      </c>
      <c r="G718" t="s">
        <v>79</v>
      </c>
      <c r="H718" t="s">
        <v>80</v>
      </c>
      <c r="I718" t="s">
        <v>81</v>
      </c>
      <c r="J718" t="s">
        <v>82</v>
      </c>
      <c r="K718" t="s">
        <v>76</v>
      </c>
      <c r="L718" t="s">
        <v>8</v>
      </c>
      <c r="M718" t="s">
        <v>83</v>
      </c>
      <c r="N718" t="s">
        <v>84</v>
      </c>
      <c r="O718" t="s">
        <v>85</v>
      </c>
      <c r="P718">
        <v>326145</v>
      </c>
      <c r="Q718" t="s">
        <v>4</v>
      </c>
      <c r="R718" t="s">
        <v>94</v>
      </c>
      <c r="S718" t="s">
        <v>87</v>
      </c>
      <c r="T718">
        <v>90</v>
      </c>
      <c r="U718">
        <v>0.5</v>
      </c>
      <c r="V718" s="2">
        <v>2.0833333333333332E-2</v>
      </c>
      <c r="W718">
        <v>45</v>
      </c>
      <c r="X718">
        <v>60</v>
      </c>
      <c r="Y718">
        <v>15</v>
      </c>
      <c r="Z718" t="s">
        <v>326</v>
      </c>
      <c r="AA718" t="s">
        <v>88</v>
      </c>
      <c r="AB718" t="s">
        <v>100</v>
      </c>
      <c r="AC718" t="s">
        <v>84</v>
      </c>
      <c r="AD718" t="s">
        <v>90</v>
      </c>
    </row>
    <row r="719" spans="1:30" hidden="1">
      <c r="A719" s="1">
        <v>45616</v>
      </c>
      <c r="B719" t="s">
        <v>8</v>
      </c>
      <c r="C719" t="s">
        <v>75</v>
      </c>
      <c r="D719" t="s">
        <v>76</v>
      </c>
      <c r="E719" t="s">
        <v>91</v>
      </c>
      <c r="F719" t="s">
        <v>78</v>
      </c>
      <c r="G719" t="s">
        <v>79</v>
      </c>
      <c r="H719" t="s">
        <v>80</v>
      </c>
      <c r="I719" t="s">
        <v>81</v>
      </c>
      <c r="J719" t="s">
        <v>82</v>
      </c>
      <c r="K719" t="s">
        <v>76</v>
      </c>
      <c r="L719" t="s">
        <v>8</v>
      </c>
      <c r="M719" t="s">
        <v>83</v>
      </c>
      <c r="N719" t="s">
        <v>84</v>
      </c>
      <c r="O719" t="s">
        <v>85</v>
      </c>
      <c r="P719">
        <v>325827</v>
      </c>
      <c r="Q719" t="s">
        <v>5</v>
      </c>
      <c r="R719" t="s">
        <v>86</v>
      </c>
      <c r="S719" t="s">
        <v>87</v>
      </c>
      <c r="T719">
        <v>0</v>
      </c>
      <c r="U719">
        <v>0.5</v>
      </c>
      <c r="V719" s="2">
        <v>2.0833333333333332E-2</v>
      </c>
      <c r="W719">
        <v>0</v>
      </c>
      <c r="AA719" t="s">
        <v>88</v>
      </c>
      <c r="AB719" t="s">
        <v>100</v>
      </c>
      <c r="AC719" t="s">
        <v>84</v>
      </c>
      <c r="AD719" t="s">
        <v>90</v>
      </c>
    </row>
    <row r="720" spans="1:30" hidden="1">
      <c r="A720" s="1">
        <v>45617</v>
      </c>
      <c r="B720" t="s">
        <v>10</v>
      </c>
      <c r="C720" t="s">
        <v>92</v>
      </c>
      <c r="D720" t="s">
        <v>76</v>
      </c>
      <c r="E720" t="s">
        <v>91</v>
      </c>
      <c r="F720" t="s">
        <v>78</v>
      </c>
      <c r="G720" t="s">
        <v>79</v>
      </c>
      <c r="H720" t="s">
        <v>80</v>
      </c>
      <c r="I720" t="s">
        <v>81</v>
      </c>
      <c r="J720" t="s">
        <v>82</v>
      </c>
      <c r="K720" t="s">
        <v>76</v>
      </c>
      <c r="L720" t="s">
        <v>8</v>
      </c>
      <c r="M720" t="s">
        <v>83</v>
      </c>
      <c r="N720" t="s">
        <v>93</v>
      </c>
      <c r="O720" t="s">
        <v>85</v>
      </c>
      <c r="P720">
        <v>326345</v>
      </c>
      <c r="Q720" t="s">
        <v>4</v>
      </c>
      <c r="R720" t="s">
        <v>94</v>
      </c>
      <c r="S720" t="s">
        <v>87</v>
      </c>
      <c r="T720">
        <v>90</v>
      </c>
      <c r="U720">
        <v>0.25</v>
      </c>
      <c r="V720" s="2">
        <v>1.0416666666666666E-2</v>
      </c>
      <c r="W720">
        <v>22.5</v>
      </c>
      <c r="X720">
        <v>30</v>
      </c>
      <c r="Y720">
        <v>7.5</v>
      </c>
      <c r="Z720" t="s">
        <v>326</v>
      </c>
      <c r="AA720" t="s">
        <v>88</v>
      </c>
      <c r="AB720" t="s">
        <v>100</v>
      </c>
      <c r="AC720" t="s">
        <v>342</v>
      </c>
      <c r="AD720" t="s">
        <v>90</v>
      </c>
    </row>
    <row r="721" spans="1:30" hidden="1">
      <c r="A721" s="1">
        <v>45617</v>
      </c>
      <c r="B721" t="s">
        <v>10</v>
      </c>
      <c r="C721" t="s">
        <v>92</v>
      </c>
      <c r="D721" t="s">
        <v>76</v>
      </c>
      <c r="E721" t="s">
        <v>91</v>
      </c>
      <c r="F721" t="s">
        <v>78</v>
      </c>
      <c r="G721" t="s">
        <v>79</v>
      </c>
      <c r="H721" t="s">
        <v>80</v>
      </c>
      <c r="I721" t="s">
        <v>81</v>
      </c>
      <c r="J721" t="s">
        <v>82</v>
      </c>
      <c r="K721" t="s">
        <v>76</v>
      </c>
      <c r="L721" t="s">
        <v>8</v>
      </c>
      <c r="M721" t="s">
        <v>83</v>
      </c>
      <c r="N721" t="s">
        <v>93</v>
      </c>
      <c r="O721" t="s">
        <v>85</v>
      </c>
      <c r="P721">
        <v>326346</v>
      </c>
      <c r="Q721" t="s">
        <v>5</v>
      </c>
      <c r="R721" t="s">
        <v>86</v>
      </c>
      <c r="S721" t="s">
        <v>87</v>
      </c>
      <c r="T721">
        <v>0</v>
      </c>
      <c r="U721">
        <v>0.5</v>
      </c>
      <c r="V721" s="2">
        <v>2.0833333333333332E-2</v>
      </c>
      <c r="W721">
        <v>0</v>
      </c>
      <c r="AA721" t="s">
        <v>88</v>
      </c>
      <c r="AB721" t="s">
        <v>100</v>
      </c>
      <c r="AC721" t="s">
        <v>343</v>
      </c>
      <c r="AD721" t="s">
        <v>90</v>
      </c>
    </row>
    <row r="722" spans="1:30" hidden="1">
      <c r="A722" s="1">
        <v>45617</v>
      </c>
      <c r="B722" t="s">
        <v>12</v>
      </c>
      <c r="C722" t="s">
        <v>75</v>
      </c>
      <c r="D722" t="s">
        <v>76</v>
      </c>
      <c r="E722" t="s">
        <v>91</v>
      </c>
      <c r="F722" t="s">
        <v>78</v>
      </c>
      <c r="G722" t="s">
        <v>79</v>
      </c>
      <c r="H722" t="s">
        <v>80</v>
      </c>
      <c r="I722" t="s">
        <v>81</v>
      </c>
      <c r="J722" t="s">
        <v>82</v>
      </c>
      <c r="K722" t="s">
        <v>76</v>
      </c>
      <c r="L722" t="s">
        <v>8</v>
      </c>
      <c r="M722" t="s">
        <v>83</v>
      </c>
      <c r="N722" t="s">
        <v>84</v>
      </c>
      <c r="O722" t="s">
        <v>85</v>
      </c>
      <c r="P722">
        <v>326146</v>
      </c>
      <c r="Q722" t="s">
        <v>4</v>
      </c>
      <c r="R722" t="s">
        <v>94</v>
      </c>
      <c r="S722" t="s">
        <v>87</v>
      </c>
      <c r="T722">
        <v>90</v>
      </c>
      <c r="U722">
        <v>0.5</v>
      </c>
      <c r="V722" s="2">
        <v>2.0833333333333332E-2</v>
      </c>
      <c r="W722">
        <v>45</v>
      </c>
      <c r="X722">
        <v>60</v>
      </c>
      <c r="Y722">
        <v>15</v>
      </c>
      <c r="Z722" t="s">
        <v>326</v>
      </c>
      <c r="AA722" t="s">
        <v>88</v>
      </c>
      <c r="AB722" t="s">
        <v>100</v>
      </c>
      <c r="AC722" t="s">
        <v>84</v>
      </c>
      <c r="AD722" t="s">
        <v>90</v>
      </c>
    </row>
    <row r="723" spans="1:30" hidden="1">
      <c r="A723" s="1">
        <v>45617</v>
      </c>
      <c r="B723" t="s">
        <v>8</v>
      </c>
      <c r="C723" t="s">
        <v>75</v>
      </c>
      <c r="D723" t="s">
        <v>76</v>
      </c>
      <c r="E723" t="s">
        <v>91</v>
      </c>
      <c r="F723" t="s">
        <v>78</v>
      </c>
      <c r="G723" t="s">
        <v>79</v>
      </c>
      <c r="H723" t="s">
        <v>80</v>
      </c>
      <c r="I723" t="s">
        <v>81</v>
      </c>
      <c r="J723" t="s">
        <v>82</v>
      </c>
      <c r="K723" t="s">
        <v>76</v>
      </c>
      <c r="L723" t="s">
        <v>8</v>
      </c>
      <c r="M723" t="s">
        <v>83</v>
      </c>
      <c r="N723" t="s">
        <v>84</v>
      </c>
      <c r="O723" t="s">
        <v>85</v>
      </c>
      <c r="P723">
        <v>326252</v>
      </c>
      <c r="Q723" t="s">
        <v>5</v>
      </c>
      <c r="R723" t="s">
        <v>86</v>
      </c>
      <c r="S723" t="s">
        <v>87</v>
      </c>
      <c r="T723">
        <v>0</v>
      </c>
      <c r="U723">
        <v>0.5</v>
      </c>
      <c r="V723" s="2">
        <v>2.0833333333333332E-2</v>
      </c>
      <c r="W723">
        <v>0</v>
      </c>
      <c r="AA723" t="s">
        <v>88</v>
      </c>
      <c r="AB723" t="s">
        <v>100</v>
      </c>
      <c r="AC723" t="s">
        <v>84</v>
      </c>
      <c r="AD723" t="s">
        <v>90</v>
      </c>
    </row>
    <row r="724" spans="1:30" hidden="1">
      <c r="A724" s="1">
        <v>45618</v>
      </c>
      <c r="B724" t="s">
        <v>12</v>
      </c>
      <c r="C724" t="s">
        <v>75</v>
      </c>
      <c r="D724" t="s">
        <v>76</v>
      </c>
      <c r="E724" t="s">
        <v>91</v>
      </c>
      <c r="F724" t="s">
        <v>78</v>
      </c>
      <c r="G724" t="s">
        <v>79</v>
      </c>
      <c r="H724" t="s">
        <v>80</v>
      </c>
      <c r="I724" t="s">
        <v>81</v>
      </c>
      <c r="J724" t="s">
        <v>82</v>
      </c>
      <c r="K724" t="s">
        <v>76</v>
      </c>
      <c r="L724" t="s">
        <v>8</v>
      </c>
      <c r="M724" t="s">
        <v>83</v>
      </c>
      <c r="N724" t="s">
        <v>84</v>
      </c>
      <c r="O724" t="s">
        <v>85</v>
      </c>
      <c r="P724">
        <v>326818</v>
      </c>
      <c r="Q724" t="s">
        <v>5</v>
      </c>
      <c r="R724" t="s">
        <v>86</v>
      </c>
      <c r="S724" t="s">
        <v>87</v>
      </c>
      <c r="T724">
        <v>0</v>
      </c>
      <c r="U724">
        <v>0.25</v>
      </c>
      <c r="V724" s="2">
        <v>1.0416666666666666E-2</v>
      </c>
      <c r="W724">
        <v>0</v>
      </c>
      <c r="AA724" t="s">
        <v>88</v>
      </c>
      <c r="AB724" t="s">
        <v>100</v>
      </c>
      <c r="AC724" t="s">
        <v>84</v>
      </c>
      <c r="AD724" t="s">
        <v>90</v>
      </c>
    </row>
    <row r="725" spans="1:30" hidden="1">
      <c r="A725" s="1">
        <v>45618</v>
      </c>
      <c r="B725" t="s">
        <v>8</v>
      </c>
      <c r="C725" t="s">
        <v>75</v>
      </c>
      <c r="D725" t="s">
        <v>76</v>
      </c>
      <c r="E725" t="s">
        <v>91</v>
      </c>
      <c r="F725" t="s">
        <v>78</v>
      </c>
      <c r="G725" t="s">
        <v>79</v>
      </c>
      <c r="H725" t="s">
        <v>80</v>
      </c>
      <c r="I725" t="s">
        <v>81</v>
      </c>
      <c r="J725" t="s">
        <v>82</v>
      </c>
      <c r="K725" t="s">
        <v>76</v>
      </c>
      <c r="L725" t="s">
        <v>8</v>
      </c>
      <c r="M725" t="s">
        <v>83</v>
      </c>
      <c r="N725" t="s">
        <v>84</v>
      </c>
      <c r="O725" t="s">
        <v>85</v>
      </c>
      <c r="P725">
        <v>327245</v>
      </c>
      <c r="Q725" t="s">
        <v>5</v>
      </c>
      <c r="R725" t="s">
        <v>86</v>
      </c>
      <c r="S725" t="s">
        <v>87</v>
      </c>
      <c r="T725">
        <v>0</v>
      </c>
      <c r="U725">
        <v>0.5</v>
      </c>
      <c r="V725" s="2">
        <v>2.0833333333333332E-2</v>
      </c>
      <c r="W725">
        <v>0</v>
      </c>
      <c r="AA725" t="s">
        <v>88</v>
      </c>
      <c r="AB725" t="s">
        <v>100</v>
      </c>
      <c r="AC725" t="s">
        <v>84</v>
      </c>
      <c r="AD725" t="s">
        <v>90</v>
      </c>
    </row>
    <row r="726" spans="1:30" hidden="1">
      <c r="A726" s="1">
        <v>45621</v>
      </c>
      <c r="B726" t="s">
        <v>10</v>
      </c>
      <c r="C726" t="s">
        <v>92</v>
      </c>
      <c r="D726" t="s">
        <v>76</v>
      </c>
      <c r="E726" t="s">
        <v>91</v>
      </c>
      <c r="F726" t="s">
        <v>78</v>
      </c>
      <c r="G726" t="s">
        <v>79</v>
      </c>
      <c r="H726" t="s">
        <v>80</v>
      </c>
      <c r="I726" t="s">
        <v>81</v>
      </c>
      <c r="J726" t="s">
        <v>82</v>
      </c>
      <c r="K726" t="s">
        <v>76</v>
      </c>
      <c r="L726" t="s">
        <v>8</v>
      </c>
      <c r="M726" t="s">
        <v>83</v>
      </c>
      <c r="N726" t="s">
        <v>93</v>
      </c>
      <c r="O726" t="s">
        <v>85</v>
      </c>
      <c r="P726">
        <v>327651</v>
      </c>
      <c r="Q726" t="s">
        <v>4</v>
      </c>
      <c r="R726" t="s">
        <v>94</v>
      </c>
      <c r="S726" t="s">
        <v>87</v>
      </c>
      <c r="T726">
        <v>90</v>
      </c>
      <c r="U726">
        <v>4</v>
      </c>
      <c r="V726" s="2">
        <v>0.16666666666666666</v>
      </c>
      <c r="W726">
        <v>360</v>
      </c>
      <c r="X726">
        <v>480</v>
      </c>
      <c r="Y726">
        <v>120</v>
      </c>
      <c r="Z726" t="s">
        <v>326</v>
      </c>
      <c r="AA726" t="s">
        <v>88</v>
      </c>
      <c r="AB726" t="s">
        <v>100</v>
      </c>
      <c r="AC726" t="s">
        <v>344</v>
      </c>
      <c r="AD726" t="s">
        <v>90</v>
      </c>
    </row>
    <row r="727" spans="1:30" hidden="1">
      <c r="A727" s="1">
        <v>45621</v>
      </c>
      <c r="B727" t="s">
        <v>10</v>
      </c>
      <c r="C727" t="s">
        <v>92</v>
      </c>
      <c r="D727" t="s">
        <v>76</v>
      </c>
      <c r="E727" t="s">
        <v>91</v>
      </c>
      <c r="F727" t="s">
        <v>78</v>
      </c>
      <c r="G727" t="s">
        <v>79</v>
      </c>
      <c r="H727" t="s">
        <v>80</v>
      </c>
      <c r="I727" t="s">
        <v>81</v>
      </c>
      <c r="J727" t="s">
        <v>82</v>
      </c>
      <c r="K727" t="s">
        <v>76</v>
      </c>
      <c r="L727" t="s">
        <v>8</v>
      </c>
      <c r="M727" t="s">
        <v>83</v>
      </c>
      <c r="N727" t="s">
        <v>93</v>
      </c>
      <c r="O727" t="s">
        <v>85</v>
      </c>
      <c r="P727">
        <v>327652</v>
      </c>
      <c r="Q727" t="s">
        <v>5</v>
      </c>
      <c r="R727" t="s">
        <v>86</v>
      </c>
      <c r="S727" t="s">
        <v>87</v>
      </c>
      <c r="T727">
        <v>0</v>
      </c>
      <c r="U727">
        <v>1</v>
      </c>
      <c r="V727" s="2">
        <v>4.1666666666666664E-2</v>
      </c>
      <c r="W727">
        <v>0</v>
      </c>
      <c r="AA727" t="s">
        <v>88</v>
      </c>
      <c r="AB727" t="s">
        <v>100</v>
      </c>
      <c r="AC727" t="s">
        <v>345</v>
      </c>
      <c r="AD727" t="s">
        <v>90</v>
      </c>
    </row>
    <row r="728" spans="1:30" hidden="1">
      <c r="A728" s="1">
        <v>45621</v>
      </c>
      <c r="B728" t="s">
        <v>14</v>
      </c>
      <c r="C728" t="s">
        <v>75</v>
      </c>
      <c r="D728" t="s">
        <v>76</v>
      </c>
      <c r="E728" t="s">
        <v>77</v>
      </c>
      <c r="F728" t="s">
        <v>78</v>
      </c>
      <c r="G728" t="s">
        <v>79</v>
      </c>
      <c r="H728" t="s">
        <v>80</v>
      </c>
      <c r="I728" t="s">
        <v>81</v>
      </c>
      <c r="J728" t="s">
        <v>82</v>
      </c>
      <c r="K728" t="s">
        <v>76</v>
      </c>
      <c r="L728" t="s">
        <v>8</v>
      </c>
      <c r="M728" t="s">
        <v>83</v>
      </c>
      <c r="N728" t="s">
        <v>84</v>
      </c>
      <c r="O728" t="s">
        <v>85</v>
      </c>
      <c r="P728">
        <v>327720</v>
      </c>
      <c r="Q728" t="s">
        <v>5</v>
      </c>
      <c r="R728" t="s">
        <v>86</v>
      </c>
      <c r="S728" t="s">
        <v>87</v>
      </c>
      <c r="T728">
        <v>0</v>
      </c>
      <c r="U728">
        <v>0.25</v>
      </c>
      <c r="V728" s="2">
        <v>1.0416666666666666E-2</v>
      </c>
      <c r="W728">
        <v>0</v>
      </c>
      <c r="AA728" t="s">
        <v>88</v>
      </c>
      <c r="AB728" t="s">
        <v>100</v>
      </c>
      <c r="AC728" t="s">
        <v>96</v>
      </c>
      <c r="AD728" t="s">
        <v>90</v>
      </c>
    </row>
    <row r="729" spans="1:30" hidden="1">
      <c r="A729" s="1">
        <v>45621</v>
      </c>
      <c r="B729" t="s">
        <v>16</v>
      </c>
      <c r="C729" t="s">
        <v>75</v>
      </c>
      <c r="D729" t="s">
        <v>76</v>
      </c>
      <c r="E729" t="s">
        <v>91</v>
      </c>
      <c r="F729" t="s">
        <v>78</v>
      </c>
      <c r="G729" t="s">
        <v>79</v>
      </c>
      <c r="H729" t="s">
        <v>80</v>
      </c>
      <c r="I729" t="s">
        <v>81</v>
      </c>
      <c r="J729" t="s">
        <v>82</v>
      </c>
      <c r="K729" t="s">
        <v>76</v>
      </c>
      <c r="L729" t="s">
        <v>8</v>
      </c>
      <c r="M729" t="s">
        <v>83</v>
      </c>
      <c r="N729" t="s">
        <v>93</v>
      </c>
      <c r="O729" t="s">
        <v>85</v>
      </c>
      <c r="P729">
        <v>327417</v>
      </c>
      <c r="Q729" t="s">
        <v>5</v>
      </c>
      <c r="R729" t="s">
        <v>86</v>
      </c>
      <c r="S729" t="s">
        <v>87</v>
      </c>
      <c r="T729">
        <v>0</v>
      </c>
      <c r="U729">
        <v>0.5</v>
      </c>
      <c r="V729" s="2">
        <v>2.0833333333333332E-2</v>
      </c>
      <c r="W729">
        <v>0</v>
      </c>
      <c r="AA729" t="s">
        <v>88</v>
      </c>
      <c r="AB729" t="s">
        <v>100</v>
      </c>
      <c r="AC729" t="s">
        <v>84</v>
      </c>
      <c r="AD729" t="s">
        <v>90</v>
      </c>
    </row>
    <row r="730" spans="1:30" hidden="1">
      <c r="A730" s="1">
        <v>45621</v>
      </c>
      <c r="B730" t="s">
        <v>8</v>
      </c>
      <c r="C730" t="s">
        <v>75</v>
      </c>
      <c r="D730" t="s">
        <v>76</v>
      </c>
      <c r="E730" t="s">
        <v>91</v>
      </c>
      <c r="F730" t="s">
        <v>78</v>
      </c>
      <c r="G730" t="s">
        <v>79</v>
      </c>
      <c r="H730" t="s">
        <v>80</v>
      </c>
      <c r="I730" t="s">
        <v>81</v>
      </c>
      <c r="J730" t="s">
        <v>82</v>
      </c>
      <c r="K730" t="s">
        <v>76</v>
      </c>
      <c r="L730" t="s">
        <v>8</v>
      </c>
      <c r="M730" t="s">
        <v>83</v>
      </c>
      <c r="N730" t="s">
        <v>84</v>
      </c>
      <c r="O730" t="s">
        <v>85</v>
      </c>
      <c r="P730">
        <v>327239</v>
      </c>
      <c r="Q730" t="s">
        <v>4</v>
      </c>
      <c r="R730" t="s">
        <v>94</v>
      </c>
      <c r="S730" t="s">
        <v>87</v>
      </c>
      <c r="T730">
        <v>90</v>
      </c>
      <c r="U730">
        <v>0.5</v>
      </c>
      <c r="V730" s="2">
        <v>2.0833333333333332E-2</v>
      </c>
      <c r="W730">
        <v>45</v>
      </c>
      <c r="X730">
        <v>60</v>
      </c>
      <c r="Y730">
        <v>15</v>
      </c>
      <c r="Z730" t="s">
        <v>326</v>
      </c>
      <c r="AA730" t="s">
        <v>88</v>
      </c>
      <c r="AB730" t="s">
        <v>100</v>
      </c>
      <c r="AC730" t="s">
        <v>84</v>
      </c>
      <c r="AD730" t="s">
        <v>90</v>
      </c>
    </row>
    <row r="731" spans="1:30" hidden="1">
      <c r="A731" s="1">
        <v>45623</v>
      </c>
      <c r="B731" t="s">
        <v>10</v>
      </c>
      <c r="C731" t="s">
        <v>92</v>
      </c>
      <c r="D731" t="s">
        <v>76</v>
      </c>
      <c r="E731" t="s">
        <v>91</v>
      </c>
      <c r="F731" t="s">
        <v>78</v>
      </c>
      <c r="G731" t="s">
        <v>79</v>
      </c>
      <c r="H731" t="s">
        <v>80</v>
      </c>
      <c r="I731" t="s">
        <v>81</v>
      </c>
      <c r="J731" t="s">
        <v>82</v>
      </c>
      <c r="K731" t="s">
        <v>76</v>
      </c>
      <c r="L731" t="s">
        <v>8</v>
      </c>
      <c r="M731" t="s">
        <v>83</v>
      </c>
      <c r="N731" t="s">
        <v>93</v>
      </c>
      <c r="O731" t="s">
        <v>85</v>
      </c>
      <c r="P731">
        <v>328433</v>
      </c>
      <c r="Q731" t="s">
        <v>4</v>
      </c>
      <c r="R731" t="s">
        <v>94</v>
      </c>
      <c r="S731" t="s">
        <v>87</v>
      </c>
      <c r="T731">
        <v>90</v>
      </c>
      <c r="U731">
        <v>1</v>
      </c>
      <c r="V731" s="2">
        <v>4.1666666666666664E-2</v>
      </c>
      <c r="W731">
        <v>90</v>
      </c>
      <c r="X731">
        <v>120</v>
      </c>
      <c r="Y731">
        <v>30</v>
      </c>
      <c r="Z731" t="s">
        <v>326</v>
      </c>
      <c r="AA731" t="s">
        <v>88</v>
      </c>
      <c r="AB731" t="s">
        <v>100</v>
      </c>
      <c r="AC731" t="s">
        <v>346</v>
      </c>
      <c r="AD731" t="s">
        <v>90</v>
      </c>
    </row>
    <row r="732" spans="1:30" hidden="1">
      <c r="A732" s="1">
        <v>45623</v>
      </c>
      <c r="B732" t="s">
        <v>10</v>
      </c>
      <c r="C732" t="s">
        <v>92</v>
      </c>
      <c r="D732" t="s">
        <v>76</v>
      </c>
      <c r="E732" t="s">
        <v>91</v>
      </c>
      <c r="F732" t="s">
        <v>78</v>
      </c>
      <c r="G732" t="s">
        <v>79</v>
      </c>
      <c r="H732" t="s">
        <v>80</v>
      </c>
      <c r="I732" t="s">
        <v>81</v>
      </c>
      <c r="J732" t="s">
        <v>82</v>
      </c>
      <c r="K732" t="s">
        <v>76</v>
      </c>
      <c r="L732" t="s">
        <v>8</v>
      </c>
      <c r="M732" t="s">
        <v>83</v>
      </c>
      <c r="N732" t="s">
        <v>93</v>
      </c>
      <c r="O732" t="s">
        <v>85</v>
      </c>
      <c r="P732">
        <v>328432</v>
      </c>
      <c r="Q732" t="s">
        <v>5</v>
      </c>
      <c r="R732" t="s">
        <v>86</v>
      </c>
      <c r="S732" t="s">
        <v>87</v>
      </c>
      <c r="T732">
        <v>0</v>
      </c>
      <c r="U732">
        <v>0.25</v>
      </c>
      <c r="V732" s="2">
        <v>1.0416666666666666E-2</v>
      </c>
      <c r="W732">
        <v>0</v>
      </c>
      <c r="AA732" t="s">
        <v>88</v>
      </c>
      <c r="AB732" t="s">
        <v>100</v>
      </c>
      <c r="AC732" t="s">
        <v>347</v>
      </c>
      <c r="AD732" t="s">
        <v>90</v>
      </c>
    </row>
    <row r="733" spans="1:30" hidden="1">
      <c r="A733" s="1">
        <v>45623</v>
      </c>
      <c r="B733" t="s">
        <v>12</v>
      </c>
      <c r="C733" t="s">
        <v>75</v>
      </c>
      <c r="D733" t="s">
        <v>76</v>
      </c>
      <c r="E733" t="s">
        <v>91</v>
      </c>
      <c r="F733" t="s">
        <v>78</v>
      </c>
      <c r="G733" t="s">
        <v>79</v>
      </c>
      <c r="H733" t="s">
        <v>80</v>
      </c>
      <c r="I733" t="s">
        <v>81</v>
      </c>
      <c r="J733" t="s">
        <v>82</v>
      </c>
      <c r="K733" t="s">
        <v>76</v>
      </c>
      <c r="L733" t="s">
        <v>8</v>
      </c>
      <c r="M733" t="s">
        <v>83</v>
      </c>
      <c r="N733" t="s">
        <v>84</v>
      </c>
      <c r="O733" t="s">
        <v>85</v>
      </c>
      <c r="P733">
        <v>329431</v>
      </c>
      <c r="Q733" t="s">
        <v>5</v>
      </c>
      <c r="R733" t="s">
        <v>86</v>
      </c>
      <c r="S733" t="s">
        <v>87</v>
      </c>
      <c r="T733">
        <v>0</v>
      </c>
      <c r="U733">
        <v>0.25</v>
      </c>
      <c r="V733" s="2">
        <v>1.0416666666666666E-2</v>
      </c>
      <c r="W733">
        <v>0</v>
      </c>
      <c r="AA733" t="s">
        <v>88</v>
      </c>
      <c r="AB733" t="s">
        <v>100</v>
      </c>
      <c r="AC733" t="s">
        <v>84</v>
      </c>
      <c r="AD733" t="s">
        <v>90</v>
      </c>
    </row>
    <row r="734" spans="1:30" hidden="1">
      <c r="A734" s="1">
        <v>45624</v>
      </c>
      <c r="B734" t="s">
        <v>12</v>
      </c>
      <c r="C734" t="s">
        <v>75</v>
      </c>
      <c r="D734" t="s">
        <v>76</v>
      </c>
      <c r="E734" t="s">
        <v>91</v>
      </c>
      <c r="F734" t="s">
        <v>78</v>
      </c>
      <c r="G734" t="s">
        <v>79</v>
      </c>
      <c r="H734" t="s">
        <v>80</v>
      </c>
      <c r="I734" t="s">
        <v>81</v>
      </c>
      <c r="J734" t="s">
        <v>82</v>
      </c>
      <c r="K734" t="s">
        <v>76</v>
      </c>
      <c r="L734" t="s">
        <v>8</v>
      </c>
      <c r="M734" t="s">
        <v>83</v>
      </c>
      <c r="N734" t="s">
        <v>84</v>
      </c>
      <c r="O734" t="s">
        <v>85</v>
      </c>
      <c r="P734">
        <v>329434</v>
      </c>
      <c r="Q734" t="s">
        <v>5</v>
      </c>
      <c r="R734" t="s">
        <v>86</v>
      </c>
      <c r="S734" t="s">
        <v>87</v>
      </c>
      <c r="T734">
        <v>0</v>
      </c>
      <c r="U734">
        <v>0.25</v>
      </c>
      <c r="V734" s="2">
        <v>1.0416666666666666E-2</v>
      </c>
      <c r="W734">
        <v>0</v>
      </c>
      <c r="AA734" t="s">
        <v>88</v>
      </c>
      <c r="AB734" t="s">
        <v>100</v>
      </c>
      <c r="AC734" t="s">
        <v>84</v>
      </c>
      <c r="AD734" t="s">
        <v>90</v>
      </c>
    </row>
    <row r="735" spans="1:30" hidden="1">
      <c r="A735" s="1">
        <v>45625</v>
      </c>
      <c r="B735" t="s">
        <v>12</v>
      </c>
      <c r="C735" t="s">
        <v>75</v>
      </c>
      <c r="D735" t="s">
        <v>76</v>
      </c>
      <c r="E735" t="s">
        <v>91</v>
      </c>
      <c r="F735" t="s">
        <v>78</v>
      </c>
      <c r="G735" t="s">
        <v>79</v>
      </c>
      <c r="H735" t="s">
        <v>80</v>
      </c>
      <c r="I735" t="s">
        <v>81</v>
      </c>
      <c r="J735" t="s">
        <v>82</v>
      </c>
      <c r="K735" t="s">
        <v>76</v>
      </c>
      <c r="L735" t="s">
        <v>8</v>
      </c>
      <c r="M735" t="s">
        <v>83</v>
      </c>
      <c r="N735" t="s">
        <v>84</v>
      </c>
      <c r="O735" t="s">
        <v>85</v>
      </c>
      <c r="P735">
        <v>330293</v>
      </c>
      <c r="Q735" t="s">
        <v>4</v>
      </c>
      <c r="R735" t="s">
        <v>94</v>
      </c>
      <c r="S735" t="s">
        <v>87</v>
      </c>
      <c r="T735">
        <v>90</v>
      </c>
      <c r="U735">
        <v>2</v>
      </c>
      <c r="V735" s="2">
        <v>8.3333333333333329E-2</v>
      </c>
      <c r="W735">
        <v>180</v>
      </c>
      <c r="X735">
        <v>240</v>
      </c>
      <c r="Y735">
        <v>60</v>
      </c>
      <c r="Z735" t="s">
        <v>326</v>
      </c>
      <c r="AA735" t="s">
        <v>88</v>
      </c>
      <c r="AB735" t="s">
        <v>100</v>
      </c>
      <c r="AC735" t="s">
        <v>84</v>
      </c>
      <c r="AD735" t="s">
        <v>90</v>
      </c>
    </row>
    <row r="736" spans="1:30">
      <c r="A736" s="1">
        <v>45628</v>
      </c>
      <c r="B736" t="s">
        <v>14</v>
      </c>
      <c r="C736" t="s">
        <v>75</v>
      </c>
      <c r="D736" t="s">
        <v>76</v>
      </c>
      <c r="E736" t="s">
        <v>77</v>
      </c>
      <c r="F736" t="s">
        <v>78</v>
      </c>
      <c r="G736" t="s">
        <v>79</v>
      </c>
      <c r="H736" t="s">
        <v>80</v>
      </c>
      <c r="I736" t="s">
        <v>81</v>
      </c>
      <c r="J736" t="s">
        <v>82</v>
      </c>
      <c r="K736" t="s">
        <v>76</v>
      </c>
      <c r="L736" t="s">
        <v>8</v>
      </c>
      <c r="M736" t="s">
        <v>83</v>
      </c>
      <c r="N736" t="s">
        <v>84</v>
      </c>
      <c r="O736" t="s">
        <v>85</v>
      </c>
      <c r="P736">
        <v>330793</v>
      </c>
      <c r="Q736" t="s">
        <v>5</v>
      </c>
      <c r="R736" t="s">
        <v>86</v>
      </c>
      <c r="S736" t="s">
        <v>87</v>
      </c>
      <c r="T736">
        <v>0</v>
      </c>
      <c r="U736">
        <v>0.25</v>
      </c>
      <c r="V736" s="2">
        <v>1.0416666666666666E-2</v>
      </c>
      <c r="W736">
        <v>0</v>
      </c>
      <c r="AA736" t="s">
        <v>88</v>
      </c>
      <c r="AC736" t="s">
        <v>89</v>
      </c>
      <c r="AD736" t="s">
        <v>90</v>
      </c>
    </row>
    <row r="737" spans="1:30">
      <c r="A737" s="1">
        <v>45628</v>
      </c>
      <c r="B737" t="s">
        <v>12</v>
      </c>
      <c r="C737" t="s">
        <v>75</v>
      </c>
      <c r="D737" t="s">
        <v>76</v>
      </c>
      <c r="E737" t="s">
        <v>91</v>
      </c>
      <c r="F737" t="s">
        <v>78</v>
      </c>
      <c r="G737" t="s">
        <v>79</v>
      </c>
      <c r="H737" t="s">
        <v>80</v>
      </c>
      <c r="I737" t="s">
        <v>81</v>
      </c>
      <c r="J737" t="s">
        <v>82</v>
      </c>
      <c r="K737" t="s">
        <v>76</v>
      </c>
      <c r="L737" t="s">
        <v>8</v>
      </c>
      <c r="M737" t="s">
        <v>83</v>
      </c>
      <c r="N737" t="s">
        <v>84</v>
      </c>
      <c r="O737" t="s">
        <v>85</v>
      </c>
      <c r="P737">
        <v>331468</v>
      </c>
      <c r="Q737" t="s">
        <v>5</v>
      </c>
      <c r="R737" t="s">
        <v>86</v>
      </c>
      <c r="S737" t="s">
        <v>87</v>
      </c>
      <c r="T737">
        <v>0</v>
      </c>
      <c r="U737">
        <v>0.25</v>
      </c>
      <c r="V737" s="2">
        <v>1.0416666666666666E-2</v>
      </c>
      <c r="W737">
        <v>0</v>
      </c>
      <c r="AA737" t="s">
        <v>88</v>
      </c>
      <c r="AC737" t="s">
        <v>84</v>
      </c>
      <c r="AD737" t="s">
        <v>90</v>
      </c>
    </row>
    <row r="738" spans="1:30">
      <c r="A738" s="1">
        <v>45628</v>
      </c>
      <c r="B738" t="s">
        <v>8</v>
      </c>
      <c r="C738" t="s">
        <v>75</v>
      </c>
      <c r="D738" t="s">
        <v>76</v>
      </c>
      <c r="E738" t="s">
        <v>91</v>
      </c>
      <c r="F738" t="s">
        <v>78</v>
      </c>
      <c r="G738" t="s">
        <v>79</v>
      </c>
      <c r="H738" t="s">
        <v>80</v>
      </c>
      <c r="I738" t="s">
        <v>81</v>
      </c>
      <c r="J738" t="s">
        <v>82</v>
      </c>
      <c r="K738" t="s">
        <v>76</v>
      </c>
      <c r="L738" t="s">
        <v>8</v>
      </c>
      <c r="M738" t="s">
        <v>83</v>
      </c>
      <c r="N738" t="s">
        <v>84</v>
      </c>
      <c r="O738" t="s">
        <v>85</v>
      </c>
      <c r="P738">
        <v>331082</v>
      </c>
      <c r="Q738" t="s">
        <v>5</v>
      </c>
      <c r="R738" t="s">
        <v>86</v>
      </c>
      <c r="S738" t="s">
        <v>87</v>
      </c>
      <c r="T738">
        <v>0</v>
      </c>
      <c r="U738">
        <v>0.25</v>
      </c>
      <c r="V738" s="2">
        <v>1.0416666666666666E-2</v>
      </c>
      <c r="W738">
        <v>0</v>
      </c>
      <c r="AA738" t="s">
        <v>88</v>
      </c>
      <c r="AC738" t="s">
        <v>84</v>
      </c>
      <c r="AD738" t="s">
        <v>90</v>
      </c>
    </row>
    <row r="739" spans="1:30">
      <c r="A739" s="1">
        <v>45629</v>
      </c>
      <c r="B739" t="s">
        <v>8</v>
      </c>
      <c r="C739" t="s">
        <v>75</v>
      </c>
      <c r="D739" t="s">
        <v>76</v>
      </c>
      <c r="E739" t="s">
        <v>91</v>
      </c>
      <c r="F739" t="s">
        <v>78</v>
      </c>
      <c r="G739" t="s">
        <v>79</v>
      </c>
      <c r="H739" t="s">
        <v>80</v>
      </c>
      <c r="I739" t="s">
        <v>81</v>
      </c>
      <c r="J739" t="s">
        <v>82</v>
      </c>
      <c r="K739" t="s">
        <v>76</v>
      </c>
      <c r="L739" t="s">
        <v>8</v>
      </c>
      <c r="M739" t="s">
        <v>83</v>
      </c>
      <c r="N739" t="s">
        <v>84</v>
      </c>
      <c r="O739" t="s">
        <v>85</v>
      </c>
      <c r="P739">
        <v>331094</v>
      </c>
      <c r="Q739" t="s">
        <v>5</v>
      </c>
      <c r="R739" t="s">
        <v>86</v>
      </c>
      <c r="S739" t="s">
        <v>87</v>
      </c>
      <c r="T739">
        <v>0</v>
      </c>
      <c r="U739">
        <v>0.25</v>
      </c>
      <c r="V739" s="2">
        <v>1.0416666666666666E-2</v>
      </c>
      <c r="W739">
        <v>0</v>
      </c>
      <c r="AA739" t="s">
        <v>88</v>
      </c>
      <c r="AC739" t="s">
        <v>84</v>
      </c>
      <c r="AD739" t="s">
        <v>90</v>
      </c>
    </row>
    <row r="740" spans="1:30">
      <c r="A740" s="1">
        <v>45630</v>
      </c>
      <c r="B740" t="s">
        <v>12</v>
      </c>
      <c r="C740" t="s">
        <v>75</v>
      </c>
      <c r="D740" t="s">
        <v>76</v>
      </c>
      <c r="E740" t="s">
        <v>91</v>
      </c>
      <c r="F740" t="s">
        <v>78</v>
      </c>
      <c r="G740" t="s">
        <v>79</v>
      </c>
      <c r="H740" t="s">
        <v>80</v>
      </c>
      <c r="I740" t="s">
        <v>81</v>
      </c>
      <c r="J740" t="s">
        <v>82</v>
      </c>
      <c r="K740" t="s">
        <v>76</v>
      </c>
      <c r="L740" t="s">
        <v>8</v>
      </c>
      <c r="M740" t="s">
        <v>83</v>
      </c>
      <c r="N740" t="s">
        <v>84</v>
      </c>
      <c r="O740" t="s">
        <v>85</v>
      </c>
      <c r="P740">
        <v>331476</v>
      </c>
      <c r="Q740" t="s">
        <v>5</v>
      </c>
      <c r="R740" t="s">
        <v>86</v>
      </c>
      <c r="S740" t="s">
        <v>87</v>
      </c>
      <c r="T740">
        <v>0</v>
      </c>
      <c r="U740">
        <v>0.25</v>
      </c>
      <c r="V740" s="2">
        <v>1.0416666666666666E-2</v>
      </c>
      <c r="W740">
        <v>0</v>
      </c>
      <c r="AA740" t="s">
        <v>88</v>
      </c>
      <c r="AC740" t="s">
        <v>84</v>
      </c>
      <c r="AD740" t="s">
        <v>90</v>
      </c>
    </row>
    <row r="741" spans="1:30">
      <c r="A741" s="1">
        <v>45630</v>
      </c>
      <c r="B741" t="s">
        <v>8</v>
      </c>
      <c r="C741" t="s">
        <v>75</v>
      </c>
      <c r="D741" t="s">
        <v>76</v>
      </c>
      <c r="E741" t="s">
        <v>91</v>
      </c>
      <c r="F741" t="s">
        <v>78</v>
      </c>
      <c r="G741" t="s">
        <v>79</v>
      </c>
      <c r="H741" t="s">
        <v>80</v>
      </c>
      <c r="I741" t="s">
        <v>81</v>
      </c>
      <c r="J741" t="s">
        <v>82</v>
      </c>
      <c r="K741" t="s">
        <v>76</v>
      </c>
      <c r="L741" t="s">
        <v>8</v>
      </c>
      <c r="M741" t="s">
        <v>83</v>
      </c>
      <c r="N741" t="s">
        <v>84</v>
      </c>
      <c r="O741" t="s">
        <v>85</v>
      </c>
      <c r="P741">
        <v>331748</v>
      </c>
      <c r="Q741" t="s">
        <v>5</v>
      </c>
      <c r="R741" t="s">
        <v>86</v>
      </c>
      <c r="S741" t="s">
        <v>87</v>
      </c>
      <c r="T741">
        <v>0</v>
      </c>
      <c r="U741">
        <v>0.25</v>
      </c>
      <c r="V741" s="2">
        <v>1.0416666666666666E-2</v>
      </c>
      <c r="W741">
        <v>0</v>
      </c>
      <c r="AA741" t="s">
        <v>88</v>
      </c>
      <c r="AC741" t="s">
        <v>84</v>
      </c>
      <c r="AD741" t="s">
        <v>90</v>
      </c>
    </row>
    <row r="742" spans="1:30">
      <c r="A742" s="1">
        <v>45631</v>
      </c>
      <c r="B742" t="s">
        <v>8</v>
      </c>
      <c r="C742" t="s">
        <v>75</v>
      </c>
      <c r="D742" t="s">
        <v>76</v>
      </c>
      <c r="E742" t="s">
        <v>91</v>
      </c>
      <c r="F742" t="s">
        <v>78</v>
      </c>
      <c r="G742" t="s">
        <v>79</v>
      </c>
      <c r="H742" t="s">
        <v>80</v>
      </c>
      <c r="I742" t="s">
        <v>81</v>
      </c>
      <c r="J742" t="s">
        <v>82</v>
      </c>
      <c r="K742" t="s">
        <v>76</v>
      </c>
      <c r="L742" t="s">
        <v>8</v>
      </c>
      <c r="M742" t="s">
        <v>83</v>
      </c>
      <c r="N742" t="s">
        <v>84</v>
      </c>
      <c r="O742" t="s">
        <v>85</v>
      </c>
      <c r="P742">
        <v>332085</v>
      </c>
      <c r="Q742" t="s">
        <v>5</v>
      </c>
      <c r="R742" t="s">
        <v>86</v>
      </c>
      <c r="S742" t="s">
        <v>87</v>
      </c>
      <c r="T742">
        <v>0</v>
      </c>
      <c r="U742">
        <v>0.5</v>
      </c>
      <c r="V742" s="2">
        <v>2.0833333333333332E-2</v>
      </c>
      <c r="W742">
        <v>0</v>
      </c>
      <c r="AA742" t="s">
        <v>88</v>
      </c>
      <c r="AC742" t="s">
        <v>84</v>
      </c>
      <c r="AD742" t="s">
        <v>90</v>
      </c>
    </row>
    <row r="743" spans="1:30">
      <c r="A743" s="1">
        <v>45635</v>
      </c>
      <c r="B743" t="s">
        <v>10</v>
      </c>
      <c r="C743" t="s">
        <v>92</v>
      </c>
      <c r="D743" t="s">
        <v>76</v>
      </c>
      <c r="E743" t="s">
        <v>91</v>
      </c>
      <c r="F743" t="s">
        <v>78</v>
      </c>
      <c r="G743" t="s">
        <v>79</v>
      </c>
      <c r="H743" t="s">
        <v>80</v>
      </c>
      <c r="I743" t="s">
        <v>81</v>
      </c>
      <c r="J743" t="s">
        <v>82</v>
      </c>
      <c r="K743" t="s">
        <v>76</v>
      </c>
      <c r="L743" t="s">
        <v>8</v>
      </c>
      <c r="M743" t="s">
        <v>83</v>
      </c>
      <c r="N743" t="s">
        <v>93</v>
      </c>
      <c r="O743" t="s">
        <v>85</v>
      </c>
      <c r="P743">
        <v>333048</v>
      </c>
      <c r="Q743" t="s">
        <v>4</v>
      </c>
      <c r="R743" t="s">
        <v>94</v>
      </c>
      <c r="S743" t="s">
        <v>87</v>
      </c>
      <c r="T743">
        <v>90</v>
      </c>
      <c r="U743">
        <v>0.75</v>
      </c>
      <c r="V743" s="2">
        <v>3.125E-2</v>
      </c>
      <c r="W743">
        <v>67.5</v>
      </c>
      <c r="AA743" t="s">
        <v>88</v>
      </c>
      <c r="AC743" t="s">
        <v>95</v>
      </c>
      <c r="AD743" t="s">
        <v>90</v>
      </c>
    </row>
    <row r="744" spans="1:30">
      <c r="A744" s="1">
        <v>45635</v>
      </c>
      <c r="B744" t="s">
        <v>8</v>
      </c>
      <c r="C744" t="s">
        <v>75</v>
      </c>
      <c r="D744" t="s">
        <v>76</v>
      </c>
      <c r="E744" t="s">
        <v>91</v>
      </c>
      <c r="F744" t="s">
        <v>78</v>
      </c>
      <c r="G744" t="s">
        <v>79</v>
      </c>
      <c r="H744" t="s">
        <v>80</v>
      </c>
      <c r="I744" t="s">
        <v>81</v>
      </c>
      <c r="J744" t="s">
        <v>82</v>
      </c>
      <c r="K744" t="s">
        <v>76</v>
      </c>
      <c r="L744" t="s">
        <v>8</v>
      </c>
      <c r="M744" t="s">
        <v>83</v>
      </c>
      <c r="N744" t="s">
        <v>84</v>
      </c>
      <c r="O744" t="s">
        <v>85</v>
      </c>
      <c r="P744">
        <v>334075</v>
      </c>
      <c r="Q744" t="s">
        <v>5</v>
      </c>
      <c r="R744" t="s">
        <v>86</v>
      </c>
      <c r="S744" t="s">
        <v>87</v>
      </c>
      <c r="T744">
        <v>0</v>
      </c>
      <c r="U744">
        <v>0.25</v>
      </c>
      <c r="V744" s="2">
        <v>1.0416666666666666E-2</v>
      </c>
      <c r="W744">
        <v>0</v>
      </c>
      <c r="AA744" t="s">
        <v>88</v>
      </c>
      <c r="AC744" t="s">
        <v>84</v>
      </c>
      <c r="AD744" t="s">
        <v>90</v>
      </c>
    </row>
    <row r="745" spans="1:30">
      <c r="A745" s="1">
        <v>45636</v>
      </c>
      <c r="B745" t="s">
        <v>14</v>
      </c>
      <c r="C745" t="s">
        <v>75</v>
      </c>
      <c r="D745" t="s">
        <v>76</v>
      </c>
      <c r="E745" t="s">
        <v>77</v>
      </c>
      <c r="F745" t="s">
        <v>78</v>
      </c>
      <c r="G745" t="s">
        <v>79</v>
      </c>
      <c r="H745" t="s">
        <v>80</v>
      </c>
      <c r="I745" t="s">
        <v>81</v>
      </c>
      <c r="J745" t="s">
        <v>82</v>
      </c>
      <c r="K745" t="s">
        <v>76</v>
      </c>
      <c r="L745" t="s">
        <v>8</v>
      </c>
      <c r="M745" t="s">
        <v>83</v>
      </c>
      <c r="N745" t="s">
        <v>84</v>
      </c>
      <c r="O745" t="s">
        <v>85</v>
      </c>
      <c r="P745">
        <v>333712</v>
      </c>
      <c r="Q745" t="s">
        <v>5</v>
      </c>
      <c r="R745" t="s">
        <v>86</v>
      </c>
      <c r="S745" t="s">
        <v>87</v>
      </c>
      <c r="T745">
        <v>0</v>
      </c>
      <c r="U745">
        <v>0.25</v>
      </c>
      <c r="V745" s="2">
        <v>1.0416666666666666E-2</v>
      </c>
      <c r="W745">
        <v>0</v>
      </c>
      <c r="AA745" t="s">
        <v>88</v>
      </c>
      <c r="AC745" t="s">
        <v>96</v>
      </c>
      <c r="AD745" t="s">
        <v>90</v>
      </c>
    </row>
    <row r="746" spans="1:30">
      <c r="A746" s="1">
        <v>45637</v>
      </c>
      <c r="B746" t="s">
        <v>10</v>
      </c>
      <c r="C746" t="s">
        <v>92</v>
      </c>
      <c r="D746" t="s">
        <v>76</v>
      </c>
      <c r="E746" t="s">
        <v>91</v>
      </c>
      <c r="F746" t="s">
        <v>78</v>
      </c>
      <c r="G746" t="s">
        <v>79</v>
      </c>
      <c r="H746" t="s">
        <v>80</v>
      </c>
      <c r="I746" t="s">
        <v>81</v>
      </c>
      <c r="J746" t="s">
        <v>82</v>
      </c>
      <c r="K746" t="s">
        <v>76</v>
      </c>
      <c r="L746" t="s">
        <v>8</v>
      </c>
      <c r="M746" t="s">
        <v>83</v>
      </c>
      <c r="N746" t="s">
        <v>93</v>
      </c>
      <c r="O746" t="s">
        <v>85</v>
      </c>
      <c r="P746">
        <v>334048</v>
      </c>
      <c r="Q746" t="s">
        <v>5</v>
      </c>
      <c r="R746" t="s">
        <v>86</v>
      </c>
      <c r="S746" t="s">
        <v>87</v>
      </c>
      <c r="T746">
        <v>0</v>
      </c>
      <c r="U746">
        <v>3</v>
      </c>
      <c r="V746" s="2">
        <v>0.125</v>
      </c>
      <c r="W746">
        <v>0</v>
      </c>
      <c r="AA746" t="s">
        <v>88</v>
      </c>
      <c r="AC746" t="s">
        <v>97</v>
      </c>
      <c r="AD746" t="s">
        <v>90</v>
      </c>
    </row>
    <row r="747" spans="1:30">
      <c r="A747" s="1">
        <v>45637</v>
      </c>
      <c r="B747" t="s">
        <v>12</v>
      </c>
      <c r="C747" t="s">
        <v>75</v>
      </c>
      <c r="D747" t="s">
        <v>76</v>
      </c>
      <c r="E747" t="s">
        <v>91</v>
      </c>
      <c r="F747" t="s">
        <v>78</v>
      </c>
      <c r="G747" t="s">
        <v>79</v>
      </c>
      <c r="H747" t="s">
        <v>80</v>
      </c>
      <c r="I747" t="s">
        <v>81</v>
      </c>
      <c r="J747" t="s">
        <v>82</v>
      </c>
      <c r="K747" t="s">
        <v>76</v>
      </c>
      <c r="L747" t="s">
        <v>8</v>
      </c>
      <c r="M747" t="s">
        <v>83</v>
      </c>
      <c r="N747" t="s">
        <v>84</v>
      </c>
      <c r="O747" t="s">
        <v>85</v>
      </c>
      <c r="P747">
        <v>334809</v>
      </c>
      <c r="Q747" t="s">
        <v>5</v>
      </c>
      <c r="R747" t="s">
        <v>86</v>
      </c>
      <c r="S747" t="s">
        <v>87</v>
      </c>
      <c r="T747">
        <v>0</v>
      </c>
      <c r="U747">
        <v>0.25</v>
      </c>
      <c r="V747" s="2">
        <v>1.0416666666666666E-2</v>
      </c>
      <c r="W747">
        <v>0</v>
      </c>
      <c r="AA747" t="s">
        <v>88</v>
      </c>
      <c r="AC747" t="s">
        <v>84</v>
      </c>
      <c r="AD747" t="s">
        <v>90</v>
      </c>
    </row>
    <row r="748" spans="1:30">
      <c r="A748" s="1">
        <v>45638</v>
      </c>
      <c r="B748" t="s">
        <v>8</v>
      </c>
      <c r="C748" t="s">
        <v>75</v>
      </c>
      <c r="D748" t="s">
        <v>76</v>
      </c>
      <c r="E748" t="s">
        <v>91</v>
      </c>
      <c r="F748" t="s">
        <v>78</v>
      </c>
      <c r="G748" t="s">
        <v>79</v>
      </c>
      <c r="H748" t="s">
        <v>80</v>
      </c>
      <c r="I748" t="s">
        <v>81</v>
      </c>
      <c r="J748" t="s">
        <v>82</v>
      </c>
      <c r="K748" t="s">
        <v>76</v>
      </c>
      <c r="L748" t="s">
        <v>8</v>
      </c>
      <c r="M748" t="s">
        <v>83</v>
      </c>
      <c r="N748" t="s">
        <v>84</v>
      </c>
      <c r="O748" t="s">
        <v>85</v>
      </c>
      <c r="P748">
        <v>335032</v>
      </c>
      <c r="Q748" t="s">
        <v>5</v>
      </c>
      <c r="R748" t="s">
        <v>86</v>
      </c>
      <c r="S748" t="s">
        <v>87</v>
      </c>
      <c r="T748">
        <v>0</v>
      </c>
      <c r="U748">
        <v>0.25</v>
      </c>
      <c r="V748" s="2">
        <v>1.0416666666666666E-2</v>
      </c>
      <c r="W748">
        <v>0</v>
      </c>
      <c r="AA748" t="s">
        <v>88</v>
      </c>
      <c r="AC748" t="s">
        <v>84</v>
      </c>
      <c r="AD748" t="s">
        <v>90</v>
      </c>
    </row>
    <row r="749" spans="1:30">
      <c r="A749" s="1">
        <v>45639</v>
      </c>
      <c r="B749" t="s">
        <v>8</v>
      </c>
      <c r="C749" t="s">
        <v>75</v>
      </c>
      <c r="D749" t="s">
        <v>76</v>
      </c>
      <c r="E749" t="s">
        <v>91</v>
      </c>
      <c r="F749" t="s">
        <v>78</v>
      </c>
      <c r="G749" t="s">
        <v>79</v>
      </c>
      <c r="H749" t="s">
        <v>80</v>
      </c>
      <c r="I749" t="s">
        <v>81</v>
      </c>
      <c r="J749" t="s">
        <v>82</v>
      </c>
      <c r="K749" t="s">
        <v>76</v>
      </c>
      <c r="L749" t="s">
        <v>8</v>
      </c>
      <c r="M749" t="s">
        <v>83</v>
      </c>
      <c r="N749" t="s">
        <v>84</v>
      </c>
      <c r="O749" t="s">
        <v>85</v>
      </c>
      <c r="P749">
        <v>335386</v>
      </c>
      <c r="Q749" t="s">
        <v>5</v>
      </c>
      <c r="R749" t="s">
        <v>86</v>
      </c>
      <c r="S749" t="s">
        <v>87</v>
      </c>
      <c r="T749">
        <v>0</v>
      </c>
      <c r="U749">
        <v>0.25</v>
      </c>
      <c r="V749" s="2">
        <v>1.0416666666666666E-2</v>
      </c>
      <c r="W749">
        <v>0</v>
      </c>
      <c r="AA749" t="s">
        <v>88</v>
      </c>
      <c r="AC749" t="s">
        <v>84</v>
      </c>
      <c r="AD749" t="s">
        <v>90</v>
      </c>
    </row>
    <row r="750" spans="1:30">
      <c r="A750" s="1">
        <v>45643</v>
      </c>
      <c r="B750" t="s">
        <v>16</v>
      </c>
      <c r="C750" t="s">
        <v>75</v>
      </c>
      <c r="D750" t="s">
        <v>76</v>
      </c>
      <c r="E750" t="s">
        <v>91</v>
      </c>
      <c r="F750" t="s">
        <v>78</v>
      </c>
      <c r="G750" t="s">
        <v>79</v>
      </c>
      <c r="H750" t="s">
        <v>80</v>
      </c>
      <c r="I750" t="s">
        <v>81</v>
      </c>
      <c r="J750" t="s">
        <v>82</v>
      </c>
      <c r="K750" t="s">
        <v>76</v>
      </c>
      <c r="L750" t="s">
        <v>8</v>
      </c>
      <c r="M750" t="s">
        <v>83</v>
      </c>
      <c r="N750" t="s">
        <v>93</v>
      </c>
      <c r="O750" t="s">
        <v>85</v>
      </c>
      <c r="P750">
        <v>335663</v>
      </c>
      <c r="Q750" t="s">
        <v>4</v>
      </c>
      <c r="R750" t="s">
        <v>94</v>
      </c>
      <c r="S750" t="s">
        <v>87</v>
      </c>
      <c r="T750">
        <v>90</v>
      </c>
      <c r="U750">
        <v>0.25</v>
      </c>
      <c r="V750" s="2">
        <v>1.0416666666666666E-2</v>
      </c>
      <c r="W750">
        <v>22.5</v>
      </c>
      <c r="AA750" t="s">
        <v>88</v>
      </c>
      <c r="AC750" t="s">
        <v>84</v>
      </c>
      <c r="AD750" t="s">
        <v>90</v>
      </c>
    </row>
  </sheetData>
  <autoFilter ref="A1:AD750" xr:uid="{00000000-0001-0000-0100-000000000000}">
    <filterColumn colId="0">
      <filters>
        <dateGroupItem year="2024" month="12" dateTimeGrouping="month"/>
      </filters>
    </filterColumn>
    <sortState xmlns:xlrd2="http://schemas.microsoft.com/office/spreadsheetml/2017/richdata2" ref="A2:AD750">
      <sortCondition ref="A2:A750"/>
    </sortState>
  </autoFilter>
  <sortState xmlns:xlrd2="http://schemas.microsoft.com/office/spreadsheetml/2017/richdata2" ref="A2:AD665">
    <sortCondition ref="A2:A665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26985-0825-4F0E-8215-111405B6C843}">
  <dimension ref="A1:L136"/>
  <sheetViews>
    <sheetView topLeftCell="A13" zoomScale="85" zoomScaleNormal="85" workbookViewId="0">
      <selection activeCell="F29" sqref="F29"/>
    </sheetView>
  </sheetViews>
  <sheetFormatPr defaultRowHeight="14.45"/>
  <cols>
    <col min="3" max="3" width="59.28515625" bestFit="1" customWidth="1"/>
    <col min="4" max="4" width="65.140625" bestFit="1" customWidth="1"/>
    <col min="5" max="5" width="17.7109375" bestFit="1" customWidth="1"/>
    <col min="6" max="6" width="18.28515625" bestFit="1" customWidth="1"/>
    <col min="8" max="9" width="36.85546875" bestFit="1" customWidth="1"/>
    <col min="10" max="11" width="10.7109375" bestFit="1" customWidth="1"/>
  </cols>
  <sheetData>
    <row r="1" spans="1:12">
      <c r="A1" t="s">
        <v>348</v>
      </c>
    </row>
    <row r="2" spans="1:12">
      <c r="A2" t="s">
        <v>349</v>
      </c>
      <c r="B2" t="s">
        <v>350</v>
      </c>
      <c r="C2" t="s">
        <v>351</v>
      </c>
      <c r="E2" t="s">
        <v>352</v>
      </c>
      <c r="F2" t="s">
        <v>353</v>
      </c>
      <c r="G2" t="s">
        <v>354</v>
      </c>
      <c r="H2" t="s">
        <v>355</v>
      </c>
      <c r="I2" t="s">
        <v>356</v>
      </c>
      <c r="J2" t="s">
        <v>357</v>
      </c>
      <c r="K2" t="s">
        <v>358</v>
      </c>
      <c r="L2" t="s">
        <v>359</v>
      </c>
    </row>
    <row r="3" spans="1:12">
      <c r="A3" t="s">
        <v>360</v>
      </c>
      <c r="B3" t="s">
        <v>361</v>
      </c>
      <c r="C3" t="s">
        <v>362</v>
      </c>
      <c r="D3" t="str">
        <f>CONCATENATE(B3," ",C3)</f>
        <v xml:space="preserve"> BSS-8  Unable to complete task on EOT</v>
      </c>
      <c r="E3" t="s">
        <v>363</v>
      </c>
      <c r="F3" t="s">
        <v>364</v>
      </c>
      <c r="G3" t="s">
        <v>365</v>
      </c>
      <c r="H3" t="s">
        <v>366</v>
      </c>
      <c r="I3" t="s">
        <v>365</v>
      </c>
      <c r="J3" t="s">
        <v>367</v>
      </c>
      <c r="K3" t="s">
        <v>368</v>
      </c>
      <c r="L3" t="s">
        <v>38</v>
      </c>
    </row>
    <row r="4" spans="1:12">
      <c r="A4" t="s">
        <v>360</v>
      </c>
      <c r="B4" t="s">
        <v>369</v>
      </c>
      <c r="C4" t="s">
        <v>370</v>
      </c>
      <c r="D4" t="str">
        <f t="shared" ref="D4:D10" si="0">CONCATENATE(B4," ",C4)</f>
        <v xml:space="preserve"> BSS-9  HomeLet referencing error showing in this opportunity</v>
      </c>
      <c r="E4" t="s">
        <v>371</v>
      </c>
      <c r="F4" t="s">
        <v>372</v>
      </c>
      <c r="G4" t="s">
        <v>365</v>
      </c>
      <c r="H4" t="s">
        <v>366</v>
      </c>
      <c r="I4" t="s">
        <v>365</v>
      </c>
      <c r="J4" t="s">
        <v>373</v>
      </c>
      <c r="K4" t="s">
        <v>373</v>
      </c>
      <c r="L4" t="s">
        <v>372</v>
      </c>
    </row>
    <row r="5" spans="1:12">
      <c r="A5" t="s">
        <v>360</v>
      </c>
      <c r="B5" t="s">
        <v>374</v>
      </c>
      <c r="C5" t="s">
        <v>375</v>
      </c>
      <c r="D5" t="str">
        <f t="shared" si="0"/>
        <v xml:space="preserve"> BSS-3  EOT task- Couldn't  be cancelled through approver ( record owner)</v>
      </c>
      <c r="E5" t="s">
        <v>371</v>
      </c>
      <c r="F5" t="s">
        <v>38</v>
      </c>
      <c r="G5" t="s">
        <v>365</v>
      </c>
      <c r="H5" t="s">
        <v>366</v>
      </c>
      <c r="I5" t="s">
        <v>376</v>
      </c>
      <c r="J5" t="s">
        <v>377</v>
      </c>
      <c r="K5" t="s">
        <v>373</v>
      </c>
      <c r="L5" t="s">
        <v>38</v>
      </c>
    </row>
    <row r="6" spans="1:12">
      <c r="A6" t="s">
        <v>360</v>
      </c>
      <c r="B6" t="s">
        <v>378</v>
      </c>
      <c r="C6" t="s">
        <v>379</v>
      </c>
      <c r="D6" t="str">
        <f t="shared" si="0"/>
        <v xml:space="preserve"> BSS-4  Agreement not pulling the template with 1 tenant and 2 guarantors </v>
      </c>
      <c r="E6" t="s">
        <v>371</v>
      </c>
      <c r="F6" t="s">
        <v>38</v>
      </c>
      <c r="G6" t="s">
        <v>365</v>
      </c>
      <c r="H6" t="s">
        <v>366</v>
      </c>
      <c r="I6" t="s">
        <v>376</v>
      </c>
      <c r="J6" t="s">
        <v>380</v>
      </c>
      <c r="K6" t="s">
        <v>373</v>
      </c>
      <c r="L6" t="s">
        <v>38</v>
      </c>
    </row>
    <row r="7" spans="1:12">
      <c r="A7" t="s">
        <v>360</v>
      </c>
      <c r="B7" t="s">
        <v>381</v>
      </c>
      <c r="C7" t="s">
        <v>382</v>
      </c>
      <c r="D7" t="str">
        <f t="shared" si="0"/>
        <v xml:space="preserve"> BSS-2   Receiving an error on every task I try and complete </v>
      </c>
      <c r="E7" t="s">
        <v>383</v>
      </c>
      <c r="F7" t="s">
        <v>38</v>
      </c>
      <c r="G7" t="s">
        <v>365</v>
      </c>
      <c r="H7" t="s">
        <v>366</v>
      </c>
      <c r="I7" t="s">
        <v>376</v>
      </c>
      <c r="J7" t="s">
        <v>384</v>
      </c>
      <c r="K7" t="s">
        <v>385</v>
      </c>
      <c r="L7" t="s">
        <v>38</v>
      </c>
    </row>
    <row r="8" spans="1:12">
      <c r="A8" t="s">
        <v>360</v>
      </c>
      <c r="B8" t="s">
        <v>386</v>
      </c>
      <c r="C8" t="s">
        <v>387</v>
      </c>
      <c r="D8" t="str">
        <f t="shared" si="0"/>
        <v xml:space="preserve"> BSS-5  Security deposit not populated for renewals</v>
      </c>
      <c r="E8" t="s">
        <v>383</v>
      </c>
      <c r="F8" t="s">
        <v>364</v>
      </c>
      <c r="G8" t="s">
        <v>365</v>
      </c>
      <c r="H8" t="s">
        <v>366</v>
      </c>
      <c r="I8" t="s">
        <v>376</v>
      </c>
      <c r="J8" t="s">
        <v>388</v>
      </c>
      <c r="K8" t="s">
        <v>385</v>
      </c>
      <c r="L8" t="s">
        <v>389</v>
      </c>
    </row>
    <row r="9" spans="1:12">
      <c r="A9" t="s">
        <v>390</v>
      </c>
      <c r="B9" t="s">
        <v>391</v>
      </c>
      <c r="C9" t="s">
        <v>392</v>
      </c>
      <c r="D9" t="str">
        <f t="shared" si="0"/>
        <v xml:space="preserve"> BSS-6  Update the noOfAdultOccupants calculation</v>
      </c>
      <c r="E9" t="s">
        <v>383</v>
      </c>
      <c r="F9" t="s">
        <v>389</v>
      </c>
      <c r="G9" t="s">
        <v>365</v>
      </c>
      <c r="H9" t="s">
        <v>366</v>
      </c>
      <c r="I9" t="s">
        <v>376</v>
      </c>
      <c r="J9" t="s">
        <v>393</v>
      </c>
      <c r="K9" t="s">
        <v>394</v>
      </c>
      <c r="L9" t="s">
        <v>372</v>
      </c>
    </row>
    <row r="10" spans="1:12">
      <c r="A10" t="s">
        <v>390</v>
      </c>
      <c r="B10" t="s">
        <v>395</v>
      </c>
      <c r="C10" t="s">
        <v>396</v>
      </c>
      <c r="D10" t="str">
        <f t="shared" si="0"/>
        <v xml:space="preserve"> BSS-7  Update the referencing Provider to HomeLet</v>
      </c>
      <c r="E10" t="s">
        <v>383</v>
      </c>
      <c r="F10" t="s">
        <v>389</v>
      </c>
      <c r="G10" t="s">
        <v>365</v>
      </c>
      <c r="H10" t="s">
        <v>366</v>
      </c>
      <c r="I10" t="s">
        <v>376</v>
      </c>
      <c r="J10" t="s">
        <v>367</v>
      </c>
      <c r="K10" t="s">
        <v>394</v>
      </c>
      <c r="L10" t="s">
        <v>372</v>
      </c>
    </row>
    <row r="12" spans="1:12">
      <c r="A12" t="s">
        <v>397</v>
      </c>
    </row>
    <row r="13" spans="1:12">
      <c r="A13" t="s">
        <v>349</v>
      </c>
      <c r="B13" t="s">
        <v>350</v>
      </c>
      <c r="C13" t="s">
        <v>351</v>
      </c>
      <c r="E13" t="s">
        <v>352</v>
      </c>
      <c r="F13" t="s">
        <v>353</v>
      </c>
      <c r="G13" t="s">
        <v>354</v>
      </c>
      <c r="H13" t="s">
        <v>355</v>
      </c>
      <c r="I13" t="s">
        <v>356</v>
      </c>
      <c r="J13" t="s">
        <v>357</v>
      </c>
      <c r="K13" t="s">
        <v>358</v>
      </c>
      <c r="L13" t="s">
        <v>359</v>
      </c>
    </row>
    <row r="14" spans="1:12">
      <c r="A14" t="s">
        <v>360</v>
      </c>
      <c r="B14" s="8" t="s">
        <v>361</v>
      </c>
      <c r="C14" t="s">
        <v>362</v>
      </c>
      <c r="D14" t="str">
        <f t="shared" ref="D14:D25" si="1">CONCATENATE(B14," ",C14)</f>
        <v xml:space="preserve"> BSS-8  Unable to complete task on EOT</v>
      </c>
      <c r="E14" s="8" t="s">
        <v>363</v>
      </c>
      <c r="F14" t="s">
        <v>364</v>
      </c>
      <c r="G14" t="s">
        <v>365</v>
      </c>
      <c r="H14" t="s">
        <v>366</v>
      </c>
      <c r="I14" t="s">
        <v>365</v>
      </c>
      <c r="J14" t="s">
        <v>367</v>
      </c>
      <c r="K14" t="s">
        <v>398</v>
      </c>
      <c r="L14" t="s">
        <v>38</v>
      </c>
    </row>
    <row r="15" spans="1:12">
      <c r="A15" t="s">
        <v>360</v>
      </c>
      <c r="B15" s="7" t="s">
        <v>399</v>
      </c>
      <c r="C15" t="s">
        <v>400</v>
      </c>
      <c r="D15" t="str">
        <f t="shared" si="1"/>
        <v xml:space="preserve"> BSS-14  An unhandled fault occurred in this flow</v>
      </c>
      <c r="E15" s="7" t="s">
        <v>363</v>
      </c>
      <c r="F15" t="s">
        <v>364</v>
      </c>
      <c r="G15" t="s">
        <v>365</v>
      </c>
      <c r="H15" t="s">
        <v>366</v>
      </c>
      <c r="I15" t="s">
        <v>365</v>
      </c>
      <c r="J15" t="s">
        <v>401</v>
      </c>
      <c r="K15" t="s">
        <v>401</v>
      </c>
      <c r="L15" t="s">
        <v>38</v>
      </c>
    </row>
    <row r="16" spans="1:12">
      <c r="A16" t="s">
        <v>360</v>
      </c>
      <c r="B16" s="7" t="s">
        <v>402</v>
      </c>
      <c r="C16" t="s">
        <v>403</v>
      </c>
      <c r="D16" t="str">
        <f t="shared" si="1"/>
        <v xml:space="preserve"> BSS-16  Unable to send to Homelet</v>
      </c>
      <c r="E16" s="7" t="s">
        <v>404</v>
      </c>
      <c r="F16" t="s">
        <v>38</v>
      </c>
      <c r="G16" t="s">
        <v>365</v>
      </c>
      <c r="H16" t="s">
        <v>366</v>
      </c>
      <c r="I16" t="s">
        <v>365</v>
      </c>
      <c r="J16" t="s">
        <v>398</v>
      </c>
      <c r="K16" t="s">
        <v>405</v>
      </c>
      <c r="L16" t="s">
        <v>372</v>
      </c>
    </row>
    <row r="17" spans="1:12">
      <c r="A17" t="s">
        <v>360</v>
      </c>
      <c r="B17" s="7" t="s">
        <v>406</v>
      </c>
      <c r="C17" t="s">
        <v>407</v>
      </c>
      <c r="D17" t="str">
        <f t="shared" si="1"/>
        <v xml:space="preserve"> BSS-15  Trim the spaces before sending to HomeLet</v>
      </c>
      <c r="E17" s="7" t="s">
        <v>404</v>
      </c>
      <c r="F17" t="s">
        <v>372</v>
      </c>
      <c r="G17" t="s">
        <v>365</v>
      </c>
      <c r="H17" t="s">
        <v>366</v>
      </c>
      <c r="I17" t="s">
        <v>365</v>
      </c>
      <c r="J17" t="s">
        <v>398</v>
      </c>
      <c r="K17" t="s">
        <v>408</v>
      </c>
      <c r="L17" t="s">
        <v>372</v>
      </c>
    </row>
    <row r="18" spans="1:12">
      <c r="A18" t="s">
        <v>360</v>
      </c>
      <c r="B18" s="8" t="s">
        <v>369</v>
      </c>
      <c r="C18" t="s">
        <v>370</v>
      </c>
      <c r="D18" t="str">
        <f t="shared" si="1"/>
        <v xml:space="preserve"> BSS-9  HomeLet referencing error showing in this opportunity</v>
      </c>
      <c r="E18" s="8" t="s">
        <v>404</v>
      </c>
      <c r="F18" t="s">
        <v>372</v>
      </c>
      <c r="G18" t="s">
        <v>365</v>
      </c>
      <c r="H18" t="s">
        <v>366</v>
      </c>
      <c r="I18" t="s">
        <v>365</v>
      </c>
      <c r="J18" t="s">
        <v>373</v>
      </c>
      <c r="K18" t="s">
        <v>373</v>
      </c>
      <c r="L18" t="s">
        <v>372</v>
      </c>
    </row>
    <row r="19" spans="1:12">
      <c r="A19" t="s">
        <v>360</v>
      </c>
      <c r="B19" s="8" t="s">
        <v>378</v>
      </c>
      <c r="C19" t="s">
        <v>379</v>
      </c>
      <c r="D19" t="str">
        <f t="shared" si="1"/>
        <v xml:space="preserve"> BSS-4  Agreement not pulling the template with 1 tenant and 2 guarantors </v>
      </c>
      <c r="E19" s="8" t="s">
        <v>404</v>
      </c>
      <c r="F19" t="s">
        <v>38</v>
      </c>
      <c r="G19" t="s">
        <v>365</v>
      </c>
      <c r="H19" t="s">
        <v>366</v>
      </c>
      <c r="I19" t="s">
        <v>376</v>
      </c>
      <c r="J19" t="s">
        <v>380</v>
      </c>
      <c r="K19" t="s">
        <v>373</v>
      </c>
      <c r="L19" t="s">
        <v>38</v>
      </c>
    </row>
    <row r="20" spans="1:12">
      <c r="A20" t="s">
        <v>360</v>
      </c>
      <c r="B20" s="6" t="s">
        <v>381</v>
      </c>
      <c r="C20" t="s">
        <v>382</v>
      </c>
      <c r="D20" t="str">
        <f t="shared" si="1"/>
        <v xml:space="preserve"> BSS-2   Receiving an error on every task I try and complete </v>
      </c>
      <c r="E20" s="6" t="s">
        <v>383</v>
      </c>
      <c r="F20" t="s">
        <v>38</v>
      </c>
      <c r="G20" t="s">
        <v>365</v>
      </c>
      <c r="H20" t="s">
        <v>366</v>
      </c>
      <c r="I20" t="s">
        <v>376</v>
      </c>
      <c r="J20" t="s">
        <v>384</v>
      </c>
      <c r="K20" t="s">
        <v>385</v>
      </c>
      <c r="L20" t="s">
        <v>38</v>
      </c>
    </row>
    <row r="21" spans="1:12">
      <c r="A21" t="s">
        <v>360</v>
      </c>
      <c r="B21" s="6" t="s">
        <v>386</v>
      </c>
      <c r="C21" t="s">
        <v>387</v>
      </c>
      <c r="D21" t="str">
        <f t="shared" si="1"/>
        <v xml:space="preserve"> BSS-5  Security deposit not populated for renewals</v>
      </c>
      <c r="E21" s="6" t="s">
        <v>383</v>
      </c>
      <c r="F21" t="s">
        <v>364</v>
      </c>
      <c r="G21" t="s">
        <v>365</v>
      </c>
      <c r="H21" t="s">
        <v>366</v>
      </c>
      <c r="I21" t="s">
        <v>376</v>
      </c>
      <c r="J21" t="s">
        <v>388</v>
      </c>
      <c r="K21" t="s">
        <v>385</v>
      </c>
      <c r="L21" t="s">
        <v>389</v>
      </c>
    </row>
    <row r="22" spans="1:12">
      <c r="A22" t="s">
        <v>390</v>
      </c>
      <c r="B22" s="6" t="s">
        <v>391</v>
      </c>
      <c r="C22" t="s">
        <v>392</v>
      </c>
      <c r="D22" t="str">
        <f t="shared" si="1"/>
        <v xml:space="preserve"> BSS-6  Update the noOfAdultOccupants calculation</v>
      </c>
      <c r="E22" s="6" t="s">
        <v>383</v>
      </c>
      <c r="F22" t="s">
        <v>389</v>
      </c>
      <c r="G22" t="s">
        <v>365</v>
      </c>
      <c r="H22" t="s">
        <v>366</v>
      </c>
      <c r="I22" t="s">
        <v>376</v>
      </c>
      <c r="J22" t="s">
        <v>393</v>
      </c>
      <c r="K22" t="s">
        <v>394</v>
      </c>
      <c r="L22" t="s">
        <v>372</v>
      </c>
    </row>
    <row r="23" spans="1:12">
      <c r="A23" t="s">
        <v>390</v>
      </c>
      <c r="B23" s="6" t="s">
        <v>395</v>
      </c>
      <c r="C23" t="s">
        <v>396</v>
      </c>
      <c r="D23" t="str">
        <f t="shared" si="1"/>
        <v xml:space="preserve"> BSS-7  Update the referencing Provider to HomeLet</v>
      </c>
      <c r="E23" s="6" t="s">
        <v>383</v>
      </c>
      <c r="F23" t="s">
        <v>389</v>
      </c>
      <c r="G23" t="s">
        <v>365</v>
      </c>
      <c r="H23" t="s">
        <v>366</v>
      </c>
      <c r="I23" t="s">
        <v>376</v>
      </c>
      <c r="J23" t="s">
        <v>367</v>
      </c>
      <c r="K23" t="s">
        <v>394</v>
      </c>
      <c r="L23" t="s">
        <v>372</v>
      </c>
    </row>
    <row r="24" spans="1:12">
      <c r="A24" t="s">
        <v>360</v>
      </c>
      <c r="B24" s="7" t="s">
        <v>374</v>
      </c>
      <c r="C24" t="s">
        <v>375</v>
      </c>
      <c r="D24" t="str">
        <f t="shared" si="1"/>
        <v xml:space="preserve"> BSS-3  EOT task- Couldn't  be cancelled through approver ( record owner)</v>
      </c>
      <c r="E24" s="7" t="s">
        <v>383</v>
      </c>
      <c r="F24" t="s">
        <v>38</v>
      </c>
      <c r="G24" t="s">
        <v>365</v>
      </c>
      <c r="H24" t="s">
        <v>366</v>
      </c>
      <c r="I24" t="s">
        <v>376</v>
      </c>
      <c r="J24" t="s">
        <v>377</v>
      </c>
      <c r="K24" t="s">
        <v>405</v>
      </c>
      <c r="L24" t="s">
        <v>38</v>
      </c>
    </row>
    <row r="25" spans="1:12">
      <c r="A25" t="s">
        <v>409</v>
      </c>
      <c r="B25" s="7" t="s">
        <v>410</v>
      </c>
      <c r="C25" t="s">
        <v>411</v>
      </c>
      <c r="D25" t="str">
        <f t="shared" si="1"/>
        <v xml:space="preserve"> BSS-13  Flow error message improvement</v>
      </c>
      <c r="E25" s="7" t="s">
        <v>412</v>
      </c>
      <c r="F25" t="s">
        <v>364</v>
      </c>
      <c r="G25" t="s">
        <v>365</v>
      </c>
      <c r="H25" t="s">
        <v>366</v>
      </c>
      <c r="I25" t="s">
        <v>413</v>
      </c>
      <c r="J25" t="s">
        <v>368</v>
      </c>
      <c r="K25" t="s">
        <v>368</v>
      </c>
      <c r="L25" t="s">
        <v>364</v>
      </c>
    </row>
    <row r="27" spans="1:12">
      <c r="A27" t="s">
        <v>414</v>
      </c>
    </row>
    <row r="28" spans="1:12">
      <c r="A28" t="s">
        <v>349</v>
      </c>
      <c r="B28" t="s">
        <v>350</v>
      </c>
      <c r="C28" t="s">
        <v>351</v>
      </c>
      <c r="E28" t="s">
        <v>352</v>
      </c>
      <c r="F28" t="s">
        <v>353</v>
      </c>
      <c r="G28" t="s">
        <v>354</v>
      </c>
      <c r="H28" t="s">
        <v>355</v>
      </c>
      <c r="I28" t="s">
        <v>356</v>
      </c>
      <c r="J28" t="s">
        <v>357</v>
      </c>
      <c r="K28" t="s">
        <v>358</v>
      </c>
      <c r="L28" t="s">
        <v>359</v>
      </c>
    </row>
    <row r="29" spans="1:12">
      <c r="A29" t="s">
        <v>360</v>
      </c>
      <c r="B29" s="9" t="s">
        <v>402</v>
      </c>
      <c r="C29" t="s">
        <v>403</v>
      </c>
      <c r="D29" t="str">
        <f t="shared" ref="D29:D34" si="2">CONCATENATE(B29," ",C29)</f>
        <v xml:space="preserve"> BSS-16  Unable to send to Homelet</v>
      </c>
      <c r="E29" s="9" t="s">
        <v>363</v>
      </c>
      <c r="F29" t="s">
        <v>415</v>
      </c>
      <c r="G29" t="s">
        <v>365</v>
      </c>
      <c r="H29" t="s">
        <v>366</v>
      </c>
      <c r="I29" t="s">
        <v>365</v>
      </c>
      <c r="J29" t="s">
        <v>398</v>
      </c>
      <c r="K29" t="s">
        <v>416</v>
      </c>
      <c r="L29" t="s">
        <v>372</v>
      </c>
    </row>
    <row r="30" spans="1:12">
      <c r="A30" t="s">
        <v>360</v>
      </c>
      <c r="B30" s="9" t="s">
        <v>417</v>
      </c>
      <c r="C30" t="s">
        <v>418</v>
      </c>
      <c r="D30" t="str">
        <f t="shared" si="2"/>
        <v xml:space="preserve"> BSS-19  The Units  with status “On the market – no access” are not able to be posted onto Rightmove</v>
      </c>
      <c r="E30" s="9" t="s">
        <v>363</v>
      </c>
      <c r="F30" t="s">
        <v>389</v>
      </c>
      <c r="G30" t="s">
        <v>365</v>
      </c>
      <c r="H30" t="s">
        <v>366</v>
      </c>
      <c r="I30" t="s">
        <v>365</v>
      </c>
      <c r="J30" t="s">
        <v>416</v>
      </c>
      <c r="K30" t="s">
        <v>416</v>
      </c>
      <c r="L30" t="s">
        <v>372</v>
      </c>
    </row>
    <row r="31" spans="1:12">
      <c r="A31" t="s">
        <v>360</v>
      </c>
      <c r="B31" s="9" t="s">
        <v>399</v>
      </c>
      <c r="C31" t="s">
        <v>400</v>
      </c>
      <c r="D31" t="str">
        <f t="shared" si="2"/>
        <v xml:space="preserve"> BSS-14  An unhandled fault occurred in this flow</v>
      </c>
      <c r="E31" s="9" t="s">
        <v>404</v>
      </c>
      <c r="F31" t="s">
        <v>38</v>
      </c>
      <c r="G31" t="s">
        <v>365</v>
      </c>
      <c r="H31" t="s">
        <v>366</v>
      </c>
      <c r="I31" t="s">
        <v>365</v>
      </c>
      <c r="J31" t="s">
        <v>401</v>
      </c>
      <c r="K31" t="s">
        <v>416</v>
      </c>
      <c r="L31" t="s">
        <v>38</v>
      </c>
    </row>
    <row r="32" spans="1:12">
      <c r="A32" t="s">
        <v>360</v>
      </c>
      <c r="B32" s="9" t="s">
        <v>361</v>
      </c>
      <c r="C32" t="s">
        <v>362</v>
      </c>
      <c r="D32" t="str">
        <f t="shared" si="2"/>
        <v xml:space="preserve"> BSS-8  Unable to complete task on EOT</v>
      </c>
      <c r="E32" s="9" t="s">
        <v>404</v>
      </c>
      <c r="F32" t="s">
        <v>38</v>
      </c>
      <c r="G32" t="s">
        <v>365</v>
      </c>
      <c r="H32" t="s">
        <v>366</v>
      </c>
      <c r="I32" t="s">
        <v>365</v>
      </c>
      <c r="J32" t="s">
        <v>367</v>
      </c>
      <c r="K32" t="s">
        <v>416</v>
      </c>
      <c r="L32" t="s">
        <v>38</v>
      </c>
    </row>
    <row r="33" spans="1:12">
      <c r="A33" t="s">
        <v>360</v>
      </c>
      <c r="B33" s="9" t="s">
        <v>419</v>
      </c>
      <c r="C33" t="s">
        <v>420</v>
      </c>
      <c r="D33" t="str">
        <f t="shared" si="2"/>
        <v xml:space="preserve"> BSS-18  Limit Exceeded Error while trying to update a Unit via Salesforce connector</v>
      </c>
      <c r="E33" s="9" t="s">
        <v>383</v>
      </c>
      <c r="F33" t="s">
        <v>372</v>
      </c>
      <c r="G33" t="s">
        <v>365</v>
      </c>
      <c r="H33" t="s">
        <v>366</v>
      </c>
      <c r="I33" t="s">
        <v>365</v>
      </c>
      <c r="J33" t="s">
        <v>421</v>
      </c>
      <c r="K33" t="s">
        <v>422</v>
      </c>
      <c r="L33" t="s">
        <v>372</v>
      </c>
    </row>
    <row r="34" spans="1:12">
      <c r="A34" t="s">
        <v>360</v>
      </c>
      <c r="B34" s="9" t="s">
        <v>423</v>
      </c>
      <c r="C34" t="s">
        <v>424</v>
      </c>
      <c r="D34" t="str">
        <f t="shared" si="2"/>
        <v xml:space="preserve"> BSS-17  Guarantor not being sent for referencing</v>
      </c>
      <c r="E34" s="9" t="s">
        <v>425</v>
      </c>
      <c r="F34" t="s">
        <v>389</v>
      </c>
      <c r="G34" t="s">
        <v>365</v>
      </c>
      <c r="H34" t="s">
        <v>366</v>
      </c>
      <c r="I34" t="s">
        <v>365</v>
      </c>
      <c r="J34" t="s">
        <v>426</v>
      </c>
      <c r="K34" t="s">
        <v>422</v>
      </c>
      <c r="L34" t="s">
        <v>389</v>
      </c>
    </row>
    <row r="35" spans="1:12">
      <c r="A35" t="s">
        <v>360</v>
      </c>
      <c r="B35" s="8" t="s">
        <v>406</v>
      </c>
      <c r="C35" t="s">
        <v>407</v>
      </c>
      <c r="D35" t="str">
        <f t="shared" ref="D35:D43" si="3">CONCATENATE(B35," ",C35)</f>
        <v xml:space="preserve"> BSS-15  Trim the spaces before sending to HomeLet</v>
      </c>
      <c r="E35" s="8" t="s">
        <v>404</v>
      </c>
      <c r="F35" t="s">
        <v>372</v>
      </c>
      <c r="G35" t="s">
        <v>365</v>
      </c>
      <c r="H35" t="s">
        <v>366</v>
      </c>
      <c r="I35" t="s">
        <v>365</v>
      </c>
      <c r="J35" t="s">
        <v>398</v>
      </c>
      <c r="K35" t="s">
        <v>408</v>
      </c>
      <c r="L35" t="s">
        <v>372</v>
      </c>
    </row>
    <row r="36" spans="1:12">
      <c r="A36" t="s">
        <v>360</v>
      </c>
      <c r="B36" s="8" t="s">
        <v>369</v>
      </c>
      <c r="C36" t="s">
        <v>370</v>
      </c>
      <c r="D36" t="str">
        <f t="shared" si="3"/>
        <v xml:space="preserve"> BSS-9  HomeLet referencing error showing in this opportunity</v>
      </c>
      <c r="E36" s="8" t="s">
        <v>404</v>
      </c>
      <c r="F36" t="s">
        <v>372</v>
      </c>
      <c r="G36" t="s">
        <v>365</v>
      </c>
      <c r="H36" t="s">
        <v>366</v>
      </c>
      <c r="I36" t="s">
        <v>365</v>
      </c>
      <c r="J36" t="s">
        <v>373</v>
      </c>
      <c r="K36" t="s">
        <v>373</v>
      </c>
      <c r="L36" t="s">
        <v>372</v>
      </c>
    </row>
    <row r="37" spans="1:12">
      <c r="A37" t="s">
        <v>360</v>
      </c>
      <c r="B37" s="8" t="s">
        <v>378</v>
      </c>
      <c r="C37" t="s">
        <v>379</v>
      </c>
      <c r="D37" t="str">
        <f t="shared" si="3"/>
        <v xml:space="preserve"> BSS-4  Agreement not pulling the template with 1 tenant and 2 guarantors </v>
      </c>
      <c r="E37" s="8" t="s">
        <v>404</v>
      </c>
      <c r="F37" t="s">
        <v>38</v>
      </c>
      <c r="G37" t="s">
        <v>365</v>
      </c>
      <c r="H37" t="s">
        <v>366</v>
      </c>
      <c r="I37" t="s">
        <v>376</v>
      </c>
      <c r="J37" t="s">
        <v>380</v>
      </c>
      <c r="K37" t="s">
        <v>373</v>
      </c>
      <c r="L37" t="s">
        <v>38</v>
      </c>
    </row>
    <row r="38" spans="1:12">
      <c r="A38" t="s">
        <v>409</v>
      </c>
      <c r="B38" s="8" t="s">
        <v>410</v>
      </c>
      <c r="C38" t="s">
        <v>411</v>
      </c>
      <c r="D38" t="str">
        <f t="shared" si="3"/>
        <v xml:space="preserve"> BSS-13  Flow error message improvement</v>
      </c>
      <c r="E38" s="8" t="s">
        <v>412</v>
      </c>
      <c r="F38" t="s">
        <v>364</v>
      </c>
      <c r="G38" t="s">
        <v>365</v>
      </c>
      <c r="H38" t="s">
        <v>366</v>
      </c>
      <c r="I38" t="s">
        <v>413</v>
      </c>
      <c r="J38" t="s">
        <v>368</v>
      </c>
      <c r="K38" t="s">
        <v>368</v>
      </c>
      <c r="L38" t="s">
        <v>364</v>
      </c>
    </row>
    <row r="39" spans="1:12">
      <c r="A39" t="s">
        <v>360</v>
      </c>
      <c r="B39" s="6" t="s">
        <v>381</v>
      </c>
      <c r="C39" t="s">
        <v>382</v>
      </c>
      <c r="D39" t="str">
        <f t="shared" si="3"/>
        <v xml:space="preserve"> BSS-2   Receiving an error on every task I try and complete </v>
      </c>
      <c r="E39" s="6" t="s">
        <v>383</v>
      </c>
      <c r="F39" t="s">
        <v>38</v>
      </c>
      <c r="G39" t="s">
        <v>365</v>
      </c>
      <c r="H39" t="s">
        <v>366</v>
      </c>
      <c r="I39" t="s">
        <v>376</v>
      </c>
      <c r="J39" t="s">
        <v>384</v>
      </c>
      <c r="K39" t="s">
        <v>385</v>
      </c>
      <c r="L39" t="s">
        <v>38</v>
      </c>
    </row>
    <row r="40" spans="1:12">
      <c r="A40" t="s">
        <v>360</v>
      </c>
      <c r="B40" s="6" t="s">
        <v>386</v>
      </c>
      <c r="C40" t="s">
        <v>387</v>
      </c>
      <c r="D40" t="str">
        <f t="shared" si="3"/>
        <v xml:space="preserve"> BSS-5  Security deposit not populated for renewals</v>
      </c>
      <c r="E40" s="6" t="s">
        <v>383</v>
      </c>
      <c r="F40" t="s">
        <v>364</v>
      </c>
      <c r="G40" t="s">
        <v>365</v>
      </c>
      <c r="H40" t="s">
        <v>366</v>
      </c>
      <c r="I40" t="s">
        <v>376</v>
      </c>
      <c r="J40" t="s">
        <v>388</v>
      </c>
      <c r="K40" t="s">
        <v>385</v>
      </c>
      <c r="L40" t="s">
        <v>389</v>
      </c>
    </row>
    <row r="41" spans="1:12">
      <c r="A41" t="s">
        <v>390</v>
      </c>
      <c r="B41" s="6" t="s">
        <v>395</v>
      </c>
      <c r="C41" t="s">
        <v>396</v>
      </c>
      <c r="D41" t="str">
        <f t="shared" si="3"/>
        <v xml:space="preserve"> BSS-7  Update the referencing Provider to HomeLet</v>
      </c>
      <c r="E41" s="6" t="s">
        <v>383</v>
      </c>
      <c r="F41" t="s">
        <v>389</v>
      </c>
      <c r="G41" t="s">
        <v>365</v>
      </c>
      <c r="H41" t="s">
        <v>366</v>
      </c>
      <c r="I41" t="s">
        <v>376</v>
      </c>
      <c r="J41" t="s">
        <v>367</v>
      </c>
      <c r="K41" t="s">
        <v>394</v>
      </c>
      <c r="L41" t="s">
        <v>372</v>
      </c>
    </row>
    <row r="42" spans="1:12">
      <c r="A42" t="s">
        <v>390</v>
      </c>
      <c r="B42" s="6" t="s">
        <v>391</v>
      </c>
      <c r="C42" t="s">
        <v>392</v>
      </c>
      <c r="D42" t="str">
        <f t="shared" si="3"/>
        <v xml:space="preserve"> BSS-6  Update the noOfAdultOccupants calculation</v>
      </c>
      <c r="E42" s="6" t="s">
        <v>383</v>
      </c>
      <c r="F42" t="s">
        <v>389</v>
      </c>
      <c r="G42" t="s">
        <v>365</v>
      </c>
      <c r="H42" t="s">
        <v>366</v>
      </c>
      <c r="I42" t="s">
        <v>376</v>
      </c>
      <c r="J42" t="s">
        <v>393</v>
      </c>
      <c r="K42" t="s">
        <v>426</v>
      </c>
      <c r="L42" t="s">
        <v>372</v>
      </c>
    </row>
    <row r="43" spans="1:12">
      <c r="A43" t="s">
        <v>360</v>
      </c>
      <c r="B43" s="6" t="s">
        <v>374</v>
      </c>
      <c r="C43" t="s">
        <v>375</v>
      </c>
      <c r="D43" t="str">
        <f t="shared" si="3"/>
        <v xml:space="preserve"> BSS-3  EOT task- Couldn't  be cancelled through approver ( record owner)</v>
      </c>
      <c r="E43" s="6" t="s">
        <v>383</v>
      </c>
      <c r="F43" t="s">
        <v>38</v>
      </c>
      <c r="G43" t="s">
        <v>365</v>
      </c>
      <c r="H43" t="s">
        <v>366</v>
      </c>
      <c r="I43" t="s">
        <v>376</v>
      </c>
      <c r="J43" t="s">
        <v>377</v>
      </c>
      <c r="K43" t="s">
        <v>405</v>
      </c>
      <c r="L43" t="s">
        <v>38</v>
      </c>
    </row>
    <row r="45" spans="1:12">
      <c r="A45" t="s">
        <v>427</v>
      </c>
    </row>
    <row r="46" spans="1:12">
      <c r="A46" t="s">
        <v>349</v>
      </c>
      <c r="B46" t="s">
        <v>350</v>
      </c>
      <c r="C46" t="s">
        <v>351</v>
      </c>
      <c r="E46" t="s">
        <v>352</v>
      </c>
      <c r="F46" t="s">
        <v>353</v>
      </c>
      <c r="G46" t="s">
        <v>354</v>
      </c>
      <c r="H46" t="s">
        <v>355</v>
      </c>
      <c r="I46" t="s">
        <v>356</v>
      </c>
      <c r="J46" t="s">
        <v>357</v>
      </c>
      <c r="K46" t="s">
        <v>358</v>
      </c>
      <c r="L46" t="s">
        <v>359</v>
      </c>
    </row>
    <row r="47" spans="1:12">
      <c r="A47" t="s">
        <v>360</v>
      </c>
      <c r="B47" s="9" t="s">
        <v>428</v>
      </c>
      <c r="C47" t="s">
        <v>429</v>
      </c>
      <c r="D47" t="str">
        <f>CONCATENATE(B47," ",C47)</f>
        <v xml:space="preserve"> BSS-22  An Error Occurred with Your "Opportunity Contact Role PB Handler" Flow</v>
      </c>
      <c r="E47" s="9" t="s">
        <v>412</v>
      </c>
      <c r="F47" t="s">
        <v>364</v>
      </c>
      <c r="G47" t="s">
        <v>365</v>
      </c>
      <c r="H47" t="s">
        <v>366</v>
      </c>
      <c r="I47" t="s">
        <v>430</v>
      </c>
      <c r="J47" t="s">
        <v>431</v>
      </c>
      <c r="K47" t="s">
        <v>431</v>
      </c>
      <c r="L47" t="s">
        <v>364</v>
      </c>
    </row>
    <row r="48" spans="1:12">
      <c r="A48" t="s">
        <v>360</v>
      </c>
      <c r="B48" s="9" t="s">
        <v>432</v>
      </c>
      <c r="C48" t="s">
        <v>433</v>
      </c>
      <c r="D48" t="str">
        <f>CONCATENATE(B48," ",C48)</f>
        <v xml:space="preserve"> BSS-23  An Error Occurred with Your "Renewals - Send email to OCRs" Flow</v>
      </c>
      <c r="E48" s="9" t="s">
        <v>412</v>
      </c>
      <c r="F48" t="s">
        <v>364</v>
      </c>
      <c r="G48" t="s">
        <v>365</v>
      </c>
      <c r="H48" t="s">
        <v>366</v>
      </c>
      <c r="I48" t="s">
        <v>430</v>
      </c>
      <c r="J48" t="s">
        <v>431</v>
      </c>
      <c r="K48" t="s">
        <v>431</v>
      </c>
      <c r="L48" t="s">
        <v>364</v>
      </c>
    </row>
    <row r="49" spans="1:12">
      <c r="A49" t="s">
        <v>409</v>
      </c>
      <c r="B49" s="8" t="s">
        <v>410</v>
      </c>
      <c r="C49" t="s">
        <v>411</v>
      </c>
      <c r="D49" t="str">
        <f>CONCATENATE(B49," ",C49)</f>
        <v xml:space="preserve"> BSS-13  Flow error message improvement</v>
      </c>
      <c r="E49" s="8" t="s">
        <v>412</v>
      </c>
      <c r="F49" t="s">
        <v>364</v>
      </c>
      <c r="G49" t="s">
        <v>365</v>
      </c>
      <c r="H49" t="s">
        <v>366</v>
      </c>
      <c r="I49" t="s">
        <v>413</v>
      </c>
      <c r="J49" t="s">
        <v>368</v>
      </c>
      <c r="K49" t="s">
        <v>368</v>
      </c>
      <c r="L49" t="s">
        <v>364</v>
      </c>
    </row>
    <row r="50" spans="1:12">
      <c r="A50" t="s">
        <v>360</v>
      </c>
      <c r="B50" s="8" t="s">
        <v>406</v>
      </c>
      <c r="C50" t="s">
        <v>407</v>
      </c>
      <c r="D50" t="str">
        <f t="shared" ref="D50:D59" si="4">CONCATENATE(B50," ",C50)</f>
        <v xml:space="preserve"> BSS-15  Trim the spaces before sending to HomeLet</v>
      </c>
      <c r="E50" s="8" t="s">
        <v>404</v>
      </c>
      <c r="F50" t="s">
        <v>372</v>
      </c>
      <c r="G50" t="s">
        <v>365</v>
      </c>
      <c r="H50" t="s">
        <v>366</v>
      </c>
      <c r="I50" t="s">
        <v>365</v>
      </c>
      <c r="J50" t="s">
        <v>398</v>
      </c>
      <c r="K50" t="s">
        <v>422</v>
      </c>
      <c r="L50" t="s">
        <v>372</v>
      </c>
    </row>
    <row r="51" spans="1:12">
      <c r="A51" t="s">
        <v>360</v>
      </c>
      <c r="B51" s="8" t="s">
        <v>369</v>
      </c>
      <c r="C51" t="s">
        <v>370</v>
      </c>
      <c r="D51" t="str">
        <f t="shared" si="4"/>
        <v xml:space="preserve"> BSS-9  HomeLet referencing error showing in this opportunity</v>
      </c>
      <c r="E51" s="8" t="s">
        <v>404</v>
      </c>
      <c r="F51" t="s">
        <v>372</v>
      </c>
      <c r="G51" t="s">
        <v>365</v>
      </c>
      <c r="H51" t="s">
        <v>366</v>
      </c>
      <c r="I51" t="s">
        <v>365</v>
      </c>
      <c r="J51" t="s">
        <v>373</v>
      </c>
      <c r="K51" t="s">
        <v>422</v>
      </c>
      <c r="L51" t="s">
        <v>372</v>
      </c>
    </row>
    <row r="52" spans="1:12">
      <c r="A52" t="s">
        <v>360</v>
      </c>
      <c r="B52" s="8" t="s">
        <v>378</v>
      </c>
      <c r="C52" t="s">
        <v>379</v>
      </c>
      <c r="D52" t="str">
        <f t="shared" si="4"/>
        <v xml:space="preserve"> BSS-4  Agreement not pulling the template with 1 tenant and 2 guarantors </v>
      </c>
      <c r="E52" s="8" t="s">
        <v>404</v>
      </c>
      <c r="F52" t="s">
        <v>38</v>
      </c>
      <c r="G52" t="s">
        <v>365</v>
      </c>
      <c r="H52" t="s">
        <v>366</v>
      </c>
      <c r="I52" t="s">
        <v>376</v>
      </c>
      <c r="J52" t="s">
        <v>380</v>
      </c>
      <c r="K52" t="s">
        <v>422</v>
      </c>
      <c r="L52" t="s">
        <v>38</v>
      </c>
    </row>
    <row r="53" spans="1:12">
      <c r="A53" t="s">
        <v>360</v>
      </c>
      <c r="B53" s="9" t="s">
        <v>434</v>
      </c>
      <c r="C53" t="s">
        <v>435</v>
      </c>
      <c r="D53" t="str">
        <f>CONCATENATE(B53," ",C53)</f>
        <v xml:space="preserve"> BSS-20  Lead Tenant being sent twice to HomeLet</v>
      </c>
      <c r="E53" s="9" t="s">
        <v>425</v>
      </c>
      <c r="F53" t="s">
        <v>372</v>
      </c>
      <c r="G53" t="s">
        <v>365</v>
      </c>
      <c r="H53" t="s">
        <v>366</v>
      </c>
      <c r="I53" t="s">
        <v>365</v>
      </c>
      <c r="J53" t="s">
        <v>422</v>
      </c>
      <c r="K53" t="s">
        <v>431</v>
      </c>
      <c r="L53" t="s">
        <v>389</v>
      </c>
    </row>
    <row r="54" spans="1:12">
      <c r="A54" t="s">
        <v>360</v>
      </c>
      <c r="B54" s="9" t="s">
        <v>417</v>
      </c>
      <c r="C54" t="s">
        <v>418</v>
      </c>
      <c r="D54" t="str">
        <f t="shared" si="4"/>
        <v xml:space="preserve"> BSS-19  The Units  with status “On the market – no access” are not able to be posted onto Rightmove</v>
      </c>
      <c r="E54" s="9" t="s">
        <v>425</v>
      </c>
      <c r="F54" t="s">
        <v>436</v>
      </c>
      <c r="G54" t="s">
        <v>365</v>
      </c>
      <c r="H54" t="s">
        <v>366</v>
      </c>
      <c r="I54" t="s">
        <v>365</v>
      </c>
      <c r="J54" t="s">
        <v>416</v>
      </c>
      <c r="K54" t="s">
        <v>431</v>
      </c>
      <c r="L54" t="s">
        <v>372</v>
      </c>
    </row>
    <row r="55" spans="1:12">
      <c r="A55" t="s">
        <v>360</v>
      </c>
      <c r="B55" s="9" t="s">
        <v>361</v>
      </c>
      <c r="C55" t="s">
        <v>362</v>
      </c>
      <c r="D55" t="str">
        <f t="shared" si="4"/>
        <v xml:space="preserve"> BSS-8  Unable to complete task on EOT</v>
      </c>
      <c r="E55" s="9" t="s">
        <v>425</v>
      </c>
      <c r="F55" t="s">
        <v>38</v>
      </c>
      <c r="G55" t="s">
        <v>365</v>
      </c>
      <c r="H55" t="s">
        <v>366</v>
      </c>
      <c r="I55" t="s">
        <v>365</v>
      </c>
      <c r="J55" t="s">
        <v>367</v>
      </c>
      <c r="K55" t="s">
        <v>431</v>
      </c>
      <c r="L55" t="s">
        <v>38</v>
      </c>
    </row>
    <row r="56" spans="1:12">
      <c r="A56" t="s">
        <v>360</v>
      </c>
      <c r="B56" s="9" t="s">
        <v>399</v>
      </c>
      <c r="C56" t="s">
        <v>400</v>
      </c>
      <c r="D56" t="str">
        <f t="shared" si="4"/>
        <v xml:space="preserve"> BSS-14  An unhandled fault occurred in this flow</v>
      </c>
      <c r="E56" s="9" t="s">
        <v>425</v>
      </c>
      <c r="F56" t="s">
        <v>38</v>
      </c>
      <c r="G56" t="s">
        <v>365</v>
      </c>
      <c r="H56" t="s">
        <v>366</v>
      </c>
      <c r="I56" t="s">
        <v>365</v>
      </c>
      <c r="J56" t="s">
        <v>401</v>
      </c>
      <c r="K56" t="s">
        <v>422</v>
      </c>
      <c r="L56" t="s">
        <v>38</v>
      </c>
    </row>
    <row r="57" spans="1:12">
      <c r="A57" t="s">
        <v>360</v>
      </c>
      <c r="B57" s="9" t="s">
        <v>402</v>
      </c>
      <c r="C57" t="s">
        <v>403</v>
      </c>
      <c r="D57" t="str">
        <f t="shared" si="4"/>
        <v xml:space="preserve"> BSS-16  Unable to send to Homelet</v>
      </c>
      <c r="E57" s="9" t="s">
        <v>425</v>
      </c>
      <c r="F57" t="s">
        <v>372</v>
      </c>
      <c r="G57" t="s">
        <v>365</v>
      </c>
      <c r="H57" t="s">
        <v>366</v>
      </c>
      <c r="I57" t="s">
        <v>365</v>
      </c>
      <c r="J57" t="s">
        <v>398</v>
      </c>
      <c r="K57" t="s">
        <v>431</v>
      </c>
      <c r="L57" t="s">
        <v>372</v>
      </c>
    </row>
    <row r="58" spans="1:12">
      <c r="A58" t="s">
        <v>360</v>
      </c>
      <c r="B58" s="9" t="s">
        <v>423</v>
      </c>
      <c r="C58" t="s">
        <v>424</v>
      </c>
      <c r="D58" t="str">
        <f t="shared" si="4"/>
        <v xml:space="preserve"> BSS-17  Guarantor not being sent for referencing</v>
      </c>
      <c r="E58" s="9" t="s">
        <v>383</v>
      </c>
      <c r="F58" t="s">
        <v>389</v>
      </c>
      <c r="G58" t="s">
        <v>365</v>
      </c>
      <c r="H58" t="s">
        <v>366</v>
      </c>
      <c r="I58" t="s">
        <v>365</v>
      </c>
      <c r="J58" t="s">
        <v>426</v>
      </c>
      <c r="K58" t="s">
        <v>437</v>
      </c>
      <c r="L58" t="s">
        <v>389</v>
      </c>
    </row>
    <row r="59" spans="1:12">
      <c r="A59" t="s">
        <v>360</v>
      </c>
      <c r="B59" s="9" t="s">
        <v>438</v>
      </c>
      <c r="C59" t="s">
        <v>439</v>
      </c>
      <c r="D59" t="str">
        <f t="shared" si="4"/>
        <v xml:space="preserve"> BSS-21  Re-send guarantor to HomeLet</v>
      </c>
      <c r="E59" s="9" t="s">
        <v>383</v>
      </c>
      <c r="F59" t="s">
        <v>372</v>
      </c>
      <c r="G59" t="s">
        <v>365</v>
      </c>
      <c r="H59" t="s">
        <v>366</v>
      </c>
      <c r="I59" t="s">
        <v>365</v>
      </c>
      <c r="J59" t="s">
        <v>440</v>
      </c>
      <c r="K59" t="s">
        <v>431</v>
      </c>
      <c r="L59" t="s">
        <v>389</v>
      </c>
    </row>
    <row r="60" spans="1:12" s="10" customFormat="1">
      <c r="A60" s="10" t="s">
        <v>360</v>
      </c>
      <c r="B60" s="10" t="s">
        <v>381</v>
      </c>
      <c r="C60" s="10" t="s">
        <v>382</v>
      </c>
      <c r="D60" s="10" t="str">
        <f t="shared" ref="D60:D65" si="5">CONCATENATE(B60," ",C60)</f>
        <v xml:space="preserve"> BSS-2   Receiving an error on every task I try and complete </v>
      </c>
      <c r="E60" s="10" t="s">
        <v>383</v>
      </c>
      <c r="F60" s="10" t="s">
        <v>38</v>
      </c>
      <c r="G60" s="10" t="s">
        <v>365</v>
      </c>
      <c r="H60" s="10" t="s">
        <v>366</v>
      </c>
      <c r="I60" s="10" t="s">
        <v>376</v>
      </c>
      <c r="J60" s="10" t="s">
        <v>384</v>
      </c>
      <c r="K60" s="10" t="s">
        <v>385</v>
      </c>
      <c r="L60" s="10" t="s">
        <v>38</v>
      </c>
    </row>
    <row r="61" spans="1:12" s="10" customFormat="1">
      <c r="A61" s="10" t="s">
        <v>360</v>
      </c>
      <c r="B61" s="10" t="s">
        <v>386</v>
      </c>
      <c r="C61" s="10" t="s">
        <v>387</v>
      </c>
      <c r="D61" s="10" t="str">
        <f t="shared" si="5"/>
        <v xml:space="preserve"> BSS-5  Security deposit not populated for renewals</v>
      </c>
      <c r="E61" s="10" t="s">
        <v>383</v>
      </c>
      <c r="F61" s="10" t="s">
        <v>364</v>
      </c>
      <c r="G61" s="10" t="s">
        <v>365</v>
      </c>
      <c r="H61" s="10" t="s">
        <v>366</v>
      </c>
      <c r="I61" s="10" t="s">
        <v>376</v>
      </c>
      <c r="J61" s="10" t="s">
        <v>388</v>
      </c>
      <c r="K61" s="10" t="s">
        <v>385</v>
      </c>
      <c r="L61" s="10" t="s">
        <v>389</v>
      </c>
    </row>
    <row r="62" spans="1:12" s="10" customFormat="1">
      <c r="A62" s="10" t="s">
        <v>390</v>
      </c>
      <c r="B62" s="10" t="s">
        <v>395</v>
      </c>
      <c r="C62" s="10" t="s">
        <v>396</v>
      </c>
      <c r="D62" s="10" t="str">
        <f t="shared" si="5"/>
        <v xml:space="preserve"> BSS-7  Update the referencing Provider to HomeLet</v>
      </c>
      <c r="E62" s="10" t="s">
        <v>383</v>
      </c>
      <c r="F62" s="10" t="s">
        <v>389</v>
      </c>
      <c r="G62" s="10" t="s">
        <v>365</v>
      </c>
      <c r="H62" s="10" t="s">
        <v>366</v>
      </c>
      <c r="I62" s="10" t="s">
        <v>376</v>
      </c>
      <c r="J62" s="10" t="s">
        <v>367</v>
      </c>
      <c r="K62" s="10" t="s">
        <v>394</v>
      </c>
      <c r="L62" s="10" t="s">
        <v>372</v>
      </c>
    </row>
    <row r="63" spans="1:12" s="10" customFormat="1">
      <c r="A63" s="10" t="s">
        <v>390</v>
      </c>
      <c r="B63" s="10" t="s">
        <v>391</v>
      </c>
      <c r="C63" s="10" t="s">
        <v>392</v>
      </c>
      <c r="D63" s="10" t="str">
        <f t="shared" si="5"/>
        <v xml:space="preserve"> BSS-6  Update the noOfAdultOccupants calculation</v>
      </c>
      <c r="E63" s="10" t="s">
        <v>383</v>
      </c>
      <c r="F63" s="10" t="s">
        <v>389</v>
      </c>
      <c r="G63" s="10" t="s">
        <v>365</v>
      </c>
      <c r="H63" s="10" t="s">
        <v>366</v>
      </c>
      <c r="I63" s="10" t="s">
        <v>376</v>
      </c>
      <c r="J63" s="10" t="s">
        <v>393</v>
      </c>
      <c r="K63" s="10" t="s">
        <v>426</v>
      </c>
      <c r="L63" s="10" t="s">
        <v>372</v>
      </c>
    </row>
    <row r="64" spans="1:12" s="10" customFormat="1">
      <c r="A64" s="10" t="s">
        <v>360</v>
      </c>
      <c r="B64" s="10" t="s">
        <v>374</v>
      </c>
      <c r="C64" s="10" t="s">
        <v>375</v>
      </c>
      <c r="D64" s="10" t="str">
        <f t="shared" si="5"/>
        <v xml:space="preserve"> BSS-3  EOT task- Couldn't  be cancelled through approver ( record owner)</v>
      </c>
      <c r="E64" s="10" t="s">
        <v>383</v>
      </c>
      <c r="F64" s="10" t="s">
        <v>38</v>
      </c>
      <c r="G64" s="10" t="s">
        <v>365</v>
      </c>
      <c r="H64" s="10" t="s">
        <v>366</v>
      </c>
      <c r="I64" s="10" t="s">
        <v>376</v>
      </c>
      <c r="J64" s="10" t="s">
        <v>377</v>
      </c>
      <c r="K64" s="10" t="s">
        <v>405</v>
      </c>
      <c r="L64" s="10" t="s">
        <v>38</v>
      </c>
    </row>
    <row r="65" spans="1:12" s="10" customFormat="1">
      <c r="A65" s="10" t="s">
        <v>360</v>
      </c>
      <c r="B65" s="10" t="s">
        <v>419</v>
      </c>
      <c r="C65" s="10" t="s">
        <v>420</v>
      </c>
      <c r="D65" s="10" t="str">
        <f t="shared" si="5"/>
        <v xml:space="preserve"> BSS-18  Limit Exceeded Error while trying to update a Unit via Salesforce connector</v>
      </c>
      <c r="E65" s="10" t="s">
        <v>383</v>
      </c>
      <c r="F65" s="10" t="s">
        <v>372</v>
      </c>
      <c r="G65" s="10" t="s">
        <v>365</v>
      </c>
      <c r="H65" s="10" t="s">
        <v>366</v>
      </c>
      <c r="I65" s="10" t="s">
        <v>365</v>
      </c>
      <c r="J65" s="10" t="s">
        <v>421</v>
      </c>
      <c r="K65" s="10" t="s">
        <v>422</v>
      </c>
      <c r="L65" s="10" t="s">
        <v>372</v>
      </c>
    </row>
    <row r="67" spans="1:12">
      <c r="A67" t="s">
        <v>441</v>
      </c>
    </row>
    <row r="68" spans="1:12">
      <c r="A68" t="s">
        <v>349</v>
      </c>
      <c r="B68" t="s">
        <v>350</v>
      </c>
      <c r="C68" t="s">
        <v>351</v>
      </c>
      <c r="E68" t="s">
        <v>352</v>
      </c>
      <c r="F68" t="s">
        <v>353</v>
      </c>
      <c r="G68" t="s">
        <v>354</v>
      </c>
      <c r="H68" t="s">
        <v>355</v>
      </c>
      <c r="I68" t="s">
        <v>356</v>
      </c>
      <c r="J68" t="s">
        <v>357</v>
      </c>
      <c r="K68" t="s">
        <v>358</v>
      </c>
      <c r="L68" t="s">
        <v>359</v>
      </c>
    </row>
    <row r="69" spans="1:12">
      <c r="A69" t="s">
        <v>409</v>
      </c>
      <c r="B69" s="8" t="s">
        <v>410</v>
      </c>
      <c r="C69" t="s">
        <v>411</v>
      </c>
      <c r="D69" t="str">
        <f t="shared" ref="D69:D85" si="6">CONCATENATE(B69," ",C69)</f>
        <v xml:space="preserve"> BSS-13  Flow error message improvement</v>
      </c>
      <c r="E69" s="8" t="s">
        <v>412</v>
      </c>
      <c r="F69" t="s">
        <v>372</v>
      </c>
      <c r="G69" t="s">
        <v>365</v>
      </c>
      <c r="H69" t="s">
        <v>366</v>
      </c>
      <c r="I69" t="s">
        <v>413</v>
      </c>
      <c r="J69" t="s">
        <v>368</v>
      </c>
      <c r="K69" t="s">
        <v>442</v>
      </c>
      <c r="L69" t="s">
        <v>364</v>
      </c>
    </row>
    <row r="70" spans="1:12">
      <c r="A70" t="s">
        <v>360</v>
      </c>
      <c r="B70" s="9" t="s">
        <v>443</v>
      </c>
      <c r="C70" t="s">
        <v>444</v>
      </c>
      <c r="D70" t="str">
        <f t="shared" si="6"/>
        <v xml:space="preserve"> BSS-27  Lead tenant validation preventing creation of renewal opps</v>
      </c>
      <c r="E70" s="9" t="s">
        <v>412</v>
      </c>
      <c r="F70" t="s">
        <v>372</v>
      </c>
      <c r="G70" t="s">
        <v>365</v>
      </c>
      <c r="H70" t="s">
        <v>445</v>
      </c>
      <c r="I70" t="s">
        <v>365</v>
      </c>
      <c r="J70" t="s">
        <v>446</v>
      </c>
      <c r="K70" t="s">
        <v>447</v>
      </c>
      <c r="L70" t="s">
        <v>389</v>
      </c>
    </row>
    <row r="71" spans="1:12">
      <c r="A71" t="s">
        <v>360</v>
      </c>
      <c r="B71" s="9" t="s">
        <v>406</v>
      </c>
      <c r="C71" t="s">
        <v>407</v>
      </c>
      <c r="D71" t="str">
        <f t="shared" si="6"/>
        <v xml:space="preserve"> BSS-15  Trim the spaces before sending to HomeLet</v>
      </c>
      <c r="E71" s="9" t="s">
        <v>412</v>
      </c>
      <c r="F71" t="s">
        <v>372</v>
      </c>
      <c r="G71" t="s">
        <v>365</v>
      </c>
      <c r="H71" t="s">
        <v>366</v>
      </c>
      <c r="I71" t="s">
        <v>365</v>
      </c>
      <c r="J71" t="s">
        <v>398</v>
      </c>
      <c r="K71" t="s">
        <v>442</v>
      </c>
      <c r="L71" t="s">
        <v>448</v>
      </c>
    </row>
    <row r="72" spans="1:12">
      <c r="A72" t="s">
        <v>409</v>
      </c>
      <c r="B72" s="9" t="s">
        <v>449</v>
      </c>
      <c r="C72" t="s">
        <v>450</v>
      </c>
      <c r="D72" t="str">
        <f t="shared" si="6"/>
        <v xml:space="preserve"> BSS-24  Update recipients for Process Automation Settings</v>
      </c>
      <c r="E72" s="9" t="s">
        <v>412</v>
      </c>
      <c r="F72" t="s">
        <v>372</v>
      </c>
      <c r="G72" t="s">
        <v>365</v>
      </c>
      <c r="H72" t="s">
        <v>366</v>
      </c>
      <c r="I72" t="s">
        <v>365</v>
      </c>
      <c r="J72" t="s">
        <v>431</v>
      </c>
      <c r="K72" t="s">
        <v>442</v>
      </c>
      <c r="L72" t="s">
        <v>364</v>
      </c>
    </row>
    <row r="73" spans="1:12">
      <c r="A73" t="s">
        <v>360</v>
      </c>
      <c r="B73" s="8" t="s">
        <v>432</v>
      </c>
      <c r="C73" t="s">
        <v>433</v>
      </c>
      <c r="D73" t="str">
        <f t="shared" si="6"/>
        <v xml:space="preserve"> BSS-23  An Error Occurred with Your "Renewals - Send email to OCRs" Flow</v>
      </c>
      <c r="E73" s="8" t="s">
        <v>412</v>
      </c>
      <c r="F73" t="s">
        <v>372</v>
      </c>
      <c r="G73" t="s">
        <v>365</v>
      </c>
      <c r="H73" t="s">
        <v>451</v>
      </c>
      <c r="I73" t="s">
        <v>430</v>
      </c>
      <c r="J73" t="s">
        <v>431</v>
      </c>
      <c r="K73" t="s">
        <v>442</v>
      </c>
      <c r="L73" t="s">
        <v>364</v>
      </c>
    </row>
    <row r="74" spans="1:12">
      <c r="A74" t="s">
        <v>360</v>
      </c>
      <c r="B74" s="9" t="s">
        <v>428</v>
      </c>
      <c r="C74" t="s">
        <v>452</v>
      </c>
      <c r="D74" t="str">
        <f t="shared" si="6"/>
        <v xml:space="preserve"> BSS-22  Welsh Occupation Contract validation blocking opportunities for Parking Garages in Cardiff</v>
      </c>
      <c r="E74" s="9" t="s">
        <v>363</v>
      </c>
      <c r="F74" t="s">
        <v>364</v>
      </c>
      <c r="G74" t="s">
        <v>365</v>
      </c>
      <c r="H74" t="s">
        <v>445</v>
      </c>
      <c r="I74" t="s">
        <v>430</v>
      </c>
      <c r="J74" t="s">
        <v>431</v>
      </c>
      <c r="K74" t="s">
        <v>447</v>
      </c>
      <c r="L74" t="s">
        <v>364</v>
      </c>
    </row>
    <row r="75" spans="1:12">
      <c r="A75" t="s">
        <v>360</v>
      </c>
      <c r="B75" s="9" t="s">
        <v>378</v>
      </c>
      <c r="C75" t="s">
        <v>379</v>
      </c>
      <c r="D75" t="str">
        <f t="shared" si="6"/>
        <v xml:space="preserve"> BSS-4  Agreement not pulling the template with 1 tenant and 2 guarantors </v>
      </c>
      <c r="E75" s="9" t="s">
        <v>363</v>
      </c>
      <c r="F75" t="s">
        <v>364</v>
      </c>
      <c r="G75" t="s">
        <v>365</v>
      </c>
      <c r="H75" t="s">
        <v>366</v>
      </c>
      <c r="I75" t="s">
        <v>376</v>
      </c>
      <c r="J75" t="s">
        <v>380</v>
      </c>
      <c r="K75" t="s">
        <v>442</v>
      </c>
      <c r="L75" t="s">
        <v>453</v>
      </c>
    </row>
    <row r="76" spans="1:12">
      <c r="A76" t="s">
        <v>360</v>
      </c>
      <c r="B76" s="8" t="s">
        <v>434</v>
      </c>
      <c r="C76" t="s">
        <v>435</v>
      </c>
      <c r="D76" t="str">
        <f t="shared" si="6"/>
        <v xml:space="preserve"> BSS-20  Lead Tenant being sent twice to HomeLet</v>
      </c>
      <c r="E76" s="8" t="s">
        <v>425</v>
      </c>
      <c r="F76" t="s">
        <v>372</v>
      </c>
      <c r="G76" t="s">
        <v>365</v>
      </c>
      <c r="H76" t="s">
        <v>366</v>
      </c>
      <c r="I76" t="s">
        <v>365</v>
      </c>
      <c r="J76" t="s">
        <v>422</v>
      </c>
      <c r="K76" t="s">
        <v>442</v>
      </c>
      <c r="L76" t="s">
        <v>389</v>
      </c>
    </row>
    <row r="77" spans="1:12">
      <c r="A77" t="s">
        <v>360</v>
      </c>
      <c r="B77" s="8" t="s">
        <v>399</v>
      </c>
      <c r="C77" t="s">
        <v>400</v>
      </c>
      <c r="D77" t="str">
        <f t="shared" si="6"/>
        <v xml:space="preserve"> BSS-14  An unhandled fault occurred in this flow</v>
      </c>
      <c r="E77" s="8" t="s">
        <v>425</v>
      </c>
      <c r="F77" t="s">
        <v>38</v>
      </c>
      <c r="G77" t="s">
        <v>365</v>
      </c>
      <c r="H77" t="s">
        <v>366</v>
      </c>
      <c r="I77" t="s">
        <v>365</v>
      </c>
      <c r="J77" t="s">
        <v>401</v>
      </c>
      <c r="K77" t="s">
        <v>422</v>
      </c>
      <c r="L77" t="s">
        <v>453</v>
      </c>
    </row>
    <row r="78" spans="1:12">
      <c r="A78" t="s">
        <v>360</v>
      </c>
      <c r="B78" s="8" t="s">
        <v>402</v>
      </c>
      <c r="C78" t="s">
        <v>403</v>
      </c>
      <c r="D78" t="str">
        <f t="shared" si="6"/>
        <v xml:space="preserve"> BSS-16  Unable to send to Homelet</v>
      </c>
      <c r="E78" s="8" t="s">
        <v>425</v>
      </c>
      <c r="F78" t="s">
        <v>372</v>
      </c>
      <c r="G78" t="s">
        <v>365</v>
      </c>
      <c r="H78" t="s">
        <v>366</v>
      </c>
      <c r="I78" t="s">
        <v>365</v>
      </c>
      <c r="J78" t="s">
        <v>398</v>
      </c>
      <c r="K78" t="s">
        <v>431</v>
      </c>
      <c r="L78" t="s">
        <v>448</v>
      </c>
    </row>
    <row r="79" spans="1:12">
      <c r="A79" t="s">
        <v>360</v>
      </c>
      <c r="B79" s="9" t="s">
        <v>454</v>
      </c>
      <c r="C79" t="s">
        <v>455</v>
      </c>
      <c r="D79" t="str">
        <f t="shared" si="6"/>
        <v xml:space="preserve"> BSS-28  Contract Sign Date not displaying</v>
      </c>
      <c r="E79" s="9" t="s">
        <v>425</v>
      </c>
      <c r="F79" t="s">
        <v>372</v>
      </c>
      <c r="G79" t="s">
        <v>365</v>
      </c>
      <c r="H79" t="s">
        <v>445</v>
      </c>
      <c r="I79" t="s">
        <v>365</v>
      </c>
      <c r="J79" t="s">
        <v>446</v>
      </c>
      <c r="K79" t="s">
        <v>442</v>
      </c>
      <c r="L79" t="s">
        <v>448</v>
      </c>
    </row>
    <row r="80" spans="1:12">
      <c r="A80" t="s">
        <v>360</v>
      </c>
      <c r="B80" s="9" t="s">
        <v>369</v>
      </c>
      <c r="C80" t="s">
        <v>370</v>
      </c>
      <c r="D80" t="str">
        <f t="shared" si="6"/>
        <v xml:space="preserve"> BSS-9  HomeLet referencing error showing in this opportunity</v>
      </c>
      <c r="E80" s="9" t="s">
        <v>425</v>
      </c>
      <c r="F80" t="s">
        <v>372</v>
      </c>
      <c r="G80" t="s">
        <v>365</v>
      </c>
      <c r="H80" t="s">
        <v>366</v>
      </c>
      <c r="I80" t="s">
        <v>365</v>
      </c>
      <c r="J80" t="s">
        <v>373</v>
      </c>
      <c r="K80" t="s">
        <v>442</v>
      </c>
      <c r="L80" t="s">
        <v>448</v>
      </c>
    </row>
    <row r="81" spans="1:12">
      <c r="A81" t="s">
        <v>360</v>
      </c>
      <c r="B81" s="8" t="s">
        <v>423</v>
      </c>
      <c r="C81" t="s">
        <v>424</v>
      </c>
      <c r="D81" t="str">
        <f t="shared" si="6"/>
        <v xml:space="preserve"> BSS-17  Guarantor not being sent for referencing</v>
      </c>
      <c r="E81" s="8" t="s">
        <v>383</v>
      </c>
      <c r="F81" t="s">
        <v>389</v>
      </c>
      <c r="G81" t="s">
        <v>365</v>
      </c>
      <c r="H81" t="s">
        <v>366</v>
      </c>
      <c r="I81" t="s">
        <v>365</v>
      </c>
      <c r="J81" t="s">
        <v>426</v>
      </c>
      <c r="K81" t="s">
        <v>437</v>
      </c>
      <c r="L81" t="s">
        <v>389</v>
      </c>
    </row>
    <row r="82" spans="1:12">
      <c r="A82" t="s">
        <v>360</v>
      </c>
      <c r="B82" s="9" t="s">
        <v>361</v>
      </c>
      <c r="C82" t="s">
        <v>362</v>
      </c>
      <c r="D82" t="str">
        <f t="shared" si="6"/>
        <v xml:space="preserve"> BSS-8  Unable to complete task on EOT</v>
      </c>
      <c r="E82" s="9" t="s">
        <v>383</v>
      </c>
      <c r="F82" t="s">
        <v>38</v>
      </c>
      <c r="G82" t="s">
        <v>365</v>
      </c>
      <c r="H82" t="s">
        <v>366</v>
      </c>
      <c r="I82" t="s">
        <v>365</v>
      </c>
      <c r="J82" t="s">
        <v>367</v>
      </c>
      <c r="K82" t="s">
        <v>442</v>
      </c>
      <c r="L82" t="s">
        <v>453</v>
      </c>
    </row>
    <row r="83" spans="1:12">
      <c r="A83" t="s">
        <v>360</v>
      </c>
      <c r="B83" s="8" t="s">
        <v>438</v>
      </c>
      <c r="C83" t="s">
        <v>439</v>
      </c>
      <c r="D83" t="str">
        <f t="shared" si="6"/>
        <v xml:space="preserve"> BSS-21  Re-send guarantor to HomeLet</v>
      </c>
      <c r="E83" s="8" t="s">
        <v>383</v>
      </c>
      <c r="F83" t="s">
        <v>372</v>
      </c>
      <c r="G83" t="s">
        <v>365</v>
      </c>
      <c r="H83" t="s">
        <v>366</v>
      </c>
      <c r="I83" t="s">
        <v>365</v>
      </c>
      <c r="J83" t="s">
        <v>440</v>
      </c>
      <c r="K83" t="s">
        <v>431</v>
      </c>
      <c r="L83" t="s">
        <v>389</v>
      </c>
    </row>
    <row r="84" spans="1:12">
      <c r="A84" t="s">
        <v>360</v>
      </c>
      <c r="B84" s="9" t="s">
        <v>417</v>
      </c>
      <c r="C84" t="s">
        <v>418</v>
      </c>
      <c r="D84" t="str">
        <f t="shared" si="6"/>
        <v xml:space="preserve"> BSS-19  The Units  with status “On the market – no access” are not able to be posted onto Rightmove</v>
      </c>
      <c r="E84" s="9" t="s">
        <v>383</v>
      </c>
      <c r="F84" t="s">
        <v>364</v>
      </c>
      <c r="G84" t="s">
        <v>365</v>
      </c>
      <c r="H84" t="s">
        <v>366</v>
      </c>
      <c r="I84" t="s">
        <v>365</v>
      </c>
      <c r="J84" t="s">
        <v>416</v>
      </c>
      <c r="K84" t="s">
        <v>456</v>
      </c>
      <c r="L84" t="s">
        <v>448</v>
      </c>
    </row>
    <row r="85" spans="1:12">
      <c r="A85" t="s">
        <v>409</v>
      </c>
      <c r="B85" s="9" t="s">
        <v>457</v>
      </c>
      <c r="C85" t="s">
        <v>458</v>
      </c>
      <c r="D85" t="str">
        <f t="shared" si="6"/>
        <v xml:space="preserve"> BSS-25  Update UAT Organization-Wide Addresses</v>
      </c>
      <c r="E85" s="9" t="s">
        <v>383</v>
      </c>
      <c r="F85" t="s">
        <v>364</v>
      </c>
      <c r="G85" t="s">
        <v>365</v>
      </c>
      <c r="H85" t="s">
        <v>366</v>
      </c>
      <c r="I85" t="s">
        <v>365</v>
      </c>
      <c r="J85" t="s">
        <v>431</v>
      </c>
      <c r="K85" t="s">
        <v>456</v>
      </c>
      <c r="L85" t="s">
        <v>364</v>
      </c>
    </row>
    <row r="87" spans="1:12">
      <c r="A87" t="s">
        <v>459</v>
      </c>
    </row>
    <row r="88" spans="1:12">
      <c r="A88" t="s">
        <v>349</v>
      </c>
      <c r="B88" t="s">
        <v>350</v>
      </c>
      <c r="C88" t="s">
        <v>351</v>
      </c>
      <c r="E88" t="s">
        <v>352</v>
      </c>
      <c r="F88" t="s">
        <v>353</v>
      </c>
      <c r="G88" t="s">
        <v>354</v>
      </c>
      <c r="H88" t="s">
        <v>355</v>
      </c>
      <c r="I88" t="s">
        <v>356</v>
      </c>
      <c r="J88" t="s">
        <v>357</v>
      </c>
      <c r="K88" t="s">
        <v>358</v>
      </c>
      <c r="L88" t="s">
        <v>359</v>
      </c>
    </row>
    <row r="89" spans="1:12">
      <c r="A89" t="s">
        <v>360</v>
      </c>
      <c r="B89" t="s">
        <v>428</v>
      </c>
      <c r="C89" t="s">
        <v>452</v>
      </c>
      <c r="D89" t="str">
        <f t="shared" ref="D89:D107" si="7">CONCATENATE(B89," ",C89)</f>
        <v xml:space="preserve"> BSS-22  Welsh Occupation Contract validation blocking opportunities for Parking Garages in Cardiff</v>
      </c>
      <c r="E89" t="s">
        <v>460</v>
      </c>
      <c r="F89" t="s">
        <v>364</v>
      </c>
      <c r="G89" t="s">
        <v>365</v>
      </c>
      <c r="H89" t="s">
        <v>445</v>
      </c>
      <c r="I89" t="s">
        <v>430</v>
      </c>
      <c r="J89" t="s">
        <v>431</v>
      </c>
      <c r="K89" t="s">
        <v>461</v>
      </c>
      <c r="L89" t="s">
        <v>114</v>
      </c>
    </row>
    <row r="90" spans="1:12">
      <c r="A90" t="s">
        <v>360</v>
      </c>
      <c r="B90" t="s">
        <v>378</v>
      </c>
      <c r="C90" t="s">
        <v>379</v>
      </c>
      <c r="D90" t="str">
        <f t="shared" si="7"/>
        <v xml:space="preserve"> BSS-4  Agreement not pulling the template with 1 tenant and 2 guarantors </v>
      </c>
      <c r="E90" t="s">
        <v>363</v>
      </c>
      <c r="F90" t="s">
        <v>364</v>
      </c>
      <c r="G90" t="s">
        <v>365</v>
      </c>
      <c r="H90" t="s">
        <v>366</v>
      </c>
      <c r="I90" t="s">
        <v>462</v>
      </c>
      <c r="J90" t="s">
        <v>380</v>
      </c>
      <c r="K90" t="s">
        <v>463</v>
      </c>
      <c r="L90" t="s">
        <v>38</v>
      </c>
    </row>
    <row r="91" spans="1:12">
      <c r="A91" t="s">
        <v>409</v>
      </c>
      <c r="B91" t="s">
        <v>410</v>
      </c>
      <c r="C91" t="s">
        <v>411</v>
      </c>
      <c r="D91" t="str">
        <f t="shared" si="7"/>
        <v xml:space="preserve"> BSS-13  Flow error message improvement</v>
      </c>
      <c r="E91" t="s">
        <v>412</v>
      </c>
      <c r="F91" t="s">
        <v>448</v>
      </c>
      <c r="G91" t="s">
        <v>365</v>
      </c>
      <c r="H91" t="s">
        <v>366</v>
      </c>
      <c r="I91" t="s">
        <v>413</v>
      </c>
      <c r="J91" t="s">
        <v>368</v>
      </c>
      <c r="K91" t="s">
        <v>442</v>
      </c>
      <c r="L91" t="s">
        <v>114</v>
      </c>
    </row>
    <row r="92" spans="1:12">
      <c r="A92" t="s">
        <v>360</v>
      </c>
      <c r="B92" t="s">
        <v>443</v>
      </c>
      <c r="C92" t="s">
        <v>444</v>
      </c>
      <c r="D92" t="str">
        <f t="shared" si="7"/>
        <v xml:space="preserve"> BSS-27  Lead tenant validation preventing creation of renewal opps</v>
      </c>
      <c r="E92" t="s">
        <v>412</v>
      </c>
      <c r="F92" t="s">
        <v>448</v>
      </c>
      <c r="G92" t="s">
        <v>365</v>
      </c>
      <c r="H92" t="s">
        <v>445</v>
      </c>
      <c r="I92" t="s">
        <v>365</v>
      </c>
      <c r="J92" t="s">
        <v>446</v>
      </c>
      <c r="K92" t="s">
        <v>447</v>
      </c>
      <c r="L92" t="s">
        <v>93</v>
      </c>
    </row>
    <row r="93" spans="1:12">
      <c r="A93" t="s">
        <v>360</v>
      </c>
      <c r="B93" t="s">
        <v>406</v>
      </c>
      <c r="C93" t="s">
        <v>407</v>
      </c>
      <c r="D93" t="str">
        <f t="shared" si="7"/>
        <v xml:space="preserve"> BSS-15  Trim the spaces before sending to HomeLet</v>
      </c>
      <c r="E93" t="s">
        <v>412</v>
      </c>
      <c r="F93" t="s">
        <v>448</v>
      </c>
      <c r="G93" t="s">
        <v>365</v>
      </c>
      <c r="H93" t="s">
        <v>366</v>
      </c>
      <c r="I93" t="s">
        <v>365</v>
      </c>
      <c r="J93" t="s">
        <v>398</v>
      </c>
      <c r="K93" t="s">
        <v>442</v>
      </c>
      <c r="L93" t="s">
        <v>464</v>
      </c>
    </row>
    <row r="94" spans="1:12">
      <c r="A94" t="s">
        <v>409</v>
      </c>
      <c r="B94" t="s">
        <v>449</v>
      </c>
      <c r="C94" t="s">
        <v>450</v>
      </c>
      <c r="D94" t="str">
        <f t="shared" si="7"/>
        <v xml:space="preserve"> BSS-24  Update recipients for Process Automation Settings</v>
      </c>
      <c r="E94" t="s">
        <v>412</v>
      </c>
      <c r="F94" t="s">
        <v>448</v>
      </c>
      <c r="G94" t="s">
        <v>365</v>
      </c>
      <c r="H94" t="s">
        <v>366</v>
      </c>
      <c r="I94" t="s">
        <v>365</v>
      </c>
      <c r="J94" t="s">
        <v>431</v>
      </c>
      <c r="K94" t="s">
        <v>463</v>
      </c>
      <c r="L94" t="s">
        <v>114</v>
      </c>
    </row>
    <row r="95" spans="1:12">
      <c r="A95" t="s">
        <v>360</v>
      </c>
      <c r="B95" t="s">
        <v>432</v>
      </c>
      <c r="C95" t="s">
        <v>433</v>
      </c>
      <c r="D95" t="str">
        <f t="shared" si="7"/>
        <v xml:space="preserve"> BSS-23  An Error Occurred with Your "Renewals - Send email to OCRs" Flow</v>
      </c>
      <c r="E95" t="s">
        <v>412</v>
      </c>
      <c r="F95" t="s">
        <v>448</v>
      </c>
      <c r="G95" t="s">
        <v>365</v>
      </c>
      <c r="H95" t="s">
        <v>451</v>
      </c>
      <c r="I95" t="s">
        <v>430</v>
      </c>
      <c r="J95" t="s">
        <v>431</v>
      </c>
      <c r="K95" t="s">
        <v>442</v>
      </c>
      <c r="L95" t="s">
        <v>114</v>
      </c>
    </row>
    <row r="96" spans="1:12">
      <c r="A96" t="s">
        <v>360</v>
      </c>
      <c r="B96" t="s">
        <v>399</v>
      </c>
      <c r="C96" t="s">
        <v>400</v>
      </c>
      <c r="D96" t="str">
        <f t="shared" si="7"/>
        <v xml:space="preserve"> BSS-14  An unhandled fault occurred in this flow</v>
      </c>
      <c r="E96" t="s">
        <v>425</v>
      </c>
      <c r="F96" t="s">
        <v>453</v>
      </c>
      <c r="G96" t="s">
        <v>365</v>
      </c>
      <c r="H96" t="s">
        <v>366</v>
      </c>
      <c r="I96" t="s">
        <v>365</v>
      </c>
      <c r="J96" t="s">
        <v>401</v>
      </c>
      <c r="K96" t="s">
        <v>463</v>
      </c>
      <c r="L96" t="s">
        <v>38</v>
      </c>
    </row>
    <row r="97" spans="1:12">
      <c r="A97" t="s">
        <v>360</v>
      </c>
      <c r="B97" t="s">
        <v>465</v>
      </c>
      <c r="C97" t="s">
        <v>466</v>
      </c>
      <c r="D97" t="str">
        <f t="shared" si="7"/>
        <v xml:space="preserve"> BSS-29  Event PB Handler Error: Missing required: whoId </v>
      </c>
      <c r="E97" t="s">
        <v>412</v>
      </c>
      <c r="F97" t="s">
        <v>448</v>
      </c>
      <c r="G97" t="s">
        <v>365</v>
      </c>
      <c r="H97" t="s">
        <v>366</v>
      </c>
      <c r="I97" t="s">
        <v>430</v>
      </c>
      <c r="J97" t="s">
        <v>442</v>
      </c>
      <c r="K97" t="s">
        <v>463</v>
      </c>
      <c r="L97" t="s">
        <v>114</v>
      </c>
    </row>
    <row r="98" spans="1:12">
      <c r="A98" t="s">
        <v>360</v>
      </c>
      <c r="B98" t="s">
        <v>467</v>
      </c>
      <c r="C98" t="s">
        <v>468</v>
      </c>
      <c r="D98" t="str">
        <f t="shared" si="7"/>
        <v xml:space="preserve"> BSS-31  Apex error during CancelOrder callout to HomeLet API</v>
      </c>
      <c r="E98" t="s">
        <v>412</v>
      </c>
      <c r="F98" t="s">
        <v>448</v>
      </c>
      <c r="G98" t="s">
        <v>365</v>
      </c>
      <c r="H98" t="s">
        <v>366</v>
      </c>
      <c r="I98" t="s">
        <v>365</v>
      </c>
      <c r="J98" t="s">
        <v>463</v>
      </c>
      <c r="K98" t="s">
        <v>463</v>
      </c>
      <c r="L98" t="s">
        <v>93</v>
      </c>
    </row>
    <row r="99" spans="1:12">
      <c r="A99" t="s">
        <v>360</v>
      </c>
      <c r="B99" t="s">
        <v>434</v>
      </c>
      <c r="C99" t="s">
        <v>435</v>
      </c>
      <c r="D99" t="str">
        <f t="shared" si="7"/>
        <v xml:space="preserve"> BSS-20  Lead Tenant being sent twice to HomeLet</v>
      </c>
      <c r="E99" t="s">
        <v>383</v>
      </c>
      <c r="F99" t="s">
        <v>415</v>
      </c>
      <c r="G99" t="s">
        <v>365</v>
      </c>
      <c r="H99" t="s">
        <v>366</v>
      </c>
      <c r="I99" t="s">
        <v>365</v>
      </c>
      <c r="J99" t="s">
        <v>422</v>
      </c>
      <c r="K99" t="s">
        <v>463</v>
      </c>
      <c r="L99" t="s">
        <v>93</v>
      </c>
    </row>
    <row r="100" spans="1:12">
      <c r="A100" t="s">
        <v>360</v>
      </c>
      <c r="B100" t="s">
        <v>454</v>
      </c>
      <c r="C100" t="s">
        <v>455</v>
      </c>
      <c r="D100" t="str">
        <f t="shared" si="7"/>
        <v xml:space="preserve"> BSS-28  Contract Sign Date not displaying</v>
      </c>
      <c r="E100" t="s">
        <v>383</v>
      </c>
      <c r="F100" t="s">
        <v>448</v>
      </c>
      <c r="G100" t="s">
        <v>365</v>
      </c>
      <c r="H100" t="s">
        <v>445</v>
      </c>
      <c r="I100" t="s">
        <v>365</v>
      </c>
      <c r="J100" t="s">
        <v>446</v>
      </c>
      <c r="K100" t="s">
        <v>463</v>
      </c>
      <c r="L100" t="s">
        <v>464</v>
      </c>
    </row>
    <row r="101" spans="1:12">
      <c r="A101" t="s">
        <v>360</v>
      </c>
      <c r="B101" t="s">
        <v>423</v>
      </c>
      <c r="C101" t="s">
        <v>424</v>
      </c>
      <c r="D101" t="str">
        <f t="shared" si="7"/>
        <v xml:space="preserve"> BSS-17  Guarantor not being sent for referencing</v>
      </c>
      <c r="E101" t="s">
        <v>383</v>
      </c>
      <c r="F101" t="s">
        <v>389</v>
      </c>
      <c r="G101" t="s">
        <v>365</v>
      </c>
      <c r="H101" t="s">
        <v>366</v>
      </c>
      <c r="I101" t="s">
        <v>365</v>
      </c>
      <c r="J101" t="s">
        <v>426</v>
      </c>
      <c r="K101" t="s">
        <v>437</v>
      </c>
      <c r="L101" t="s">
        <v>93</v>
      </c>
    </row>
    <row r="102" spans="1:12">
      <c r="A102" t="s">
        <v>360</v>
      </c>
      <c r="B102" t="s">
        <v>369</v>
      </c>
      <c r="C102" t="s">
        <v>370</v>
      </c>
      <c r="D102" t="str">
        <f t="shared" si="7"/>
        <v xml:space="preserve"> BSS-9  HomeLet referencing error showing in this opportunity</v>
      </c>
      <c r="E102" t="s">
        <v>383</v>
      </c>
      <c r="F102" t="s">
        <v>448</v>
      </c>
      <c r="G102" t="s">
        <v>365</v>
      </c>
      <c r="H102" t="s">
        <v>366</v>
      </c>
      <c r="I102" t="s">
        <v>365</v>
      </c>
      <c r="J102" t="s">
        <v>373</v>
      </c>
      <c r="K102" t="s">
        <v>442</v>
      </c>
      <c r="L102" t="s">
        <v>464</v>
      </c>
    </row>
    <row r="103" spans="1:12">
      <c r="A103" t="s">
        <v>360</v>
      </c>
      <c r="B103" t="s">
        <v>361</v>
      </c>
      <c r="C103" t="s">
        <v>362</v>
      </c>
      <c r="D103" t="str">
        <f t="shared" si="7"/>
        <v xml:space="preserve"> BSS-8  Unable to complete task on EOT</v>
      </c>
      <c r="E103" t="s">
        <v>383</v>
      </c>
      <c r="F103" t="s">
        <v>453</v>
      </c>
      <c r="G103" t="s">
        <v>365</v>
      </c>
      <c r="H103" t="s">
        <v>366</v>
      </c>
      <c r="I103" t="s">
        <v>365</v>
      </c>
      <c r="J103" t="s">
        <v>367</v>
      </c>
      <c r="K103" t="s">
        <v>442</v>
      </c>
      <c r="L103" t="s">
        <v>38</v>
      </c>
    </row>
    <row r="104" spans="1:12">
      <c r="A104" t="s">
        <v>360</v>
      </c>
      <c r="B104" t="s">
        <v>402</v>
      </c>
      <c r="C104" t="s">
        <v>403</v>
      </c>
      <c r="D104" t="str">
        <f t="shared" si="7"/>
        <v xml:space="preserve"> BSS-16  Unable to send to Homelet</v>
      </c>
      <c r="E104" t="s">
        <v>383</v>
      </c>
      <c r="F104" t="s">
        <v>389</v>
      </c>
      <c r="G104" t="s">
        <v>365</v>
      </c>
      <c r="H104" t="s">
        <v>366</v>
      </c>
      <c r="I104" t="s">
        <v>365</v>
      </c>
      <c r="J104" t="s">
        <v>398</v>
      </c>
      <c r="K104" t="s">
        <v>463</v>
      </c>
      <c r="L104" t="s">
        <v>464</v>
      </c>
    </row>
    <row r="105" spans="1:12">
      <c r="A105" t="s">
        <v>360</v>
      </c>
      <c r="B105" t="s">
        <v>438</v>
      </c>
      <c r="C105" t="s">
        <v>439</v>
      </c>
      <c r="D105" t="str">
        <f t="shared" si="7"/>
        <v xml:space="preserve"> BSS-21  Re-send guarantor to HomeLet</v>
      </c>
      <c r="E105" t="s">
        <v>383</v>
      </c>
      <c r="F105" t="s">
        <v>448</v>
      </c>
      <c r="G105" t="s">
        <v>365</v>
      </c>
      <c r="H105" t="s">
        <v>366</v>
      </c>
      <c r="I105" t="s">
        <v>365</v>
      </c>
      <c r="J105" t="s">
        <v>440</v>
      </c>
      <c r="K105" t="s">
        <v>431</v>
      </c>
      <c r="L105" t="s">
        <v>93</v>
      </c>
    </row>
    <row r="106" spans="1:12">
      <c r="A106" t="s">
        <v>360</v>
      </c>
      <c r="B106" t="s">
        <v>417</v>
      </c>
      <c r="C106" t="s">
        <v>418</v>
      </c>
      <c r="D106" t="str">
        <f t="shared" si="7"/>
        <v xml:space="preserve"> BSS-19  The Units  with status “On the market – no access” are not able to be posted onto Rightmove</v>
      </c>
      <c r="E106" t="s">
        <v>383</v>
      </c>
      <c r="F106" t="s">
        <v>364</v>
      </c>
      <c r="G106" t="s">
        <v>365</v>
      </c>
      <c r="H106" t="s">
        <v>366</v>
      </c>
      <c r="I106" t="s">
        <v>365</v>
      </c>
      <c r="J106" t="s">
        <v>416</v>
      </c>
      <c r="K106" t="s">
        <v>456</v>
      </c>
      <c r="L106" t="s">
        <v>464</v>
      </c>
    </row>
    <row r="107" spans="1:12">
      <c r="A107" t="s">
        <v>409</v>
      </c>
      <c r="B107" t="s">
        <v>457</v>
      </c>
      <c r="C107" t="s">
        <v>458</v>
      </c>
      <c r="D107" t="str">
        <f t="shared" si="7"/>
        <v xml:space="preserve"> BSS-25  Update UAT Organization-Wide Addresses</v>
      </c>
      <c r="E107" t="s">
        <v>383</v>
      </c>
      <c r="F107" t="s">
        <v>364</v>
      </c>
      <c r="G107" t="s">
        <v>365</v>
      </c>
      <c r="H107" t="s">
        <v>366</v>
      </c>
      <c r="I107" t="s">
        <v>365</v>
      </c>
      <c r="J107" t="s">
        <v>431</v>
      </c>
      <c r="K107" t="s">
        <v>456</v>
      </c>
      <c r="L107" t="s">
        <v>114</v>
      </c>
    </row>
    <row r="109" spans="1:12">
      <c r="A109" t="s">
        <v>469</v>
      </c>
    </row>
    <row r="110" spans="1:12">
      <c r="A110" t="s">
        <v>349</v>
      </c>
      <c r="B110" t="s">
        <v>350</v>
      </c>
      <c r="C110" t="s">
        <v>351</v>
      </c>
      <c r="E110" t="s">
        <v>352</v>
      </c>
      <c r="F110" t="s">
        <v>353</v>
      </c>
      <c r="G110" t="s">
        <v>354</v>
      </c>
      <c r="H110" t="s">
        <v>355</v>
      </c>
      <c r="I110" t="s">
        <v>356</v>
      </c>
      <c r="J110" t="s">
        <v>357</v>
      </c>
      <c r="K110" t="s">
        <v>358</v>
      </c>
      <c r="L110" t="s">
        <v>359</v>
      </c>
    </row>
    <row r="111" spans="1:12">
      <c r="A111" t="s">
        <v>360</v>
      </c>
      <c r="B111" t="s">
        <v>378</v>
      </c>
      <c r="C111" t="s">
        <v>379</v>
      </c>
      <c r="D111" t="str">
        <f t="shared" ref="D111:D129" si="8">CONCATENATE(B111," ",C111)</f>
        <v xml:space="preserve"> BSS-4  Agreement not pulling the template with 1 tenant and 2 guarantors </v>
      </c>
      <c r="E111" t="s">
        <v>412</v>
      </c>
      <c r="F111" t="s">
        <v>364</v>
      </c>
      <c r="G111" t="s">
        <v>365</v>
      </c>
      <c r="H111" t="s">
        <v>366</v>
      </c>
      <c r="I111" t="s">
        <v>462</v>
      </c>
      <c r="J111" t="s">
        <v>380</v>
      </c>
      <c r="K111" t="s">
        <v>461</v>
      </c>
      <c r="L111" t="s">
        <v>38</v>
      </c>
    </row>
    <row r="112" spans="1:12">
      <c r="A112" t="s">
        <v>409</v>
      </c>
      <c r="B112" t="s">
        <v>410</v>
      </c>
      <c r="C112" t="s">
        <v>411</v>
      </c>
      <c r="D112" t="str">
        <f t="shared" si="8"/>
        <v xml:space="preserve"> BSS-13  Flow error message improvement</v>
      </c>
      <c r="E112" t="s">
        <v>412</v>
      </c>
      <c r="F112" t="s">
        <v>448</v>
      </c>
      <c r="G112" t="s">
        <v>365</v>
      </c>
      <c r="H112" t="s">
        <v>366</v>
      </c>
      <c r="I112" t="s">
        <v>413</v>
      </c>
      <c r="J112" t="s">
        <v>368</v>
      </c>
      <c r="K112" t="s">
        <v>442</v>
      </c>
      <c r="L112" t="s">
        <v>114</v>
      </c>
    </row>
    <row r="113" spans="1:12">
      <c r="A113" t="s">
        <v>360</v>
      </c>
      <c r="B113" t="s">
        <v>443</v>
      </c>
      <c r="C113" t="s">
        <v>444</v>
      </c>
      <c r="D113" t="str">
        <f t="shared" si="8"/>
        <v xml:space="preserve"> BSS-27  Lead tenant validation preventing creation of renewal opps</v>
      </c>
      <c r="E113" t="s">
        <v>412</v>
      </c>
      <c r="F113" t="s">
        <v>448</v>
      </c>
      <c r="G113" t="s">
        <v>365</v>
      </c>
      <c r="H113" t="s">
        <v>445</v>
      </c>
      <c r="I113" t="s">
        <v>365</v>
      </c>
      <c r="J113" t="s">
        <v>446</v>
      </c>
      <c r="K113" t="s">
        <v>447</v>
      </c>
      <c r="L113" t="s">
        <v>93</v>
      </c>
    </row>
    <row r="114" spans="1:12">
      <c r="A114" t="s">
        <v>360</v>
      </c>
      <c r="B114" t="s">
        <v>406</v>
      </c>
      <c r="C114" t="s">
        <v>407</v>
      </c>
      <c r="D114" t="str">
        <f t="shared" si="8"/>
        <v xml:space="preserve"> BSS-15  Trim the spaces before sending to HomeLet</v>
      </c>
      <c r="E114" t="s">
        <v>412</v>
      </c>
      <c r="F114" t="s">
        <v>448</v>
      </c>
      <c r="G114" t="s">
        <v>365</v>
      </c>
      <c r="H114" t="s">
        <v>366</v>
      </c>
      <c r="I114" t="s">
        <v>365</v>
      </c>
      <c r="J114" t="s">
        <v>398</v>
      </c>
      <c r="K114" t="s">
        <v>442</v>
      </c>
      <c r="L114" t="s">
        <v>464</v>
      </c>
    </row>
    <row r="115" spans="1:12">
      <c r="A115" t="s">
        <v>409</v>
      </c>
      <c r="B115" t="s">
        <v>449</v>
      </c>
      <c r="C115" t="s">
        <v>450</v>
      </c>
      <c r="D115" t="str">
        <f t="shared" si="8"/>
        <v xml:space="preserve"> BSS-24  Update recipients for Process Automation Settings</v>
      </c>
      <c r="E115" t="s">
        <v>412</v>
      </c>
      <c r="F115" t="s">
        <v>448</v>
      </c>
      <c r="G115" t="s">
        <v>365</v>
      </c>
      <c r="H115" t="s">
        <v>366</v>
      </c>
      <c r="I115" t="s">
        <v>365</v>
      </c>
      <c r="J115" t="s">
        <v>431</v>
      </c>
      <c r="K115" t="s">
        <v>463</v>
      </c>
      <c r="L115" t="s">
        <v>114</v>
      </c>
    </row>
    <row r="116" spans="1:12">
      <c r="A116" t="s">
        <v>360</v>
      </c>
      <c r="B116" t="s">
        <v>432</v>
      </c>
      <c r="C116" t="s">
        <v>433</v>
      </c>
      <c r="D116" t="str">
        <f t="shared" si="8"/>
        <v xml:space="preserve"> BSS-23  An Error Occurred with Your "Renewals - Send email to OCRs" Flow</v>
      </c>
      <c r="E116" t="s">
        <v>412</v>
      </c>
      <c r="F116" t="s">
        <v>448</v>
      </c>
      <c r="G116" t="s">
        <v>365</v>
      </c>
      <c r="H116" t="s">
        <v>451</v>
      </c>
      <c r="I116" t="s">
        <v>430</v>
      </c>
      <c r="J116" t="s">
        <v>431</v>
      </c>
      <c r="K116" t="s">
        <v>442</v>
      </c>
      <c r="L116" t="s">
        <v>114</v>
      </c>
    </row>
    <row r="117" spans="1:12">
      <c r="A117" t="s">
        <v>360</v>
      </c>
      <c r="B117" t="s">
        <v>428</v>
      </c>
      <c r="C117" t="s">
        <v>452</v>
      </c>
      <c r="D117" t="str">
        <f t="shared" si="8"/>
        <v xml:space="preserve"> BSS-22  Welsh Occupation Contract validation blocking opportunities for Parking Garages in Cardiff</v>
      </c>
      <c r="E117" t="s">
        <v>425</v>
      </c>
      <c r="F117" t="s">
        <v>436</v>
      </c>
      <c r="G117" t="s">
        <v>365</v>
      </c>
      <c r="H117" t="s">
        <v>445</v>
      </c>
      <c r="I117" t="s">
        <v>430</v>
      </c>
      <c r="J117" t="s">
        <v>431</v>
      </c>
      <c r="K117" t="s">
        <v>470</v>
      </c>
      <c r="L117" t="s">
        <v>114</v>
      </c>
    </row>
    <row r="118" spans="1:12">
      <c r="A118" t="s">
        <v>360</v>
      </c>
      <c r="B118" t="s">
        <v>465</v>
      </c>
      <c r="C118" t="s">
        <v>466</v>
      </c>
      <c r="D118" t="str">
        <f t="shared" si="8"/>
        <v xml:space="preserve"> BSS-29  Event PB Handler Error: Missing required: whoId </v>
      </c>
      <c r="E118" t="s">
        <v>412</v>
      </c>
      <c r="F118" t="s">
        <v>448</v>
      </c>
      <c r="G118" t="s">
        <v>365</v>
      </c>
      <c r="H118" t="s">
        <v>366</v>
      </c>
      <c r="I118" t="s">
        <v>430</v>
      </c>
      <c r="J118" t="s">
        <v>442</v>
      </c>
      <c r="K118" t="s">
        <v>463</v>
      </c>
      <c r="L118" t="s">
        <v>114</v>
      </c>
    </row>
    <row r="119" spans="1:12">
      <c r="A119" t="s">
        <v>360</v>
      </c>
      <c r="B119" t="s">
        <v>467</v>
      </c>
      <c r="C119" t="s">
        <v>468</v>
      </c>
      <c r="D119" t="str">
        <f t="shared" si="8"/>
        <v xml:space="preserve"> BSS-31  Apex error during CancelOrder callout to HomeLet API</v>
      </c>
      <c r="E119" t="s">
        <v>412</v>
      </c>
      <c r="F119" t="s">
        <v>448</v>
      </c>
      <c r="G119" t="s">
        <v>365</v>
      </c>
      <c r="H119" t="s">
        <v>366</v>
      </c>
      <c r="I119" t="s">
        <v>365</v>
      </c>
      <c r="J119" t="s">
        <v>463</v>
      </c>
      <c r="K119" t="s">
        <v>463</v>
      </c>
      <c r="L119" t="s">
        <v>389</v>
      </c>
    </row>
    <row r="120" spans="1:12">
      <c r="A120" t="s">
        <v>360</v>
      </c>
      <c r="B120" t="s">
        <v>471</v>
      </c>
      <c r="C120" t="s">
        <v>472</v>
      </c>
      <c r="D120" t="str">
        <f t="shared" si="8"/>
        <v xml:space="preserve"> BSS-35  The occupational date and signature box are not populated as expected </v>
      </c>
      <c r="E120" t="s">
        <v>412</v>
      </c>
      <c r="F120" t="s">
        <v>448</v>
      </c>
      <c r="G120" t="s">
        <v>365</v>
      </c>
      <c r="H120" t="s">
        <v>366</v>
      </c>
      <c r="I120" t="s">
        <v>365</v>
      </c>
      <c r="J120" t="s">
        <v>473</v>
      </c>
      <c r="K120" t="s">
        <v>473</v>
      </c>
      <c r="L120" t="s">
        <v>38</v>
      </c>
    </row>
    <row r="121" spans="1:12">
      <c r="A121" t="s">
        <v>360</v>
      </c>
      <c r="B121" t="s">
        <v>474</v>
      </c>
      <c r="C121" t="s">
        <v>475</v>
      </c>
      <c r="D121" t="str">
        <f t="shared" si="8"/>
        <v xml:space="preserve"> BSS-36  Payment Periodicity not applicable for the selected Primary Offer</v>
      </c>
      <c r="E121" t="s">
        <v>412</v>
      </c>
      <c r="F121" t="s">
        <v>448</v>
      </c>
      <c r="G121" t="s">
        <v>365</v>
      </c>
      <c r="H121" t="s">
        <v>366</v>
      </c>
      <c r="I121" t="s">
        <v>430</v>
      </c>
      <c r="J121" t="s">
        <v>473</v>
      </c>
      <c r="K121" t="s">
        <v>473</v>
      </c>
      <c r="L121" t="s">
        <v>114</v>
      </c>
    </row>
    <row r="122" spans="1:12">
      <c r="A122" t="s">
        <v>360</v>
      </c>
      <c r="B122" t="s">
        <v>476</v>
      </c>
      <c r="C122" t="s">
        <v>477</v>
      </c>
      <c r="D122" t="str">
        <f t="shared" si="8"/>
        <v xml:space="preserve"> BSS-37  Read/write access for 'Key Location Check in'</v>
      </c>
      <c r="E122" t="s">
        <v>412</v>
      </c>
      <c r="F122" t="s">
        <v>448</v>
      </c>
      <c r="G122" t="s">
        <v>365</v>
      </c>
      <c r="H122" t="s">
        <v>366</v>
      </c>
      <c r="I122" t="s">
        <v>430</v>
      </c>
      <c r="J122" t="s">
        <v>470</v>
      </c>
      <c r="K122" t="s">
        <v>470</v>
      </c>
      <c r="L122" t="s">
        <v>114</v>
      </c>
    </row>
    <row r="123" spans="1:12">
      <c r="A123" t="s">
        <v>360</v>
      </c>
      <c r="B123" t="s">
        <v>434</v>
      </c>
      <c r="C123" t="s">
        <v>435</v>
      </c>
      <c r="D123" t="str">
        <f t="shared" si="8"/>
        <v xml:space="preserve"> BSS-20  Lead Tenant being sent twice to HomeLet</v>
      </c>
      <c r="E123" t="s">
        <v>383</v>
      </c>
      <c r="F123" t="s">
        <v>415</v>
      </c>
      <c r="G123" t="s">
        <v>365</v>
      </c>
      <c r="H123" t="s">
        <v>366</v>
      </c>
      <c r="I123" t="s">
        <v>365</v>
      </c>
      <c r="J123" t="s">
        <v>422</v>
      </c>
      <c r="K123" t="s">
        <v>463</v>
      </c>
      <c r="L123" t="s">
        <v>93</v>
      </c>
    </row>
    <row r="124" spans="1:12">
      <c r="A124" t="s">
        <v>360</v>
      </c>
      <c r="B124" t="s">
        <v>454</v>
      </c>
      <c r="C124" t="s">
        <v>455</v>
      </c>
      <c r="D124" t="str">
        <f t="shared" si="8"/>
        <v xml:space="preserve"> BSS-28  Contract Sign Date not displaying</v>
      </c>
      <c r="E124" t="s">
        <v>383</v>
      </c>
      <c r="F124" t="s">
        <v>448</v>
      </c>
      <c r="G124" t="s">
        <v>365</v>
      </c>
      <c r="H124" t="s">
        <v>445</v>
      </c>
      <c r="I124" t="s">
        <v>365</v>
      </c>
      <c r="J124" t="s">
        <v>446</v>
      </c>
      <c r="K124" t="s">
        <v>463</v>
      </c>
      <c r="L124" t="s">
        <v>464</v>
      </c>
    </row>
    <row r="125" spans="1:12">
      <c r="A125" t="s">
        <v>360</v>
      </c>
      <c r="B125" t="s">
        <v>423</v>
      </c>
      <c r="C125" t="s">
        <v>424</v>
      </c>
      <c r="D125" t="str">
        <f t="shared" si="8"/>
        <v xml:space="preserve"> BSS-17  Guarantor not being sent for referencing</v>
      </c>
      <c r="E125" t="s">
        <v>383</v>
      </c>
      <c r="F125" t="s">
        <v>389</v>
      </c>
      <c r="G125" t="s">
        <v>365</v>
      </c>
      <c r="H125" t="s">
        <v>366</v>
      </c>
      <c r="I125" t="s">
        <v>365</v>
      </c>
      <c r="J125" t="s">
        <v>426</v>
      </c>
      <c r="K125" t="s">
        <v>437</v>
      </c>
      <c r="L125" t="s">
        <v>389</v>
      </c>
    </row>
    <row r="126" spans="1:12">
      <c r="A126" t="s">
        <v>360</v>
      </c>
      <c r="B126" t="s">
        <v>369</v>
      </c>
      <c r="C126" t="s">
        <v>370</v>
      </c>
      <c r="D126" t="str">
        <f t="shared" si="8"/>
        <v xml:space="preserve"> BSS-9  HomeLet referencing error showing in this opportunity</v>
      </c>
      <c r="E126" t="s">
        <v>383</v>
      </c>
      <c r="F126" t="s">
        <v>448</v>
      </c>
      <c r="G126" t="s">
        <v>365</v>
      </c>
      <c r="H126" t="s">
        <v>366</v>
      </c>
      <c r="I126" t="s">
        <v>365</v>
      </c>
      <c r="J126" t="s">
        <v>373</v>
      </c>
      <c r="K126" t="s">
        <v>442</v>
      </c>
      <c r="L126" t="s">
        <v>464</v>
      </c>
    </row>
    <row r="127" spans="1:12">
      <c r="A127" t="s">
        <v>360</v>
      </c>
      <c r="B127" t="s">
        <v>361</v>
      </c>
      <c r="C127" t="s">
        <v>362</v>
      </c>
      <c r="D127" t="str">
        <f t="shared" si="8"/>
        <v xml:space="preserve"> BSS-8  Unable to complete task on EOT</v>
      </c>
      <c r="E127" t="s">
        <v>383</v>
      </c>
      <c r="F127" t="s">
        <v>453</v>
      </c>
      <c r="G127" t="s">
        <v>365</v>
      </c>
      <c r="H127" t="s">
        <v>366</v>
      </c>
      <c r="I127" t="s">
        <v>365</v>
      </c>
      <c r="J127" t="s">
        <v>367</v>
      </c>
      <c r="K127" t="s">
        <v>442</v>
      </c>
      <c r="L127" t="s">
        <v>38</v>
      </c>
    </row>
    <row r="128" spans="1:12">
      <c r="A128" t="s">
        <v>360</v>
      </c>
      <c r="B128" t="s">
        <v>399</v>
      </c>
      <c r="C128" t="s">
        <v>400</v>
      </c>
      <c r="D128" t="str">
        <f t="shared" si="8"/>
        <v xml:space="preserve"> BSS-14  An unhandled fault occurred in this flow</v>
      </c>
      <c r="E128" t="s">
        <v>383</v>
      </c>
      <c r="F128" t="s">
        <v>453</v>
      </c>
      <c r="G128" t="s">
        <v>365</v>
      </c>
      <c r="H128" t="s">
        <v>366</v>
      </c>
      <c r="I128" t="s">
        <v>365</v>
      </c>
      <c r="J128" t="s">
        <v>401</v>
      </c>
      <c r="K128" t="s">
        <v>473</v>
      </c>
      <c r="L128" t="s">
        <v>38</v>
      </c>
    </row>
    <row r="129" spans="1:12">
      <c r="A129" t="s">
        <v>360</v>
      </c>
      <c r="B129" t="s">
        <v>402</v>
      </c>
      <c r="C129" t="s">
        <v>403</v>
      </c>
      <c r="D129" t="str">
        <f t="shared" si="8"/>
        <v xml:space="preserve"> BSS-16  Unable to send to Homelet</v>
      </c>
      <c r="E129" t="s">
        <v>383</v>
      </c>
      <c r="F129" t="s">
        <v>389</v>
      </c>
      <c r="G129" t="s">
        <v>365</v>
      </c>
      <c r="H129" t="s">
        <v>366</v>
      </c>
      <c r="I129" t="s">
        <v>365</v>
      </c>
      <c r="J129" t="s">
        <v>398</v>
      </c>
      <c r="K129" t="s">
        <v>463</v>
      </c>
      <c r="L129" t="s">
        <v>464</v>
      </c>
    </row>
    <row r="131" spans="1:12">
      <c r="A131" t="s">
        <v>478</v>
      </c>
    </row>
    <row r="132" spans="1:12">
      <c r="A132" t="s">
        <v>349</v>
      </c>
      <c r="B132" t="s">
        <v>350</v>
      </c>
      <c r="C132" t="s">
        <v>351</v>
      </c>
      <c r="E132" t="s">
        <v>352</v>
      </c>
      <c r="F132" t="s">
        <v>353</v>
      </c>
      <c r="G132" t="s">
        <v>354</v>
      </c>
      <c r="H132" t="s">
        <v>355</v>
      </c>
      <c r="I132" t="s">
        <v>356</v>
      </c>
      <c r="J132" t="s">
        <v>357</v>
      </c>
      <c r="K132" t="s">
        <v>358</v>
      </c>
      <c r="L132" t="s">
        <v>359</v>
      </c>
    </row>
    <row r="133" spans="1:12">
      <c r="A133" t="s">
        <v>360</v>
      </c>
      <c r="B133" t="s">
        <v>378</v>
      </c>
      <c r="C133" t="s">
        <v>379</v>
      </c>
      <c r="D133" t="str">
        <f t="shared" ref="D133:D136" si="9">CONCATENATE(B133," ",C133)</f>
        <v xml:space="preserve"> BSS-4  Agreement not pulling the template with 1 tenant and 2 guarantors </v>
      </c>
      <c r="E133" t="s">
        <v>363</v>
      </c>
      <c r="F133" t="s">
        <v>108</v>
      </c>
      <c r="G133" t="s">
        <v>365</v>
      </c>
      <c r="H133" t="s">
        <v>366</v>
      </c>
      <c r="I133" t="s">
        <v>462</v>
      </c>
      <c r="J133" t="s">
        <v>380</v>
      </c>
      <c r="K133" t="s">
        <v>479</v>
      </c>
      <c r="L133" t="s">
        <v>38</v>
      </c>
    </row>
    <row r="134" spans="1:12">
      <c r="A134" t="s">
        <v>360</v>
      </c>
      <c r="B134" t="s">
        <v>443</v>
      </c>
      <c r="C134" t="s">
        <v>444</v>
      </c>
      <c r="D134" t="str">
        <f t="shared" si="9"/>
        <v xml:space="preserve"> BSS-27  Lead tenant validation preventing creation of renewal opps</v>
      </c>
      <c r="E134" t="s">
        <v>363</v>
      </c>
      <c r="F134" t="s">
        <v>464</v>
      </c>
      <c r="G134" t="s">
        <v>365</v>
      </c>
      <c r="H134" t="s">
        <v>445</v>
      </c>
      <c r="I134" t="s">
        <v>365</v>
      </c>
      <c r="J134" t="s">
        <v>446</v>
      </c>
      <c r="K134" t="s">
        <v>479</v>
      </c>
      <c r="L134" t="s">
        <v>389</v>
      </c>
    </row>
    <row r="135" spans="1:12">
      <c r="A135" t="s">
        <v>409</v>
      </c>
      <c r="B135" t="s">
        <v>449</v>
      </c>
      <c r="C135" t="s">
        <v>450</v>
      </c>
      <c r="D135" t="str">
        <f t="shared" si="9"/>
        <v xml:space="preserve"> BSS-24  Update recipients for Process Automation Settings</v>
      </c>
      <c r="E135" t="s">
        <v>363</v>
      </c>
      <c r="F135" t="s">
        <v>114</v>
      </c>
      <c r="G135" t="s">
        <v>365</v>
      </c>
      <c r="H135" t="s">
        <v>366</v>
      </c>
      <c r="I135" t="s">
        <v>365</v>
      </c>
      <c r="J135" t="s">
        <v>431</v>
      </c>
      <c r="K135" t="s">
        <v>479</v>
      </c>
      <c r="L135" t="s">
        <v>114</v>
      </c>
    </row>
    <row r="136" spans="1:12">
      <c r="A136" t="s">
        <v>360</v>
      </c>
      <c r="B136" t="s">
        <v>476</v>
      </c>
      <c r="C136" t="s">
        <v>480</v>
      </c>
      <c r="D136" t="str">
        <f t="shared" si="9"/>
        <v xml:space="preserve"> BSS-37  EoT errors for users with "read only" profile</v>
      </c>
      <c r="E136" t="s">
        <v>425</v>
      </c>
      <c r="F136" t="s">
        <v>38</v>
      </c>
      <c r="G136" t="s">
        <v>365</v>
      </c>
      <c r="H136" t="s">
        <v>366</v>
      </c>
      <c r="I136" t="s">
        <v>430</v>
      </c>
      <c r="J136" t="s">
        <v>470</v>
      </c>
      <c r="K136" t="s">
        <v>481</v>
      </c>
      <c r="L136" t="s">
        <v>114</v>
      </c>
    </row>
  </sheetData>
  <sortState xmlns:xlrd2="http://schemas.microsoft.com/office/spreadsheetml/2017/richdata2" ref="A69:L85">
    <sortCondition ref="E76:E85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Client Document" ma:contentTypeID="0x010100B16301FA1C2D5E4DB9305F31D037531D02070100EAEC246849C81A4BA7B470C1AFD8AAFF" ma:contentTypeVersion="3" ma:contentTypeDescription="A document associated with a client" ma:contentTypeScope="" ma:versionID="8660e9f4d2495e929d93e8a6616d4a81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07434d5f9b9ff652931a8c76cfaf3aa4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ofdb165b7a42400995658a9538ebccb7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ofdb165b7a42400995658a9538ebccb7" ma:index="14" ma:taxonomy="true" ma:internalName="ofdb165b7a42400995658a9538ebccb7" ma:taxonomyFieldName="Client_x0020_Document_x0020_Type" ma:displayName="Client Document Type" ma:readOnly="false" ma:default="" ma:fieldId="{8fdb165b-7a42-4009-9565-8a9538ebccb7}" ma:sspId="5676dd91-060c-4b71-810a-dbdca5582071" ma:termSetId="87785518-c8fe-4f86-8451-d27d55639c50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5676dd91-060c-4b71-810a-dbdca5582071" ContentTypeId="0x010100B16301FA1C2D5E4DB9305F31D037531D0207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TaxCatchAll xmlns="1ffbd5dc-7a64-4097-8396-87f6c90b212f">
      <Value>6</Value>
      <Value>5</Value>
      <Value>20</Value>
    </TaxCatchAll>
    <ofdb165b7a42400995658a9538ebccb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PM Report</TermName>
          <TermId xmlns="http://schemas.microsoft.com/office/infopath/2007/PartnerControls">9d58a819-7b07-406f-ac0f-0f196f5e097b</TermId>
        </TermInfo>
      </Terms>
    </ofdb165b7a42400995658a9538ebccb7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Props1.xml><?xml version="1.0" encoding="utf-8"?>
<ds:datastoreItem xmlns:ds="http://schemas.openxmlformats.org/officeDocument/2006/customXml" ds:itemID="{4648C24B-AF51-44ED-9387-00AF43C59D12}"/>
</file>

<file path=customXml/itemProps2.xml><?xml version="1.0" encoding="utf-8"?>
<ds:datastoreItem xmlns:ds="http://schemas.openxmlformats.org/officeDocument/2006/customXml" ds:itemID="{F3FB3FDB-A354-4D26-91F3-379945374AE8}"/>
</file>

<file path=customXml/itemProps3.xml><?xml version="1.0" encoding="utf-8"?>
<ds:datastoreItem xmlns:ds="http://schemas.openxmlformats.org/officeDocument/2006/customXml" ds:itemID="{8D589453-FD62-4B19-8FFA-2A9EA117AFCE}"/>
</file>

<file path=customXml/itemProps4.xml><?xml version="1.0" encoding="utf-8"?>
<ds:datastoreItem xmlns:ds="http://schemas.openxmlformats.org/officeDocument/2006/customXml" ds:itemID="{67329CEF-9BB0-45FA-983B-D903F66DEE2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Carami Le Grange</dc:creator>
  <cp:keywords/>
  <dc:description/>
  <cp:lastModifiedBy>Carami Viljoen</cp:lastModifiedBy>
  <cp:revision/>
  <dcterms:created xsi:type="dcterms:W3CDTF">2024-04-02T08:03:36Z</dcterms:created>
  <dcterms:modified xsi:type="dcterms:W3CDTF">2025-01-20T10:16:41Z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0x010100B16301FA1C2D5E4DB9305F31D037531D02070100EAEC246849C81A4BA7B470C1AFD8AAFF</vt:lpwstr>
  </property>
  <property fmtid="{D5CDD505-2E9C-101B-9397-08002B2CF9AE}" pid="3" name="Client Document Type">
    <vt:lpwstr>20</vt:lpwstr>
  </property>
  <property fmtid="{D5CDD505-2E9C-101B-9397-08002B2CF9AE}" pid="4" name="Division">
    <vt:lpwstr>5;#Enterprise Solutions|08c57b01-67e8-4a4f-abc6-ffb3392ace7f</vt:lpwstr>
  </property>
  <property fmtid="{D5CDD505-2E9C-101B-9397-08002B2CF9AE}" pid="5" name="Client">
    <vt:lpwstr>6;#Grainger PLC|a74f1cb5-e995-4f9e-8521-6d52e2c6bf08</vt:lpwstr>
  </property>
  <property fmtid="{D5CDD505-2E9C-101B-9397-08002B2CF9AE}" pid="6" name="Client_x0020_Document_x0020_Type">
    <vt:lpwstr>20</vt:lpwstr>
  </property>
</Properties>
</file>