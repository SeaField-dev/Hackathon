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08" documentId="13_ncr:40009_{72DCE847-60C8-4427-ADB0-44DE35B3B8A2}" xr6:coauthVersionLast="47" xr6:coauthVersionMax="47" xr10:uidLastSave="{94C6C758-541F-4C30-AA2E-21DD96A6CC07}"/>
  <bookViews>
    <workbookView xWindow="28680" yWindow="-120" windowWidth="29040" windowHeight="15720" xr2:uid="{00000000-000D-0000-FFFF-FFFF00000000}"/>
  </bookViews>
  <sheets>
    <sheet name="Pivot" sheetId="2" r:id="rId1"/>
    <sheet name="Project Timesheets" sheetId="1" r:id="rId2"/>
    <sheet name="Jira List" sheetId="3" r:id="rId3"/>
  </sheets>
  <definedNames>
    <definedName name="_xlnm._FilterDatabase" localSheetId="1" hidden="1">'Project Timesheets'!$A$1:$AF$56</definedName>
  </definedNames>
  <calcPr calcId="191028"/>
  <pivotCaches>
    <pivotCache cacheId="43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AE57" i="1"/>
  <c r="AF57" i="1"/>
  <c r="AE58" i="1"/>
  <c r="AF58" i="1"/>
  <c r="AE59" i="1"/>
  <c r="AF59" i="1" s="1"/>
  <c r="AE60" i="1"/>
  <c r="AF60" i="1"/>
  <c r="AE61" i="1"/>
  <c r="AF61" i="1"/>
  <c r="AE62" i="1"/>
  <c r="AF62" i="1" s="1"/>
  <c r="AE63" i="1"/>
  <c r="AF63" i="1"/>
  <c r="AE64" i="1"/>
  <c r="AF64" i="1"/>
  <c r="AE65" i="1"/>
  <c r="AF65" i="1" s="1"/>
  <c r="AE66" i="1"/>
  <c r="AF66" i="1" s="1"/>
  <c r="AE67" i="1"/>
  <c r="AF67" i="1"/>
  <c r="AE68" i="1"/>
  <c r="AF68" i="1"/>
  <c r="AE69" i="1"/>
  <c r="AF69" i="1"/>
  <c r="AE70" i="1"/>
  <c r="AF70" i="1"/>
  <c r="AC31" i="1"/>
  <c r="D25" i="3"/>
  <c r="D24" i="3"/>
  <c r="D23" i="3"/>
  <c r="D22" i="3"/>
  <c r="D21" i="3"/>
  <c r="D20" i="3"/>
  <c r="D19" i="3"/>
  <c r="D18" i="3"/>
  <c r="D17" i="3"/>
  <c r="D16" i="3"/>
  <c r="D15" i="3"/>
  <c r="D14" i="3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/>
  <c r="AE48" i="1"/>
  <c r="AF48" i="1" s="1"/>
  <c r="AE49" i="1"/>
  <c r="AF49" i="1" s="1"/>
  <c r="AE50" i="1"/>
  <c r="AF50" i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D4" i="3"/>
  <c r="D5" i="3"/>
  <c r="D6" i="3"/>
  <c r="D7" i="3"/>
  <c r="D8" i="3"/>
  <c r="D9" i="3"/>
  <c r="D10" i="3"/>
  <c r="D3" i="3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9" i="1"/>
  <c r="AF9" i="1" s="1"/>
  <c r="AE7" i="1"/>
  <c r="AF7" i="1" s="1"/>
  <c r="AE3" i="1"/>
  <c r="AF3" i="1" s="1"/>
  <c r="AE5" i="1"/>
  <c r="AF5" i="1" s="1"/>
  <c r="AE2" i="1"/>
  <c r="AF2" i="1" s="1"/>
  <c r="AE4" i="1"/>
  <c r="AF4" i="1" s="1"/>
  <c r="AE6" i="1"/>
  <c r="AF6" i="1" s="1"/>
  <c r="AE8" i="1"/>
  <c r="AF8" i="1" s="1"/>
</calcChain>
</file>

<file path=xl/sharedStrings.xml><?xml version="1.0" encoding="utf-8"?>
<sst xmlns="http://schemas.openxmlformats.org/spreadsheetml/2006/main" count="1973" uniqueCount="219">
  <si>
    <t>Month</t>
  </si>
  <si>
    <t>(All)</t>
  </si>
  <si>
    <t>&lt;- Filter By Month</t>
  </si>
  <si>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</si>
  <si>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</si>
  <si>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</si>
  <si>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</si>
  <si>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</si>
  <si>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</si>
  <si>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</si>
  <si>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</si>
  <si>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Anjali Salecha</t>
  </si>
  <si>
    <t xml:space="preserve">1. Support services will be provided on a Time and Materials (T&amp;M) basis at a rate of </t>
  </si>
  <si>
    <t xml:space="preserve">Sachin  Deshmukh </t>
  </si>
  <si>
    <t xml:space="preserve">£120 per hour. </t>
  </si>
  <si>
    <t>Tafadzwa Toro</t>
  </si>
  <si>
    <t xml:space="preserve">a. A minimum amount of £3600 / month will be billed, entitling Grainger PLC </t>
  </si>
  <si>
    <t>Sam Duncan</t>
  </si>
  <si>
    <t>to 30 hours of work</t>
  </si>
  <si>
    <t>Carami Le Grange</t>
  </si>
  <si>
    <t>Dillan Landsberg</t>
  </si>
  <si>
    <t>The contract will begin on 1 April 2024 and end on 30 September 2024</t>
  </si>
  <si>
    <t>Shaun Barrett</t>
  </si>
  <si>
    <t>Keeping an eye on Non-Billable</t>
  </si>
  <si>
    <t>Jira Ticket</t>
  </si>
  <si>
    <t>Status</t>
  </si>
  <si>
    <t>Assigned To</t>
  </si>
  <si>
    <t xml:space="preserve"> BSS-16  Unable to send to Homelet</t>
  </si>
  <si>
    <t xml:space="preserve"> In Progress</t>
  </si>
  <si>
    <t xml:space="preserve"> Anjali Salecha</t>
  </si>
  <si>
    <t xml:space="preserve"> BSS-19  The Units  with status “On the market – no access” are not able to be posted onto Rightmove</t>
  </si>
  <si>
    <t xml:space="preserve"> Sam Duncan</t>
  </si>
  <si>
    <t xml:space="preserve"> BSS-14  An unhandled fault occurred in this flow</t>
  </si>
  <si>
    <t xml:space="preserve"> Awaiting Feedback (Grainger)</t>
  </si>
  <si>
    <t xml:space="preserve"> Saji Gunasekaran</t>
  </si>
  <si>
    <t xml:space="preserve"> BSS-8  Unable to complete task on EOT</t>
  </si>
  <si>
    <t xml:space="preserve"> BSS-15  Trim the spaces before sending to HomeLet</t>
  </si>
  <si>
    <t xml:space="preserve"> Jaic George</t>
  </si>
  <si>
    <t xml:space="preserve"> BSS-9  HomeLet referencing error showing in this opportunity</t>
  </si>
  <si>
    <t xml:space="preserve"> BSS-4  Agreement not pulling the template with 1 tenant and 2 guarantors </t>
  </si>
  <si>
    <t xml:space="preserve"> BSS-13  Flow error message improvement</t>
  </si>
  <si>
    <t xml:space="preserve"> To Do</t>
  </si>
  <si>
    <t xml:space="preserve"> Dillan Landsberg</t>
  </si>
  <si>
    <t xml:space="preserve"> BSS-17  Guarantor not being sent for referencing</t>
  </si>
  <si>
    <t xml:space="preserve"> Client Confirmation (Grainger)</t>
  </si>
  <si>
    <t xml:space="preserve"> BSS-18  Limit Exceeded Error while trying to update a Unit via Salesforce connector</t>
  </si>
  <si>
    <t>Done</t>
  </si>
  <si>
    <t xml:space="preserve"> BSS-2   Receiving an error on every task I try and complete </t>
  </si>
  <si>
    <t xml:space="preserve"> Done</t>
  </si>
  <si>
    <t xml:space="preserve"> BSS-5  Security deposit not populated for renewals</t>
  </si>
  <si>
    <t xml:space="preserve"> BSS-7  Update the referencing Provider to HomeLet</t>
  </si>
  <si>
    <t xml:space="preserve"> BSS-6  Update the noOfAdultOccupants calculation</t>
  </si>
  <si>
    <t xml:space="preserve"> BSS-3  EOT task- Couldn't  be cancelled through approver ( record owner)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</si>
  <si>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</si>
  <si>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</si>
  <si>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</si>
  <si>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</si>
  <si>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</si>
  <si>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</si>
  <si>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</si>
  <si>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</si>
  <si>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</si>
  <si>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</si>
  <si>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</si>
  <si>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</si>
  <si>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</si>
  <si>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</si>
  <si>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</si>
  <si>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</si>
  <si>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</si>
  <si>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</si>
  <si>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</si>
  <si>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</si>
  <si>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</si>
  <si>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</si>
  <si>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</si>
  <si>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</si>
  <si>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</si>
  <si>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</si>
  <si>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</si>
  <si>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</si>
  <si>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</si>
  <si>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</si>
  <si>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</si>
  <si>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</si>
  <si>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</si>
  <si>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</si>
  <si>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</si>
  <si>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</si>
  <si>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</si>
  <si>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(FTE)</t>
  </si>
  <si>
    <t>Billable</t>
  </si>
  <si>
    <t>Brendan Canny</t>
  </si>
  <si>
    <t>Support</t>
  </si>
  <si>
    <t>Billable timecode</t>
  </si>
  <si>
    <t>Standard Timecode</t>
  </si>
  <si>
    <t>GBP</t>
  </si>
  <si>
    <t>Reviewed</t>
  </si>
  <si>
    <t>Discussion with Sam related to RJ-30 root cause. Likely relationship with fix of RJ-26. Fixed RJ-30 in staging and testing.</t>
  </si>
  <si>
    <t>Not submitted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</si>
  <si>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</si>
  <si>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</si>
  <si>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</si>
  <si>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</si>
  <si>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</si>
  <si>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</si>
  <si>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Salaried / Fixed</t>
  </si>
  <si>
    <t>Custom Software</t>
  </si>
  <si>
    <t xml:space="preserve"> </t>
  </si>
  <si>
    <t>Non-billable timecode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</si>
  <si>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</si>
  <si>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</si>
  <si>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</si>
  <si>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</si>
  <si>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</si>
  <si>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</si>
  <si>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</si>
  <si>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</si>
  <si>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Time Report</t>
  </si>
  <si>
    <t>Signl4 integration</t>
  </si>
  <si>
    <t>Flow diagram workings &amp; standup</t>
  </si>
  <si>
    <t>Diagram changes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</si>
  <si>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</si>
  <si>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</si>
  <si>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</si>
  <si>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</si>
  <si>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</si>
  <si>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</si>
  <si>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</si>
  <si>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</si>
  <si>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</si>
  <si>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</si>
  <si>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</si>
  <si>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</si>
  <si>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</si>
  <si>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</si>
  <si>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</si>
  <si>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</si>
  <si>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</si>
  <si>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</si>
  <si>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</si>
  <si>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</si>
  <si>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</si>
  <si>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</si>
  <si>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</si>
  <si>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pre project prep</t>
  </si>
  <si>
    <t>Troubleshooting RSW ticket: https://graingerplc.atlassian.net/browse/RSW-62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</si>
  <si>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</si>
  <si>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</si>
  <si>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</si>
  <si>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</si>
  <si>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</si>
  <si>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</si>
  <si>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</si>
  <si>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</si>
  <si>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</si>
  <si>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</si>
  <si>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</si>
  <si>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</si>
  <si>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</si>
  <si>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</si>
  <si>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</si>
  <si>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  </t>
  </si>
  <si>
    <t xml:space="preserve"> Priority 3</t>
  </si>
  <si>
    <t xml:space="preserve"> 2024-04-08</t>
  </si>
  <si>
    <t xml:space="preserve"> 2024-04-15</t>
  </si>
  <si>
    <t xml:space="preserve"> SAJI GUNASEKARAN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</si>
  <si>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</si>
  <si>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</si>
  <si>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</si>
  <si>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</si>
  <si>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</si>
  <si>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</si>
  <si>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</si>
  <si>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</si>
  <si>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</si>
  <si>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</si>
  <si>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</si>
  <si>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</si>
  <si>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</si>
  <si>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</si>
  <si>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</si>
  <si>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</si>
  <si>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</si>
  <si>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</si>
  <si>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</si>
  <si>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</si>
  <si>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</si>
  <si>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</si>
  <si>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</si>
  <si>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</si>
  <si>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</si>
  <si>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</si>
  <si>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</si>
  <si>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</si>
  <si>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</si>
  <si>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</si>
  <si>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</si>
  <si>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</si>
  <si>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</si>
  <si>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</si>
  <si>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</si>
  <si>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</si>
  <si>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</si>
  <si>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</si>
  <si>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</si>
  <si>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</si>
  <si>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Technical</t>
  </si>
  <si>
    <t>29-04-2024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</si>
  <si>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</si>
  <si>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</si>
  <si>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</si>
  <si>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</si>
  <si>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</si>
  <si>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</si>
  <si>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</si>
  <si>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</si>
  <si>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</si>
  <si>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2024-04-23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</si>
</sst>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6" fillId="34" borderId="10" xfId="0" applyFont="1" applyFill="1" applyBorder="1" applyAlignment="1">
      <alignment wrapText="1"/>
    </xf>
    <xf numFmtId="0" fontId="19" fillId="0" borderId="10" xfId="42" applyBorder="1" applyAlignment="1">
      <alignment wrapText="1"/>
    </xf>
    <xf numFmtId="0" fontId="0" fillId="35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36" borderId="10" xfId="0" applyFill="1" applyBorder="1" applyAlignment="1">
      <alignment wrapText="1"/>
    </xf>
    <xf numFmtId="0" fontId="0" fillId="33" borderId="0" xfId="0" applyFill="1"/>
    <xf numFmtId="0" fontId="0" fillId="37" borderId="0" xfId="0" applyFill="1"/>
    <xf numFmtId="0" fontId="0" fillId="38" borderId="0" xfId="0" applyFill="1"/>
    <xf numFmtId="0" fontId="0" fillId="38" borderId="10" xfId="0" applyFill="1" applyBorder="1" applyAlignment="1">
      <alignment wrapText="1"/>
    </xf>
    <xf numFmtId="0" fontId="1" fillId="36" borderId="10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36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1.506950000003" createdVersion="8" refreshedVersion="8" minRefreshableVersion="3" recordCount="69" xr:uid="{14B7FA8A-6528-45BF-BAC9-80FC0A7F527E}">
  <cacheSource type="worksheet">
    <worksheetSource ref="A1:AF70" sheet="Project Timesheets"/>
  </cacheSource>
  <cacheFields count="32">
    <cacheField name="Date" numFmtId="15">
      <sharedItems containsSemiMixedTypes="0" containsNonDate="0" containsDate="1" containsString="0" minDate="2024-03-22T00:00:00" maxDate="2024-04-30T00:00:00"/>
    </cacheField>
    <cacheField name="Person" numFmtId="0">
      <sharedItems count="7">
        <s v="Anjali Salecha"/>
        <s v="Carami Le Grange"/>
        <s v="Dillan Landsberg"/>
        <s v="Sachin  Deshmukh 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27014" maxValue="240870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3"/>
    </cacheField>
    <cacheField name="Time" numFmtId="20">
      <sharedItems containsSemiMixedTypes="0" containsNonDate="0" containsDate="1" containsString="0" minDate="1899-12-30T00:15:00" maxDate="1899-12-30T03:00:00"/>
    </cacheField>
    <cacheField name="Worked Amount" numFmtId="0">
      <sharedItems containsSemiMixedTypes="0" containsString="0" containsNumber="1" minValue="0" maxValue="18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3" maxValue="4"/>
    </cacheField>
    <cacheField name="Month" numFmtId="0">
      <sharedItems count="2"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4-03-26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92"/>
    <x v="0"/>
    <s v="Billable timecode"/>
    <s v="Standard Timecode"/>
    <n v="90"/>
    <n v="2"/>
    <d v="1899-12-30T02:00:00"/>
    <n v="180"/>
    <m/>
    <m/>
    <m/>
    <s v="GBP"/>
    <s v="Reviewed"/>
    <s v="Discussion with Sam related to RJ-30 root cause. Likely relationship with fix of RJ-26. Fixed RJ-30 in staging and testing."/>
    <s v="Not submitted"/>
    <n v="3"/>
    <x v="0"/>
  </r>
  <r>
    <d v="2024-03-27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334"/>
    <x v="0"/>
    <s v="Billable timecode"/>
    <s v="Standard Timecode"/>
    <n v="90"/>
    <n v="1"/>
    <d v="1899-12-30T01:00:00"/>
    <n v="90"/>
    <m/>
    <m/>
    <m/>
    <s v="GBP"/>
    <s v="Reviewed"/>
    <s v="checked if sandbox openbox can be deleted. worked on fixing test class - Renewals_OpportunityCloneTest for RJ-30 in staging"/>
    <s v="Not submitted"/>
    <n v="3"/>
    <x v="0"/>
  </r>
  <r>
    <d v="2024-04-0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801"/>
    <x v="0"/>
    <s v="Billable timecode"/>
    <s v="Standard Timecode"/>
    <n v="90"/>
    <n v="0.5"/>
    <d v="1899-12-30T00:30:00"/>
    <n v="45"/>
    <m/>
    <m/>
    <m/>
    <s v="GBP"/>
    <s v="Reviewed"/>
    <s v="Homelet demo to Dillan Landsberg in uat."/>
    <s v="Not submitted"/>
    <n v="4"/>
    <x v="1"/>
  </r>
  <r>
    <d v="2024-04-18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896"/>
    <x v="0"/>
    <s v="Billable timecode"/>
    <s v="Standard Timecode"/>
    <n v="90"/>
    <n v="0.25"/>
    <d v="1899-12-30T00:15:00"/>
    <n v="22.5"/>
    <m/>
    <m/>
    <m/>
    <s v="GBP"/>
    <s v="Reviewed"/>
    <s v="Discussion with Dillan about HomeLet Bug - removing spaces from phone number before sending to Homelet."/>
    <s v="Not submitted"/>
    <n v="4"/>
    <x v="1"/>
  </r>
  <r>
    <d v="2024-04-19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719"/>
    <x v="0"/>
    <s v="Billable timecode"/>
    <s v="Standard Timecode"/>
    <n v="90"/>
    <n v="0.25"/>
    <d v="1899-12-30T00:15:00"/>
    <n v="22.5"/>
    <m/>
    <m/>
    <m/>
    <s v="GBP"/>
    <s v="Reviewed"/>
    <s v="Discussion with Dillan about 'ApplicantExistsWithSameEmail' error."/>
    <s v="Not submitted"/>
    <n v="4"/>
    <x v="1"/>
  </r>
  <r>
    <d v="2024-04-22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971"/>
    <x v="0"/>
    <s v="Billable timecode"/>
    <s v="Standard Timecode"/>
    <n v="90"/>
    <n v="1.5"/>
    <d v="1899-12-30T01:30:00"/>
    <n v="135"/>
    <m/>
    <m/>
    <m/>
    <s v="GBP"/>
    <s v="Reviewed"/>
    <s v="Checked the root cause for BSS-16 and discussion with Dillan."/>
    <s v="Not submitted"/>
    <n v="4"/>
    <x v="1"/>
  </r>
  <r>
    <d v="2024-04-25T00:00:00"/>
    <x v="0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111"/>
    <x v="0"/>
    <s v="Billable timecode"/>
    <s v="Standard Timecode"/>
    <n v="90"/>
    <n v="0.5"/>
    <d v="1899-12-30T00:30:00"/>
    <n v="45"/>
    <m/>
    <m/>
    <m/>
    <s v="GBP"/>
    <s v="Reviewed"/>
    <s v="Discussion with Sam about BSS-16."/>
    <s v="Not submitted"/>
    <n v="4"/>
    <x v="1"/>
  </r>
  <r>
    <d v="2024-03-2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528"/>
    <x v="1"/>
    <s v="Non-billable timecode"/>
    <s v="Standard Timecode"/>
    <n v="0"/>
    <n v="0.5"/>
    <d v="1899-12-30T00:30:00"/>
    <n v="0"/>
    <m/>
    <m/>
    <m/>
    <s v="GBP"/>
    <s v="Reviewed"/>
    <s v="kick-off &amp; admin"/>
    <s v="Not submitted"/>
    <n v="3"/>
    <x v="0"/>
  </r>
  <r>
    <d v="2024-04-0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412"/>
    <x v="1"/>
    <s v="Non-billable timecode"/>
    <s v="Standard Timecode"/>
    <n v="0"/>
    <n v="0.25"/>
    <d v="1899-12-30T00:15:00"/>
    <n v="0"/>
    <m/>
    <m/>
    <m/>
    <s v="GBP"/>
    <s v="Reviewed"/>
    <s v="Time Reports"/>
    <s v="Not submitted"/>
    <n v="4"/>
    <x v="1"/>
  </r>
  <r>
    <d v="2024-04-04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490"/>
    <x v="1"/>
    <s v="Non-billable timecode"/>
    <s v="Standard Timecode"/>
    <n v="0"/>
    <n v="0.5"/>
    <d v="1899-12-30T00:30:00"/>
    <n v="0"/>
    <m/>
    <m/>
    <m/>
    <s v="GBP"/>
    <s v="Reviewed"/>
    <s v="Support Process Planning"/>
    <s v="Not submitted"/>
    <n v="4"/>
    <x v="1"/>
  </r>
  <r>
    <d v="2024-04-0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672"/>
    <x v="1"/>
    <s v="Non-billable timecode"/>
    <s v="Standard Timecode"/>
    <n v="0"/>
    <n v="0.5"/>
    <d v="1899-12-30T00:30:00"/>
    <n v="0"/>
    <m/>
    <m/>
    <m/>
    <s v="GBP"/>
    <s v="Reviewed"/>
    <s v="Meeting with Helpdesk"/>
    <s v="Not submitted"/>
    <n v="4"/>
    <x v="1"/>
  </r>
  <r>
    <d v="2024-04-08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453"/>
    <x v="1"/>
    <s v="Non-billable timecode"/>
    <s v="Standard Timecode"/>
    <n v="0"/>
    <n v="1"/>
    <d v="1899-12-30T01:00:00"/>
    <n v="0"/>
    <m/>
    <m/>
    <m/>
    <s v="GBP"/>
    <s v="Reviewed"/>
    <s v="Process Refinement &amp; Flow diagram drafting"/>
    <s v="Not submitted"/>
    <n v="4"/>
    <x v="1"/>
  </r>
  <r>
    <d v="2024-04-0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077"/>
    <x v="1"/>
    <s v="Non-billable timecode"/>
    <s v="Standard Timecode"/>
    <n v="0"/>
    <n v="0.25"/>
    <d v="1899-12-30T00:15:00"/>
    <n v="0"/>
    <m/>
    <m/>
    <m/>
    <s v="GBP"/>
    <s v="Reviewed"/>
    <s v="Jira changes"/>
    <s v="Not submitted"/>
    <n v="4"/>
    <x v="1"/>
  </r>
  <r>
    <d v="2024-04-11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192"/>
    <x v="1"/>
    <s v="Non-billable timecode"/>
    <s v="Standard Timecode"/>
    <n v="0"/>
    <n v="0.25"/>
    <d v="1899-12-30T00:15:00"/>
    <n v="0"/>
    <m/>
    <m/>
    <m/>
    <s v="GBP"/>
    <s v="Reviewed"/>
    <s v="Jira issue type changes"/>
    <s v="Not submitted"/>
    <n v="4"/>
    <x v="1"/>
  </r>
  <r>
    <d v="2024-04-12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548"/>
    <x v="1"/>
    <s v="Non-billable timecode"/>
    <s v="Standard Timecode"/>
    <n v="0"/>
    <n v="1"/>
    <d v="1899-12-30T01:00:00"/>
    <n v="0"/>
    <m/>
    <m/>
    <m/>
    <s v="GBP"/>
    <s v="Reviewed"/>
    <s v="Diagram run through with Melissa"/>
    <s v="Not submitted"/>
    <n v="4"/>
    <x v="1"/>
  </r>
  <r>
    <d v="2024-04-15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84"/>
    <x v="1"/>
    <s v="Non-billable timecode"/>
    <s v="Standard Timecode"/>
    <n v="0"/>
    <n v="0.25"/>
    <d v="1899-12-30T00:15:00"/>
    <n v="0"/>
    <m/>
    <m/>
    <m/>
    <s v="GBP"/>
    <s v="Reviewed"/>
    <s v="Time Report"/>
    <s v="Not submitted"/>
    <n v="4"/>
    <x v="1"/>
  </r>
  <r>
    <d v="2024-04-16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864"/>
    <x v="1"/>
    <s v="Non-billable timecode"/>
    <s v="Standard Timecode"/>
    <n v="0"/>
    <n v="0.5"/>
    <d v="1899-12-30T00:30:00"/>
    <n v="0"/>
    <m/>
    <m/>
    <m/>
    <s v="GBP"/>
    <s v="Reviewed"/>
    <s v="Signl4 integration"/>
    <s v="Not submitted"/>
    <n v="4"/>
    <x v="1"/>
  </r>
  <r>
    <d v="2024-04-17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594"/>
    <x v="1"/>
    <s v="Non-billable timecode"/>
    <s v="Standard Timecode"/>
    <n v="0"/>
    <n v="2"/>
    <d v="1899-12-30T02:00:00"/>
    <n v="0"/>
    <m/>
    <m/>
    <m/>
    <s v="GBP"/>
    <s v="Reviewed"/>
    <s v="Flow diagram workings &amp; standup"/>
    <s v="Not submitted"/>
    <n v="4"/>
    <x v="1"/>
  </r>
  <r>
    <d v="2024-04-19T00:00:00"/>
    <x v="1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570"/>
    <x v="1"/>
    <s v="Non-billable timecode"/>
    <s v="Standard Timecode"/>
    <n v="0"/>
    <n v="0.5"/>
    <d v="1899-12-30T00:30:00"/>
    <n v="0"/>
    <m/>
    <m/>
    <m/>
    <s v="GBP"/>
    <s v="Reviewed"/>
    <s v="Diagram changes"/>
    <s v="Not submitted"/>
    <n v="4"/>
    <x v="1"/>
  </r>
  <r>
    <d v="2024-04-0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178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286"/>
    <x v="0"/>
    <s v="Billable timecode"/>
    <s v="Standard Timecode"/>
    <n v="90"/>
    <n v="0.5"/>
    <d v="1899-12-30T00:30:00"/>
    <n v="45"/>
    <m/>
    <m/>
    <m/>
    <s v="GBP"/>
    <s v="Reviewed"/>
    <s v="BSS-8: Investigating ticket and providing feedback to Saji"/>
    <s v="Not submitted"/>
    <n v="4"/>
    <x v="1"/>
  </r>
  <r>
    <d v="2024-04-0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311"/>
    <x v="1"/>
    <s v="Non-billable timecode"/>
    <s v="Standard Timecode"/>
    <n v="0"/>
    <n v="0.5"/>
    <d v="1899-12-30T00:30:00"/>
    <n v="0"/>
    <m/>
    <m/>
    <m/>
    <s v="GBP"/>
    <s v="Reviewed"/>
    <s v="HomeLet overview with Anjali"/>
    <s v="Not submitted"/>
    <n v="4"/>
    <x v="1"/>
  </r>
  <r>
    <d v="2024-04-0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2949"/>
    <x v="0"/>
    <s v="Billable timecode"/>
    <s v="Standard Timecode"/>
    <n v="90"/>
    <n v="1"/>
    <d v="1899-12-30T01:00:00"/>
    <n v="90"/>
    <m/>
    <m/>
    <m/>
    <s v="GBP"/>
    <s v="Reviewed"/>
    <s v="BSS-8"/>
    <s v="Not submitted"/>
    <n v="4"/>
    <x v="1"/>
  </r>
  <r>
    <d v="2024-04-10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353"/>
    <x v="0"/>
    <s v="Billable timecode"/>
    <s v="Standard Timecode"/>
    <n v="90"/>
    <n v="1"/>
    <d v="1899-12-30T01:00:00"/>
    <n v="90"/>
    <m/>
    <m/>
    <m/>
    <s v="GBP"/>
    <s v="Reviewed"/>
    <s v="BSS-11 and BSS-12 investigation and feedback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3858"/>
    <x v="0"/>
    <s v="Billable timecode"/>
    <s v="Standard Timecode"/>
    <n v="90"/>
    <n v="0.5"/>
    <d v="1899-12-30T00:30:00"/>
    <n v="45"/>
    <m/>
    <m/>
    <m/>
    <s v="GBP"/>
    <s v="Reviewed"/>
    <s v="BSS-8 Investigation and feedback to Saji"/>
    <s v="Not submitted"/>
    <n v="4"/>
    <x v="1"/>
  </r>
  <r>
    <d v="2024-04-11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4332"/>
    <x v="1"/>
    <s v="Non-billable timecode"/>
    <s v="Standard Timecode"/>
    <n v="0"/>
    <n v="0.5"/>
    <d v="1899-12-30T00:30:00"/>
    <n v="0"/>
    <m/>
    <m/>
    <m/>
    <s v="GBP"/>
    <s v="Reviewed"/>
    <s v="Chat with Anjali regarding BSS-8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4"/>
    <x v="0"/>
    <s v="Billable timecode"/>
    <s v="Standard Timecode"/>
    <n v="90"/>
    <n v="2"/>
    <d v="1899-12-30T02:00:00"/>
    <n v="180"/>
    <m/>
    <m/>
    <m/>
    <s v="GBP"/>
    <s v="Reviewed"/>
    <s v="BSS-8 BSS-3"/>
    <s v="Not submitted"/>
    <n v="4"/>
    <x v="1"/>
  </r>
  <r>
    <d v="2024-04-15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145"/>
    <x v="1"/>
    <s v="Non-billable timecode"/>
    <s v="Standard Timecode"/>
    <n v="0"/>
    <n v="1.5"/>
    <d v="1899-12-30T01:30:00"/>
    <n v="0"/>
    <m/>
    <m/>
    <m/>
    <s v="GBP"/>
    <s v="Reviewed"/>
    <s v="BSS-8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8"/>
    <x v="0"/>
    <s v="Billable timecode"/>
    <s v="Standard Timecode"/>
    <n v="90"/>
    <n v="1.75"/>
    <d v="1899-12-30T01:45:00"/>
    <n v="157.5"/>
    <m/>
    <m/>
    <m/>
    <s v="GBP"/>
    <s v="Reviewed"/>
    <s v="BSS-14 investigation &amp; error replication BSS-3: Close ticket"/>
    <s v="Not submitted"/>
    <n v="4"/>
    <x v="1"/>
  </r>
  <r>
    <d v="2024-04-1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5696"/>
    <x v="1"/>
    <s v="Non-billable timecode"/>
    <s v="Standard Timecode"/>
    <n v="0"/>
    <n v="3"/>
    <d v="1899-12-30T03:00:00"/>
    <n v="0"/>
    <m/>
    <m/>
    <m/>
    <s v="GBP"/>
    <s v="Reviewed"/>
    <e v="#NAME?"/>
    <s v="Not submitted"/>
    <n v="4"/>
    <x v="1"/>
  </r>
  <r>
    <d v="2024-04-17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100"/>
    <x v="1"/>
    <s v="Non-billable timecode"/>
    <s v="Standard Timecode"/>
    <n v="0"/>
    <n v="1.25"/>
    <d v="1899-12-30T01:15:00"/>
    <n v="0"/>
    <m/>
    <m/>
    <m/>
    <s v="GBP"/>
    <s v="Reviewed"/>
    <s v="Grainger EOT issue Meeting with Sam &amp; Avi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900"/>
    <x v="0"/>
    <s v="Billable timecode"/>
    <s v="Standard Timecode"/>
    <n v="90"/>
    <n v="0.5"/>
    <d v="1899-12-30T00:30:00"/>
    <n v="45"/>
    <m/>
    <m/>
    <m/>
    <s v="GBP"/>
    <s v="Reviewed"/>
    <s v="BSS-15 Call with Anjali Investigation   &amp; feedback"/>
    <s v="Not submitted"/>
    <n v="4"/>
    <x v="1"/>
  </r>
  <r>
    <d v="2024-04-18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6740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1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309"/>
    <x v="0"/>
    <s v="Billable timecode"/>
    <s v="Standard Timecode"/>
    <n v="90"/>
    <n v="1.75"/>
    <d v="1899-12-30T01:45:00"/>
    <n v="157.5"/>
    <m/>
    <m/>
    <m/>
    <s v="GBP"/>
    <s v="Reviewed"/>
    <s v="AVM-16"/>
    <s v="Not submitted"/>
    <n v="4"/>
    <x v="1"/>
  </r>
  <r>
    <d v="2024-04-22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7812"/>
    <x v="0"/>
    <s v="Billable timecode"/>
    <s v="Standard Timecode"/>
    <n v="90"/>
    <n v="0.75"/>
    <d v="1899-12-30T00:45:00"/>
    <n v="67.5"/>
    <m/>
    <m/>
    <m/>
    <s v="GBP"/>
    <s v="Reviewed"/>
    <s v="BSS-16 call with Anjali"/>
    <s v="Not submitted"/>
    <n v="4"/>
    <x v="1"/>
  </r>
  <r>
    <d v="2024-04-23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38745"/>
    <x v="0"/>
    <s v="Billable timecode"/>
    <s v="Standard Timecode"/>
    <n v="90"/>
    <n v="0.75"/>
    <d v="1899-12-30T00:45:00"/>
    <n v="67.5"/>
    <m/>
    <m/>
    <m/>
    <s v="GBP"/>
    <s v="Reviewed"/>
    <s v="AVM-14 Test Case"/>
    <s v="Not submitted"/>
    <n v="4"/>
    <x v="1"/>
  </r>
  <r>
    <d v="2024-04-26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088"/>
    <x v="0"/>
    <s v="Billable timecode"/>
    <s v="Standard Timecode"/>
    <n v="90"/>
    <n v="2"/>
    <d v="1899-12-30T02:00:00"/>
    <n v="180"/>
    <m/>
    <m/>
    <m/>
    <s v="GBP"/>
    <s v="Reviewed"/>
    <s v="BSS8 call with Sam BSS-19"/>
    <s v="Not submitted"/>
    <n v="4"/>
    <x v="1"/>
  </r>
  <r>
    <d v="2024-04-29T00:00:00"/>
    <x v="2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40870"/>
    <x v="0"/>
    <s v="Billable timecode"/>
    <s v="Standard Timecode"/>
    <n v="90"/>
    <n v="1"/>
    <d v="1899-12-30T01:00:00"/>
    <n v="90"/>
    <m/>
    <m/>
    <m/>
    <s v="GBP"/>
    <m/>
    <s v="HomeLet issue - https://graingerplc.atlassian.net/browse/BSS-16"/>
    <s v="Not submitted"/>
    <n v="4"/>
    <x v="1"/>
  </r>
  <r>
    <d v="2024-03-22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7014"/>
    <x v="0"/>
    <s v="Billable timecode"/>
    <s v="Standard Timecode"/>
    <n v="90"/>
    <n v="1"/>
    <d v="1899-12-30T01:00:00"/>
    <n v="90"/>
    <m/>
    <m/>
    <m/>
    <s v="GBP"/>
    <s v="Reviewed"/>
    <s v="-- Investigated FVVP 417 and Production bugs"/>
    <s v="Not submitted"/>
    <n v="3"/>
    <x v="0"/>
  </r>
  <r>
    <d v="2024-03-26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8560"/>
    <x v="0"/>
    <s v="Billable timecode"/>
    <s v="Standard Timecode"/>
    <n v="90"/>
    <n v="1"/>
    <d v="1899-12-30T01:00:00"/>
    <n v="90"/>
    <m/>
    <m/>
    <m/>
    <s v="GBP"/>
    <s v="Reviewed"/>
    <s v="Worked on FVVP-416"/>
    <s v="Not submitted"/>
    <n v="3"/>
    <x v="0"/>
  </r>
  <r>
    <d v="2024-03-27T00:00:00"/>
    <x v="3"/>
    <s v="Hourly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177"/>
    <x v="0"/>
    <s v="Billable timecode"/>
    <s v="Standard Timecode"/>
    <n v="90"/>
    <n v="0.5"/>
    <d v="1899-12-30T00:30:00"/>
    <n v="45"/>
    <m/>
    <m/>
    <m/>
    <s v="GBP"/>
    <s v="Reviewed"/>
    <s v="Fixed the production bug FVVP 416 in Staging"/>
    <s v="Not submitted"/>
    <n v="3"/>
    <x v="0"/>
  </r>
  <r>
    <d v="2024-04-0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333"/>
    <x v="0"/>
    <s v="Billable timecode"/>
    <s v="Standard Timecode"/>
    <n v="90"/>
    <n v="0.5"/>
    <d v="1899-12-30T00:30:00"/>
    <n v="45"/>
    <m/>
    <m/>
    <m/>
    <s v="GBP"/>
    <s v="Reviewed"/>
    <s v="BSS-6 Making change in UAT and deploying to PROD"/>
    <s v="Not submitted"/>
    <n v="4"/>
    <x v="1"/>
  </r>
  <r>
    <d v="2024-04-08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216"/>
    <x v="0"/>
    <s v="Billable timecode"/>
    <s v="Standard Timecode"/>
    <n v="90"/>
    <n v="0.5"/>
    <d v="1899-12-30T00:30:00"/>
    <n v="45"/>
    <m/>
    <m/>
    <m/>
    <s v="GBP"/>
    <s v="Reviewed"/>
    <s v="Updating historical opps for HomeLet go-live https://graingerplc.atlassian.net/browse/BSS-7"/>
    <s v="Not submitted"/>
    <n v="4"/>
    <x v="1"/>
  </r>
  <r>
    <d v="2024-04-09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898"/>
    <x v="0"/>
    <s v="Billable timecode"/>
    <s v="Standard Timecode"/>
    <n v="90"/>
    <n v="0.5"/>
    <d v="1899-12-30T00:30:00"/>
    <n v="45"/>
    <m/>
    <m/>
    <m/>
    <s v="GBP"/>
    <s v="Reviewed"/>
    <s v="BSS-9 Investigating and responding to Jaic"/>
    <s v="Not submitted"/>
    <n v="4"/>
    <x v="1"/>
  </r>
  <r>
    <d v="2024-04-23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660"/>
    <x v="0"/>
    <s v="Billable timecode"/>
    <s v="Standard Timecode"/>
    <n v="90"/>
    <n v="1"/>
    <d v="1899-12-30T01:00:00"/>
    <n v="90"/>
    <m/>
    <m/>
    <m/>
    <s v="GBP"/>
    <s v="Reviewed"/>
    <s v="BSS-16"/>
    <s v="Not submitted"/>
    <n v="4"/>
    <x v="1"/>
  </r>
  <r>
    <d v="2024-04-24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365"/>
    <x v="0"/>
    <s v="Billable timecode"/>
    <s v="Standard Timecode"/>
    <n v="90"/>
    <n v="1.5"/>
    <d v="1899-12-30T01:30:00"/>
    <n v="135"/>
    <m/>
    <m/>
    <m/>
    <s v="GBP"/>
    <s v="Reviewed"/>
    <s v="BSS-18"/>
    <s v="Not submitted"/>
    <n v="4"/>
    <x v="1"/>
  </r>
  <r>
    <d v="2024-04-25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672"/>
    <x v="0"/>
    <s v="Billable timecode"/>
    <s v="Standard Timecode"/>
    <n v="90"/>
    <n v="1"/>
    <d v="1899-12-30T01:00:00"/>
    <n v="90"/>
    <m/>
    <m/>
    <m/>
    <s v="GBP"/>
    <s v="Reviewed"/>
    <s v="BSS-8"/>
    <s v="Not submitted"/>
    <n v="4"/>
    <x v="1"/>
  </r>
  <r>
    <d v="2024-04-26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433"/>
    <x v="0"/>
    <s v="Billable timecode"/>
    <s v="Standard Timecode"/>
    <n v="90"/>
    <n v="1"/>
    <d v="1899-12-30T01:00:00"/>
    <n v="90"/>
    <m/>
    <m/>
    <m/>
    <s v="GBP"/>
    <s v="Reviewed"/>
    <s v="BSS-8"/>
    <s v="Not submitted"/>
    <n v="4"/>
    <x v="1"/>
  </r>
  <r>
    <d v="2024-04-26T00:00:00"/>
    <x v="4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434"/>
    <x v="0"/>
    <s v="Billable timecode"/>
    <s v="Standard Timecode"/>
    <n v="90"/>
    <n v="1"/>
    <d v="1899-12-30T01:00:00"/>
    <n v="90"/>
    <m/>
    <m/>
    <m/>
    <s v="GBP"/>
    <s v="Reviewed"/>
    <s v="BSS-16"/>
    <s v="Not submitted"/>
    <n v="4"/>
    <x v="1"/>
  </r>
  <r>
    <d v="2024-03-2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28826"/>
    <x v="1"/>
    <s v="Non-billable timecode"/>
    <s v="Standard Timecode"/>
    <n v="0"/>
    <n v="0.5"/>
    <d v="1899-12-30T00:30:00"/>
    <n v="0"/>
    <m/>
    <m/>
    <m/>
    <s v="GBP"/>
    <s v="Reviewed"/>
    <s v="pre project prep"/>
    <s v="Not submitted"/>
    <n v="3"/>
    <x v="0"/>
  </r>
  <r>
    <d v="2024-04-0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087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546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1837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0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2524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0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122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0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3821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1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263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4430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324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6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5992"/>
    <x v="1"/>
    <s v="Non-billable timecode"/>
    <s v="Standard Timecode"/>
    <n v="0"/>
    <n v="1.5"/>
    <d v="1899-12-30T01:30:00"/>
    <n v="0"/>
    <m/>
    <m/>
    <m/>
    <s v="GBP"/>
    <s v="Reviewed"/>
    <s v=" "/>
    <s v="Not submitted"/>
    <n v="4"/>
    <x v="1"/>
  </r>
  <r>
    <d v="2024-04-17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670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18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125"/>
    <x v="1"/>
    <s v="Non-billable timecode"/>
    <s v="Standard Timecode"/>
    <n v="0"/>
    <n v="1"/>
    <d v="1899-12-30T01:00:00"/>
    <n v="0"/>
    <m/>
    <m/>
    <m/>
    <s v="GBP"/>
    <s v="Reviewed"/>
    <s v=" "/>
    <s v="Not submitted"/>
    <n v="4"/>
    <x v="1"/>
  </r>
  <r>
    <d v="2024-04-19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7711"/>
    <x v="1"/>
    <s v="Non-billable timecode"/>
    <s v="Standard Timecode"/>
    <n v="0"/>
    <n v="0.75"/>
    <d v="1899-12-30T00:45:00"/>
    <n v="0"/>
    <m/>
    <m/>
    <m/>
    <s v="GBP"/>
    <s v="Reviewed"/>
    <s v=" "/>
    <s v="Not submitted"/>
    <n v="4"/>
    <x v="1"/>
  </r>
  <r>
    <d v="2024-04-22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8353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3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022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4-24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39576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5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339"/>
    <x v="1"/>
    <s v="Non-billable timecode"/>
    <s v="Standard Timecode"/>
    <n v="0"/>
    <n v="0.5"/>
    <d v="1899-12-30T00:30:00"/>
    <n v="0"/>
    <m/>
    <m/>
    <m/>
    <s v="GBP"/>
    <s v="Reviewed"/>
    <s v=" "/>
    <s v="Not submitted"/>
    <n v="4"/>
    <x v="1"/>
  </r>
  <r>
    <d v="2024-04-26T00:00:00"/>
    <x v="5"/>
    <s v="Salaried / Fixed"/>
    <s v="Open Box Software (Pty) Ltd (Open Box SA)"/>
    <s v="Custom Software"/>
    <s v="SA"/>
    <s v="Grainger PLC"/>
    <s v="OB-000493"/>
    <s v="Salesforce Support (FTE)"/>
    <s v="Billable"/>
    <s v="Open Box Software (Pty) Ltd (Open Box SA)"/>
    <s v="Shaun Barrett"/>
    <s v="Brendan Canny"/>
    <s v=" "/>
    <s v="Support"/>
    <n v="240375"/>
    <x v="1"/>
    <s v="Non-billable timecode"/>
    <s v="Standard Timecode"/>
    <n v="0"/>
    <n v="0.25"/>
    <d v="1899-12-30T00:15:00"/>
    <n v="0"/>
    <m/>
    <m/>
    <m/>
    <s v="GBP"/>
    <s v="Reviewed"/>
    <s v=" "/>
    <s v="Not submitted"/>
    <n v="4"/>
    <x v="1"/>
  </r>
  <r>
    <d v="2024-03-28T00:00:00"/>
    <x v="6"/>
    <s v="Salaried / Fixed"/>
    <s v="Open Box Software (Pty) Ltd (Open Box SA)"/>
    <s v="Salesforce"/>
    <s v="SA"/>
    <s v="Grainger PLC"/>
    <s v="OB-000493"/>
    <s v="Salesforce Support (FTE)"/>
    <s v="Billable"/>
    <s v="Open Box Software (Pty) Ltd (Open Box SA)"/>
    <s v="Shaun Barrett"/>
    <s v="Brendan Canny"/>
    <s v="Sam Duncan"/>
    <s v="Support"/>
    <n v="229978"/>
    <x v="0"/>
    <s v="Billable timecode"/>
    <s v="Standard Timecode"/>
    <n v="90"/>
    <n v="0.5"/>
    <d v="1899-12-30T00:30:00"/>
    <n v="45"/>
    <m/>
    <m/>
    <m/>
    <s v="GBP"/>
    <s v="Reviewed"/>
    <s v="Troubleshooting RSW ticket: https://graingerplc.atlassian.net/browse/RSW-62"/>
    <s v="Not submitted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6EA32-9A4F-4313-91B7-1D7E2357B146}" name="PivotTable1" cacheId="43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32">
    <pivotField numFmtId="15" showAll="0"/>
    <pivotField axis="axisRow" showAll="0">
      <items count="8">
        <item x="0"/>
        <item x="3"/>
        <item x="6"/>
        <item x="4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6" TargetMode="External"/><Relationship Id="rId13" Type="http://schemas.openxmlformats.org/officeDocument/2006/relationships/hyperlink" Target="https://graingerplc.atlassian.net/browse/BSS-15" TargetMode="External"/><Relationship Id="rId3" Type="http://schemas.openxmlformats.org/officeDocument/2006/relationships/hyperlink" Target="https://graingerplc.atlassian.net/browse/BSS-5" TargetMode="External"/><Relationship Id="rId7" Type="http://schemas.openxmlformats.org/officeDocument/2006/relationships/hyperlink" Target="https://graingerplc.atlassian.net/browse/BSS-9" TargetMode="External"/><Relationship Id="rId12" Type="http://schemas.openxmlformats.org/officeDocument/2006/relationships/hyperlink" Target="https://graingerplc.atlassian.net/browse/BSS-17" TargetMode="External"/><Relationship Id="rId2" Type="http://schemas.openxmlformats.org/officeDocument/2006/relationships/hyperlink" Target="https://graingerplc.atlassian.net/browse/BSS-2" TargetMode="External"/><Relationship Id="rId16" Type="http://schemas.openxmlformats.org/officeDocument/2006/relationships/hyperlink" Target="https://graingerplc.atlassian.net/browse/BSS-3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4" TargetMode="External"/><Relationship Id="rId11" Type="http://schemas.openxmlformats.org/officeDocument/2006/relationships/hyperlink" Target="https://graingerplc.atlassian.net/browse/BSS-18" TargetMode="External"/><Relationship Id="rId5" Type="http://schemas.openxmlformats.org/officeDocument/2006/relationships/hyperlink" Target="https://graingerplc.atlassian.net/browse/BSS-14" TargetMode="External"/><Relationship Id="rId15" Type="http://schemas.openxmlformats.org/officeDocument/2006/relationships/hyperlink" Target="https://graingerplc.atlassian.net/browse/BSS-6" TargetMode="External"/><Relationship Id="rId10" Type="http://schemas.openxmlformats.org/officeDocument/2006/relationships/hyperlink" Target="https://graingerplc.atlassian.net/browse/BSS-8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19" TargetMode="External"/><Relationship Id="rId14" Type="http://schemas.openxmlformats.org/officeDocument/2006/relationships/hyperlink" Target="https://graingerplc.atlassian.net/browse/BSS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B16" sqref="B16:C16"/>
    </sheetView>
  </sheetViews>
  <sheetFormatPr defaultRowHeight="14.45"/>
  <cols>
    <col min="1" max="1" width="62" customWidth="1"/>
    <col min="2" max="2" width="23" bestFit="1" customWidth="1"/>
    <col min="3" max="3" width="27.140625" bestFit="1" customWidth="1"/>
    <col min="4" max="4" width="15.28515625" bestFit="1" customWidth="1"/>
  </cols>
  <sheetData>
    <row r="1" spans="1:6">
      <c r="A1" s="4" t="s">
        <v>0</v>
      </c>
      <c r="B1" t="s">
        <v>1</v>
      </c>
      <c r="D1" s="6" t="s">
        <v>2</v>
      </c>
    </row>
    <row r="2" spans="1:6">
      <c r="C2" s="7"/>
    </row>
    <row r="3" spans="1:6">
      <c r="A3" s="4" t="s">
        <v>3</v>
      </c>
      <c r="B3" s="4" t="s">
        <v>4</v>
      </c>
      <c r="C3" s="7"/>
      <c r="D3" s="7"/>
      <c r="F3" t="s">
        <v>5</v>
      </c>
    </row>
    <row r="4" spans="1:6">
      <c r="A4" s="4" t="s">
        <v>6</v>
      </c>
      <c r="B4" t="s">
        <v>7</v>
      </c>
      <c r="C4" s="7" t="s">
        <v>8</v>
      </c>
      <c r="D4" t="s">
        <v>9</v>
      </c>
      <c r="F4" t="s">
        <v>10</v>
      </c>
    </row>
    <row r="5" spans="1:6">
      <c r="A5" s="5" t="s">
        <v>11</v>
      </c>
      <c r="B5">
        <v>6</v>
      </c>
      <c r="C5" s="7"/>
      <c r="D5">
        <v>6</v>
      </c>
      <c r="F5" t="s">
        <v>12</v>
      </c>
    </row>
    <row r="6" spans="1:6">
      <c r="A6" s="5" t="s">
        <v>13</v>
      </c>
      <c r="B6">
        <v>2.5</v>
      </c>
      <c r="C6" s="7"/>
      <c r="D6">
        <v>2.5</v>
      </c>
      <c r="F6" t="s">
        <v>14</v>
      </c>
    </row>
    <row r="7" spans="1:6">
      <c r="A7" s="5" t="s">
        <v>15</v>
      </c>
      <c r="B7">
        <v>0.5</v>
      </c>
      <c r="C7" s="7"/>
      <c r="D7">
        <v>0.5</v>
      </c>
      <c r="F7" t="s">
        <v>16</v>
      </c>
    </row>
    <row r="8" spans="1:6">
      <c r="A8" s="5" t="s">
        <v>17</v>
      </c>
      <c r="B8">
        <v>7</v>
      </c>
      <c r="C8" s="7"/>
      <c r="D8">
        <v>7</v>
      </c>
      <c r="F8" t="s">
        <v>18</v>
      </c>
    </row>
    <row r="9" spans="1:6">
      <c r="A9" s="5" t="s">
        <v>19</v>
      </c>
      <c r="C9" s="7">
        <v>7.5</v>
      </c>
      <c r="D9">
        <v>7.5</v>
      </c>
    </row>
    <row r="10" spans="1:6">
      <c r="A10" s="5" t="s">
        <v>20</v>
      </c>
      <c r="B10">
        <v>13.5</v>
      </c>
      <c r="C10" s="7">
        <v>8</v>
      </c>
      <c r="D10">
        <v>21.5</v>
      </c>
      <c r="F10" t="s">
        <v>21</v>
      </c>
    </row>
    <row r="11" spans="1:6">
      <c r="A11" s="5" t="s">
        <v>22</v>
      </c>
      <c r="C11" s="7">
        <v>14.25</v>
      </c>
      <c r="D11">
        <v>14.25</v>
      </c>
    </row>
    <row r="12" spans="1:6">
      <c r="A12" s="5" t="s">
        <v>9</v>
      </c>
      <c r="B12">
        <v>29.5</v>
      </c>
      <c r="C12" s="7">
        <v>29.75</v>
      </c>
      <c r="D12">
        <v>59.25</v>
      </c>
    </row>
    <row r="13" spans="1:6">
      <c r="C13" s="7"/>
    </row>
    <row r="14" spans="1:6">
      <c r="C14" s="7" t="s">
        <v>23</v>
      </c>
    </row>
    <row r="15" spans="1:6">
      <c r="C15" s="7"/>
    </row>
    <row r="16" spans="1:6">
      <c r="C16" s="7"/>
    </row>
    <row r="20" spans="1:3">
      <c r="A20" s="8" t="s">
        <v>24</v>
      </c>
      <c r="B20" s="8" t="s">
        <v>25</v>
      </c>
      <c r="C20" s="8" t="s">
        <v>26</v>
      </c>
    </row>
    <row r="21" spans="1:3">
      <c r="A21" s="9" t="s">
        <v>27</v>
      </c>
      <c r="B21" s="10" t="s">
        <v>28</v>
      </c>
      <c r="C21" s="11" t="s">
        <v>29</v>
      </c>
    </row>
    <row r="22" spans="1:3" ht="28.9">
      <c r="A22" s="9" t="s">
        <v>30</v>
      </c>
      <c r="B22" s="10" t="s">
        <v>28</v>
      </c>
      <c r="C22" s="11" t="s">
        <v>31</v>
      </c>
    </row>
    <row r="23" spans="1:3" ht="28.9">
      <c r="A23" s="9" t="s">
        <v>32</v>
      </c>
      <c r="B23" s="10" t="s">
        <v>33</v>
      </c>
      <c r="C23" s="11" t="s">
        <v>34</v>
      </c>
    </row>
    <row r="24" spans="1:3" ht="28.9">
      <c r="A24" s="9" t="s">
        <v>35</v>
      </c>
      <c r="B24" s="10" t="s">
        <v>33</v>
      </c>
      <c r="C24" s="11" t="s">
        <v>34</v>
      </c>
    </row>
    <row r="25" spans="1:3" ht="28.9">
      <c r="A25" s="9" t="s">
        <v>36</v>
      </c>
      <c r="B25" s="10" t="s">
        <v>33</v>
      </c>
      <c r="C25" s="11" t="s">
        <v>37</v>
      </c>
    </row>
    <row r="26" spans="1:3" ht="28.9">
      <c r="A26" s="9" t="s">
        <v>38</v>
      </c>
      <c r="B26" s="10" t="s">
        <v>33</v>
      </c>
      <c r="C26" s="11" t="s">
        <v>37</v>
      </c>
    </row>
    <row r="27" spans="1:3" ht="28.9">
      <c r="A27" s="9" t="s">
        <v>39</v>
      </c>
      <c r="B27" s="10" t="s">
        <v>33</v>
      </c>
      <c r="C27" s="18" t="s">
        <v>34</v>
      </c>
    </row>
    <row r="28" spans="1:3">
      <c r="A28" s="9" t="s">
        <v>40</v>
      </c>
      <c r="B28" s="16" t="s">
        <v>41</v>
      </c>
      <c r="C28" s="18" t="s">
        <v>42</v>
      </c>
    </row>
    <row r="29" spans="1:3" ht="28.9">
      <c r="A29" s="9" t="s">
        <v>43</v>
      </c>
      <c r="B29" s="12" t="s">
        <v>44</v>
      </c>
      <c r="C29" s="11" t="s">
        <v>31</v>
      </c>
    </row>
    <row r="30" spans="1:3" ht="28.9">
      <c r="A30" s="9" t="s">
        <v>45</v>
      </c>
      <c r="B30" s="17" t="s">
        <v>46</v>
      </c>
      <c r="C30" s="11" t="s">
        <v>37</v>
      </c>
    </row>
    <row r="31" spans="1:3">
      <c r="A31" s="9" t="s">
        <v>47</v>
      </c>
      <c r="B31" s="17" t="s">
        <v>48</v>
      </c>
      <c r="C31" s="18" t="s">
        <v>34</v>
      </c>
    </row>
    <row r="32" spans="1:3">
      <c r="A32" s="9" t="s">
        <v>49</v>
      </c>
      <c r="B32" s="17" t="s">
        <v>48</v>
      </c>
      <c r="C32" s="18" t="s">
        <v>42</v>
      </c>
    </row>
    <row r="33" spans="1:3">
      <c r="A33" s="9" t="s">
        <v>50</v>
      </c>
      <c r="B33" s="17" t="s">
        <v>48</v>
      </c>
      <c r="C33" s="18" t="s">
        <v>31</v>
      </c>
    </row>
    <row r="34" spans="1:3">
      <c r="A34" s="9" t="s">
        <v>51</v>
      </c>
      <c r="B34" s="17" t="s">
        <v>48</v>
      </c>
      <c r="C34" s="18" t="s">
        <v>31</v>
      </c>
    </row>
    <row r="35" spans="1:3">
      <c r="A35" s="9" t="s">
        <v>52</v>
      </c>
      <c r="B35" s="17" t="s">
        <v>48</v>
      </c>
      <c r="C35" s="18" t="s">
        <v>34</v>
      </c>
    </row>
    <row r="36" spans="1:3" ht="15"/>
    <row r="37" spans="1:3" ht="15"/>
    <row r="38" spans="1:3" ht="15"/>
    <row r="39" spans="1:3" ht="15"/>
    <row r="40" spans="1:3" ht="15"/>
    <row r="41" spans="1:3" ht="15"/>
    <row r="42" spans="1:3" ht="15"/>
    <row r="43" spans="1:3" ht="15"/>
    <row r="44" spans="1:3" ht="15"/>
    <row r="45" spans="1:3" ht="15"/>
    <row r="46" spans="1:3" ht="15"/>
    <row r="47" spans="1:3" ht="15"/>
    <row r="48" spans="1:3" ht="15"/>
    <row r="49" ht="15"/>
  </sheetData>
  <hyperlinks>
    <hyperlink ref="A31" r:id="rId2" xr:uid="{F9BE74C3-1311-489C-906F-60DBBAFAE402}"/>
    <hyperlink ref="A32" r:id="rId3" xr:uid="{7293CE6F-B1CD-4C02-9F47-E0C86494A0E2}"/>
    <hyperlink ref="A28" r:id="rId4" xr:uid="{E549B979-CB5B-4282-9DF3-065A5E48CD87}"/>
    <hyperlink ref="A23" r:id="rId5" xr:uid="{639BDCDE-9EB8-46D5-964B-4B953CD2A14E}"/>
    <hyperlink ref="A27" r:id="rId6" xr:uid="{867E0184-1E60-49D4-9CDB-9F86822E86C6}"/>
    <hyperlink ref="A26" r:id="rId7" xr:uid="{97454381-F632-4A1F-825E-25BA215F0112}"/>
    <hyperlink ref="A21" r:id="rId8" xr:uid="{75E06817-9D1C-4B1B-BB47-044F6E136B28}"/>
    <hyperlink ref="A22" r:id="rId9" xr:uid="{8AA3857D-7315-4C88-B162-9FCEE238FC87}"/>
    <hyperlink ref="A24" r:id="rId10" xr:uid="{0232509A-59EC-484F-B08F-1F9237FCBFA2}"/>
    <hyperlink ref="A30" r:id="rId11" xr:uid="{220DA156-5FA2-4978-9B8F-35F6795B553E}"/>
    <hyperlink ref="A29" r:id="rId12" xr:uid="{625A72B9-2E09-4BC2-B14B-B98FB3DC14D3}"/>
    <hyperlink ref="A25" r:id="rId13" xr:uid="{10A096EB-A7BC-4EB1-A44F-3DC24FF4CB67}"/>
    <hyperlink ref="A33" r:id="rId14" xr:uid="{23F0E319-C755-47C5-8238-BAE7FFF8E555}"/>
    <hyperlink ref="A34" r:id="rId15" xr:uid="{84366B14-3F3A-4B7E-8602-B16FBEACF8FF}"/>
    <hyperlink ref="A35" r:id="rId16" xr:uid="{5D917BFB-8806-4468-90FC-94DE1BE79E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0"/>
  <sheetViews>
    <sheetView topLeftCell="V29" workbookViewId="0"/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</cols>
  <sheetData>
    <row r="1" spans="1:3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s="3" t="s">
        <v>83</v>
      </c>
      <c r="AF1" s="3" t="s">
        <v>0</v>
      </c>
    </row>
    <row r="2" spans="1:32">
      <c r="A2" s="1">
        <v>45377</v>
      </c>
      <c r="B2" t="s">
        <v>11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85</v>
      </c>
      <c r="L2" t="s">
        <v>22</v>
      </c>
      <c r="M2" t="s">
        <v>92</v>
      </c>
      <c r="N2" t="s">
        <v>17</v>
      </c>
      <c r="O2" t="s">
        <v>93</v>
      </c>
      <c r="P2">
        <v>229192</v>
      </c>
      <c r="Q2" t="s">
        <v>7</v>
      </c>
      <c r="R2" t="s">
        <v>94</v>
      </c>
      <c r="S2" t="s">
        <v>95</v>
      </c>
      <c r="T2">
        <v>90</v>
      </c>
      <c r="U2">
        <v>2</v>
      </c>
      <c r="V2" s="2">
        <v>8.3333333333333329E-2</v>
      </c>
      <c r="W2">
        <v>180</v>
      </c>
      <c r="AA2" t="s">
        <v>96</v>
      </c>
      <c r="AB2" t="s">
        <v>97</v>
      </c>
      <c r="AC2" t="s">
        <v>98</v>
      </c>
      <c r="AD2" t="s">
        <v>99</v>
      </c>
      <c r="AE2">
        <f t="shared" ref="AE2:AE9" si="0">MONTH(A2)</f>
        <v>3</v>
      </c>
      <c r="AF2" t="str">
        <f t="shared" ref="AF2:AF35" si="1">IF(AE2=1,"January",IF(AE2=2,"February",IF(AE2=3,"March",IF(AE2=4,"April",IF(AE2=5,"May")))))</f>
        <v>March</v>
      </c>
    </row>
    <row r="3" spans="1:32">
      <c r="A3" s="1">
        <v>45378</v>
      </c>
      <c r="B3" t="s">
        <v>11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85</v>
      </c>
      <c r="L3" t="s">
        <v>22</v>
      </c>
      <c r="M3" t="s">
        <v>92</v>
      </c>
      <c r="N3" t="s">
        <v>17</v>
      </c>
      <c r="O3" t="s">
        <v>93</v>
      </c>
      <c r="P3">
        <v>229334</v>
      </c>
      <c r="Q3" t="s">
        <v>7</v>
      </c>
      <c r="R3" t="s">
        <v>94</v>
      </c>
      <c r="S3" t="s">
        <v>95</v>
      </c>
      <c r="T3">
        <v>90</v>
      </c>
      <c r="U3">
        <v>1</v>
      </c>
      <c r="V3" s="2">
        <v>4.1666666666666664E-2</v>
      </c>
      <c r="W3">
        <v>90</v>
      </c>
      <c r="AA3" t="s">
        <v>96</v>
      </c>
      <c r="AB3" t="s">
        <v>97</v>
      </c>
      <c r="AC3" t="s">
        <v>100</v>
      </c>
      <c r="AD3" t="s">
        <v>99</v>
      </c>
      <c r="AE3">
        <f t="shared" si="0"/>
        <v>3</v>
      </c>
      <c r="AF3" t="str">
        <f t="shared" si="1"/>
        <v>March</v>
      </c>
    </row>
    <row r="4" spans="1:32">
      <c r="A4" s="1">
        <v>45390</v>
      </c>
      <c r="B4" t="s">
        <v>11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85</v>
      </c>
      <c r="L4" t="s">
        <v>22</v>
      </c>
      <c r="M4" t="s">
        <v>92</v>
      </c>
      <c r="N4" t="s">
        <v>17</v>
      </c>
      <c r="O4" t="s">
        <v>93</v>
      </c>
      <c r="P4">
        <v>232801</v>
      </c>
      <c r="Q4" t="s">
        <v>7</v>
      </c>
      <c r="R4" t="s">
        <v>94</v>
      </c>
      <c r="S4" t="s">
        <v>95</v>
      </c>
      <c r="T4">
        <v>90</v>
      </c>
      <c r="U4">
        <v>0.5</v>
      </c>
      <c r="V4" s="2">
        <v>2.0833333333333332E-2</v>
      </c>
      <c r="W4">
        <v>45</v>
      </c>
      <c r="AA4" t="s">
        <v>96</v>
      </c>
      <c r="AB4" t="s">
        <v>97</v>
      </c>
      <c r="AC4" t="s">
        <v>101</v>
      </c>
      <c r="AD4" t="s">
        <v>99</v>
      </c>
      <c r="AE4">
        <f t="shared" si="0"/>
        <v>4</v>
      </c>
      <c r="AF4" t="str">
        <f t="shared" si="1"/>
        <v>April</v>
      </c>
    </row>
    <row r="5" spans="1:32">
      <c r="A5" s="1">
        <v>45400</v>
      </c>
      <c r="B5" t="s">
        <v>11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85</v>
      </c>
      <c r="L5" t="s">
        <v>22</v>
      </c>
      <c r="M5" t="s">
        <v>92</v>
      </c>
      <c r="N5" t="s">
        <v>17</v>
      </c>
      <c r="O5" t="s">
        <v>93</v>
      </c>
      <c r="P5">
        <v>236896</v>
      </c>
      <c r="Q5" t="s">
        <v>7</v>
      </c>
      <c r="R5" t="s">
        <v>94</v>
      </c>
      <c r="S5" t="s">
        <v>95</v>
      </c>
      <c r="T5">
        <v>90</v>
      </c>
      <c r="U5">
        <v>0.25</v>
      </c>
      <c r="V5" s="2">
        <v>1.0416666666666666E-2</v>
      </c>
      <c r="W5">
        <v>22.5</v>
      </c>
      <c r="AA5" t="s">
        <v>96</v>
      </c>
      <c r="AB5" t="s">
        <v>97</v>
      </c>
      <c r="AC5" t="s">
        <v>102</v>
      </c>
      <c r="AD5" t="s">
        <v>99</v>
      </c>
      <c r="AE5">
        <f t="shared" si="0"/>
        <v>4</v>
      </c>
      <c r="AF5" t="str">
        <f t="shared" si="1"/>
        <v>April</v>
      </c>
    </row>
    <row r="6" spans="1:32">
      <c r="A6" s="1">
        <v>45401</v>
      </c>
      <c r="B6" t="s">
        <v>11</v>
      </c>
      <c r="C6" t="s">
        <v>84</v>
      </c>
      <c r="D6" t="s">
        <v>85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85</v>
      </c>
      <c r="L6" t="s">
        <v>22</v>
      </c>
      <c r="M6" t="s">
        <v>92</v>
      </c>
      <c r="N6" t="s">
        <v>17</v>
      </c>
      <c r="O6" t="s">
        <v>93</v>
      </c>
      <c r="P6">
        <v>237719</v>
      </c>
      <c r="Q6" t="s">
        <v>7</v>
      </c>
      <c r="R6" t="s">
        <v>94</v>
      </c>
      <c r="S6" t="s">
        <v>95</v>
      </c>
      <c r="T6">
        <v>90</v>
      </c>
      <c r="U6">
        <v>0.25</v>
      </c>
      <c r="V6" s="2">
        <v>1.0416666666666666E-2</v>
      </c>
      <c r="W6">
        <v>22.5</v>
      </c>
      <c r="AA6" t="s">
        <v>96</v>
      </c>
      <c r="AB6" t="s">
        <v>97</v>
      </c>
      <c r="AC6" t="s">
        <v>103</v>
      </c>
      <c r="AD6" t="s">
        <v>99</v>
      </c>
      <c r="AE6">
        <f t="shared" si="0"/>
        <v>4</v>
      </c>
      <c r="AF6" t="str">
        <f t="shared" si="1"/>
        <v>April</v>
      </c>
    </row>
    <row r="7" spans="1:32">
      <c r="A7" s="1">
        <v>45404</v>
      </c>
      <c r="B7" t="s">
        <v>11</v>
      </c>
      <c r="C7" t="s">
        <v>84</v>
      </c>
      <c r="D7" t="s">
        <v>85</v>
      </c>
      <c r="E7" t="s">
        <v>86</v>
      </c>
      <c r="F7" t="s">
        <v>87</v>
      </c>
      <c r="G7" t="s">
        <v>88</v>
      </c>
      <c r="H7" t="s">
        <v>89</v>
      </c>
      <c r="I7" t="s">
        <v>90</v>
      </c>
      <c r="J7" t="s">
        <v>91</v>
      </c>
      <c r="K7" t="s">
        <v>85</v>
      </c>
      <c r="L7" t="s">
        <v>22</v>
      </c>
      <c r="M7" t="s">
        <v>92</v>
      </c>
      <c r="N7" t="s">
        <v>17</v>
      </c>
      <c r="O7" t="s">
        <v>93</v>
      </c>
      <c r="P7">
        <v>237971</v>
      </c>
      <c r="Q7" t="s">
        <v>7</v>
      </c>
      <c r="R7" t="s">
        <v>94</v>
      </c>
      <c r="S7" t="s">
        <v>95</v>
      </c>
      <c r="T7">
        <v>90</v>
      </c>
      <c r="U7">
        <v>1.5</v>
      </c>
      <c r="V7" s="2">
        <v>6.25E-2</v>
      </c>
      <c r="W7">
        <v>135</v>
      </c>
      <c r="AA7" t="s">
        <v>96</v>
      </c>
      <c r="AB7" t="s">
        <v>97</v>
      </c>
      <c r="AC7" t="s">
        <v>104</v>
      </c>
      <c r="AD7" t="s">
        <v>99</v>
      </c>
      <c r="AE7">
        <f t="shared" si="0"/>
        <v>4</v>
      </c>
      <c r="AF7" t="str">
        <f t="shared" si="1"/>
        <v>April</v>
      </c>
    </row>
    <row r="8" spans="1:32">
      <c r="A8" s="1">
        <v>45407</v>
      </c>
      <c r="B8" t="s">
        <v>11</v>
      </c>
      <c r="C8" t="s">
        <v>84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85</v>
      </c>
      <c r="L8" t="s">
        <v>22</v>
      </c>
      <c r="M8" t="s">
        <v>92</v>
      </c>
      <c r="N8" t="s">
        <v>17</v>
      </c>
      <c r="O8" t="s">
        <v>93</v>
      </c>
      <c r="P8">
        <v>240111</v>
      </c>
      <c r="Q8" t="s">
        <v>7</v>
      </c>
      <c r="R8" t="s">
        <v>94</v>
      </c>
      <c r="S8" t="s">
        <v>95</v>
      </c>
      <c r="T8">
        <v>90</v>
      </c>
      <c r="U8">
        <v>0.5</v>
      </c>
      <c r="V8" s="2">
        <v>2.0833333333333332E-2</v>
      </c>
      <c r="W8">
        <v>45</v>
      </c>
      <c r="AA8" t="s">
        <v>96</v>
      </c>
      <c r="AB8" t="s">
        <v>97</v>
      </c>
      <c r="AC8" t="s">
        <v>105</v>
      </c>
      <c r="AD8" t="s">
        <v>99</v>
      </c>
      <c r="AE8">
        <f t="shared" si="0"/>
        <v>4</v>
      </c>
      <c r="AF8" t="str">
        <f t="shared" si="1"/>
        <v>April</v>
      </c>
    </row>
    <row r="9" spans="1:32">
      <c r="A9" s="1">
        <v>45378</v>
      </c>
      <c r="B9" t="s">
        <v>19</v>
      </c>
      <c r="C9" t="s">
        <v>106</v>
      </c>
      <c r="D9" t="s">
        <v>85</v>
      </c>
      <c r="E9" t="s">
        <v>107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85</v>
      </c>
      <c r="L9" t="s">
        <v>22</v>
      </c>
      <c r="M9" t="s">
        <v>92</v>
      </c>
      <c r="N9" t="s">
        <v>108</v>
      </c>
      <c r="O9" t="s">
        <v>93</v>
      </c>
      <c r="P9">
        <v>228528</v>
      </c>
      <c r="Q9" t="s">
        <v>8</v>
      </c>
      <c r="R9" t="s">
        <v>109</v>
      </c>
      <c r="S9" t="s">
        <v>95</v>
      </c>
      <c r="T9">
        <v>0</v>
      </c>
      <c r="U9">
        <v>0.5</v>
      </c>
      <c r="V9" s="2">
        <v>2.0833333333333332E-2</v>
      </c>
      <c r="W9">
        <v>0</v>
      </c>
      <c r="AA9" t="s">
        <v>96</v>
      </c>
      <c r="AB9" t="s">
        <v>97</v>
      </c>
      <c r="AC9" t="s">
        <v>110</v>
      </c>
      <c r="AD9" t="s">
        <v>99</v>
      </c>
      <c r="AE9">
        <f t="shared" si="0"/>
        <v>3</v>
      </c>
      <c r="AF9" t="str">
        <f t="shared" si="1"/>
        <v>March</v>
      </c>
    </row>
    <row r="10" spans="1:32">
      <c r="A10" s="1">
        <v>45384</v>
      </c>
      <c r="B10" t="s">
        <v>19</v>
      </c>
      <c r="C10" t="s">
        <v>106</v>
      </c>
      <c r="D10" t="s">
        <v>85</v>
      </c>
      <c r="E10" t="s">
        <v>107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85</v>
      </c>
      <c r="L10" t="s">
        <v>22</v>
      </c>
      <c r="M10" t="s">
        <v>92</v>
      </c>
      <c r="N10" t="s">
        <v>108</v>
      </c>
      <c r="O10" t="s">
        <v>93</v>
      </c>
      <c r="P10">
        <v>230412</v>
      </c>
      <c r="Q10" t="s">
        <v>8</v>
      </c>
      <c r="R10" t="s">
        <v>109</v>
      </c>
      <c r="S10" t="s">
        <v>95</v>
      </c>
      <c r="T10">
        <v>0</v>
      </c>
      <c r="U10">
        <v>0.25</v>
      </c>
      <c r="V10" s="2">
        <v>1.0416666666666666E-2</v>
      </c>
      <c r="W10">
        <v>0</v>
      </c>
      <c r="AA10" t="s">
        <v>96</v>
      </c>
      <c r="AB10" t="s">
        <v>97</v>
      </c>
      <c r="AC10" t="s">
        <v>111</v>
      </c>
      <c r="AD10" t="s">
        <v>99</v>
      </c>
      <c r="AE10">
        <f t="shared" ref="AE10:AE35" si="2">MONTH(A10)</f>
        <v>4</v>
      </c>
      <c r="AF10" t="str">
        <f t="shared" si="1"/>
        <v>April</v>
      </c>
    </row>
    <row r="11" spans="1:32">
      <c r="A11" s="1">
        <v>45386</v>
      </c>
      <c r="B11" t="s">
        <v>19</v>
      </c>
      <c r="C11" t="s">
        <v>106</v>
      </c>
      <c r="D11" t="s">
        <v>85</v>
      </c>
      <c r="E11" t="s">
        <v>107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85</v>
      </c>
      <c r="L11" t="s">
        <v>22</v>
      </c>
      <c r="M11" t="s">
        <v>92</v>
      </c>
      <c r="N11" t="s">
        <v>108</v>
      </c>
      <c r="O11" t="s">
        <v>93</v>
      </c>
      <c r="P11">
        <v>231490</v>
      </c>
      <c r="Q11" t="s">
        <v>8</v>
      </c>
      <c r="R11" t="s">
        <v>109</v>
      </c>
      <c r="S11" t="s">
        <v>95</v>
      </c>
      <c r="T11">
        <v>0</v>
      </c>
      <c r="U11">
        <v>0.5</v>
      </c>
      <c r="V11" s="2">
        <v>2.0833333333333332E-2</v>
      </c>
      <c r="W11">
        <v>0</v>
      </c>
      <c r="AA11" t="s">
        <v>96</v>
      </c>
      <c r="AB11" t="s">
        <v>97</v>
      </c>
      <c r="AC11" t="s">
        <v>112</v>
      </c>
      <c r="AD11" t="s">
        <v>99</v>
      </c>
      <c r="AE11">
        <f t="shared" si="2"/>
        <v>4</v>
      </c>
      <c r="AF11" t="str">
        <f t="shared" si="1"/>
        <v>April</v>
      </c>
    </row>
    <row r="12" spans="1:32">
      <c r="A12" s="1">
        <v>45387</v>
      </c>
      <c r="B12" t="s">
        <v>19</v>
      </c>
      <c r="C12" t="s">
        <v>106</v>
      </c>
      <c r="D12" t="s">
        <v>85</v>
      </c>
      <c r="E12" t="s">
        <v>107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85</v>
      </c>
      <c r="L12" t="s">
        <v>22</v>
      </c>
      <c r="M12" t="s">
        <v>92</v>
      </c>
      <c r="N12" t="s">
        <v>108</v>
      </c>
      <c r="O12" t="s">
        <v>93</v>
      </c>
      <c r="P12">
        <v>231672</v>
      </c>
      <c r="Q12" t="s">
        <v>8</v>
      </c>
      <c r="R12" t="s">
        <v>109</v>
      </c>
      <c r="S12" t="s">
        <v>95</v>
      </c>
      <c r="T12">
        <v>0</v>
      </c>
      <c r="U12">
        <v>0.5</v>
      </c>
      <c r="V12" s="2">
        <v>2.0833333333333332E-2</v>
      </c>
      <c r="W12">
        <v>0</v>
      </c>
      <c r="AA12" t="s">
        <v>96</v>
      </c>
      <c r="AB12" t="s">
        <v>97</v>
      </c>
      <c r="AC12" t="s">
        <v>113</v>
      </c>
      <c r="AD12" t="s">
        <v>99</v>
      </c>
      <c r="AE12">
        <f t="shared" si="2"/>
        <v>4</v>
      </c>
      <c r="AF12" t="str">
        <f t="shared" si="1"/>
        <v>April</v>
      </c>
    </row>
    <row r="13" spans="1:32">
      <c r="A13" s="1">
        <v>45390</v>
      </c>
      <c r="B13" t="s">
        <v>19</v>
      </c>
      <c r="C13" t="s">
        <v>106</v>
      </c>
      <c r="D13" t="s">
        <v>85</v>
      </c>
      <c r="E13" t="s">
        <v>107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85</v>
      </c>
      <c r="L13" t="s">
        <v>22</v>
      </c>
      <c r="M13" t="s">
        <v>92</v>
      </c>
      <c r="N13" t="s">
        <v>108</v>
      </c>
      <c r="O13" t="s">
        <v>93</v>
      </c>
      <c r="P13">
        <v>232453</v>
      </c>
      <c r="Q13" t="s">
        <v>8</v>
      </c>
      <c r="R13" t="s">
        <v>109</v>
      </c>
      <c r="S13" t="s">
        <v>95</v>
      </c>
      <c r="T13">
        <v>0</v>
      </c>
      <c r="U13">
        <v>1</v>
      </c>
      <c r="V13" s="2">
        <v>4.1666666666666664E-2</v>
      </c>
      <c r="W13">
        <v>0</v>
      </c>
      <c r="AA13" t="s">
        <v>96</v>
      </c>
      <c r="AB13" t="s">
        <v>97</v>
      </c>
      <c r="AC13" t="s">
        <v>114</v>
      </c>
      <c r="AD13" t="s">
        <v>99</v>
      </c>
      <c r="AE13">
        <f t="shared" si="2"/>
        <v>4</v>
      </c>
      <c r="AF13" t="str">
        <f t="shared" si="1"/>
        <v>April</v>
      </c>
    </row>
    <row r="14" spans="1:32">
      <c r="A14" s="1">
        <v>45391</v>
      </c>
      <c r="B14" t="s">
        <v>19</v>
      </c>
      <c r="C14" t="s">
        <v>106</v>
      </c>
      <c r="D14" t="s">
        <v>85</v>
      </c>
      <c r="E14" t="s">
        <v>107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85</v>
      </c>
      <c r="L14" t="s">
        <v>22</v>
      </c>
      <c r="M14" t="s">
        <v>92</v>
      </c>
      <c r="N14" t="s">
        <v>108</v>
      </c>
      <c r="O14" t="s">
        <v>93</v>
      </c>
      <c r="P14">
        <v>233077</v>
      </c>
      <c r="Q14" t="s">
        <v>8</v>
      </c>
      <c r="R14" t="s">
        <v>109</v>
      </c>
      <c r="S14" t="s">
        <v>95</v>
      </c>
      <c r="T14">
        <v>0</v>
      </c>
      <c r="U14">
        <v>0.25</v>
      </c>
      <c r="V14" s="2">
        <v>1.0416666666666666E-2</v>
      </c>
      <c r="W14">
        <v>0</v>
      </c>
      <c r="AA14" t="s">
        <v>96</v>
      </c>
      <c r="AB14" t="s">
        <v>97</v>
      </c>
      <c r="AC14" t="s">
        <v>115</v>
      </c>
      <c r="AD14" t="s">
        <v>99</v>
      </c>
      <c r="AE14">
        <f t="shared" si="2"/>
        <v>4</v>
      </c>
      <c r="AF14" t="str">
        <f t="shared" si="1"/>
        <v>April</v>
      </c>
    </row>
    <row r="15" spans="1:32">
      <c r="A15" s="1">
        <v>45393</v>
      </c>
      <c r="B15" t="s">
        <v>19</v>
      </c>
      <c r="C15" t="s">
        <v>106</v>
      </c>
      <c r="D15" t="s">
        <v>85</v>
      </c>
      <c r="E15" t="s">
        <v>107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85</v>
      </c>
      <c r="L15" t="s">
        <v>22</v>
      </c>
      <c r="M15" t="s">
        <v>92</v>
      </c>
      <c r="N15" t="s">
        <v>108</v>
      </c>
      <c r="O15" t="s">
        <v>93</v>
      </c>
      <c r="P15">
        <v>234192</v>
      </c>
      <c r="Q15" t="s">
        <v>8</v>
      </c>
      <c r="R15" t="s">
        <v>109</v>
      </c>
      <c r="S15" t="s">
        <v>95</v>
      </c>
      <c r="T15">
        <v>0</v>
      </c>
      <c r="U15">
        <v>0.25</v>
      </c>
      <c r="V15" s="2">
        <v>1.0416666666666666E-2</v>
      </c>
      <c r="W15">
        <v>0</v>
      </c>
      <c r="AA15" t="s">
        <v>96</v>
      </c>
      <c r="AB15" t="s">
        <v>97</v>
      </c>
      <c r="AC15" t="s">
        <v>116</v>
      </c>
      <c r="AD15" t="s">
        <v>99</v>
      </c>
      <c r="AE15">
        <f t="shared" si="2"/>
        <v>4</v>
      </c>
      <c r="AF15" t="str">
        <f t="shared" si="1"/>
        <v>April</v>
      </c>
    </row>
    <row r="16" spans="1:32">
      <c r="A16" s="1">
        <v>45394</v>
      </c>
      <c r="B16" t="s">
        <v>19</v>
      </c>
      <c r="C16" t="s">
        <v>106</v>
      </c>
      <c r="D16" t="s">
        <v>85</v>
      </c>
      <c r="E16" t="s">
        <v>107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85</v>
      </c>
      <c r="L16" t="s">
        <v>22</v>
      </c>
      <c r="M16" t="s">
        <v>92</v>
      </c>
      <c r="N16" t="s">
        <v>108</v>
      </c>
      <c r="O16" t="s">
        <v>93</v>
      </c>
      <c r="P16">
        <v>234548</v>
      </c>
      <c r="Q16" t="s">
        <v>8</v>
      </c>
      <c r="R16" t="s">
        <v>109</v>
      </c>
      <c r="S16" t="s">
        <v>95</v>
      </c>
      <c r="T16">
        <v>0</v>
      </c>
      <c r="U16">
        <v>1</v>
      </c>
      <c r="V16" s="2">
        <v>4.1666666666666664E-2</v>
      </c>
      <c r="W16">
        <v>0</v>
      </c>
      <c r="AA16" t="s">
        <v>96</v>
      </c>
      <c r="AB16" t="s">
        <v>97</v>
      </c>
      <c r="AC16" t="s">
        <v>117</v>
      </c>
      <c r="AD16" t="s">
        <v>99</v>
      </c>
      <c r="AE16">
        <f t="shared" si="2"/>
        <v>4</v>
      </c>
      <c r="AF16" t="str">
        <f t="shared" si="1"/>
        <v>April</v>
      </c>
    </row>
    <row r="17" spans="1:32">
      <c r="A17" s="1">
        <v>45397</v>
      </c>
      <c r="B17" t="s">
        <v>19</v>
      </c>
      <c r="C17" t="s">
        <v>106</v>
      </c>
      <c r="D17" t="s">
        <v>85</v>
      </c>
      <c r="E17" t="s">
        <v>107</v>
      </c>
      <c r="F17" t="s">
        <v>87</v>
      </c>
      <c r="G17" t="s">
        <v>88</v>
      </c>
      <c r="H17" t="s">
        <v>89</v>
      </c>
      <c r="I17" t="s">
        <v>90</v>
      </c>
      <c r="J17" t="s">
        <v>91</v>
      </c>
      <c r="K17" t="s">
        <v>85</v>
      </c>
      <c r="L17" t="s">
        <v>22</v>
      </c>
      <c r="M17" t="s">
        <v>92</v>
      </c>
      <c r="N17" t="s">
        <v>108</v>
      </c>
      <c r="O17" t="s">
        <v>93</v>
      </c>
      <c r="P17">
        <v>235384</v>
      </c>
      <c r="Q17" t="s">
        <v>8</v>
      </c>
      <c r="R17" t="s">
        <v>109</v>
      </c>
      <c r="S17" t="s">
        <v>95</v>
      </c>
      <c r="T17">
        <v>0</v>
      </c>
      <c r="U17">
        <v>0.25</v>
      </c>
      <c r="V17" s="2">
        <v>1.0416666666666666E-2</v>
      </c>
      <c r="W17">
        <v>0</v>
      </c>
      <c r="AA17" t="s">
        <v>96</v>
      </c>
      <c r="AB17" t="s">
        <v>97</v>
      </c>
      <c r="AC17" t="s">
        <v>118</v>
      </c>
      <c r="AD17" t="s">
        <v>99</v>
      </c>
      <c r="AE17">
        <f t="shared" si="2"/>
        <v>4</v>
      </c>
      <c r="AF17" t="str">
        <f t="shared" si="1"/>
        <v>April</v>
      </c>
    </row>
    <row r="18" spans="1:32">
      <c r="A18" s="1">
        <v>45398</v>
      </c>
      <c r="B18" t="s">
        <v>19</v>
      </c>
      <c r="C18" t="s">
        <v>106</v>
      </c>
      <c r="D18" t="s">
        <v>85</v>
      </c>
      <c r="E18" t="s">
        <v>107</v>
      </c>
      <c r="F18" t="s">
        <v>87</v>
      </c>
      <c r="G18" t="s">
        <v>88</v>
      </c>
      <c r="H18" t="s">
        <v>89</v>
      </c>
      <c r="I18" t="s">
        <v>90</v>
      </c>
      <c r="J18" t="s">
        <v>91</v>
      </c>
      <c r="K18" t="s">
        <v>85</v>
      </c>
      <c r="L18" t="s">
        <v>22</v>
      </c>
      <c r="M18" t="s">
        <v>92</v>
      </c>
      <c r="N18" t="s">
        <v>108</v>
      </c>
      <c r="O18" t="s">
        <v>93</v>
      </c>
      <c r="P18">
        <v>235864</v>
      </c>
      <c r="Q18" t="s">
        <v>8</v>
      </c>
      <c r="R18" t="s">
        <v>109</v>
      </c>
      <c r="S18" t="s">
        <v>95</v>
      </c>
      <c r="T18">
        <v>0</v>
      </c>
      <c r="U18">
        <v>0.5</v>
      </c>
      <c r="V18" s="2">
        <v>2.0833333333333332E-2</v>
      </c>
      <c r="W18">
        <v>0</v>
      </c>
      <c r="AA18" t="s">
        <v>96</v>
      </c>
      <c r="AB18" t="s">
        <v>97</v>
      </c>
      <c r="AC18" t="s">
        <v>119</v>
      </c>
      <c r="AD18" t="s">
        <v>99</v>
      </c>
      <c r="AE18">
        <f t="shared" si="2"/>
        <v>4</v>
      </c>
      <c r="AF18" t="str">
        <f t="shared" si="1"/>
        <v>April</v>
      </c>
    </row>
    <row r="19" spans="1:32">
      <c r="A19" s="1">
        <v>45399</v>
      </c>
      <c r="B19" t="s">
        <v>19</v>
      </c>
      <c r="C19" t="s">
        <v>106</v>
      </c>
      <c r="D19" t="s">
        <v>85</v>
      </c>
      <c r="E19" t="s">
        <v>107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85</v>
      </c>
      <c r="L19" t="s">
        <v>22</v>
      </c>
      <c r="M19" t="s">
        <v>92</v>
      </c>
      <c r="N19" t="s">
        <v>108</v>
      </c>
      <c r="O19" t="s">
        <v>93</v>
      </c>
      <c r="P19">
        <v>236594</v>
      </c>
      <c r="Q19" t="s">
        <v>8</v>
      </c>
      <c r="R19" t="s">
        <v>109</v>
      </c>
      <c r="S19" t="s">
        <v>95</v>
      </c>
      <c r="T19">
        <v>0</v>
      </c>
      <c r="U19">
        <v>2</v>
      </c>
      <c r="V19" s="2">
        <v>8.3333333333333329E-2</v>
      </c>
      <c r="W19">
        <v>0</v>
      </c>
      <c r="AA19" t="s">
        <v>96</v>
      </c>
      <c r="AB19" t="s">
        <v>97</v>
      </c>
      <c r="AC19" t="s">
        <v>120</v>
      </c>
      <c r="AD19" t="s">
        <v>99</v>
      </c>
      <c r="AE19">
        <f t="shared" si="2"/>
        <v>4</v>
      </c>
      <c r="AF19" t="str">
        <f t="shared" si="1"/>
        <v>April</v>
      </c>
    </row>
    <row r="20" spans="1:32">
      <c r="A20" s="1">
        <v>45401</v>
      </c>
      <c r="B20" t="s">
        <v>19</v>
      </c>
      <c r="C20" t="s">
        <v>106</v>
      </c>
      <c r="D20" t="s">
        <v>85</v>
      </c>
      <c r="E20" t="s">
        <v>107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85</v>
      </c>
      <c r="L20" t="s">
        <v>22</v>
      </c>
      <c r="M20" t="s">
        <v>92</v>
      </c>
      <c r="N20" t="s">
        <v>108</v>
      </c>
      <c r="O20" t="s">
        <v>93</v>
      </c>
      <c r="P20">
        <v>237570</v>
      </c>
      <c r="Q20" t="s">
        <v>8</v>
      </c>
      <c r="R20" t="s">
        <v>109</v>
      </c>
      <c r="S20" t="s">
        <v>95</v>
      </c>
      <c r="T20">
        <v>0</v>
      </c>
      <c r="U20">
        <v>0.5</v>
      </c>
      <c r="V20" s="2">
        <v>2.0833333333333332E-2</v>
      </c>
      <c r="W20">
        <v>0</v>
      </c>
      <c r="AA20" t="s">
        <v>96</v>
      </c>
      <c r="AB20" t="s">
        <v>97</v>
      </c>
      <c r="AC20" t="s">
        <v>121</v>
      </c>
      <c r="AD20" t="s">
        <v>99</v>
      </c>
      <c r="AE20">
        <f t="shared" si="2"/>
        <v>4</v>
      </c>
      <c r="AF20" t="str">
        <f t="shared" si="1"/>
        <v>April</v>
      </c>
    </row>
    <row r="21" spans="1:32">
      <c r="A21" s="1">
        <v>45387</v>
      </c>
      <c r="B21" t="s">
        <v>20</v>
      </c>
      <c r="C21" t="s">
        <v>106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  <c r="J21" t="s">
        <v>91</v>
      </c>
      <c r="K21" t="s">
        <v>85</v>
      </c>
      <c r="L21" t="s">
        <v>22</v>
      </c>
      <c r="M21" t="s">
        <v>92</v>
      </c>
      <c r="N21" t="s">
        <v>17</v>
      </c>
      <c r="O21" t="s">
        <v>93</v>
      </c>
      <c r="P21">
        <v>231787</v>
      </c>
      <c r="Q21" t="s">
        <v>8</v>
      </c>
      <c r="R21" t="s">
        <v>109</v>
      </c>
      <c r="S21" t="s">
        <v>95</v>
      </c>
      <c r="T21">
        <v>0</v>
      </c>
      <c r="U21">
        <v>1</v>
      </c>
      <c r="V21" s="2">
        <v>4.1666666666666664E-2</v>
      </c>
      <c r="W21">
        <v>0</v>
      </c>
      <c r="AA21" t="s">
        <v>96</v>
      </c>
      <c r="AB21" t="s">
        <v>97</v>
      </c>
      <c r="AC21" t="s">
        <v>108</v>
      </c>
      <c r="AD21" t="s">
        <v>99</v>
      </c>
      <c r="AE21">
        <f t="shared" si="2"/>
        <v>4</v>
      </c>
      <c r="AF21" t="str">
        <f t="shared" si="1"/>
        <v>April</v>
      </c>
    </row>
    <row r="22" spans="1:32">
      <c r="A22" s="1">
        <v>45390</v>
      </c>
      <c r="B22" t="s">
        <v>20</v>
      </c>
      <c r="C22" t="s">
        <v>106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85</v>
      </c>
      <c r="L22" t="s">
        <v>22</v>
      </c>
      <c r="M22" t="s">
        <v>92</v>
      </c>
      <c r="N22" t="s">
        <v>17</v>
      </c>
      <c r="O22" t="s">
        <v>93</v>
      </c>
      <c r="P22">
        <v>232286</v>
      </c>
      <c r="Q22" t="s">
        <v>7</v>
      </c>
      <c r="R22" t="s">
        <v>94</v>
      </c>
      <c r="S22" t="s">
        <v>95</v>
      </c>
      <c r="T22">
        <v>90</v>
      </c>
      <c r="U22">
        <v>0.5</v>
      </c>
      <c r="V22" s="2">
        <v>2.0833333333333332E-2</v>
      </c>
      <c r="W22">
        <v>45</v>
      </c>
      <c r="AA22" t="s">
        <v>96</v>
      </c>
      <c r="AB22" t="s">
        <v>97</v>
      </c>
      <c r="AC22" t="s">
        <v>122</v>
      </c>
      <c r="AD22" t="s">
        <v>99</v>
      </c>
      <c r="AE22">
        <f t="shared" si="2"/>
        <v>4</v>
      </c>
      <c r="AF22" t="str">
        <f t="shared" si="1"/>
        <v>April</v>
      </c>
    </row>
    <row r="23" spans="1:32">
      <c r="A23" s="1">
        <v>45390</v>
      </c>
      <c r="B23" t="s">
        <v>20</v>
      </c>
      <c r="C23" t="s">
        <v>106</v>
      </c>
      <c r="D23" t="s">
        <v>85</v>
      </c>
      <c r="E23" t="s">
        <v>86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85</v>
      </c>
      <c r="L23" t="s">
        <v>22</v>
      </c>
      <c r="M23" t="s">
        <v>92</v>
      </c>
      <c r="N23" t="s">
        <v>17</v>
      </c>
      <c r="O23" t="s">
        <v>93</v>
      </c>
      <c r="P23">
        <v>232311</v>
      </c>
      <c r="Q23" t="s">
        <v>8</v>
      </c>
      <c r="R23" t="s">
        <v>109</v>
      </c>
      <c r="S23" t="s">
        <v>95</v>
      </c>
      <c r="T23">
        <v>0</v>
      </c>
      <c r="U23">
        <v>0.5</v>
      </c>
      <c r="V23" s="2">
        <v>2.0833333333333332E-2</v>
      </c>
      <c r="W23">
        <v>0</v>
      </c>
      <c r="AA23" t="s">
        <v>96</v>
      </c>
      <c r="AB23" t="s">
        <v>97</v>
      </c>
      <c r="AC23" t="s">
        <v>123</v>
      </c>
      <c r="AD23" t="s">
        <v>99</v>
      </c>
      <c r="AE23">
        <f t="shared" si="2"/>
        <v>4</v>
      </c>
      <c r="AF23" t="str">
        <f t="shared" si="1"/>
        <v>April</v>
      </c>
    </row>
    <row r="24" spans="1:32">
      <c r="A24" s="1">
        <v>45391</v>
      </c>
      <c r="B24" t="s">
        <v>20</v>
      </c>
      <c r="C24" t="s">
        <v>106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85</v>
      </c>
      <c r="L24" t="s">
        <v>22</v>
      </c>
      <c r="M24" t="s">
        <v>92</v>
      </c>
      <c r="N24" t="s">
        <v>17</v>
      </c>
      <c r="O24" t="s">
        <v>93</v>
      </c>
      <c r="P24">
        <v>232949</v>
      </c>
      <c r="Q24" t="s">
        <v>7</v>
      </c>
      <c r="R24" t="s">
        <v>94</v>
      </c>
      <c r="S24" t="s">
        <v>95</v>
      </c>
      <c r="T24">
        <v>90</v>
      </c>
      <c r="U24">
        <v>1</v>
      </c>
      <c r="V24" s="2">
        <v>4.1666666666666664E-2</v>
      </c>
      <c r="W24">
        <v>90</v>
      </c>
      <c r="AA24" t="s">
        <v>96</v>
      </c>
      <c r="AB24" t="s">
        <v>97</v>
      </c>
      <c r="AC24" t="s">
        <v>124</v>
      </c>
      <c r="AD24" t="s">
        <v>99</v>
      </c>
      <c r="AE24">
        <f t="shared" si="2"/>
        <v>4</v>
      </c>
      <c r="AF24" t="str">
        <f t="shared" si="1"/>
        <v>April</v>
      </c>
    </row>
    <row r="25" spans="1:32">
      <c r="A25" s="1">
        <v>45392</v>
      </c>
      <c r="B25" t="s">
        <v>20</v>
      </c>
      <c r="C25" t="s">
        <v>106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85</v>
      </c>
      <c r="L25" t="s">
        <v>22</v>
      </c>
      <c r="M25" t="s">
        <v>92</v>
      </c>
      <c r="N25" t="s">
        <v>17</v>
      </c>
      <c r="O25" t="s">
        <v>93</v>
      </c>
      <c r="P25">
        <v>233353</v>
      </c>
      <c r="Q25" t="s">
        <v>7</v>
      </c>
      <c r="R25" t="s">
        <v>94</v>
      </c>
      <c r="S25" t="s">
        <v>95</v>
      </c>
      <c r="T25">
        <v>90</v>
      </c>
      <c r="U25">
        <v>1</v>
      </c>
      <c r="V25" s="2">
        <v>4.1666666666666664E-2</v>
      </c>
      <c r="W25">
        <v>90</v>
      </c>
      <c r="AA25" t="s">
        <v>96</v>
      </c>
      <c r="AB25" t="s">
        <v>97</v>
      </c>
      <c r="AC25" t="s">
        <v>125</v>
      </c>
      <c r="AD25" t="s">
        <v>99</v>
      </c>
      <c r="AE25">
        <f t="shared" si="2"/>
        <v>4</v>
      </c>
      <c r="AF25" t="str">
        <f t="shared" si="1"/>
        <v>April</v>
      </c>
    </row>
    <row r="26" spans="1:32">
      <c r="A26" s="1">
        <v>45393</v>
      </c>
      <c r="B26" t="s">
        <v>20</v>
      </c>
      <c r="C26" t="s">
        <v>106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85</v>
      </c>
      <c r="L26" t="s">
        <v>22</v>
      </c>
      <c r="M26" t="s">
        <v>92</v>
      </c>
      <c r="N26" t="s">
        <v>17</v>
      </c>
      <c r="O26" t="s">
        <v>93</v>
      </c>
      <c r="P26">
        <v>233858</v>
      </c>
      <c r="Q26" t="s">
        <v>7</v>
      </c>
      <c r="R26" t="s">
        <v>94</v>
      </c>
      <c r="S26" t="s">
        <v>95</v>
      </c>
      <c r="T26">
        <v>90</v>
      </c>
      <c r="U26">
        <v>0.5</v>
      </c>
      <c r="V26" s="2">
        <v>2.0833333333333332E-2</v>
      </c>
      <c r="W26">
        <v>45</v>
      </c>
      <c r="AA26" t="s">
        <v>96</v>
      </c>
      <c r="AB26" t="s">
        <v>97</v>
      </c>
      <c r="AC26" t="s">
        <v>126</v>
      </c>
      <c r="AD26" t="s">
        <v>99</v>
      </c>
      <c r="AE26">
        <f t="shared" si="2"/>
        <v>4</v>
      </c>
      <c r="AF26" t="str">
        <f t="shared" si="1"/>
        <v>April</v>
      </c>
    </row>
    <row r="27" spans="1:32">
      <c r="A27" s="1">
        <v>45393</v>
      </c>
      <c r="B27" t="s">
        <v>20</v>
      </c>
      <c r="C27" t="s">
        <v>106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85</v>
      </c>
      <c r="L27" t="s">
        <v>22</v>
      </c>
      <c r="M27" t="s">
        <v>92</v>
      </c>
      <c r="N27" t="s">
        <v>17</v>
      </c>
      <c r="O27" t="s">
        <v>93</v>
      </c>
      <c r="P27">
        <v>234332</v>
      </c>
      <c r="Q27" t="s">
        <v>8</v>
      </c>
      <c r="R27" t="s">
        <v>109</v>
      </c>
      <c r="S27" t="s">
        <v>95</v>
      </c>
      <c r="T27">
        <v>0</v>
      </c>
      <c r="U27">
        <v>0.5</v>
      </c>
      <c r="V27" s="2">
        <v>2.0833333333333332E-2</v>
      </c>
      <c r="W27">
        <v>0</v>
      </c>
      <c r="AA27" t="s">
        <v>96</v>
      </c>
      <c r="AB27" t="s">
        <v>97</v>
      </c>
      <c r="AC27" t="s">
        <v>127</v>
      </c>
      <c r="AD27" t="s">
        <v>99</v>
      </c>
      <c r="AE27">
        <f t="shared" si="2"/>
        <v>4</v>
      </c>
      <c r="AF27" t="str">
        <f t="shared" si="1"/>
        <v>April</v>
      </c>
    </row>
    <row r="28" spans="1:32">
      <c r="A28" s="1">
        <v>45397</v>
      </c>
      <c r="B28" t="s">
        <v>20</v>
      </c>
      <c r="C28" t="s">
        <v>106</v>
      </c>
      <c r="D28" t="s">
        <v>85</v>
      </c>
      <c r="E28" t="s">
        <v>86</v>
      </c>
      <c r="F28" t="s">
        <v>87</v>
      </c>
      <c r="G28" t="s">
        <v>88</v>
      </c>
      <c r="H28" t="s">
        <v>89</v>
      </c>
      <c r="I28" t="s">
        <v>90</v>
      </c>
      <c r="J28" t="s">
        <v>91</v>
      </c>
      <c r="K28" t="s">
        <v>85</v>
      </c>
      <c r="L28" t="s">
        <v>22</v>
      </c>
      <c r="M28" t="s">
        <v>92</v>
      </c>
      <c r="N28" t="s">
        <v>17</v>
      </c>
      <c r="O28" t="s">
        <v>93</v>
      </c>
      <c r="P28">
        <v>235144</v>
      </c>
      <c r="Q28" t="s">
        <v>7</v>
      </c>
      <c r="R28" t="s">
        <v>94</v>
      </c>
      <c r="S28" t="s">
        <v>95</v>
      </c>
      <c r="T28">
        <v>90</v>
      </c>
      <c r="U28">
        <v>2</v>
      </c>
      <c r="V28" s="2">
        <v>8.3333333333333329E-2</v>
      </c>
      <c r="W28">
        <v>180</v>
      </c>
      <c r="AA28" t="s">
        <v>96</v>
      </c>
      <c r="AB28" t="s">
        <v>97</v>
      </c>
      <c r="AC28" t="s">
        <v>128</v>
      </c>
      <c r="AD28" t="s">
        <v>99</v>
      </c>
      <c r="AE28">
        <f t="shared" si="2"/>
        <v>4</v>
      </c>
      <c r="AF28" t="str">
        <f t="shared" si="1"/>
        <v>April</v>
      </c>
    </row>
    <row r="29" spans="1:32">
      <c r="A29" s="1">
        <v>45397</v>
      </c>
      <c r="B29" t="s">
        <v>20</v>
      </c>
      <c r="C29" t="s">
        <v>106</v>
      </c>
      <c r="D29" t="s">
        <v>85</v>
      </c>
      <c r="E29" t="s">
        <v>86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85</v>
      </c>
      <c r="L29" t="s">
        <v>22</v>
      </c>
      <c r="M29" t="s">
        <v>92</v>
      </c>
      <c r="N29" t="s">
        <v>17</v>
      </c>
      <c r="O29" t="s">
        <v>93</v>
      </c>
      <c r="P29">
        <v>235145</v>
      </c>
      <c r="Q29" t="s">
        <v>8</v>
      </c>
      <c r="R29" t="s">
        <v>109</v>
      </c>
      <c r="S29" t="s">
        <v>95</v>
      </c>
      <c r="T29">
        <v>0</v>
      </c>
      <c r="U29">
        <v>1.5</v>
      </c>
      <c r="V29" s="2">
        <v>6.25E-2</v>
      </c>
      <c r="W29">
        <v>0</v>
      </c>
      <c r="AA29" t="s">
        <v>96</v>
      </c>
      <c r="AB29" t="s">
        <v>97</v>
      </c>
      <c r="AC29" t="s">
        <v>124</v>
      </c>
      <c r="AD29" t="s">
        <v>99</v>
      </c>
      <c r="AE29">
        <f t="shared" si="2"/>
        <v>4</v>
      </c>
      <c r="AF29" t="str">
        <f t="shared" si="1"/>
        <v>April</v>
      </c>
    </row>
    <row r="30" spans="1:32">
      <c r="A30" s="1">
        <v>45398</v>
      </c>
      <c r="B30" t="s">
        <v>20</v>
      </c>
      <c r="C30" t="s">
        <v>106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  <c r="J30" t="s">
        <v>91</v>
      </c>
      <c r="K30" t="s">
        <v>85</v>
      </c>
      <c r="L30" t="s">
        <v>22</v>
      </c>
      <c r="M30" t="s">
        <v>92</v>
      </c>
      <c r="N30" t="s">
        <v>17</v>
      </c>
      <c r="O30" t="s">
        <v>93</v>
      </c>
      <c r="P30">
        <v>235698</v>
      </c>
      <c r="Q30" t="s">
        <v>7</v>
      </c>
      <c r="R30" t="s">
        <v>94</v>
      </c>
      <c r="S30" t="s">
        <v>95</v>
      </c>
      <c r="T30">
        <v>90</v>
      </c>
      <c r="U30">
        <v>1.75</v>
      </c>
      <c r="V30" s="2">
        <v>7.2916666666666671E-2</v>
      </c>
      <c r="W30">
        <v>157.5</v>
      </c>
      <c r="AA30" t="s">
        <v>96</v>
      </c>
      <c r="AB30" t="s">
        <v>97</v>
      </c>
      <c r="AC30" t="s">
        <v>129</v>
      </c>
      <c r="AD30" t="s">
        <v>99</v>
      </c>
      <c r="AE30">
        <f t="shared" si="2"/>
        <v>4</v>
      </c>
      <c r="AF30" t="str">
        <f t="shared" si="1"/>
        <v>April</v>
      </c>
    </row>
    <row r="31" spans="1:32">
      <c r="A31" s="1">
        <v>45398</v>
      </c>
      <c r="B31" t="s">
        <v>20</v>
      </c>
      <c r="C31" t="s">
        <v>106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85</v>
      </c>
      <c r="L31" t="s">
        <v>22</v>
      </c>
      <c r="M31" t="s">
        <v>92</v>
      </c>
      <c r="N31" t="s">
        <v>17</v>
      </c>
      <c r="O31" t="s">
        <v>93</v>
      </c>
      <c r="P31">
        <v>235696</v>
      </c>
      <c r="Q31" t="s">
        <v>8</v>
      </c>
      <c r="R31" t="s">
        <v>109</v>
      </c>
      <c r="S31" t="s">
        <v>95</v>
      </c>
      <c r="T31">
        <v>0</v>
      </c>
      <c r="U31">
        <v>3</v>
      </c>
      <c r="V31" s="2">
        <v>0.125</v>
      </c>
      <c r="W31">
        <v>0</v>
      </c>
      <c r="AA31" t="s">
        <v>96</v>
      </c>
      <c r="AB31" t="s">
        <v>97</v>
      </c>
      <c r="AC31" t="e">
        <f ca="1">- _xludf.Call with Sachin to investigate previous _xludf.error fix - Stand up - Signl4 Grainger support mailbox alert options</f>
        <v>#NAME?</v>
      </c>
      <c r="AD31" t="s">
        <v>99</v>
      </c>
      <c r="AE31">
        <f t="shared" si="2"/>
        <v>4</v>
      </c>
      <c r="AF31" t="str">
        <f t="shared" si="1"/>
        <v>April</v>
      </c>
    </row>
    <row r="32" spans="1:32">
      <c r="A32" s="1">
        <v>45399</v>
      </c>
      <c r="B32" t="s">
        <v>20</v>
      </c>
      <c r="C32" t="s">
        <v>106</v>
      </c>
      <c r="D32" t="s">
        <v>85</v>
      </c>
      <c r="E32" t="s">
        <v>86</v>
      </c>
      <c r="F32" t="s">
        <v>87</v>
      </c>
      <c r="G32" t="s">
        <v>88</v>
      </c>
      <c r="H32" t="s">
        <v>89</v>
      </c>
      <c r="I32" t="s">
        <v>90</v>
      </c>
      <c r="J32" t="s">
        <v>91</v>
      </c>
      <c r="K32" t="s">
        <v>85</v>
      </c>
      <c r="L32" t="s">
        <v>22</v>
      </c>
      <c r="M32" t="s">
        <v>92</v>
      </c>
      <c r="N32" t="s">
        <v>17</v>
      </c>
      <c r="O32" t="s">
        <v>93</v>
      </c>
      <c r="P32">
        <v>236100</v>
      </c>
      <c r="Q32" t="s">
        <v>8</v>
      </c>
      <c r="R32" t="s">
        <v>109</v>
      </c>
      <c r="S32" t="s">
        <v>95</v>
      </c>
      <c r="T32">
        <v>0</v>
      </c>
      <c r="U32">
        <v>1.25</v>
      </c>
      <c r="V32" s="2">
        <v>5.2083333333333336E-2</v>
      </c>
      <c r="W32">
        <v>0</v>
      </c>
      <c r="AA32" t="s">
        <v>96</v>
      </c>
      <c r="AB32" t="s">
        <v>97</v>
      </c>
      <c r="AC32" t="s">
        <v>130</v>
      </c>
      <c r="AD32" t="s">
        <v>99</v>
      </c>
      <c r="AE32">
        <f t="shared" si="2"/>
        <v>4</v>
      </c>
      <c r="AF32" t="str">
        <f t="shared" si="1"/>
        <v>April</v>
      </c>
    </row>
    <row r="33" spans="1:32">
      <c r="A33" s="1">
        <v>45400</v>
      </c>
      <c r="B33" t="s">
        <v>20</v>
      </c>
      <c r="C33" t="s">
        <v>106</v>
      </c>
      <c r="D33" t="s">
        <v>85</v>
      </c>
      <c r="E33" t="s">
        <v>86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85</v>
      </c>
      <c r="L33" t="s">
        <v>22</v>
      </c>
      <c r="M33" t="s">
        <v>92</v>
      </c>
      <c r="N33" t="s">
        <v>17</v>
      </c>
      <c r="O33" t="s">
        <v>93</v>
      </c>
      <c r="P33">
        <v>236900</v>
      </c>
      <c r="Q33" t="s">
        <v>7</v>
      </c>
      <c r="R33" t="s">
        <v>94</v>
      </c>
      <c r="S33" t="s">
        <v>95</v>
      </c>
      <c r="T33">
        <v>90</v>
      </c>
      <c r="U33">
        <v>0.5</v>
      </c>
      <c r="V33" s="2">
        <v>2.0833333333333332E-2</v>
      </c>
      <c r="W33">
        <v>45</v>
      </c>
      <c r="AA33" t="s">
        <v>96</v>
      </c>
      <c r="AB33" t="s">
        <v>97</v>
      </c>
      <c r="AC33" t="s">
        <v>131</v>
      </c>
      <c r="AD33" t="s">
        <v>99</v>
      </c>
      <c r="AE33">
        <f t="shared" si="2"/>
        <v>4</v>
      </c>
      <c r="AF33" t="str">
        <f t="shared" si="1"/>
        <v>April</v>
      </c>
    </row>
    <row r="34" spans="1:32">
      <c r="A34" s="1">
        <v>45400</v>
      </c>
      <c r="B34" t="s">
        <v>20</v>
      </c>
      <c r="C34" t="s">
        <v>106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  <c r="I34" t="s">
        <v>90</v>
      </c>
      <c r="J34" t="s">
        <v>91</v>
      </c>
      <c r="K34" t="s">
        <v>85</v>
      </c>
      <c r="L34" t="s">
        <v>22</v>
      </c>
      <c r="M34" t="s">
        <v>92</v>
      </c>
      <c r="N34" t="s">
        <v>17</v>
      </c>
      <c r="O34" t="s">
        <v>93</v>
      </c>
      <c r="P34">
        <v>236740</v>
      </c>
      <c r="Q34" t="s">
        <v>8</v>
      </c>
      <c r="R34" t="s">
        <v>109</v>
      </c>
      <c r="S34" t="s">
        <v>95</v>
      </c>
      <c r="T34">
        <v>0</v>
      </c>
      <c r="U34">
        <v>0.25</v>
      </c>
      <c r="V34" s="2">
        <v>1.0416666666666666E-2</v>
      </c>
      <c r="W34">
        <v>0</v>
      </c>
      <c r="AA34" t="s">
        <v>96</v>
      </c>
      <c r="AB34" t="s">
        <v>97</v>
      </c>
      <c r="AC34" t="s">
        <v>108</v>
      </c>
      <c r="AD34" t="s">
        <v>99</v>
      </c>
      <c r="AE34">
        <f t="shared" si="2"/>
        <v>4</v>
      </c>
      <c r="AF34" t="str">
        <f t="shared" si="1"/>
        <v>April</v>
      </c>
    </row>
    <row r="35" spans="1:32">
      <c r="A35" s="1">
        <v>45401</v>
      </c>
      <c r="B35" t="s">
        <v>20</v>
      </c>
      <c r="C35" t="s">
        <v>106</v>
      </c>
      <c r="D35" t="s">
        <v>85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85</v>
      </c>
      <c r="L35" t="s">
        <v>22</v>
      </c>
      <c r="M35" t="s">
        <v>92</v>
      </c>
      <c r="N35" t="s">
        <v>17</v>
      </c>
      <c r="O35" t="s">
        <v>93</v>
      </c>
      <c r="P35">
        <v>237309</v>
      </c>
      <c r="Q35" t="s">
        <v>7</v>
      </c>
      <c r="R35" t="s">
        <v>94</v>
      </c>
      <c r="S35" t="s">
        <v>95</v>
      </c>
      <c r="T35">
        <v>90</v>
      </c>
      <c r="U35">
        <v>1.75</v>
      </c>
      <c r="V35" s="2">
        <v>7.2916666666666671E-2</v>
      </c>
      <c r="W35">
        <v>157.5</v>
      </c>
      <c r="AA35" t="s">
        <v>96</v>
      </c>
      <c r="AB35" t="s">
        <v>97</v>
      </c>
      <c r="AC35" t="s">
        <v>132</v>
      </c>
      <c r="AD35" t="s">
        <v>99</v>
      </c>
      <c r="AE35">
        <f t="shared" si="2"/>
        <v>4</v>
      </c>
      <c r="AF35" t="str">
        <f t="shared" si="1"/>
        <v>April</v>
      </c>
    </row>
    <row r="36" spans="1:32">
      <c r="A36" s="1">
        <v>45404</v>
      </c>
      <c r="B36" t="s">
        <v>20</v>
      </c>
      <c r="C36" t="s">
        <v>106</v>
      </c>
      <c r="D36" t="s">
        <v>85</v>
      </c>
      <c r="E36" t="s">
        <v>86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85</v>
      </c>
      <c r="L36" t="s">
        <v>22</v>
      </c>
      <c r="M36" t="s">
        <v>92</v>
      </c>
      <c r="N36" t="s">
        <v>17</v>
      </c>
      <c r="O36" t="s">
        <v>93</v>
      </c>
      <c r="P36">
        <v>237812</v>
      </c>
      <c r="Q36" t="s">
        <v>7</v>
      </c>
      <c r="R36" t="s">
        <v>94</v>
      </c>
      <c r="S36" t="s">
        <v>95</v>
      </c>
      <c r="T36">
        <v>90</v>
      </c>
      <c r="U36">
        <v>0.75</v>
      </c>
      <c r="V36" s="2">
        <v>3.125E-2</v>
      </c>
      <c r="W36">
        <v>67.5</v>
      </c>
      <c r="AA36" t="s">
        <v>96</v>
      </c>
      <c r="AB36" t="s">
        <v>97</v>
      </c>
      <c r="AC36" t="s">
        <v>133</v>
      </c>
      <c r="AD36" t="s">
        <v>99</v>
      </c>
      <c r="AE36">
        <f t="shared" ref="AE36:AE56" si="3">MONTH(A36)</f>
        <v>4</v>
      </c>
      <c r="AF36" t="str">
        <f t="shared" ref="AF36:AF56" si="4">IF(AE36=1,"January",IF(AE36=2,"February",IF(AE36=3,"March",IF(AE36=4,"April",IF(AE36=5,"May")))))</f>
        <v>April</v>
      </c>
    </row>
    <row r="37" spans="1:32">
      <c r="A37" s="1">
        <v>45405</v>
      </c>
      <c r="B37" t="s">
        <v>20</v>
      </c>
      <c r="C37" t="s">
        <v>106</v>
      </c>
      <c r="D37" t="s">
        <v>85</v>
      </c>
      <c r="E37" t="s">
        <v>86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85</v>
      </c>
      <c r="L37" t="s">
        <v>22</v>
      </c>
      <c r="M37" t="s">
        <v>92</v>
      </c>
      <c r="N37" t="s">
        <v>17</v>
      </c>
      <c r="O37" t="s">
        <v>93</v>
      </c>
      <c r="P37">
        <v>238745</v>
      </c>
      <c r="Q37" t="s">
        <v>7</v>
      </c>
      <c r="R37" t="s">
        <v>94</v>
      </c>
      <c r="S37" t="s">
        <v>95</v>
      </c>
      <c r="T37">
        <v>90</v>
      </c>
      <c r="U37">
        <v>0.75</v>
      </c>
      <c r="V37" s="2">
        <v>3.125E-2</v>
      </c>
      <c r="W37">
        <v>67.5</v>
      </c>
      <c r="AA37" t="s">
        <v>96</v>
      </c>
      <c r="AB37" t="s">
        <v>97</v>
      </c>
      <c r="AC37" t="s">
        <v>134</v>
      </c>
      <c r="AD37" t="s">
        <v>99</v>
      </c>
      <c r="AE37">
        <f t="shared" si="3"/>
        <v>4</v>
      </c>
      <c r="AF37" t="str">
        <f t="shared" si="4"/>
        <v>April</v>
      </c>
    </row>
    <row r="38" spans="1:32">
      <c r="A38" s="1">
        <v>45408</v>
      </c>
      <c r="B38" t="s">
        <v>20</v>
      </c>
      <c r="C38" t="s">
        <v>106</v>
      </c>
      <c r="D38" t="s">
        <v>85</v>
      </c>
      <c r="E38" t="s">
        <v>86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85</v>
      </c>
      <c r="L38" t="s">
        <v>22</v>
      </c>
      <c r="M38" t="s">
        <v>92</v>
      </c>
      <c r="N38" t="s">
        <v>17</v>
      </c>
      <c r="O38" t="s">
        <v>93</v>
      </c>
      <c r="P38">
        <v>240088</v>
      </c>
      <c r="Q38" t="s">
        <v>7</v>
      </c>
      <c r="R38" t="s">
        <v>94</v>
      </c>
      <c r="S38" t="s">
        <v>95</v>
      </c>
      <c r="T38">
        <v>90</v>
      </c>
      <c r="U38">
        <v>2</v>
      </c>
      <c r="V38" s="2">
        <v>8.3333333333333329E-2</v>
      </c>
      <c r="W38">
        <v>180</v>
      </c>
      <c r="AA38" t="s">
        <v>96</v>
      </c>
      <c r="AB38" t="s">
        <v>97</v>
      </c>
      <c r="AC38" t="s">
        <v>135</v>
      </c>
      <c r="AD38" t="s">
        <v>99</v>
      </c>
      <c r="AE38">
        <f t="shared" si="3"/>
        <v>4</v>
      </c>
      <c r="AF38" t="str">
        <f t="shared" si="4"/>
        <v>April</v>
      </c>
    </row>
    <row r="39" spans="1:32">
      <c r="A39" s="1">
        <v>45411</v>
      </c>
      <c r="B39" t="s">
        <v>20</v>
      </c>
      <c r="C39" t="s">
        <v>106</v>
      </c>
      <c r="D39" t="s">
        <v>85</v>
      </c>
      <c r="E39" t="s">
        <v>86</v>
      </c>
      <c r="F39" t="s">
        <v>87</v>
      </c>
      <c r="G39" t="s">
        <v>88</v>
      </c>
      <c r="H39" t="s">
        <v>89</v>
      </c>
      <c r="I39" t="s">
        <v>90</v>
      </c>
      <c r="J39" t="s">
        <v>91</v>
      </c>
      <c r="K39" t="s">
        <v>85</v>
      </c>
      <c r="L39" t="s">
        <v>22</v>
      </c>
      <c r="M39" t="s">
        <v>92</v>
      </c>
      <c r="N39" t="s">
        <v>17</v>
      </c>
      <c r="O39" t="s">
        <v>93</v>
      </c>
      <c r="P39">
        <v>240870</v>
      </c>
      <c r="Q39" t="s">
        <v>7</v>
      </c>
      <c r="R39" t="s">
        <v>94</v>
      </c>
      <c r="S39" t="s">
        <v>95</v>
      </c>
      <c r="T39">
        <v>90</v>
      </c>
      <c r="U39">
        <v>1</v>
      </c>
      <c r="V39" s="2">
        <v>4.1666666666666664E-2</v>
      </c>
      <c r="W39">
        <v>90</v>
      </c>
      <c r="AA39" t="s">
        <v>96</v>
      </c>
      <c r="AC39" t="s">
        <v>136</v>
      </c>
      <c r="AD39" t="s">
        <v>99</v>
      </c>
      <c r="AE39">
        <f t="shared" si="3"/>
        <v>4</v>
      </c>
      <c r="AF39" t="str">
        <f t="shared" si="4"/>
        <v>April</v>
      </c>
    </row>
    <row r="40" spans="1:32">
      <c r="A40" s="1">
        <v>45373</v>
      </c>
      <c r="B40" t="s">
        <v>13</v>
      </c>
      <c r="C40" t="s">
        <v>84</v>
      </c>
      <c r="D40" t="s">
        <v>85</v>
      </c>
      <c r="E40" t="s">
        <v>86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85</v>
      </c>
      <c r="L40" t="s">
        <v>22</v>
      </c>
      <c r="M40" t="s">
        <v>92</v>
      </c>
      <c r="N40" t="s">
        <v>17</v>
      </c>
      <c r="O40" t="s">
        <v>93</v>
      </c>
      <c r="P40">
        <v>227014</v>
      </c>
      <c r="Q40" t="s">
        <v>7</v>
      </c>
      <c r="R40" t="s">
        <v>94</v>
      </c>
      <c r="S40" t="s">
        <v>95</v>
      </c>
      <c r="T40">
        <v>90</v>
      </c>
      <c r="U40">
        <v>1</v>
      </c>
      <c r="V40" s="2">
        <v>4.1666666666666664E-2</v>
      </c>
      <c r="W40">
        <v>90</v>
      </c>
      <c r="AA40" t="s">
        <v>96</v>
      </c>
      <c r="AB40" t="s">
        <v>97</v>
      </c>
      <c r="AC40" t="s">
        <v>137</v>
      </c>
      <c r="AD40" t="s">
        <v>99</v>
      </c>
      <c r="AE40">
        <f t="shared" si="3"/>
        <v>3</v>
      </c>
      <c r="AF40" t="str">
        <f t="shared" si="4"/>
        <v>March</v>
      </c>
    </row>
    <row r="41" spans="1:32">
      <c r="A41" s="1">
        <v>45377</v>
      </c>
      <c r="B41" t="s">
        <v>13</v>
      </c>
      <c r="C41" t="s">
        <v>84</v>
      </c>
      <c r="D41" t="s">
        <v>85</v>
      </c>
      <c r="E41" t="s">
        <v>86</v>
      </c>
      <c r="F41" t="s">
        <v>87</v>
      </c>
      <c r="G41" t="s">
        <v>88</v>
      </c>
      <c r="H41" t="s">
        <v>89</v>
      </c>
      <c r="I41" t="s">
        <v>90</v>
      </c>
      <c r="J41" t="s">
        <v>91</v>
      </c>
      <c r="K41" t="s">
        <v>85</v>
      </c>
      <c r="L41" t="s">
        <v>22</v>
      </c>
      <c r="M41" t="s">
        <v>92</v>
      </c>
      <c r="N41" t="s">
        <v>17</v>
      </c>
      <c r="O41" t="s">
        <v>93</v>
      </c>
      <c r="P41">
        <v>228560</v>
      </c>
      <c r="Q41" t="s">
        <v>7</v>
      </c>
      <c r="R41" t="s">
        <v>94</v>
      </c>
      <c r="S41" t="s">
        <v>95</v>
      </c>
      <c r="T41">
        <v>90</v>
      </c>
      <c r="U41">
        <v>1</v>
      </c>
      <c r="V41" s="2">
        <v>4.1666666666666664E-2</v>
      </c>
      <c r="W41">
        <v>90</v>
      </c>
      <c r="AA41" t="s">
        <v>96</v>
      </c>
      <c r="AB41" t="s">
        <v>97</v>
      </c>
      <c r="AC41" t="s">
        <v>138</v>
      </c>
      <c r="AD41" t="s">
        <v>99</v>
      </c>
      <c r="AE41">
        <f t="shared" si="3"/>
        <v>3</v>
      </c>
      <c r="AF41" t="str">
        <f t="shared" si="4"/>
        <v>March</v>
      </c>
    </row>
    <row r="42" spans="1:32">
      <c r="A42" s="1">
        <v>45378</v>
      </c>
      <c r="B42" t="s">
        <v>13</v>
      </c>
      <c r="C42" t="s">
        <v>84</v>
      </c>
      <c r="D42" t="s">
        <v>85</v>
      </c>
      <c r="E42" t="s">
        <v>86</v>
      </c>
      <c r="F42" t="s">
        <v>87</v>
      </c>
      <c r="G42" t="s">
        <v>88</v>
      </c>
      <c r="H42" t="s">
        <v>89</v>
      </c>
      <c r="I42" t="s">
        <v>90</v>
      </c>
      <c r="J42" t="s">
        <v>91</v>
      </c>
      <c r="K42" t="s">
        <v>85</v>
      </c>
      <c r="L42" t="s">
        <v>22</v>
      </c>
      <c r="M42" t="s">
        <v>92</v>
      </c>
      <c r="N42" t="s">
        <v>17</v>
      </c>
      <c r="O42" t="s">
        <v>93</v>
      </c>
      <c r="P42">
        <v>229177</v>
      </c>
      <c r="Q42" t="s">
        <v>7</v>
      </c>
      <c r="R42" t="s">
        <v>94</v>
      </c>
      <c r="S42" t="s">
        <v>95</v>
      </c>
      <c r="T42">
        <v>90</v>
      </c>
      <c r="U42">
        <v>0.5</v>
      </c>
      <c r="V42" s="2">
        <v>2.0833333333333332E-2</v>
      </c>
      <c r="W42">
        <v>45</v>
      </c>
      <c r="AA42" t="s">
        <v>96</v>
      </c>
      <c r="AB42" t="s">
        <v>97</v>
      </c>
      <c r="AC42" t="s">
        <v>139</v>
      </c>
      <c r="AD42" t="s">
        <v>99</v>
      </c>
      <c r="AE42">
        <f t="shared" si="3"/>
        <v>3</v>
      </c>
      <c r="AF42" t="str">
        <f t="shared" si="4"/>
        <v>March</v>
      </c>
    </row>
    <row r="43" spans="1:32">
      <c r="A43" s="1">
        <v>45386</v>
      </c>
      <c r="B43" t="s">
        <v>17</v>
      </c>
      <c r="C43" t="s">
        <v>106</v>
      </c>
      <c r="D43" t="s">
        <v>85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85</v>
      </c>
      <c r="L43" t="s">
        <v>22</v>
      </c>
      <c r="M43" t="s">
        <v>92</v>
      </c>
      <c r="N43" t="s">
        <v>108</v>
      </c>
      <c r="O43" t="s">
        <v>93</v>
      </c>
      <c r="P43">
        <v>231333</v>
      </c>
      <c r="Q43" t="s">
        <v>7</v>
      </c>
      <c r="R43" t="s">
        <v>94</v>
      </c>
      <c r="S43" t="s">
        <v>95</v>
      </c>
      <c r="T43">
        <v>90</v>
      </c>
      <c r="U43">
        <v>0.5</v>
      </c>
      <c r="V43" s="2">
        <v>2.0833333333333332E-2</v>
      </c>
      <c r="W43">
        <v>45</v>
      </c>
      <c r="AA43" t="s">
        <v>96</v>
      </c>
      <c r="AB43" t="s">
        <v>97</v>
      </c>
      <c r="AC43" t="s">
        <v>140</v>
      </c>
      <c r="AD43" t="s">
        <v>99</v>
      </c>
      <c r="AE43">
        <f t="shared" si="3"/>
        <v>4</v>
      </c>
      <c r="AF43" t="str">
        <f t="shared" si="4"/>
        <v>April</v>
      </c>
    </row>
    <row r="44" spans="1:32">
      <c r="A44" s="1">
        <v>45390</v>
      </c>
      <c r="B44" t="s">
        <v>17</v>
      </c>
      <c r="C44" t="s">
        <v>106</v>
      </c>
      <c r="D44" t="s">
        <v>85</v>
      </c>
      <c r="E44" t="s">
        <v>86</v>
      </c>
      <c r="F44" t="s">
        <v>87</v>
      </c>
      <c r="G44" t="s">
        <v>88</v>
      </c>
      <c r="H44" t="s">
        <v>89</v>
      </c>
      <c r="I44" t="s">
        <v>90</v>
      </c>
      <c r="J44" t="s">
        <v>91</v>
      </c>
      <c r="K44" t="s">
        <v>85</v>
      </c>
      <c r="L44" t="s">
        <v>22</v>
      </c>
      <c r="M44" t="s">
        <v>92</v>
      </c>
      <c r="N44" t="s">
        <v>108</v>
      </c>
      <c r="O44" t="s">
        <v>93</v>
      </c>
      <c r="P44">
        <v>232216</v>
      </c>
      <c r="Q44" t="s">
        <v>7</v>
      </c>
      <c r="R44" t="s">
        <v>94</v>
      </c>
      <c r="S44" t="s">
        <v>95</v>
      </c>
      <c r="T44">
        <v>90</v>
      </c>
      <c r="U44">
        <v>0.5</v>
      </c>
      <c r="V44" s="2">
        <v>2.0833333333333332E-2</v>
      </c>
      <c r="W44">
        <v>45</v>
      </c>
      <c r="AA44" t="s">
        <v>96</v>
      </c>
      <c r="AB44" t="s">
        <v>97</v>
      </c>
      <c r="AC44" t="s">
        <v>141</v>
      </c>
      <c r="AD44" t="s">
        <v>99</v>
      </c>
      <c r="AE44">
        <f t="shared" si="3"/>
        <v>4</v>
      </c>
      <c r="AF44" t="str">
        <f t="shared" si="4"/>
        <v>April</v>
      </c>
    </row>
    <row r="45" spans="1:32">
      <c r="A45" s="1">
        <v>45391</v>
      </c>
      <c r="B45" t="s">
        <v>17</v>
      </c>
      <c r="C45" t="s">
        <v>106</v>
      </c>
      <c r="D45" t="s">
        <v>85</v>
      </c>
      <c r="E45" t="s">
        <v>86</v>
      </c>
      <c r="F45" t="s">
        <v>87</v>
      </c>
      <c r="G45" t="s">
        <v>88</v>
      </c>
      <c r="H45" t="s">
        <v>89</v>
      </c>
      <c r="I45" t="s">
        <v>90</v>
      </c>
      <c r="J45" t="s">
        <v>91</v>
      </c>
      <c r="K45" t="s">
        <v>85</v>
      </c>
      <c r="L45" t="s">
        <v>22</v>
      </c>
      <c r="M45" t="s">
        <v>92</v>
      </c>
      <c r="N45" t="s">
        <v>108</v>
      </c>
      <c r="O45" t="s">
        <v>93</v>
      </c>
      <c r="P45">
        <v>232898</v>
      </c>
      <c r="Q45" t="s">
        <v>7</v>
      </c>
      <c r="R45" t="s">
        <v>94</v>
      </c>
      <c r="S45" t="s">
        <v>95</v>
      </c>
      <c r="T45">
        <v>90</v>
      </c>
      <c r="U45">
        <v>0.5</v>
      </c>
      <c r="V45" s="2">
        <v>2.0833333333333332E-2</v>
      </c>
      <c r="W45">
        <v>45</v>
      </c>
      <c r="AA45" t="s">
        <v>96</v>
      </c>
      <c r="AB45" t="s">
        <v>97</v>
      </c>
      <c r="AC45" t="s">
        <v>142</v>
      </c>
      <c r="AD45" t="s">
        <v>99</v>
      </c>
      <c r="AE45">
        <f t="shared" si="3"/>
        <v>4</v>
      </c>
      <c r="AF45" t="str">
        <f t="shared" si="4"/>
        <v>April</v>
      </c>
    </row>
    <row r="46" spans="1:32">
      <c r="A46" s="1">
        <v>45405</v>
      </c>
      <c r="B46" t="s">
        <v>17</v>
      </c>
      <c r="C46" t="s">
        <v>106</v>
      </c>
      <c r="D46" t="s">
        <v>85</v>
      </c>
      <c r="E46" t="s">
        <v>86</v>
      </c>
      <c r="F46" t="s">
        <v>87</v>
      </c>
      <c r="G46" t="s">
        <v>88</v>
      </c>
      <c r="H46" t="s">
        <v>89</v>
      </c>
      <c r="I46" t="s">
        <v>90</v>
      </c>
      <c r="J46" t="s">
        <v>91</v>
      </c>
      <c r="K46" t="s">
        <v>85</v>
      </c>
      <c r="L46" t="s">
        <v>22</v>
      </c>
      <c r="M46" t="s">
        <v>92</v>
      </c>
      <c r="N46" t="s">
        <v>108</v>
      </c>
      <c r="O46" t="s">
        <v>93</v>
      </c>
      <c r="P46">
        <v>240660</v>
      </c>
      <c r="Q46" t="s">
        <v>7</v>
      </c>
      <c r="R46" t="s">
        <v>94</v>
      </c>
      <c r="S46" t="s">
        <v>95</v>
      </c>
      <c r="T46">
        <v>90</v>
      </c>
      <c r="U46">
        <v>1</v>
      </c>
      <c r="V46" s="2">
        <v>4.1666666666666664E-2</v>
      </c>
      <c r="W46">
        <v>90</v>
      </c>
      <c r="AA46" t="s">
        <v>96</v>
      </c>
      <c r="AB46" t="s">
        <v>97</v>
      </c>
      <c r="AC46" t="s">
        <v>143</v>
      </c>
      <c r="AD46" t="s">
        <v>99</v>
      </c>
      <c r="AE46">
        <f t="shared" si="3"/>
        <v>4</v>
      </c>
      <c r="AF46" t="str">
        <f t="shared" si="4"/>
        <v>April</v>
      </c>
    </row>
    <row r="47" spans="1:32">
      <c r="A47" s="1">
        <v>45406</v>
      </c>
      <c r="B47" t="s">
        <v>17</v>
      </c>
      <c r="C47" t="s">
        <v>106</v>
      </c>
      <c r="D47" t="s">
        <v>85</v>
      </c>
      <c r="E47" t="s">
        <v>86</v>
      </c>
      <c r="F47" t="s">
        <v>87</v>
      </c>
      <c r="G47" t="s">
        <v>88</v>
      </c>
      <c r="H47" t="s">
        <v>89</v>
      </c>
      <c r="I47" t="s">
        <v>90</v>
      </c>
      <c r="J47" t="s">
        <v>91</v>
      </c>
      <c r="K47" t="s">
        <v>85</v>
      </c>
      <c r="L47" t="s">
        <v>22</v>
      </c>
      <c r="M47" t="s">
        <v>92</v>
      </c>
      <c r="N47" t="s">
        <v>108</v>
      </c>
      <c r="O47" t="s">
        <v>93</v>
      </c>
      <c r="P47">
        <v>239365</v>
      </c>
      <c r="Q47" t="s">
        <v>7</v>
      </c>
      <c r="R47" t="s">
        <v>94</v>
      </c>
      <c r="S47" t="s">
        <v>95</v>
      </c>
      <c r="T47">
        <v>90</v>
      </c>
      <c r="U47">
        <v>1.5</v>
      </c>
      <c r="V47" s="2">
        <v>6.25E-2</v>
      </c>
      <c r="W47">
        <v>135</v>
      </c>
      <c r="AA47" t="s">
        <v>96</v>
      </c>
      <c r="AB47" t="s">
        <v>97</v>
      </c>
      <c r="AC47" t="s">
        <v>144</v>
      </c>
      <c r="AD47" t="s">
        <v>99</v>
      </c>
      <c r="AE47">
        <f t="shared" si="3"/>
        <v>4</v>
      </c>
      <c r="AF47" t="str">
        <f t="shared" si="4"/>
        <v>April</v>
      </c>
    </row>
    <row r="48" spans="1:32">
      <c r="A48" s="1">
        <v>45407</v>
      </c>
      <c r="B48" t="s">
        <v>17</v>
      </c>
      <c r="C48" t="s">
        <v>106</v>
      </c>
      <c r="D48" t="s">
        <v>85</v>
      </c>
      <c r="E48" t="s">
        <v>86</v>
      </c>
      <c r="F48" t="s">
        <v>87</v>
      </c>
      <c r="G48" t="s">
        <v>88</v>
      </c>
      <c r="H48" t="s">
        <v>89</v>
      </c>
      <c r="I48" t="s">
        <v>90</v>
      </c>
      <c r="J48" t="s">
        <v>91</v>
      </c>
      <c r="K48" t="s">
        <v>85</v>
      </c>
      <c r="L48" t="s">
        <v>22</v>
      </c>
      <c r="M48" t="s">
        <v>92</v>
      </c>
      <c r="N48" t="s">
        <v>108</v>
      </c>
      <c r="O48" t="s">
        <v>93</v>
      </c>
      <c r="P48">
        <v>240672</v>
      </c>
      <c r="Q48" t="s">
        <v>7</v>
      </c>
      <c r="R48" t="s">
        <v>94</v>
      </c>
      <c r="S48" t="s">
        <v>95</v>
      </c>
      <c r="T48">
        <v>90</v>
      </c>
      <c r="U48">
        <v>1</v>
      </c>
      <c r="V48" s="2">
        <v>4.1666666666666664E-2</v>
      </c>
      <c r="W48">
        <v>90</v>
      </c>
      <c r="AA48" t="s">
        <v>96</v>
      </c>
      <c r="AB48" t="s">
        <v>97</v>
      </c>
      <c r="AC48" t="s">
        <v>124</v>
      </c>
      <c r="AD48" t="s">
        <v>99</v>
      </c>
      <c r="AE48">
        <f t="shared" si="3"/>
        <v>4</v>
      </c>
      <c r="AF48" t="str">
        <f t="shared" si="4"/>
        <v>April</v>
      </c>
    </row>
    <row r="49" spans="1:32">
      <c r="A49" s="1">
        <v>45408</v>
      </c>
      <c r="B49" t="s">
        <v>17</v>
      </c>
      <c r="C49" t="s">
        <v>106</v>
      </c>
      <c r="D49" t="s">
        <v>85</v>
      </c>
      <c r="E49" t="s">
        <v>86</v>
      </c>
      <c r="F49" t="s">
        <v>87</v>
      </c>
      <c r="G49" t="s">
        <v>88</v>
      </c>
      <c r="H49" t="s">
        <v>89</v>
      </c>
      <c r="I49" t="s">
        <v>90</v>
      </c>
      <c r="J49" t="s">
        <v>91</v>
      </c>
      <c r="K49" t="s">
        <v>85</v>
      </c>
      <c r="L49" t="s">
        <v>22</v>
      </c>
      <c r="M49" t="s">
        <v>92</v>
      </c>
      <c r="N49" t="s">
        <v>108</v>
      </c>
      <c r="O49" t="s">
        <v>93</v>
      </c>
      <c r="P49">
        <v>240433</v>
      </c>
      <c r="Q49" t="s">
        <v>7</v>
      </c>
      <c r="R49" t="s">
        <v>94</v>
      </c>
      <c r="S49" t="s">
        <v>95</v>
      </c>
      <c r="T49">
        <v>90</v>
      </c>
      <c r="U49">
        <v>1</v>
      </c>
      <c r="V49" s="2">
        <v>4.1666666666666664E-2</v>
      </c>
      <c r="W49">
        <v>90</v>
      </c>
      <c r="AA49" t="s">
        <v>96</v>
      </c>
      <c r="AB49" t="s">
        <v>97</v>
      </c>
      <c r="AC49" t="s">
        <v>124</v>
      </c>
      <c r="AD49" t="s">
        <v>99</v>
      </c>
      <c r="AE49">
        <f t="shared" si="3"/>
        <v>4</v>
      </c>
      <c r="AF49" t="str">
        <f t="shared" si="4"/>
        <v>April</v>
      </c>
    </row>
    <row r="50" spans="1:32">
      <c r="A50" s="1">
        <v>45408</v>
      </c>
      <c r="B50" t="s">
        <v>17</v>
      </c>
      <c r="C50" t="s">
        <v>106</v>
      </c>
      <c r="D50" t="s">
        <v>85</v>
      </c>
      <c r="E50" t="s">
        <v>86</v>
      </c>
      <c r="F50" t="s">
        <v>87</v>
      </c>
      <c r="G50" t="s">
        <v>88</v>
      </c>
      <c r="H50" t="s">
        <v>89</v>
      </c>
      <c r="I50" t="s">
        <v>90</v>
      </c>
      <c r="J50" t="s">
        <v>91</v>
      </c>
      <c r="K50" t="s">
        <v>85</v>
      </c>
      <c r="L50" t="s">
        <v>22</v>
      </c>
      <c r="M50" t="s">
        <v>92</v>
      </c>
      <c r="N50" t="s">
        <v>108</v>
      </c>
      <c r="O50" t="s">
        <v>93</v>
      </c>
      <c r="P50">
        <v>240434</v>
      </c>
      <c r="Q50" t="s">
        <v>7</v>
      </c>
      <c r="R50" t="s">
        <v>94</v>
      </c>
      <c r="S50" t="s">
        <v>95</v>
      </c>
      <c r="T50">
        <v>90</v>
      </c>
      <c r="U50">
        <v>1</v>
      </c>
      <c r="V50" s="2">
        <v>4.1666666666666664E-2</v>
      </c>
      <c r="W50">
        <v>90</v>
      </c>
      <c r="AA50" t="s">
        <v>96</v>
      </c>
      <c r="AB50" t="s">
        <v>97</v>
      </c>
      <c r="AC50" t="s">
        <v>143</v>
      </c>
      <c r="AD50" t="s">
        <v>99</v>
      </c>
      <c r="AE50">
        <f t="shared" si="3"/>
        <v>4</v>
      </c>
      <c r="AF50" t="str">
        <f t="shared" si="4"/>
        <v>April</v>
      </c>
    </row>
    <row r="51" spans="1:32">
      <c r="A51" s="1">
        <v>45378</v>
      </c>
      <c r="B51" t="s">
        <v>22</v>
      </c>
      <c r="C51" t="s">
        <v>106</v>
      </c>
      <c r="D51" t="s">
        <v>85</v>
      </c>
      <c r="E51" t="s">
        <v>107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85</v>
      </c>
      <c r="L51" t="s">
        <v>22</v>
      </c>
      <c r="M51" t="s">
        <v>92</v>
      </c>
      <c r="N51" t="s">
        <v>108</v>
      </c>
      <c r="O51" t="s">
        <v>93</v>
      </c>
      <c r="P51">
        <v>228826</v>
      </c>
      <c r="Q51" t="s">
        <v>8</v>
      </c>
      <c r="R51" t="s">
        <v>109</v>
      </c>
      <c r="S51" t="s">
        <v>95</v>
      </c>
      <c r="T51">
        <v>0</v>
      </c>
      <c r="U51">
        <v>0.5</v>
      </c>
      <c r="V51" s="2">
        <v>2.0833333333333332E-2</v>
      </c>
      <c r="W51">
        <v>0</v>
      </c>
      <c r="AA51" t="s">
        <v>96</v>
      </c>
      <c r="AB51" t="s">
        <v>97</v>
      </c>
      <c r="AC51" t="s">
        <v>145</v>
      </c>
      <c r="AD51" t="s">
        <v>99</v>
      </c>
      <c r="AE51">
        <f t="shared" si="3"/>
        <v>3</v>
      </c>
      <c r="AF51" t="str">
        <f t="shared" si="4"/>
        <v>March</v>
      </c>
    </row>
    <row r="52" spans="1:32">
      <c r="A52" s="1">
        <v>45385</v>
      </c>
      <c r="B52" t="s">
        <v>22</v>
      </c>
      <c r="C52" t="s">
        <v>106</v>
      </c>
      <c r="D52" t="s">
        <v>85</v>
      </c>
      <c r="E52" t="s">
        <v>107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85</v>
      </c>
      <c r="L52" t="s">
        <v>22</v>
      </c>
      <c r="M52" t="s">
        <v>92</v>
      </c>
      <c r="N52" t="s">
        <v>108</v>
      </c>
      <c r="O52" t="s">
        <v>93</v>
      </c>
      <c r="P52">
        <v>230872</v>
      </c>
      <c r="Q52" t="s">
        <v>8</v>
      </c>
      <c r="R52" t="s">
        <v>109</v>
      </c>
      <c r="S52" t="s">
        <v>95</v>
      </c>
      <c r="T52">
        <v>0</v>
      </c>
      <c r="U52">
        <v>0.75</v>
      </c>
      <c r="V52" s="2">
        <v>3.125E-2</v>
      </c>
      <c r="W52">
        <v>0</v>
      </c>
      <c r="AA52" t="s">
        <v>96</v>
      </c>
      <c r="AB52" t="s">
        <v>97</v>
      </c>
      <c r="AC52" t="s">
        <v>108</v>
      </c>
      <c r="AD52" t="s">
        <v>99</v>
      </c>
      <c r="AE52">
        <f t="shared" si="3"/>
        <v>4</v>
      </c>
      <c r="AF52" t="str">
        <f t="shared" si="4"/>
        <v>April</v>
      </c>
    </row>
    <row r="53" spans="1:32">
      <c r="A53" s="1">
        <v>45386</v>
      </c>
      <c r="B53" t="s">
        <v>22</v>
      </c>
      <c r="C53" t="s">
        <v>106</v>
      </c>
      <c r="D53" t="s">
        <v>85</v>
      </c>
      <c r="E53" t="s">
        <v>107</v>
      </c>
      <c r="F53" t="s">
        <v>87</v>
      </c>
      <c r="G53" t="s">
        <v>88</v>
      </c>
      <c r="H53" t="s">
        <v>89</v>
      </c>
      <c r="I53" t="s">
        <v>90</v>
      </c>
      <c r="J53" t="s">
        <v>91</v>
      </c>
      <c r="K53" t="s">
        <v>85</v>
      </c>
      <c r="L53" t="s">
        <v>22</v>
      </c>
      <c r="M53" t="s">
        <v>92</v>
      </c>
      <c r="N53" t="s">
        <v>108</v>
      </c>
      <c r="O53" t="s">
        <v>93</v>
      </c>
      <c r="P53">
        <v>231546</v>
      </c>
      <c r="Q53" t="s">
        <v>8</v>
      </c>
      <c r="R53" t="s">
        <v>109</v>
      </c>
      <c r="S53" t="s">
        <v>95</v>
      </c>
      <c r="T53">
        <v>0</v>
      </c>
      <c r="U53">
        <v>0.75</v>
      </c>
      <c r="V53" s="2">
        <v>3.125E-2</v>
      </c>
      <c r="W53">
        <v>0</v>
      </c>
      <c r="AA53" t="s">
        <v>96</v>
      </c>
      <c r="AB53" t="s">
        <v>97</v>
      </c>
      <c r="AC53" t="s">
        <v>108</v>
      </c>
      <c r="AD53" t="s">
        <v>99</v>
      </c>
      <c r="AE53">
        <f t="shared" si="3"/>
        <v>4</v>
      </c>
      <c r="AF53" t="str">
        <f t="shared" si="4"/>
        <v>April</v>
      </c>
    </row>
    <row r="54" spans="1:32">
      <c r="A54" s="1">
        <v>45387</v>
      </c>
      <c r="B54" t="s">
        <v>22</v>
      </c>
      <c r="C54" t="s">
        <v>106</v>
      </c>
      <c r="D54" t="s">
        <v>85</v>
      </c>
      <c r="E54" t="s">
        <v>107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85</v>
      </c>
      <c r="L54" t="s">
        <v>22</v>
      </c>
      <c r="M54" t="s">
        <v>92</v>
      </c>
      <c r="N54" t="s">
        <v>108</v>
      </c>
      <c r="O54" t="s">
        <v>93</v>
      </c>
      <c r="P54">
        <v>231837</v>
      </c>
      <c r="Q54" t="s">
        <v>8</v>
      </c>
      <c r="R54" t="s">
        <v>109</v>
      </c>
      <c r="S54" t="s">
        <v>95</v>
      </c>
      <c r="T54">
        <v>0</v>
      </c>
      <c r="U54">
        <v>1</v>
      </c>
      <c r="V54" s="2">
        <v>4.1666666666666664E-2</v>
      </c>
      <c r="W54">
        <v>0</v>
      </c>
      <c r="AA54" t="s">
        <v>96</v>
      </c>
      <c r="AB54" t="s">
        <v>97</v>
      </c>
      <c r="AC54" t="s">
        <v>108</v>
      </c>
      <c r="AD54" t="s">
        <v>99</v>
      </c>
      <c r="AE54">
        <f t="shared" si="3"/>
        <v>4</v>
      </c>
      <c r="AF54" t="str">
        <f t="shared" si="4"/>
        <v>April</v>
      </c>
    </row>
    <row r="55" spans="1:32">
      <c r="A55" s="1">
        <v>45390</v>
      </c>
      <c r="B55" t="s">
        <v>22</v>
      </c>
      <c r="C55" t="s">
        <v>106</v>
      </c>
      <c r="D55" t="s">
        <v>85</v>
      </c>
      <c r="E55" t="s">
        <v>107</v>
      </c>
      <c r="F55" t="s">
        <v>87</v>
      </c>
      <c r="G55" t="s">
        <v>88</v>
      </c>
      <c r="H55" t="s">
        <v>89</v>
      </c>
      <c r="I55" t="s">
        <v>90</v>
      </c>
      <c r="J55" t="s">
        <v>91</v>
      </c>
      <c r="K55" t="s">
        <v>85</v>
      </c>
      <c r="L55" t="s">
        <v>22</v>
      </c>
      <c r="M55" t="s">
        <v>92</v>
      </c>
      <c r="N55" t="s">
        <v>108</v>
      </c>
      <c r="O55" t="s">
        <v>93</v>
      </c>
      <c r="P55">
        <v>232524</v>
      </c>
      <c r="Q55" t="s">
        <v>8</v>
      </c>
      <c r="R55" t="s">
        <v>109</v>
      </c>
      <c r="S55" t="s">
        <v>95</v>
      </c>
      <c r="T55">
        <v>0</v>
      </c>
      <c r="U55">
        <v>0.75</v>
      </c>
      <c r="V55" s="2">
        <v>3.125E-2</v>
      </c>
      <c r="W55">
        <v>0</v>
      </c>
      <c r="AA55" t="s">
        <v>96</v>
      </c>
      <c r="AB55" t="s">
        <v>97</v>
      </c>
      <c r="AC55" t="s">
        <v>108</v>
      </c>
      <c r="AD55" t="s">
        <v>99</v>
      </c>
      <c r="AE55">
        <f t="shared" si="3"/>
        <v>4</v>
      </c>
      <c r="AF55" t="str">
        <f t="shared" si="4"/>
        <v>April</v>
      </c>
    </row>
    <row r="56" spans="1:32">
      <c r="A56" s="1">
        <v>45391</v>
      </c>
      <c r="B56" t="s">
        <v>22</v>
      </c>
      <c r="C56" t="s">
        <v>106</v>
      </c>
      <c r="D56" t="s">
        <v>85</v>
      </c>
      <c r="E56" t="s">
        <v>107</v>
      </c>
      <c r="F56" t="s">
        <v>87</v>
      </c>
      <c r="G56" t="s">
        <v>88</v>
      </c>
      <c r="H56" t="s">
        <v>89</v>
      </c>
      <c r="I56" t="s">
        <v>90</v>
      </c>
      <c r="J56" t="s">
        <v>91</v>
      </c>
      <c r="K56" t="s">
        <v>85</v>
      </c>
      <c r="L56" t="s">
        <v>22</v>
      </c>
      <c r="M56" t="s">
        <v>92</v>
      </c>
      <c r="N56" t="s">
        <v>108</v>
      </c>
      <c r="O56" t="s">
        <v>93</v>
      </c>
      <c r="P56">
        <v>233122</v>
      </c>
      <c r="Q56" t="s">
        <v>8</v>
      </c>
      <c r="R56" t="s">
        <v>109</v>
      </c>
      <c r="S56" t="s">
        <v>95</v>
      </c>
      <c r="T56">
        <v>0</v>
      </c>
      <c r="U56">
        <v>0.75</v>
      </c>
      <c r="V56" s="2">
        <v>3.125E-2</v>
      </c>
      <c r="W56">
        <v>0</v>
      </c>
      <c r="AA56" t="s">
        <v>96</v>
      </c>
      <c r="AB56" t="s">
        <v>97</v>
      </c>
      <c r="AC56" t="s">
        <v>108</v>
      </c>
      <c r="AD56" t="s">
        <v>99</v>
      </c>
      <c r="AE56">
        <f t="shared" si="3"/>
        <v>4</v>
      </c>
      <c r="AF56" t="str">
        <f t="shared" si="4"/>
        <v>April</v>
      </c>
    </row>
    <row r="57" spans="1:32">
      <c r="A57" s="1">
        <v>45392</v>
      </c>
      <c r="B57" t="s">
        <v>22</v>
      </c>
      <c r="C57" t="s">
        <v>106</v>
      </c>
      <c r="D57" t="s">
        <v>85</v>
      </c>
      <c r="E57" t="s">
        <v>107</v>
      </c>
      <c r="F57" t="s">
        <v>87</v>
      </c>
      <c r="G57" t="s">
        <v>88</v>
      </c>
      <c r="H57" t="s">
        <v>89</v>
      </c>
      <c r="I57" t="s">
        <v>90</v>
      </c>
      <c r="J57" t="s">
        <v>91</v>
      </c>
      <c r="K57" t="s">
        <v>85</v>
      </c>
      <c r="L57" t="s">
        <v>22</v>
      </c>
      <c r="M57" t="s">
        <v>92</v>
      </c>
      <c r="N57" t="s">
        <v>108</v>
      </c>
      <c r="O57" t="s">
        <v>93</v>
      </c>
      <c r="P57">
        <v>233821</v>
      </c>
      <c r="Q57" t="s">
        <v>8</v>
      </c>
      <c r="R57" t="s">
        <v>109</v>
      </c>
      <c r="S57" t="s">
        <v>95</v>
      </c>
      <c r="T57">
        <v>0</v>
      </c>
      <c r="U57">
        <v>1</v>
      </c>
      <c r="V57" s="2">
        <v>4.1666666666666664E-2</v>
      </c>
      <c r="W57">
        <v>0</v>
      </c>
      <c r="AA57" t="s">
        <v>96</v>
      </c>
      <c r="AB57" t="s">
        <v>97</v>
      </c>
      <c r="AC57" t="s">
        <v>108</v>
      </c>
      <c r="AD57" t="s">
        <v>99</v>
      </c>
      <c r="AE57">
        <f t="shared" ref="AE57:AE70" si="5">MONTH(A57)</f>
        <v>4</v>
      </c>
      <c r="AF57" t="str">
        <f t="shared" ref="AF57:AF70" si="6">IF(AE57=1,"January",IF(AE57=2,"February",IF(AE57=3,"March",IF(AE57=4,"April",IF(AE57=5,"May")))))</f>
        <v>April</v>
      </c>
    </row>
    <row r="58" spans="1:32">
      <c r="A58" s="1">
        <v>45393</v>
      </c>
      <c r="B58" t="s">
        <v>22</v>
      </c>
      <c r="C58" t="s">
        <v>106</v>
      </c>
      <c r="D58" t="s">
        <v>85</v>
      </c>
      <c r="E58" t="s">
        <v>107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85</v>
      </c>
      <c r="L58" t="s">
        <v>22</v>
      </c>
      <c r="M58" t="s">
        <v>92</v>
      </c>
      <c r="N58" t="s">
        <v>108</v>
      </c>
      <c r="O58" t="s">
        <v>93</v>
      </c>
      <c r="P58">
        <v>234263</v>
      </c>
      <c r="Q58" t="s">
        <v>8</v>
      </c>
      <c r="R58" t="s">
        <v>109</v>
      </c>
      <c r="S58" t="s">
        <v>95</v>
      </c>
      <c r="T58">
        <v>0</v>
      </c>
      <c r="U58">
        <v>1</v>
      </c>
      <c r="V58" s="2">
        <v>4.1666666666666664E-2</v>
      </c>
      <c r="W58">
        <v>0</v>
      </c>
      <c r="AA58" t="s">
        <v>96</v>
      </c>
      <c r="AB58" t="s">
        <v>97</v>
      </c>
      <c r="AC58" t="s">
        <v>108</v>
      </c>
      <c r="AD58" t="s">
        <v>99</v>
      </c>
      <c r="AE58">
        <f t="shared" si="5"/>
        <v>4</v>
      </c>
      <c r="AF58" t="str">
        <f t="shared" si="6"/>
        <v>April</v>
      </c>
    </row>
    <row r="59" spans="1:32">
      <c r="A59" s="1">
        <v>45394</v>
      </c>
      <c r="B59" t="s">
        <v>22</v>
      </c>
      <c r="C59" t="s">
        <v>106</v>
      </c>
      <c r="D59" t="s">
        <v>85</v>
      </c>
      <c r="E59" t="s">
        <v>107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85</v>
      </c>
      <c r="L59" t="s">
        <v>22</v>
      </c>
      <c r="M59" t="s">
        <v>92</v>
      </c>
      <c r="N59" t="s">
        <v>108</v>
      </c>
      <c r="O59" t="s">
        <v>93</v>
      </c>
      <c r="P59">
        <v>234430</v>
      </c>
      <c r="Q59" t="s">
        <v>8</v>
      </c>
      <c r="R59" t="s">
        <v>109</v>
      </c>
      <c r="S59" t="s">
        <v>95</v>
      </c>
      <c r="T59">
        <v>0</v>
      </c>
      <c r="U59">
        <v>0.75</v>
      </c>
      <c r="V59" s="2">
        <v>3.125E-2</v>
      </c>
      <c r="W59">
        <v>0</v>
      </c>
      <c r="AA59" t="s">
        <v>96</v>
      </c>
      <c r="AB59" t="s">
        <v>97</v>
      </c>
      <c r="AC59" t="s">
        <v>108</v>
      </c>
      <c r="AD59" t="s">
        <v>99</v>
      </c>
      <c r="AE59">
        <f t="shared" si="5"/>
        <v>4</v>
      </c>
      <c r="AF59" t="str">
        <f t="shared" si="6"/>
        <v>April</v>
      </c>
    </row>
    <row r="60" spans="1:32">
      <c r="A60" s="1">
        <v>45397</v>
      </c>
      <c r="B60" t="s">
        <v>22</v>
      </c>
      <c r="C60" t="s">
        <v>106</v>
      </c>
      <c r="D60" t="s">
        <v>85</v>
      </c>
      <c r="E60" t="s">
        <v>107</v>
      </c>
      <c r="F60" t="s">
        <v>87</v>
      </c>
      <c r="G60" t="s">
        <v>88</v>
      </c>
      <c r="H60" t="s">
        <v>89</v>
      </c>
      <c r="I60" t="s">
        <v>90</v>
      </c>
      <c r="J60" t="s">
        <v>91</v>
      </c>
      <c r="K60" t="s">
        <v>85</v>
      </c>
      <c r="L60" t="s">
        <v>22</v>
      </c>
      <c r="M60" t="s">
        <v>92</v>
      </c>
      <c r="N60" t="s">
        <v>108</v>
      </c>
      <c r="O60" t="s">
        <v>93</v>
      </c>
      <c r="P60">
        <v>235324</v>
      </c>
      <c r="Q60" t="s">
        <v>8</v>
      </c>
      <c r="R60" t="s">
        <v>109</v>
      </c>
      <c r="S60" t="s">
        <v>95</v>
      </c>
      <c r="T60">
        <v>0</v>
      </c>
      <c r="U60">
        <v>1</v>
      </c>
      <c r="V60" s="2">
        <v>4.1666666666666664E-2</v>
      </c>
      <c r="W60">
        <v>0</v>
      </c>
      <c r="AA60" t="s">
        <v>96</v>
      </c>
      <c r="AB60" t="s">
        <v>97</v>
      </c>
      <c r="AC60" t="s">
        <v>108</v>
      </c>
      <c r="AD60" t="s">
        <v>99</v>
      </c>
      <c r="AE60">
        <f t="shared" si="5"/>
        <v>4</v>
      </c>
      <c r="AF60" t="str">
        <f t="shared" si="6"/>
        <v>April</v>
      </c>
    </row>
    <row r="61" spans="1:32">
      <c r="A61" s="1">
        <v>45398</v>
      </c>
      <c r="B61" t="s">
        <v>22</v>
      </c>
      <c r="C61" t="s">
        <v>106</v>
      </c>
      <c r="D61" t="s">
        <v>85</v>
      </c>
      <c r="E61" t="s">
        <v>107</v>
      </c>
      <c r="F61" t="s">
        <v>87</v>
      </c>
      <c r="G61" t="s">
        <v>88</v>
      </c>
      <c r="H61" t="s">
        <v>89</v>
      </c>
      <c r="I61" t="s">
        <v>90</v>
      </c>
      <c r="J61" t="s">
        <v>91</v>
      </c>
      <c r="K61" t="s">
        <v>85</v>
      </c>
      <c r="L61" t="s">
        <v>22</v>
      </c>
      <c r="M61" t="s">
        <v>92</v>
      </c>
      <c r="N61" t="s">
        <v>108</v>
      </c>
      <c r="O61" t="s">
        <v>93</v>
      </c>
      <c r="P61">
        <v>235992</v>
      </c>
      <c r="Q61" t="s">
        <v>8</v>
      </c>
      <c r="R61" t="s">
        <v>109</v>
      </c>
      <c r="S61" t="s">
        <v>95</v>
      </c>
      <c r="T61">
        <v>0</v>
      </c>
      <c r="U61">
        <v>1.5</v>
      </c>
      <c r="V61" s="2">
        <v>6.25E-2</v>
      </c>
      <c r="W61">
        <v>0</v>
      </c>
      <c r="AA61" t="s">
        <v>96</v>
      </c>
      <c r="AB61" t="s">
        <v>97</v>
      </c>
      <c r="AC61" t="s">
        <v>108</v>
      </c>
      <c r="AD61" t="s">
        <v>99</v>
      </c>
      <c r="AE61">
        <f t="shared" si="5"/>
        <v>4</v>
      </c>
      <c r="AF61" t="str">
        <f t="shared" si="6"/>
        <v>April</v>
      </c>
    </row>
    <row r="62" spans="1:32">
      <c r="A62" s="1">
        <v>45399</v>
      </c>
      <c r="B62" t="s">
        <v>22</v>
      </c>
      <c r="C62" t="s">
        <v>106</v>
      </c>
      <c r="D62" t="s">
        <v>85</v>
      </c>
      <c r="E62" t="s">
        <v>107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85</v>
      </c>
      <c r="L62" t="s">
        <v>22</v>
      </c>
      <c r="M62" t="s">
        <v>92</v>
      </c>
      <c r="N62" t="s">
        <v>108</v>
      </c>
      <c r="O62" t="s">
        <v>93</v>
      </c>
      <c r="P62">
        <v>236701</v>
      </c>
      <c r="Q62" t="s">
        <v>8</v>
      </c>
      <c r="R62" t="s">
        <v>109</v>
      </c>
      <c r="S62" t="s">
        <v>95</v>
      </c>
      <c r="T62">
        <v>0</v>
      </c>
      <c r="U62">
        <v>0.75</v>
      </c>
      <c r="V62" s="2">
        <v>3.125E-2</v>
      </c>
      <c r="W62">
        <v>0</v>
      </c>
      <c r="AA62" t="s">
        <v>96</v>
      </c>
      <c r="AB62" t="s">
        <v>97</v>
      </c>
      <c r="AC62" t="s">
        <v>108</v>
      </c>
      <c r="AD62" t="s">
        <v>99</v>
      </c>
      <c r="AE62">
        <f t="shared" si="5"/>
        <v>4</v>
      </c>
      <c r="AF62" t="str">
        <f t="shared" si="6"/>
        <v>April</v>
      </c>
    </row>
    <row r="63" spans="1:32">
      <c r="A63" s="1">
        <v>45400</v>
      </c>
      <c r="B63" t="s">
        <v>22</v>
      </c>
      <c r="C63" t="s">
        <v>106</v>
      </c>
      <c r="D63" t="s">
        <v>85</v>
      </c>
      <c r="E63" t="s">
        <v>107</v>
      </c>
      <c r="F63" t="s">
        <v>87</v>
      </c>
      <c r="G63" t="s">
        <v>88</v>
      </c>
      <c r="H63" t="s">
        <v>89</v>
      </c>
      <c r="I63" t="s">
        <v>90</v>
      </c>
      <c r="J63" t="s">
        <v>91</v>
      </c>
      <c r="K63" t="s">
        <v>85</v>
      </c>
      <c r="L63" t="s">
        <v>22</v>
      </c>
      <c r="M63" t="s">
        <v>92</v>
      </c>
      <c r="N63" t="s">
        <v>108</v>
      </c>
      <c r="O63" t="s">
        <v>93</v>
      </c>
      <c r="P63">
        <v>237125</v>
      </c>
      <c r="Q63" t="s">
        <v>8</v>
      </c>
      <c r="R63" t="s">
        <v>109</v>
      </c>
      <c r="S63" t="s">
        <v>95</v>
      </c>
      <c r="T63">
        <v>0</v>
      </c>
      <c r="U63">
        <v>1</v>
      </c>
      <c r="V63" s="2">
        <v>4.1666666666666664E-2</v>
      </c>
      <c r="W63">
        <v>0</v>
      </c>
      <c r="AA63" t="s">
        <v>96</v>
      </c>
      <c r="AB63" t="s">
        <v>97</v>
      </c>
      <c r="AC63" t="s">
        <v>108</v>
      </c>
      <c r="AD63" t="s">
        <v>99</v>
      </c>
      <c r="AE63">
        <f t="shared" si="5"/>
        <v>4</v>
      </c>
      <c r="AF63" t="str">
        <f t="shared" si="6"/>
        <v>April</v>
      </c>
    </row>
    <row r="64" spans="1:32">
      <c r="A64" s="1">
        <v>45401</v>
      </c>
      <c r="B64" t="s">
        <v>22</v>
      </c>
      <c r="C64" t="s">
        <v>106</v>
      </c>
      <c r="D64" t="s">
        <v>85</v>
      </c>
      <c r="E64" t="s">
        <v>107</v>
      </c>
      <c r="F64" t="s">
        <v>87</v>
      </c>
      <c r="G64" t="s">
        <v>88</v>
      </c>
      <c r="H64" t="s">
        <v>89</v>
      </c>
      <c r="I64" t="s">
        <v>90</v>
      </c>
      <c r="J64" t="s">
        <v>91</v>
      </c>
      <c r="K64" t="s">
        <v>85</v>
      </c>
      <c r="L64" t="s">
        <v>22</v>
      </c>
      <c r="M64" t="s">
        <v>92</v>
      </c>
      <c r="N64" t="s">
        <v>108</v>
      </c>
      <c r="O64" t="s">
        <v>93</v>
      </c>
      <c r="P64">
        <v>237711</v>
      </c>
      <c r="Q64" t="s">
        <v>8</v>
      </c>
      <c r="R64" t="s">
        <v>109</v>
      </c>
      <c r="S64" t="s">
        <v>95</v>
      </c>
      <c r="T64">
        <v>0</v>
      </c>
      <c r="U64">
        <v>0.75</v>
      </c>
      <c r="V64" s="2">
        <v>3.125E-2</v>
      </c>
      <c r="W64">
        <v>0</v>
      </c>
      <c r="AA64" t="s">
        <v>96</v>
      </c>
      <c r="AB64" t="s">
        <v>97</v>
      </c>
      <c r="AC64" t="s">
        <v>108</v>
      </c>
      <c r="AD64" t="s">
        <v>99</v>
      </c>
      <c r="AE64">
        <f t="shared" si="5"/>
        <v>4</v>
      </c>
      <c r="AF64" t="str">
        <f t="shared" si="6"/>
        <v>April</v>
      </c>
    </row>
    <row r="65" spans="1:32">
      <c r="A65" s="1">
        <v>45404</v>
      </c>
      <c r="B65" t="s">
        <v>22</v>
      </c>
      <c r="C65" t="s">
        <v>106</v>
      </c>
      <c r="D65" t="s">
        <v>85</v>
      </c>
      <c r="E65" t="s">
        <v>107</v>
      </c>
      <c r="F65" t="s">
        <v>87</v>
      </c>
      <c r="G65" t="s">
        <v>88</v>
      </c>
      <c r="H65" t="s">
        <v>89</v>
      </c>
      <c r="I65" t="s">
        <v>90</v>
      </c>
      <c r="J65" t="s">
        <v>91</v>
      </c>
      <c r="K65" t="s">
        <v>85</v>
      </c>
      <c r="L65" t="s">
        <v>22</v>
      </c>
      <c r="M65" t="s">
        <v>92</v>
      </c>
      <c r="N65" t="s">
        <v>108</v>
      </c>
      <c r="O65" t="s">
        <v>93</v>
      </c>
      <c r="P65">
        <v>238353</v>
      </c>
      <c r="Q65" t="s">
        <v>8</v>
      </c>
      <c r="R65" t="s">
        <v>109</v>
      </c>
      <c r="S65" t="s">
        <v>95</v>
      </c>
      <c r="T65">
        <v>0</v>
      </c>
      <c r="U65">
        <v>0.5</v>
      </c>
      <c r="V65" s="2">
        <v>2.0833333333333332E-2</v>
      </c>
      <c r="W65">
        <v>0</v>
      </c>
      <c r="AA65" t="s">
        <v>96</v>
      </c>
      <c r="AB65" t="s">
        <v>97</v>
      </c>
      <c r="AC65" t="s">
        <v>108</v>
      </c>
      <c r="AD65" t="s">
        <v>99</v>
      </c>
      <c r="AE65">
        <f t="shared" si="5"/>
        <v>4</v>
      </c>
      <c r="AF65" t="str">
        <f t="shared" si="6"/>
        <v>April</v>
      </c>
    </row>
    <row r="66" spans="1:32">
      <c r="A66" s="1">
        <v>45405</v>
      </c>
      <c r="B66" t="s">
        <v>22</v>
      </c>
      <c r="C66" t="s">
        <v>106</v>
      </c>
      <c r="D66" t="s">
        <v>85</v>
      </c>
      <c r="E66" t="s">
        <v>107</v>
      </c>
      <c r="F66" t="s">
        <v>87</v>
      </c>
      <c r="G66" t="s">
        <v>88</v>
      </c>
      <c r="H66" t="s">
        <v>89</v>
      </c>
      <c r="I66" t="s">
        <v>90</v>
      </c>
      <c r="J66" t="s">
        <v>91</v>
      </c>
      <c r="K66" t="s">
        <v>85</v>
      </c>
      <c r="L66" t="s">
        <v>22</v>
      </c>
      <c r="M66" t="s">
        <v>92</v>
      </c>
      <c r="N66" t="s">
        <v>108</v>
      </c>
      <c r="O66" t="s">
        <v>93</v>
      </c>
      <c r="P66">
        <v>239022</v>
      </c>
      <c r="Q66" t="s">
        <v>8</v>
      </c>
      <c r="R66" t="s">
        <v>109</v>
      </c>
      <c r="S66" t="s">
        <v>95</v>
      </c>
      <c r="T66">
        <v>0</v>
      </c>
      <c r="U66">
        <v>0.25</v>
      </c>
      <c r="V66" s="2">
        <v>1.0416666666666666E-2</v>
      </c>
      <c r="W66">
        <v>0</v>
      </c>
      <c r="AA66" t="s">
        <v>96</v>
      </c>
      <c r="AB66" t="s">
        <v>97</v>
      </c>
      <c r="AC66" t="s">
        <v>108</v>
      </c>
      <c r="AD66" t="s">
        <v>99</v>
      </c>
      <c r="AE66">
        <f t="shared" si="5"/>
        <v>4</v>
      </c>
      <c r="AF66" t="str">
        <f t="shared" si="6"/>
        <v>April</v>
      </c>
    </row>
    <row r="67" spans="1:32">
      <c r="A67" s="1">
        <v>45406</v>
      </c>
      <c r="B67" t="s">
        <v>22</v>
      </c>
      <c r="C67" t="s">
        <v>106</v>
      </c>
      <c r="D67" t="s">
        <v>85</v>
      </c>
      <c r="E67" t="s">
        <v>107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85</v>
      </c>
      <c r="L67" t="s">
        <v>22</v>
      </c>
      <c r="M67" t="s">
        <v>92</v>
      </c>
      <c r="N67" t="s">
        <v>108</v>
      </c>
      <c r="O67" t="s">
        <v>93</v>
      </c>
      <c r="P67">
        <v>239576</v>
      </c>
      <c r="Q67" t="s">
        <v>8</v>
      </c>
      <c r="R67" t="s">
        <v>109</v>
      </c>
      <c r="S67" t="s">
        <v>95</v>
      </c>
      <c r="T67">
        <v>0</v>
      </c>
      <c r="U67">
        <v>0.5</v>
      </c>
      <c r="V67" s="2">
        <v>2.0833333333333332E-2</v>
      </c>
      <c r="W67">
        <v>0</v>
      </c>
      <c r="AA67" t="s">
        <v>96</v>
      </c>
      <c r="AB67" t="s">
        <v>97</v>
      </c>
      <c r="AC67" t="s">
        <v>108</v>
      </c>
      <c r="AD67" t="s">
        <v>99</v>
      </c>
      <c r="AE67">
        <f t="shared" si="5"/>
        <v>4</v>
      </c>
      <c r="AF67" t="str">
        <f t="shared" si="6"/>
        <v>April</v>
      </c>
    </row>
    <row r="68" spans="1:32">
      <c r="A68" s="1">
        <v>45407</v>
      </c>
      <c r="B68" t="s">
        <v>22</v>
      </c>
      <c r="C68" t="s">
        <v>106</v>
      </c>
      <c r="D68" t="s">
        <v>85</v>
      </c>
      <c r="E68" t="s">
        <v>107</v>
      </c>
      <c r="F68" t="s">
        <v>87</v>
      </c>
      <c r="G68" t="s">
        <v>88</v>
      </c>
      <c r="H68" t="s">
        <v>89</v>
      </c>
      <c r="I68" t="s">
        <v>90</v>
      </c>
      <c r="J68" t="s">
        <v>91</v>
      </c>
      <c r="K68" t="s">
        <v>85</v>
      </c>
      <c r="L68" t="s">
        <v>22</v>
      </c>
      <c r="M68" t="s">
        <v>92</v>
      </c>
      <c r="N68" t="s">
        <v>108</v>
      </c>
      <c r="O68" t="s">
        <v>93</v>
      </c>
      <c r="P68">
        <v>240339</v>
      </c>
      <c r="Q68" t="s">
        <v>8</v>
      </c>
      <c r="R68" t="s">
        <v>109</v>
      </c>
      <c r="S68" t="s">
        <v>95</v>
      </c>
      <c r="T68">
        <v>0</v>
      </c>
      <c r="U68">
        <v>0.5</v>
      </c>
      <c r="V68" s="2">
        <v>2.0833333333333332E-2</v>
      </c>
      <c r="W68">
        <v>0</v>
      </c>
      <c r="AA68" t="s">
        <v>96</v>
      </c>
      <c r="AB68" t="s">
        <v>97</v>
      </c>
      <c r="AC68" t="s">
        <v>108</v>
      </c>
      <c r="AD68" t="s">
        <v>99</v>
      </c>
      <c r="AE68">
        <f t="shared" si="5"/>
        <v>4</v>
      </c>
      <c r="AF68" t="str">
        <f t="shared" si="6"/>
        <v>April</v>
      </c>
    </row>
    <row r="69" spans="1:32">
      <c r="A69" s="1">
        <v>45408</v>
      </c>
      <c r="B69" t="s">
        <v>22</v>
      </c>
      <c r="C69" t="s">
        <v>106</v>
      </c>
      <c r="D69" t="s">
        <v>85</v>
      </c>
      <c r="E69" t="s">
        <v>107</v>
      </c>
      <c r="F69" t="s">
        <v>87</v>
      </c>
      <c r="G69" t="s">
        <v>88</v>
      </c>
      <c r="H69" t="s">
        <v>89</v>
      </c>
      <c r="I69" t="s">
        <v>90</v>
      </c>
      <c r="J69" t="s">
        <v>91</v>
      </c>
      <c r="K69" t="s">
        <v>85</v>
      </c>
      <c r="L69" t="s">
        <v>22</v>
      </c>
      <c r="M69" t="s">
        <v>92</v>
      </c>
      <c r="N69" t="s">
        <v>108</v>
      </c>
      <c r="O69" t="s">
        <v>93</v>
      </c>
      <c r="P69">
        <v>240375</v>
      </c>
      <c r="Q69" t="s">
        <v>8</v>
      </c>
      <c r="R69" t="s">
        <v>109</v>
      </c>
      <c r="S69" t="s">
        <v>95</v>
      </c>
      <c r="T69">
        <v>0</v>
      </c>
      <c r="U69">
        <v>0.25</v>
      </c>
      <c r="V69" s="2">
        <v>1.0416666666666666E-2</v>
      </c>
      <c r="W69">
        <v>0</v>
      </c>
      <c r="AA69" t="s">
        <v>96</v>
      </c>
      <c r="AB69" t="s">
        <v>97</v>
      </c>
      <c r="AC69" t="s">
        <v>108</v>
      </c>
      <c r="AD69" t="s">
        <v>99</v>
      </c>
      <c r="AE69">
        <f t="shared" si="5"/>
        <v>4</v>
      </c>
      <c r="AF69" t="str">
        <f t="shared" si="6"/>
        <v>April</v>
      </c>
    </row>
    <row r="70" spans="1:32">
      <c r="A70" s="1">
        <v>45379</v>
      </c>
      <c r="B70" t="s">
        <v>15</v>
      </c>
      <c r="C70" t="s">
        <v>106</v>
      </c>
      <c r="D70" t="s">
        <v>85</v>
      </c>
      <c r="E70" t="s">
        <v>86</v>
      </c>
      <c r="F70" t="s">
        <v>87</v>
      </c>
      <c r="G70" t="s">
        <v>88</v>
      </c>
      <c r="H70" t="s">
        <v>89</v>
      </c>
      <c r="I70" t="s">
        <v>90</v>
      </c>
      <c r="J70" t="s">
        <v>91</v>
      </c>
      <c r="K70" t="s">
        <v>85</v>
      </c>
      <c r="L70" t="s">
        <v>22</v>
      </c>
      <c r="M70" t="s">
        <v>92</v>
      </c>
      <c r="N70" t="s">
        <v>17</v>
      </c>
      <c r="O70" t="s">
        <v>93</v>
      </c>
      <c r="P70">
        <v>229978</v>
      </c>
      <c r="Q70" t="s">
        <v>7</v>
      </c>
      <c r="R70" t="s">
        <v>94</v>
      </c>
      <c r="S70" t="s">
        <v>95</v>
      </c>
      <c r="T70">
        <v>90</v>
      </c>
      <c r="U70">
        <v>0.5</v>
      </c>
      <c r="V70" s="2">
        <v>2.0833333333333332E-2</v>
      </c>
      <c r="W70">
        <v>45</v>
      </c>
      <c r="AA70" t="s">
        <v>96</v>
      </c>
      <c r="AB70" t="s">
        <v>97</v>
      </c>
      <c r="AC70" t="s">
        <v>146</v>
      </c>
      <c r="AD70" t="s">
        <v>99</v>
      </c>
      <c r="AE70">
        <f t="shared" si="5"/>
        <v>3</v>
      </c>
      <c r="AF70" t="str">
        <f t="shared" si="6"/>
        <v>March</v>
      </c>
    </row>
  </sheetData>
  <autoFilter ref="A1:AF56" xr:uid="{00000000-0001-0000-0100-000000000000}"/>
  <sortState xmlns:xlrd2="http://schemas.microsoft.com/office/spreadsheetml/2017/richdata2" ref="A2:AF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43"/>
  <sheetViews>
    <sheetView topLeftCell="A10" workbookViewId="0">
      <selection activeCell="D29" sqref="D29:F43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10" max="11" width="10.7109375" bestFit="1" customWidth="1"/>
  </cols>
  <sheetData>
    <row r="1" spans="1:12">
      <c r="A1" t="s">
        <v>147</v>
      </c>
    </row>
    <row r="2" spans="1:12">
      <c r="A2" t="s">
        <v>148</v>
      </c>
      <c r="B2" t="s">
        <v>149</v>
      </c>
      <c r="C2" t="s">
        <v>150</v>
      </c>
      <c r="E2" t="s">
        <v>151</v>
      </c>
      <c r="F2" t="s">
        <v>152</v>
      </c>
      <c r="G2" t="s">
        <v>153</v>
      </c>
      <c r="H2" t="s">
        <v>154</v>
      </c>
      <c r="I2" t="s">
        <v>155</v>
      </c>
      <c r="J2" t="s">
        <v>156</v>
      </c>
      <c r="K2" t="s">
        <v>157</v>
      </c>
      <c r="L2" t="s">
        <v>158</v>
      </c>
    </row>
    <row r="3" spans="1:12">
      <c r="A3" t="s">
        <v>159</v>
      </c>
      <c r="B3" t="s">
        <v>160</v>
      </c>
      <c r="C3" t="s">
        <v>161</v>
      </c>
      <c r="D3" t="str">
        <f>CONCATENATE(B3," ",C3)</f>
        <v xml:space="preserve"> BSS-8  Unable to complete task on EOT</v>
      </c>
      <c r="E3" t="s">
        <v>28</v>
      </c>
      <c r="F3" t="s">
        <v>42</v>
      </c>
      <c r="G3" t="s">
        <v>162</v>
      </c>
      <c r="H3" t="s">
        <v>163</v>
      </c>
      <c r="I3" t="s">
        <v>162</v>
      </c>
      <c r="J3" t="s">
        <v>164</v>
      </c>
      <c r="K3" t="s">
        <v>165</v>
      </c>
      <c r="L3" t="s">
        <v>166</v>
      </c>
    </row>
    <row r="4" spans="1:12">
      <c r="A4" t="s">
        <v>159</v>
      </c>
      <c r="B4" t="s">
        <v>167</v>
      </c>
      <c r="C4" t="s">
        <v>168</v>
      </c>
      <c r="D4" t="str">
        <f t="shared" ref="D4:D10" si="0">CONCATENATE(B4," ",C4)</f>
        <v xml:space="preserve"> BSS-9  HomeLet referencing error showing in this opportunity</v>
      </c>
      <c r="E4" t="s">
        <v>169</v>
      </c>
      <c r="F4" t="s">
        <v>170</v>
      </c>
      <c r="G4" t="s">
        <v>162</v>
      </c>
      <c r="H4" t="s">
        <v>163</v>
      </c>
      <c r="I4" t="s">
        <v>162</v>
      </c>
      <c r="J4" t="s">
        <v>171</v>
      </c>
      <c r="K4" t="s">
        <v>171</v>
      </c>
      <c r="L4" t="s">
        <v>170</v>
      </c>
    </row>
    <row r="5" spans="1:12">
      <c r="A5" t="s">
        <v>159</v>
      </c>
      <c r="B5" t="s">
        <v>172</v>
      </c>
      <c r="C5" t="s">
        <v>173</v>
      </c>
      <c r="D5" t="str">
        <f t="shared" si="0"/>
        <v xml:space="preserve"> BSS-3  EOT task- Couldn't  be cancelled through approver ( record owner)</v>
      </c>
      <c r="E5" t="s">
        <v>169</v>
      </c>
      <c r="F5" t="s">
        <v>166</v>
      </c>
      <c r="G5" t="s">
        <v>162</v>
      </c>
      <c r="H5" t="s">
        <v>163</v>
      </c>
      <c r="I5" t="s">
        <v>174</v>
      </c>
      <c r="J5" t="s">
        <v>175</v>
      </c>
      <c r="K5" t="s">
        <v>171</v>
      </c>
      <c r="L5" t="s">
        <v>166</v>
      </c>
    </row>
    <row r="6" spans="1:12">
      <c r="A6" t="s">
        <v>159</v>
      </c>
      <c r="B6" t="s">
        <v>176</v>
      </c>
      <c r="C6" t="s">
        <v>177</v>
      </c>
      <c r="D6" t="str">
        <f t="shared" si="0"/>
        <v xml:space="preserve"> BSS-4  Agreement not pulling the template with 1 tenant and 2 guarantors </v>
      </c>
      <c r="E6" t="s">
        <v>169</v>
      </c>
      <c r="F6" t="s">
        <v>166</v>
      </c>
      <c r="G6" t="s">
        <v>162</v>
      </c>
      <c r="H6" t="s">
        <v>163</v>
      </c>
      <c r="I6" t="s">
        <v>174</v>
      </c>
      <c r="J6" t="s">
        <v>178</v>
      </c>
      <c r="K6" t="s">
        <v>171</v>
      </c>
      <c r="L6" t="s">
        <v>166</v>
      </c>
    </row>
    <row r="7" spans="1:12">
      <c r="A7" t="s">
        <v>159</v>
      </c>
      <c r="B7" t="s">
        <v>179</v>
      </c>
      <c r="C7" t="s">
        <v>180</v>
      </c>
      <c r="D7" t="str">
        <f t="shared" si="0"/>
        <v xml:space="preserve"> BSS-2   Receiving an error on every task I try and complete </v>
      </c>
      <c r="E7" t="s">
        <v>48</v>
      </c>
      <c r="F7" t="s">
        <v>166</v>
      </c>
      <c r="G7" t="s">
        <v>162</v>
      </c>
      <c r="H7" t="s">
        <v>163</v>
      </c>
      <c r="I7" t="s">
        <v>174</v>
      </c>
      <c r="J7" t="s">
        <v>181</v>
      </c>
      <c r="K7" t="s">
        <v>182</v>
      </c>
      <c r="L7" t="s">
        <v>166</v>
      </c>
    </row>
    <row r="8" spans="1:12">
      <c r="A8" t="s">
        <v>159</v>
      </c>
      <c r="B8" t="s">
        <v>183</v>
      </c>
      <c r="C8" t="s">
        <v>184</v>
      </c>
      <c r="D8" t="str">
        <f t="shared" si="0"/>
        <v xml:space="preserve"> BSS-5  Security deposit not populated for renewals</v>
      </c>
      <c r="E8" t="s">
        <v>48</v>
      </c>
      <c r="F8" t="s">
        <v>42</v>
      </c>
      <c r="G8" t="s">
        <v>162</v>
      </c>
      <c r="H8" t="s">
        <v>163</v>
      </c>
      <c r="I8" t="s">
        <v>174</v>
      </c>
      <c r="J8" t="s">
        <v>185</v>
      </c>
      <c r="K8" t="s">
        <v>182</v>
      </c>
      <c r="L8" t="s">
        <v>31</v>
      </c>
    </row>
    <row r="9" spans="1:12">
      <c r="A9" t="s">
        <v>186</v>
      </c>
      <c r="B9" t="s">
        <v>187</v>
      </c>
      <c r="C9" t="s">
        <v>188</v>
      </c>
      <c r="D9" t="str">
        <f t="shared" si="0"/>
        <v xml:space="preserve"> BSS-6  Update the noOfAdultOccupants calculation</v>
      </c>
      <c r="E9" t="s">
        <v>48</v>
      </c>
      <c r="F9" t="s">
        <v>31</v>
      </c>
      <c r="G9" t="s">
        <v>162</v>
      </c>
      <c r="H9" t="s">
        <v>163</v>
      </c>
      <c r="I9" t="s">
        <v>174</v>
      </c>
      <c r="J9" t="s">
        <v>189</v>
      </c>
      <c r="K9" t="s">
        <v>190</v>
      </c>
      <c r="L9" t="s">
        <v>170</v>
      </c>
    </row>
    <row r="10" spans="1:12">
      <c r="A10" t="s">
        <v>186</v>
      </c>
      <c r="B10" t="s">
        <v>191</v>
      </c>
      <c r="C10" t="s">
        <v>192</v>
      </c>
      <c r="D10" t="str">
        <f t="shared" si="0"/>
        <v xml:space="preserve"> BSS-7  Update the referencing Provider to HomeLet</v>
      </c>
      <c r="E10" t="s">
        <v>48</v>
      </c>
      <c r="F10" t="s">
        <v>31</v>
      </c>
      <c r="G10" t="s">
        <v>162</v>
      </c>
      <c r="H10" t="s">
        <v>163</v>
      </c>
      <c r="I10" t="s">
        <v>174</v>
      </c>
      <c r="J10" t="s">
        <v>164</v>
      </c>
      <c r="K10" t="s">
        <v>190</v>
      </c>
      <c r="L10" t="s">
        <v>170</v>
      </c>
    </row>
    <row r="12" spans="1:12">
      <c r="A12" t="s">
        <v>193</v>
      </c>
    </row>
    <row r="13" spans="1:12">
      <c r="A13" t="s">
        <v>148</v>
      </c>
      <c r="B13" t="s">
        <v>149</v>
      </c>
      <c r="C13" t="s">
        <v>150</v>
      </c>
      <c r="E13" t="s">
        <v>151</v>
      </c>
      <c r="F13" t="s">
        <v>152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158</v>
      </c>
    </row>
    <row r="14" spans="1:12">
      <c r="A14" t="s">
        <v>159</v>
      </c>
      <c r="B14" s="15" t="s">
        <v>160</v>
      </c>
      <c r="C14" t="s">
        <v>161</v>
      </c>
      <c r="D14" t="str">
        <f t="shared" ref="D14:D25" si="1">CONCATENATE(B14," ",C14)</f>
        <v xml:space="preserve"> BSS-8  Unable to complete task on EOT</v>
      </c>
      <c r="E14" s="15" t="s">
        <v>28</v>
      </c>
      <c r="F14" t="s">
        <v>42</v>
      </c>
      <c r="G14" t="s">
        <v>162</v>
      </c>
      <c r="H14" t="s">
        <v>163</v>
      </c>
      <c r="I14" t="s">
        <v>162</v>
      </c>
      <c r="J14" t="s">
        <v>164</v>
      </c>
      <c r="K14" t="s">
        <v>194</v>
      </c>
      <c r="L14" t="s">
        <v>166</v>
      </c>
    </row>
    <row r="15" spans="1:12">
      <c r="A15" t="s">
        <v>159</v>
      </c>
      <c r="B15" s="14" t="s">
        <v>195</v>
      </c>
      <c r="C15" t="s">
        <v>196</v>
      </c>
      <c r="D15" t="str">
        <f t="shared" si="1"/>
        <v xml:space="preserve"> BSS-14  An unhandled fault occurred in this flow</v>
      </c>
      <c r="E15" s="14" t="s">
        <v>28</v>
      </c>
      <c r="F15" t="s">
        <v>42</v>
      </c>
      <c r="G15" t="s">
        <v>162</v>
      </c>
      <c r="H15" t="s">
        <v>163</v>
      </c>
      <c r="I15" t="s">
        <v>162</v>
      </c>
      <c r="J15" t="s">
        <v>197</v>
      </c>
      <c r="K15" t="s">
        <v>197</v>
      </c>
      <c r="L15" t="s">
        <v>166</v>
      </c>
    </row>
    <row r="16" spans="1:12">
      <c r="A16" t="s">
        <v>159</v>
      </c>
      <c r="B16" s="14" t="s">
        <v>198</v>
      </c>
      <c r="C16" t="s">
        <v>199</v>
      </c>
      <c r="D16" t="str">
        <f t="shared" si="1"/>
        <v xml:space="preserve"> BSS-16  Unable to send to Homelet</v>
      </c>
      <c r="E16" s="14" t="s">
        <v>33</v>
      </c>
      <c r="F16" t="s">
        <v>166</v>
      </c>
      <c r="G16" t="s">
        <v>162</v>
      </c>
      <c r="H16" t="s">
        <v>163</v>
      </c>
      <c r="I16" t="s">
        <v>162</v>
      </c>
      <c r="J16" t="s">
        <v>194</v>
      </c>
      <c r="K16" t="s">
        <v>200</v>
      </c>
      <c r="L16" t="s">
        <v>170</v>
      </c>
    </row>
    <row r="17" spans="1:12">
      <c r="A17" t="s">
        <v>159</v>
      </c>
      <c r="B17" s="14" t="s">
        <v>201</v>
      </c>
      <c r="C17" t="s">
        <v>202</v>
      </c>
      <c r="D17" t="str">
        <f t="shared" si="1"/>
        <v xml:space="preserve"> BSS-15  Trim the spaces before sending to HomeLet</v>
      </c>
      <c r="E17" s="14" t="s">
        <v>33</v>
      </c>
      <c r="F17" t="s">
        <v>170</v>
      </c>
      <c r="G17" t="s">
        <v>162</v>
      </c>
      <c r="H17" t="s">
        <v>163</v>
      </c>
      <c r="I17" t="s">
        <v>162</v>
      </c>
      <c r="J17" t="s">
        <v>194</v>
      </c>
      <c r="K17" t="s">
        <v>203</v>
      </c>
      <c r="L17" t="s">
        <v>170</v>
      </c>
    </row>
    <row r="18" spans="1:12">
      <c r="A18" t="s">
        <v>159</v>
      </c>
      <c r="B18" s="15" t="s">
        <v>167</v>
      </c>
      <c r="C18" t="s">
        <v>168</v>
      </c>
      <c r="D18" t="str">
        <f t="shared" si="1"/>
        <v xml:space="preserve"> BSS-9  HomeLet referencing error showing in this opportunity</v>
      </c>
      <c r="E18" s="15" t="s">
        <v>33</v>
      </c>
      <c r="F18" t="s">
        <v>170</v>
      </c>
      <c r="G18" t="s">
        <v>162</v>
      </c>
      <c r="H18" t="s">
        <v>163</v>
      </c>
      <c r="I18" t="s">
        <v>162</v>
      </c>
      <c r="J18" t="s">
        <v>171</v>
      </c>
      <c r="K18" t="s">
        <v>171</v>
      </c>
      <c r="L18" t="s">
        <v>170</v>
      </c>
    </row>
    <row r="19" spans="1:12">
      <c r="A19" t="s">
        <v>159</v>
      </c>
      <c r="B19" s="15" t="s">
        <v>176</v>
      </c>
      <c r="C19" t="s">
        <v>177</v>
      </c>
      <c r="D19" t="str">
        <f t="shared" si="1"/>
        <v xml:space="preserve"> BSS-4  Agreement not pulling the template with 1 tenant and 2 guarantors </v>
      </c>
      <c r="E19" s="15" t="s">
        <v>33</v>
      </c>
      <c r="F19" t="s">
        <v>166</v>
      </c>
      <c r="G19" t="s">
        <v>162</v>
      </c>
      <c r="H19" t="s">
        <v>163</v>
      </c>
      <c r="I19" t="s">
        <v>174</v>
      </c>
      <c r="J19" t="s">
        <v>178</v>
      </c>
      <c r="K19" t="s">
        <v>171</v>
      </c>
      <c r="L19" t="s">
        <v>166</v>
      </c>
    </row>
    <row r="20" spans="1:12">
      <c r="A20" t="s">
        <v>159</v>
      </c>
      <c r="B20" s="13" t="s">
        <v>179</v>
      </c>
      <c r="C20" t="s">
        <v>180</v>
      </c>
      <c r="D20" t="str">
        <f t="shared" si="1"/>
        <v xml:space="preserve"> BSS-2   Receiving an error on every task I try and complete </v>
      </c>
      <c r="E20" s="13" t="s">
        <v>48</v>
      </c>
      <c r="F20" t="s">
        <v>166</v>
      </c>
      <c r="G20" t="s">
        <v>162</v>
      </c>
      <c r="H20" t="s">
        <v>163</v>
      </c>
      <c r="I20" t="s">
        <v>174</v>
      </c>
      <c r="J20" t="s">
        <v>181</v>
      </c>
      <c r="K20" t="s">
        <v>182</v>
      </c>
      <c r="L20" t="s">
        <v>166</v>
      </c>
    </row>
    <row r="21" spans="1:12">
      <c r="A21" t="s">
        <v>159</v>
      </c>
      <c r="B21" s="13" t="s">
        <v>183</v>
      </c>
      <c r="C21" t="s">
        <v>184</v>
      </c>
      <c r="D21" t="str">
        <f t="shared" si="1"/>
        <v xml:space="preserve"> BSS-5  Security deposit not populated for renewals</v>
      </c>
      <c r="E21" s="13" t="s">
        <v>48</v>
      </c>
      <c r="F21" t="s">
        <v>42</v>
      </c>
      <c r="G21" t="s">
        <v>162</v>
      </c>
      <c r="H21" t="s">
        <v>163</v>
      </c>
      <c r="I21" t="s">
        <v>174</v>
      </c>
      <c r="J21" t="s">
        <v>185</v>
      </c>
      <c r="K21" t="s">
        <v>182</v>
      </c>
      <c r="L21" t="s">
        <v>31</v>
      </c>
    </row>
    <row r="22" spans="1:12">
      <c r="A22" t="s">
        <v>186</v>
      </c>
      <c r="B22" s="13" t="s">
        <v>187</v>
      </c>
      <c r="C22" t="s">
        <v>188</v>
      </c>
      <c r="D22" t="str">
        <f t="shared" si="1"/>
        <v xml:space="preserve"> BSS-6  Update the noOfAdultOccupants calculation</v>
      </c>
      <c r="E22" s="13" t="s">
        <v>48</v>
      </c>
      <c r="F22" t="s">
        <v>31</v>
      </c>
      <c r="G22" t="s">
        <v>162</v>
      </c>
      <c r="H22" t="s">
        <v>163</v>
      </c>
      <c r="I22" t="s">
        <v>174</v>
      </c>
      <c r="J22" t="s">
        <v>189</v>
      </c>
      <c r="K22" t="s">
        <v>190</v>
      </c>
      <c r="L22" t="s">
        <v>170</v>
      </c>
    </row>
    <row r="23" spans="1:12">
      <c r="A23" t="s">
        <v>186</v>
      </c>
      <c r="B23" s="13" t="s">
        <v>191</v>
      </c>
      <c r="C23" t="s">
        <v>192</v>
      </c>
      <c r="D23" t="str">
        <f t="shared" si="1"/>
        <v xml:space="preserve"> BSS-7  Update the referencing Provider to HomeLet</v>
      </c>
      <c r="E23" s="13" t="s">
        <v>48</v>
      </c>
      <c r="F23" t="s">
        <v>31</v>
      </c>
      <c r="G23" t="s">
        <v>162</v>
      </c>
      <c r="H23" t="s">
        <v>163</v>
      </c>
      <c r="I23" t="s">
        <v>174</v>
      </c>
      <c r="J23" t="s">
        <v>164</v>
      </c>
      <c r="K23" t="s">
        <v>190</v>
      </c>
      <c r="L23" t="s">
        <v>170</v>
      </c>
    </row>
    <row r="24" spans="1:12">
      <c r="A24" t="s">
        <v>159</v>
      </c>
      <c r="B24" s="14" t="s">
        <v>172</v>
      </c>
      <c r="C24" t="s">
        <v>173</v>
      </c>
      <c r="D24" t="str">
        <f t="shared" si="1"/>
        <v xml:space="preserve"> BSS-3  EOT task- Couldn't  be cancelled through approver ( record owner)</v>
      </c>
      <c r="E24" s="14" t="s">
        <v>48</v>
      </c>
      <c r="F24" t="s">
        <v>166</v>
      </c>
      <c r="G24" t="s">
        <v>162</v>
      </c>
      <c r="H24" t="s">
        <v>163</v>
      </c>
      <c r="I24" t="s">
        <v>174</v>
      </c>
      <c r="J24" t="s">
        <v>175</v>
      </c>
      <c r="K24" t="s">
        <v>200</v>
      </c>
      <c r="L24" t="s">
        <v>166</v>
      </c>
    </row>
    <row r="25" spans="1:12">
      <c r="A25" t="s">
        <v>204</v>
      </c>
      <c r="B25" s="14" t="s">
        <v>205</v>
      </c>
      <c r="C25" t="s">
        <v>206</v>
      </c>
      <c r="D25" t="str">
        <f t="shared" si="1"/>
        <v xml:space="preserve"> BSS-13  Flow error message improvement</v>
      </c>
      <c r="E25" s="14" t="s">
        <v>41</v>
      </c>
      <c r="F25" t="s">
        <v>42</v>
      </c>
      <c r="G25" t="s">
        <v>162</v>
      </c>
      <c r="H25" t="s">
        <v>163</v>
      </c>
      <c r="I25" t="s">
        <v>207</v>
      </c>
      <c r="J25" t="s">
        <v>165</v>
      </c>
      <c r="K25" t="s">
        <v>165</v>
      </c>
      <c r="L25" t="s">
        <v>42</v>
      </c>
    </row>
    <row r="27" spans="1:12">
      <c r="A27" t="s">
        <v>208</v>
      </c>
    </row>
    <row r="28" spans="1:12">
      <c r="A28" t="s">
        <v>148</v>
      </c>
      <c r="B28" t="s">
        <v>149</v>
      </c>
      <c r="C28" t="s">
        <v>150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156</v>
      </c>
      <c r="K28" t="s">
        <v>157</v>
      </c>
      <c r="L28" t="s">
        <v>158</v>
      </c>
    </row>
    <row r="29" spans="1:12">
      <c r="A29" t="s">
        <v>159</v>
      </c>
      <c r="B29" s="19" t="s">
        <v>198</v>
      </c>
      <c r="C29" t="s">
        <v>199</v>
      </c>
      <c r="D29" t="str">
        <f t="shared" ref="D29:D34" si="2">CONCATENATE(B29," ",C29)</f>
        <v xml:space="preserve"> BSS-16  Unable to send to Homelet</v>
      </c>
      <c r="E29" s="19" t="s">
        <v>28</v>
      </c>
      <c r="F29" t="s">
        <v>29</v>
      </c>
      <c r="G29" t="s">
        <v>162</v>
      </c>
      <c r="H29" t="s">
        <v>163</v>
      </c>
      <c r="I29" t="s">
        <v>162</v>
      </c>
      <c r="J29" t="s">
        <v>194</v>
      </c>
      <c r="K29" t="s">
        <v>209</v>
      </c>
      <c r="L29" t="s">
        <v>170</v>
      </c>
    </row>
    <row r="30" spans="1:12">
      <c r="A30" t="s">
        <v>159</v>
      </c>
      <c r="B30" s="19" t="s">
        <v>210</v>
      </c>
      <c r="C30" t="s">
        <v>211</v>
      </c>
      <c r="D30" t="str">
        <f t="shared" si="2"/>
        <v xml:space="preserve"> BSS-19  The Units  with status “On the market – no access” are not able to be posted onto Rightmove</v>
      </c>
      <c r="E30" s="19" t="s">
        <v>28</v>
      </c>
      <c r="F30" t="s">
        <v>31</v>
      </c>
      <c r="G30" t="s">
        <v>162</v>
      </c>
      <c r="H30" t="s">
        <v>163</v>
      </c>
      <c r="I30" t="s">
        <v>162</v>
      </c>
      <c r="J30" t="s">
        <v>209</v>
      </c>
      <c r="K30" t="s">
        <v>209</v>
      </c>
      <c r="L30" t="s">
        <v>170</v>
      </c>
    </row>
    <row r="31" spans="1:12">
      <c r="A31" t="s">
        <v>159</v>
      </c>
      <c r="B31" s="19" t="s">
        <v>195</v>
      </c>
      <c r="C31" t="s">
        <v>196</v>
      </c>
      <c r="D31" t="str">
        <f t="shared" si="2"/>
        <v xml:space="preserve"> BSS-14  An unhandled fault occurred in this flow</v>
      </c>
      <c r="E31" s="19" t="s">
        <v>33</v>
      </c>
      <c r="F31" t="s">
        <v>34</v>
      </c>
      <c r="G31" t="s">
        <v>162</v>
      </c>
      <c r="H31" t="s">
        <v>163</v>
      </c>
      <c r="I31" t="s">
        <v>162</v>
      </c>
      <c r="J31" t="s">
        <v>197</v>
      </c>
      <c r="K31" t="s">
        <v>209</v>
      </c>
      <c r="L31" t="s">
        <v>166</v>
      </c>
    </row>
    <row r="32" spans="1:12">
      <c r="A32" t="s">
        <v>159</v>
      </c>
      <c r="B32" s="19" t="s">
        <v>160</v>
      </c>
      <c r="C32" t="s">
        <v>161</v>
      </c>
      <c r="D32" t="str">
        <f t="shared" si="2"/>
        <v xml:space="preserve"> BSS-8  Unable to complete task on EOT</v>
      </c>
      <c r="E32" s="19" t="s">
        <v>33</v>
      </c>
      <c r="F32" t="s">
        <v>34</v>
      </c>
      <c r="G32" t="s">
        <v>162</v>
      </c>
      <c r="H32" t="s">
        <v>163</v>
      </c>
      <c r="I32" t="s">
        <v>162</v>
      </c>
      <c r="J32" t="s">
        <v>164</v>
      </c>
      <c r="K32" t="s">
        <v>209</v>
      </c>
      <c r="L32" t="s">
        <v>166</v>
      </c>
    </row>
    <row r="33" spans="1:12">
      <c r="A33" t="s">
        <v>159</v>
      </c>
      <c r="B33" s="19" t="s">
        <v>212</v>
      </c>
      <c r="C33" t="s">
        <v>213</v>
      </c>
      <c r="D33" t="str">
        <f t="shared" si="2"/>
        <v xml:space="preserve"> BSS-18  Limit Exceeded Error while trying to update a Unit via Salesforce connector</v>
      </c>
      <c r="E33" s="19" t="s">
        <v>48</v>
      </c>
      <c r="F33" t="s">
        <v>37</v>
      </c>
      <c r="G33" t="s">
        <v>162</v>
      </c>
      <c r="H33" t="s">
        <v>163</v>
      </c>
      <c r="I33" t="s">
        <v>162</v>
      </c>
      <c r="J33" t="s">
        <v>214</v>
      </c>
      <c r="K33" t="s">
        <v>215</v>
      </c>
      <c r="L33" t="s">
        <v>170</v>
      </c>
    </row>
    <row r="34" spans="1:12">
      <c r="A34" t="s">
        <v>159</v>
      </c>
      <c r="B34" s="19" t="s">
        <v>216</v>
      </c>
      <c r="C34" t="s">
        <v>217</v>
      </c>
      <c r="D34" t="str">
        <f t="shared" si="2"/>
        <v xml:space="preserve"> BSS-17  Guarantor not being sent for referencing</v>
      </c>
      <c r="E34" s="19" t="s">
        <v>44</v>
      </c>
      <c r="F34" t="s">
        <v>31</v>
      </c>
      <c r="G34" t="s">
        <v>162</v>
      </c>
      <c r="H34" t="s">
        <v>163</v>
      </c>
      <c r="I34" t="s">
        <v>162</v>
      </c>
      <c r="J34" t="s">
        <v>218</v>
      </c>
      <c r="K34" t="s">
        <v>215</v>
      </c>
      <c r="L34" t="s">
        <v>31</v>
      </c>
    </row>
    <row r="35" spans="1:12">
      <c r="A35" t="s">
        <v>159</v>
      </c>
      <c r="B35" s="15" t="s">
        <v>201</v>
      </c>
      <c r="C35" t="s">
        <v>202</v>
      </c>
      <c r="D35" t="str">
        <f>CONCATENATE(B35," ",C35)</f>
        <v xml:space="preserve"> BSS-15  Trim the spaces before sending to HomeLet</v>
      </c>
      <c r="E35" s="15" t="s">
        <v>33</v>
      </c>
      <c r="F35" t="s">
        <v>37</v>
      </c>
      <c r="G35" t="s">
        <v>162</v>
      </c>
      <c r="H35" t="s">
        <v>163</v>
      </c>
      <c r="I35" t="s">
        <v>162</v>
      </c>
      <c r="J35" t="s">
        <v>194</v>
      </c>
      <c r="K35" t="s">
        <v>203</v>
      </c>
      <c r="L35" t="s">
        <v>170</v>
      </c>
    </row>
    <row r="36" spans="1:12">
      <c r="A36" t="s">
        <v>159</v>
      </c>
      <c r="B36" s="15" t="s">
        <v>167</v>
      </c>
      <c r="C36" t="s">
        <v>168</v>
      </c>
      <c r="D36" t="str">
        <f>CONCATENATE(B36," ",C36)</f>
        <v xml:space="preserve"> BSS-9  HomeLet referencing error showing in this opportunity</v>
      </c>
      <c r="E36" s="15" t="s">
        <v>33</v>
      </c>
      <c r="F36" t="s">
        <v>37</v>
      </c>
      <c r="G36" t="s">
        <v>162</v>
      </c>
      <c r="H36" t="s">
        <v>163</v>
      </c>
      <c r="I36" t="s">
        <v>162</v>
      </c>
      <c r="J36" t="s">
        <v>171</v>
      </c>
      <c r="K36" t="s">
        <v>171</v>
      </c>
      <c r="L36" t="s">
        <v>170</v>
      </c>
    </row>
    <row r="37" spans="1:12">
      <c r="A37" t="s">
        <v>159</v>
      </c>
      <c r="B37" s="15" t="s">
        <v>176</v>
      </c>
      <c r="C37" t="s">
        <v>177</v>
      </c>
      <c r="D37" t="str">
        <f>CONCATENATE(B37," ",C37)</f>
        <v xml:space="preserve"> BSS-4  Agreement not pulling the template with 1 tenant and 2 guarantors </v>
      </c>
      <c r="E37" s="15" t="s">
        <v>33</v>
      </c>
      <c r="F37" t="s">
        <v>34</v>
      </c>
      <c r="G37" t="s">
        <v>162</v>
      </c>
      <c r="H37" t="s">
        <v>163</v>
      </c>
      <c r="I37" t="s">
        <v>174</v>
      </c>
      <c r="J37" t="s">
        <v>178</v>
      </c>
      <c r="K37" t="s">
        <v>171</v>
      </c>
      <c r="L37" t="s">
        <v>166</v>
      </c>
    </row>
    <row r="38" spans="1:12">
      <c r="A38" t="s">
        <v>204</v>
      </c>
      <c r="B38" s="15" t="s">
        <v>205</v>
      </c>
      <c r="C38" t="s">
        <v>206</v>
      </c>
      <c r="D38" t="str">
        <f>CONCATENATE(B38," ",C38)</f>
        <v xml:space="preserve"> BSS-13  Flow error message improvement</v>
      </c>
      <c r="E38" s="15" t="s">
        <v>41</v>
      </c>
      <c r="F38" t="s">
        <v>42</v>
      </c>
      <c r="G38" t="s">
        <v>162</v>
      </c>
      <c r="H38" t="s">
        <v>163</v>
      </c>
      <c r="I38" t="s">
        <v>207</v>
      </c>
      <c r="J38" t="s">
        <v>165</v>
      </c>
      <c r="K38" t="s">
        <v>165</v>
      </c>
      <c r="L38" t="s">
        <v>42</v>
      </c>
    </row>
    <row r="39" spans="1:12">
      <c r="A39" t="s">
        <v>159</v>
      </c>
      <c r="B39" s="13" t="s">
        <v>179</v>
      </c>
      <c r="C39" t="s">
        <v>180</v>
      </c>
      <c r="D39" t="str">
        <f>CONCATENATE(B39," ",C39)</f>
        <v xml:space="preserve"> BSS-2   Receiving an error on every task I try and complete </v>
      </c>
      <c r="E39" s="13" t="s">
        <v>48</v>
      </c>
      <c r="F39" t="s">
        <v>34</v>
      </c>
      <c r="G39" t="s">
        <v>162</v>
      </c>
      <c r="H39" t="s">
        <v>163</v>
      </c>
      <c r="I39" t="s">
        <v>174</v>
      </c>
      <c r="J39" t="s">
        <v>181</v>
      </c>
      <c r="K39" t="s">
        <v>182</v>
      </c>
      <c r="L39" t="s">
        <v>166</v>
      </c>
    </row>
    <row r="40" spans="1:12">
      <c r="A40" t="s">
        <v>159</v>
      </c>
      <c r="B40" s="13" t="s">
        <v>183</v>
      </c>
      <c r="C40" t="s">
        <v>184</v>
      </c>
      <c r="D40" t="str">
        <f>CONCATENATE(B40," ",C40)</f>
        <v xml:space="preserve"> BSS-5  Security deposit not populated for renewals</v>
      </c>
      <c r="E40" s="13" t="s">
        <v>48</v>
      </c>
      <c r="F40" t="s">
        <v>42</v>
      </c>
      <c r="G40" t="s">
        <v>162</v>
      </c>
      <c r="H40" t="s">
        <v>163</v>
      </c>
      <c r="I40" t="s">
        <v>174</v>
      </c>
      <c r="J40" t="s">
        <v>185</v>
      </c>
      <c r="K40" t="s">
        <v>182</v>
      </c>
      <c r="L40" t="s">
        <v>31</v>
      </c>
    </row>
    <row r="41" spans="1:12">
      <c r="A41" t="s">
        <v>186</v>
      </c>
      <c r="B41" s="13" t="s">
        <v>191</v>
      </c>
      <c r="C41" t="s">
        <v>192</v>
      </c>
      <c r="D41" t="str">
        <f>CONCATENATE(B41," ",C41)</f>
        <v xml:space="preserve"> BSS-7  Update the referencing Provider to HomeLet</v>
      </c>
      <c r="E41" s="13" t="s">
        <v>48</v>
      </c>
      <c r="F41" t="s">
        <v>31</v>
      </c>
      <c r="G41" t="s">
        <v>162</v>
      </c>
      <c r="H41" t="s">
        <v>163</v>
      </c>
      <c r="I41" t="s">
        <v>174</v>
      </c>
      <c r="J41" t="s">
        <v>164</v>
      </c>
      <c r="K41" t="s">
        <v>190</v>
      </c>
      <c r="L41" t="s">
        <v>170</v>
      </c>
    </row>
    <row r="42" spans="1:12">
      <c r="A42" t="s">
        <v>186</v>
      </c>
      <c r="B42" s="13" t="s">
        <v>187</v>
      </c>
      <c r="C42" t="s">
        <v>188</v>
      </c>
      <c r="D42" t="str">
        <f>CONCATENATE(B42," ",C42)</f>
        <v xml:space="preserve"> BSS-6  Update the noOfAdultOccupants calculation</v>
      </c>
      <c r="E42" s="13" t="s">
        <v>48</v>
      </c>
      <c r="F42" t="s">
        <v>31</v>
      </c>
      <c r="G42" t="s">
        <v>162</v>
      </c>
      <c r="H42" t="s">
        <v>163</v>
      </c>
      <c r="I42" t="s">
        <v>174</v>
      </c>
      <c r="J42" t="s">
        <v>189</v>
      </c>
      <c r="K42" t="s">
        <v>218</v>
      </c>
      <c r="L42" t="s">
        <v>170</v>
      </c>
    </row>
    <row r="43" spans="1:12">
      <c r="A43" t="s">
        <v>159</v>
      </c>
      <c r="B43" s="13" t="s">
        <v>172</v>
      </c>
      <c r="C43" t="s">
        <v>173</v>
      </c>
      <c r="D43" t="str">
        <f>CONCATENATE(B43," ",C43)</f>
        <v xml:space="preserve"> BSS-3  EOT task- Couldn't  be cancelled through approver ( record owner)</v>
      </c>
      <c r="E43" s="13" t="s">
        <v>48</v>
      </c>
      <c r="F43" t="s">
        <v>34</v>
      </c>
      <c r="G43" t="s">
        <v>162</v>
      </c>
      <c r="H43" t="s">
        <v>163</v>
      </c>
      <c r="I43" t="s">
        <v>174</v>
      </c>
      <c r="J43" t="s">
        <v>175</v>
      </c>
      <c r="K43" t="s">
        <v>200</v>
      </c>
      <c r="L43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C7EC36A-8E94-4C75-B6BD-799F79D39063}"/>
</file>

<file path=customXml/itemProps2.xml><?xml version="1.0" encoding="utf-8"?>
<ds:datastoreItem xmlns:ds="http://schemas.openxmlformats.org/officeDocument/2006/customXml" ds:itemID="{E75B6193-03CB-4CB1-B426-1601FB11D8B1}"/>
</file>

<file path=customXml/itemProps3.xml><?xml version="1.0" encoding="utf-8"?>
<ds:datastoreItem xmlns:ds="http://schemas.openxmlformats.org/officeDocument/2006/customXml" ds:itemID="{7EAA7E1A-4A71-44FD-A911-6CB57C681AF9}"/>
</file>

<file path=customXml/itemProps4.xml><?xml version="1.0" encoding="utf-8"?>
<ds:datastoreItem xmlns:ds="http://schemas.openxmlformats.org/officeDocument/2006/customXml" ds:itemID="{3853C82F-F21C-451A-A4D4-54BB3F0A0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Le Grange</cp:lastModifiedBy>
  <cp:revision/>
  <dcterms:created xsi:type="dcterms:W3CDTF">2024-04-02T08:03:36Z</dcterms:created>
  <dcterms:modified xsi:type="dcterms:W3CDTF">2024-04-29T11:04:32Z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20;#PM Report|9d58a819-7b07-406f-ac0f-0f196f5e097b</vt:lpwstr>
  </property>
</Properties>
</file>