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91" documentId="13_ncr:40009_{72DCE847-60C8-4427-ADB0-44DE35B3B8A2}" xr6:coauthVersionLast="47" xr6:coauthVersionMax="47" xr10:uidLastSave="{AF2003B7-3C25-413D-BC8E-491C4C267353}"/>
  <bookViews>
    <workbookView xWindow="57480" yWindow="-120" windowWidth="29040" windowHeight="15720" xr2:uid="{00000000-000D-0000-FFFF-FFFF00000000}"/>
  </bookViews>
  <sheets>
    <sheet name="Pivot" sheetId="2" r:id="rId1"/>
    <sheet name="Project Timesheets" sheetId="1" r:id="rId2"/>
  </sheets>
  <calcPr calcId="191029"/>
  <pivotCaches>
    <pivotCache cacheId="2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" i="1" l="1"/>
  <c r="AF9" i="1" s="1"/>
  <c r="AE7" i="1"/>
  <c r="AF7" i="1" s="1"/>
  <c r="AE3" i="1"/>
  <c r="AF3" i="1" s="1"/>
  <c r="AE5" i="1"/>
  <c r="AF5" i="1" s="1"/>
  <c r="AE2" i="1"/>
  <c r="AF2" i="1" s="1"/>
  <c r="AE4" i="1"/>
  <c r="AF4" i="1" s="1"/>
  <c r="AE6" i="1"/>
  <c r="AF6" i="1"/>
  <c r="AE8" i="1"/>
  <c r="AF8" i="1"/>
</calcChain>
</file>

<file path=xl/sharedStrings.xml><?xml version="1.0" encoding="utf-8"?>
<sst xmlns="http://schemas.openxmlformats.org/spreadsheetml/2006/main" count="258" uniqueCount="97">
  <si>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</si>
  <si>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</si>
  <si>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</si>
  <si>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</si>
  <si>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</si>
  <si>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</si>
  <si>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</si>
  <si>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</si>
  <si>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</si>
  <si>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</si>
  <si>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</si>
  <si>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</si>
  <si>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</si>
  <si>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</si>
  <si>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</si>
  <si>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</si>
  <si>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</si>
  <si>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</si>
  <si>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</si>
  <si>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</si>
  <si>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</si>
  <si>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</si>
  <si>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</si>
  <si>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</si>
  <si>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</si>
  <si>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</si>
  <si>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</si>
  <si>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</si>
  <si>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</si>
  <si>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</si>
  <si>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</si>
  <si>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</si>
  <si>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</si>
  <si>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</si>
  <si>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</si>
  <si>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</si>
  <si>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Brendan Canny</t>
  </si>
  <si>
    <t>Billable timecode</t>
  </si>
  <si>
    <t>Standard Timecode</t>
  </si>
  <si>
    <t>GBP</t>
  </si>
  <si>
    <t>Reviewed</t>
  </si>
  <si>
    <t>Not submitted</t>
  </si>
  <si>
    <t>Sam Duncan</t>
  </si>
  <si>
    <t>Salesforce</t>
  </si>
  <si>
    <t>Period</t>
  </si>
  <si>
    <t>Month</t>
  </si>
  <si>
    <t>(All)</t>
  </si>
  <si>
    <t>Row Labels</t>
  </si>
  <si>
    <t>Grand Total</t>
  </si>
  <si>
    <t>Column Labels</t>
  </si>
  <si>
    <t>Sum of Hours</t>
  </si>
  <si>
    <t>&lt;- Filter By Month</t>
  </si>
  <si>
    <t>2.1 COST</t>
  </si>
  <si>
    <t>The cost for the services detailed in this document are as follows:</t>
  </si>
  <si>
    <t xml:space="preserve">1. Support services will be provided on a Time and Materials (T&amp;M) basis at a rate of </t>
  </si>
  <si>
    <t xml:space="preserve">£120 per hour. 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</si>
  <si>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</si>
  <si>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</si>
  <si>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</si>
  <si>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Anjali Salecha</t>
  </si>
  <si>
    <t>Hourly</t>
  </si>
  <si>
    <t>OB-000493</t>
  </si>
  <si>
    <t>Salesforce Support (FTE)</t>
  </si>
  <si>
    <t>Support</t>
  </si>
  <si>
    <t>General Support (Billable)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</si>
  <si>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</si>
  <si>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</si>
  <si>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</si>
  <si>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</si>
  <si>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</si>
  <si>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</si>
  <si>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Tafadzwa Toro</t>
  </si>
  <si>
    <t>Troubleshooting RSW ticket: https://graingerplc.atlassian.net/browse/RSW-62</t>
  </si>
  <si>
    <t xml:space="preserve"> </t>
  </si>
  <si>
    <t>BSS-6 Making change in UAT and deploying to PROD</t>
  </si>
  <si>
    <t>Updating historical opps for HomeLet go-live https://graingerplc.atlassian.net/browse/BSS-7</t>
  </si>
  <si>
    <t>Done</t>
  </si>
  <si>
    <t>In Review</t>
  </si>
  <si>
    <t>In Progress</t>
  </si>
  <si>
    <t>BSS-4</t>
  </si>
  <si>
    <t>New link</t>
  </si>
  <si>
    <t>BSS-6 - Update the noOfAdultOccupants calculation</t>
  </si>
  <si>
    <t>Status</t>
  </si>
  <si>
    <t>Jira Ticket</t>
  </si>
  <si>
    <t>BSS-7 Update the referencing Provider to HomeLet</t>
  </si>
  <si>
    <t>BSS-2</t>
  </si>
  <si>
    <t>BSS-5</t>
  </si>
  <si>
    <t>BSS-3</t>
  </si>
  <si>
    <t>FVVP-417 - Receiving an error on every task I try and complete (Done)</t>
  </si>
  <si>
    <t>RJ-30 Security deposit not populated for renewals</t>
  </si>
  <si>
    <t>BSS-5 Security deposit not populated for renewals</t>
  </si>
  <si>
    <t>FVVP-416 - EOT task- Couldn't be cancelled through approver ( record owner)</t>
  </si>
  <si>
    <t>BSS-3 EOT task- Couldn't  be cancelled through approver ( record owner)</t>
  </si>
  <si>
    <t xml:space="preserve">BSS-2 Receiving an error on every task I try and complete </t>
  </si>
  <si>
    <t>BSS-4 Agreement not pulling the template with 1 tenant and 2 guarantors</t>
  </si>
  <si>
    <t>In Progress (Assigned to Saji)</t>
  </si>
  <si>
    <t>Old Ticket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</si>
</sst>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0" fillId="0" borderId="0" xfId="0" applyNumberFormat="1"/>
    <xf numFmtId="0" fontId="0" fillId="33" borderId="0" xfId="0" applyFill="1"/>
    <xf numFmtId="0" fontId="19" fillId="0" borderId="10" xfId="42" applyBorder="1"/>
    <xf numFmtId="0" fontId="0" fillId="35" borderId="10" xfId="0" applyFill="1" applyBorder="1"/>
    <xf numFmtId="0" fontId="0" fillId="0" borderId="10" xfId="0" applyBorder="1"/>
    <xf numFmtId="0" fontId="19" fillId="0" borderId="10" xfId="42" applyBorder="1" applyAlignment="1">
      <alignment horizontal="left" vertical="center"/>
    </xf>
    <xf numFmtId="0" fontId="0" fillId="36" borderId="10" xfId="0" applyFill="1" applyBorder="1"/>
    <xf numFmtId="0" fontId="16" fillId="34" borderId="10" xfId="0" applyFont="1" applyFill="1" applyBorder="1"/>
    <xf numFmtId="0" fontId="0" fillId="36" borderId="0" xfId="0" applyFill="1" applyAlignment="1">
      <alignment horizontal="lef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390.500490393519" createdVersion="8" refreshedVersion="8" minRefreshableVersion="3" recordCount="8" xr:uid="{E729003E-679E-4B23-8E4E-1B1C275EDA5C}">
  <cacheSource type="worksheet">
    <worksheetSource ref="A1:AF9" sheet="Project Timesheets"/>
  </cacheSource>
  <cacheFields count="32">
    <cacheField name="Date" numFmtId="15">
      <sharedItems containsSemiMixedTypes="0" containsNonDate="0" containsDate="1" containsString="0" minDate="2024-03-22T00:00:00" maxDate="2024-04-09T00:00:00"/>
    </cacheField>
    <cacheField name="Person" numFmtId="0">
      <sharedItems count="4">
        <s v="Sachin  Deshmukh "/>
        <s v="Anjali Salecha"/>
        <s v="Tafadzwa Toro"/>
        <s v="Sam Duncan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27014" maxValue="232216"/>
    </cacheField>
    <cacheField name="Timecode Name" numFmtId="0">
      <sharedItems count="1">
        <s v="General Support (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5" maxValue="2"/>
    </cacheField>
    <cacheField name="Time" numFmtId="20">
      <sharedItems containsSemiMixedTypes="0" containsNonDate="0" containsDate="1" containsString="0" minDate="1899-12-30T00:30:00" maxDate="1899-12-30T02:00:00"/>
    </cacheField>
    <cacheField name="Worked Amount" numFmtId="0">
      <sharedItems containsSemiMixedTypes="0" containsString="0" containsNumber="1" containsInteger="1" minValue="45" maxValue="18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 count="8">
        <s v="-- Investigated FVVP 417 and Production bugs"/>
        <s v="Discussion with Sam related to RJ-30 root cause. Likely relationship with fix of RJ-26. Fixed RJ-30 in staging and testing."/>
        <s v="Worked on FVVP-416"/>
        <s v="checked if sandbox openbox can be deleted. worked on fixing test class - Renewals_OpportunityCloneTest for RJ-30 in staging"/>
        <s v="Fixed the production bug FVVP 416 in Staging"/>
        <s v="Troubleshooting RSW ticket: https://graingerplc.atlassian.net/browse/RSW-62"/>
        <s v="BSS-6 Making change in UAT and deploying to PROD"/>
        <s v="Updating historical opps for HomeLet go-live https://graingerplc.atlassian.net/browse/BSS-7"/>
      </sharedItems>
    </cacheField>
    <cacheField name="Timesheet Status" numFmtId="0">
      <sharedItems/>
    </cacheField>
    <cacheField name="Period" numFmtId="0">
      <sharedItems containsSemiMixedTypes="0" containsString="0" containsNumber="1" containsInteger="1" minValue="3" maxValue="4"/>
    </cacheField>
    <cacheField name="Month" numFmtId="0">
      <sharedItems count="2">
        <s v="March"/>
        <s v="Apr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d v="2024-03-22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7014"/>
    <x v="0"/>
    <s v="Billable timecode"/>
    <s v="Standard Timecode"/>
    <n v="90"/>
    <n v="1"/>
    <d v="1899-12-30T01:00:00"/>
    <n v="90"/>
    <m/>
    <m/>
    <m/>
    <s v="GBP"/>
    <s v="Reviewed"/>
    <x v="0"/>
    <s v="Not submitted"/>
    <n v="3"/>
    <x v="0"/>
  </r>
  <r>
    <d v="2024-03-26T00:00:00"/>
    <x v="1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192"/>
    <x v="0"/>
    <s v="Billable timecode"/>
    <s v="Standard Timecode"/>
    <n v="90"/>
    <n v="2"/>
    <d v="1899-12-30T02:00:00"/>
    <n v="180"/>
    <m/>
    <m/>
    <m/>
    <s v="GBP"/>
    <s v="Reviewed"/>
    <x v="1"/>
    <s v="Not submitted"/>
    <n v="3"/>
    <x v="0"/>
  </r>
  <r>
    <d v="2024-03-26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8560"/>
    <x v="0"/>
    <s v="Billable timecode"/>
    <s v="Standard Timecode"/>
    <n v="90"/>
    <n v="1"/>
    <d v="1899-12-30T01:00:00"/>
    <n v="90"/>
    <m/>
    <m/>
    <m/>
    <s v="GBP"/>
    <s v="Reviewed"/>
    <x v="2"/>
    <s v="Not submitted"/>
    <n v="3"/>
    <x v="0"/>
  </r>
  <r>
    <d v="2024-03-27T00:00:00"/>
    <x v="1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334"/>
    <x v="0"/>
    <s v="Billable timecode"/>
    <s v="Standard Timecode"/>
    <n v="90"/>
    <n v="1"/>
    <d v="1899-12-30T01:00:00"/>
    <n v="90"/>
    <m/>
    <m/>
    <m/>
    <s v="GBP"/>
    <s v="Reviewed"/>
    <x v="3"/>
    <s v="Not submitted"/>
    <n v="3"/>
    <x v="0"/>
  </r>
  <r>
    <d v="2024-03-27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177"/>
    <x v="0"/>
    <s v="Billable timecode"/>
    <s v="Standard Timecode"/>
    <n v="90"/>
    <n v="0.5"/>
    <d v="1899-12-30T00:30:00"/>
    <n v="45"/>
    <m/>
    <m/>
    <m/>
    <s v="GBP"/>
    <s v="Reviewed"/>
    <x v="4"/>
    <s v="Not submitted"/>
    <n v="3"/>
    <x v="0"/>
  </r>
  <r>
    <d v="2024-03-28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978"/>
    <x v="0"/>
    <s v="Billable timecode"/>
    <s v="Standard Timecode"/>
    <n v="90"/>
    <n v="0.5"/>
    <d v="1899-12-30T00:30:00"/>
    <n v="45"/>
    <m/>
    <m/>
    <m/>
    <s v="GBP"/>
    <s v="Reviewed"/>
    <x v="5"/>
    <s v="Not submitted"/>
    <n v="3"/>
    <x v="0"/>
  </r>
  <r>
    <d v="2024-04-04T00:00:00"/>
    <x v="3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333"/>
    <x v="0"/>
    <s v="Billable timecode"/>
    <s v="Standard Timecode"/>
    <n v="90"/>
    <n v="0.5"/>
    <d v="1899-12-30T00:30:00"/>
    <n v="45"/>
    <m/>
    <m/>
    <m/>
    <s v="GBP"/>
    <m/>
    <x v="6"/>
    <s v="Not submitted"/>
    <n v="4"/>
    <x v="1"/>
  </r>
  <r>
    <d v="2024-04-08T00:00:00"/>
    <x v="3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2216"/>
    <x v="0"/>
    <s v="Billable timecode"/>
    <s v="Standard Timecode"/>
    <n v="90"/>
    <n v="0.5"/>
    <d v="1899-12-30T00:30:00"/>
    <n v="45"/>
    <m/>
    <m/>
    <m/>
    <s v="GBP"/>
    <m/>
    <x v="7"/>
    <s v="Not submitted"/>
    <n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74A31-601D-4A50-9E11-B2DB131AB4FE}" name="PivotTable2" cacheId="2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22:A30" firstHeaderRow="1" firstDataRow="1" firstDataCol="1"/>
  <pivotFields count="32"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0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6"/>
        <item x="3"/>
        <item x="1"/>
        <item x="4"/>
        <item x="5"/>
        <item x="7"/>
        <item x="2"/>
        <item t="default"/>
      </items>
    </pivotField>
    <pivotField showAll="0"/>
    <pivotField showAll="0"/>
    <pivotField showAll="0"/>
  </pivotFields>
  <rowFields count="1">
    <field x="2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formats count="7">
    <format dxfId="7">
      <pivotArea dataOnly="0" labelOnly="1" fieldPosition="0">
        <references count="1">
          <reference field="28" count="0"/>
        </references>
      </pivotArea>
    </format>
    <format dxfId="5">
      <pivotArea dataOnly="0" labelOnly="1" fieldPosition="0">
        <references count="1">
          <reference field="28" count="1">
            <x v="2"/>
          </reference>
        </references>
      </pivotArea>
    </format>
    <format dxfId="4">
      <pivotArea dataOnly="0" labelOnly="1" fieldPosition="0">
        <references count="1">
          <reference field="28" count="1">
            <x v="3"/>
          </reference>
        </references>
      </pivotArea>
    </format>
    <format dxfId="3">
      <pivotArea dataOnly="0" labelOnly="1" fieldPosition="0">
        <references count="1">
          <reference field="28" count="1">
            <x v="4"/>
          </reference>
        </references>
      </pivotArea>
    </format>
    <format dxfId="2">
      <pivotArea dataOnly="0" labelOnly="1" fieldPosition="0">
        <references count="1">
          <reference field="28" count="1">
            <x v="7"/>
          </reference>
        </references>
      </pivotArea>
    </format>
    <format dxfId="1">
      <pivotArea dataOnly="0" labelOnly="1" fieldPosition="0">
        <references count="1">
          <reference field="28" count="7">
            <x v="0"/>
            <x v="1"/>
            <x v="2"/>
            <x v="3"/>
            <x v="4"/>
            <x v="5"/>
            <x v="6"/>
          </reference>
        </references>
      </pivotArea>
    </format>
    <format dxfId="0">
      <pivotArea dataOnly="0" labelOnly="1" fieldPosition="0">
        <references count="1">
          <reference field="28" count="1">
            <x v="7"/>
          </reference>
        </references>
      </pivotArea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A512E-18F4-4E8D-8631-B55C7728B720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1" firstDataRow="2" firstDataCol="1" rowPageCount="1" colPageCount="1"/>
  <pivotFields count="32">
    <pivotField numFmtId="15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">
        <item x="0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2">
    <i>
      <x/>
    </i>
    <i t="grand">
      <x/>
    </i>
  </colItems>
  <pageFields count="1">
    <pageField fld="3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5" TargetMode="External"/><Relationship Id="rId3" Type="http://schemas.openxmlformats.org/officeDocument/2006/relationships/hyperlink" Target="https://graingerplc.atlassian.net/browse/BSS-6" TargetMode="External"/><Relationship Id="rId7" Type="http://schemas.openxmlformats.org/officeDocument/2006/relationships/hyperlink" Target="https://graingerplc.atlassian.net/browse/FVVP-417" TargetMode="Externa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FVVP-416" TargetMode="External"/><Relationship Id="rId11" Type="http://schemas.openxmlformats.org/officeDocument/2006/relationships/hyperlink" Target="https://graingerplc.atlassian.net/browse/BSS-4" TargetMode="External"/><Relationship Id="rId5" Type="http://schemas.openxmlformats.org/officeDocument/2006/relationships/hyperlink" Target="https://graingerplc.atlassian.net/browse/RJ-30" TargetMode="External"/><Relationship Id="rId10" Type="http://schemas.openxmlformats.org/officeDocument/2006/relationships/hyperlink" Target="https://graingerplc.atlassian.net/browse/BSS-2" TargetMode="External"/><Relationship Id="rId4" Type="http://schemas.openxmlformats.org/officeDocument/2006/relationships/hyperlink" Target="https://graingerplc.atlassian.net/browse/BSS-7" TargetMode="External"/><Relationship Id="rId9" Type="http://schemas.openxmlformats.org/officeDocument/2006/relationships/hyperlink" Target="https://graingerplc.atlassian.net/browse/BSS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/>
  </sheetViews>
  <sheetFormatPr defaultRowHeight="14.4" x14ac:dyDescent="0.3"/>
  <cols>
    <col min="1" max="1" width="67.77734375" bestFit="1" customWidth="1"/>
    <col min="2" max="2" width="26.33203125" bestFit="1" customWidth="1"/>
    <col min="3" max="3" width="11" bestFit="1" customWidth="1"/>
    <col min="4" max="4" width="16.21875" bestFit="1" customWidth="1"/>
  </cols>
  <sheetData>
    <row r="1" spans="1:6" x14ac:dyDescent="0.3">
      <c r="A1" s="4" t="s">
        <v>45</v>
      </c>
      <c r="B1" t="s">
        <v>46</v>
      </c>
      <c r="D1" s="6" t="s">
        <v>51</v>
      </c>
    </row>
    <row r="3" spans="1:6" x14ac:dyDescent="0.3">
      <c r="A3" s="4" t="s">
        <v>50</v>
      </c>
      <c r="B3" s="4" t="s">
        <v>49</v>
      </c>
      <c r="F3" t="s">
        <v>52</v>
      </c>
    </row>
    <row r="4" spans="1:6" x14ac:dyDescent="0.3">
      <c r="A4" s="4" t="s">
        <v>47</v>
      </c>
      <c r="B4" t="s">
        <v>64</v>
      </c>
      <c r="C4" t="s">
        <v>48</v>
      </c>
      <c r="F4" t="s">
        <v>53</v>
      </c>
    </row>
    <row r="5" spans="1:6" x14ac:dyDescent="0.3">
      <c r="A5" s="5" t="s">
        <v>59</v>
      </c>
      <c r="B5" s="7">
        <v>3</v>
      </c>
      <c r="C5" s="7">
        <v>3</v>
      </c>
      <c r="F5" t="s">
        <v>54</v>
      </c>
    </row>
    <row r="6" spans="1:6" x14ac:dyDescent="0.3">
      <c r="A6" s="5" t="s">
        <v>67</v>
      </c>
      <c r="B6" s="7">
        <v>2.5</v>
      </c>
      <c r="C6" s="7">
        <v>2.5</v>
      </c>
      <c r="F6" t="s">
        <v>55</v>
      </c>
    </row>
    <row r="7" spans="1:6" x14ac:dyDescent="0.3">
      <c r="A7" s="5" t="s">
        <v>71</v>
      </c>
      <c r="B7" s="7">
        <v>0.5</v>
      </c>
      <c r="C7" s="7">
        <v>0.5</v>
      </c>
      <c r="F7" t="s">
        <v>56</v>
      </c>
    </row>
    <row r="8" spans="1:6" x14ac:dyDescent="0.3">
      <c r="A8" s="5" t="s">
        <v>42</v>
      </c>
      <c r="B8" s="7">
        <v>1</v>
      </c>
      <c r="C8" s="7">
        <v>1</v>
      </c>
      <c r="F8" t="s">
        <v>57</v>
      </c>
    </row>
    <row r="9" spans="1:6" x14ac:dyDescent="0.3">
      <c r="A9" s="5" t="s">
        <v>48</v>
      </c>
      <c r="B9" s="7">
        <v>7</v>
      </c>
      <c r="C9" s="7">
        <v>7</v>
      </c>
    </row>
    <row r="10" spans="1:6" x14ac:dyDescent="0.3">
      <c r="F10" t="s">
        <v>58</v>
      </c>
    </row>
    <row r="22" spans="1:3" x14ac:dyDescent="0.3">
      <c r="A22" s="4" t="s">
        <v>47</v>
      </c>
      <c r="C22" t="s">
        <v>80</v>
      </c>
    </row>
    <row r="23" spans="1:3" x14ac:dyDescent="0.3">
      <c r="A23" s="15" t="s">
        <v>68</v>
      </c>
      <c r="B23" t="s">
        <v>76</v>
      </c>
      <c r="C23" t="s">
        <v>85</v>
      </c>
    </row>
    <row r="24" spans="1:3" x14ac:dyDescent="0.3">
      <c r="A24" s="15" t="s">
        <v>74</v>
      </c>
    </row>
    <row r="25" spans="1:3" ht="28.8" x14ac:dyDescent="0.3">
      <c r="A25" s="15" t="s">
        <v>66</v>
      </c>
      <c r="B25" t="s">
        <v>76</v>
      </c>
      <c r="C25" t="s">
        <v>86</v>
      </c>
    </row>
    <row r="26" spans="1:3" ht="28.8" x14ac:dyDescent="0.3">
      <c r="A26" s="15" t="s">
        <v>65</v>
      </c>
      <c r="B26" t="s">
        <v>76</v>
      </c>
      <c r="C26" t="s">
        <v>86</v>
      </c>
    </row>
    <row r="27" spans="1:3" x14ac:dyDescent="0.3">
      <c r="A27" s="15" t="s">
        <v>70</v>
      </c>
      <c r="B27" t="s">
        <v>77</v>
      </c>
      <c r="C27" t="s">
        <v>87</v>
      </c>
    </row>
    <row r="28" spans="1:3" ht="28.8" x14ac:dyDescent="0.3">
      <c r="A28" s="15" t="s">
        <v>72</v>
      </c>
      <c r="B28" t="s">
        <v>78</v>
      </c>
      <c r="C28" t="s">
        <v>79</v>
      </c>
    </row>
    <row r="29" spans="1:3" ht="28.8" x14ac:dyDescent="0.3">
      <c r="A29" s="15" t="s">
        <v>75</v>
      </c>
    </row>
    <row r="30" spans="1:3" x14ac:dyDescent="0.3">
      <c r="A30" s="15" t="s">
        <v>69</v>
      </c>
      <c r="B30" t="s">
        <v>77</v>
      </c>
      <c r="C30" t="s">
        <v>87</v>
      </c>
    </row>
    <row r="32" spans="1:3" x14ac:dyDescent="0.3">
      <c r="A32" s="14" t="s">
        <v>83</v>
      </c>
      <c r="B32" s="14" t="s">
        <v>82</v>
      </c>
      <c r="C32" s="14" t="s">
        <v>96</v>
      </c>
    </row>
    <row r="33" spans="1:3" x14ac:dyDescent="0.3">
      <c r="A33" s="9" t="s">
        <v>94</v>
      </c>
      <c r="B33" s="10" t="s">
        <v>78</v>
      </c>
      <c r="C33" s="11"/>
    </row>
    <row r="34" spans="1:3" x14ac:dyDescent="0.3">
      <c r="A34" s="9" t="s">
        <v>92</v>
      </c>
      <c r="B34" s="10" t="s">
        <v>95</v>
      </c>
      <c r="C34" s="12" t="s">
        <v>91</v>
      </c>
    </row>
    <row r="35" spans="1:3" x14ac:dyDescent="0.3">
      <c r="A35" s="9" t="s">
        <v>81</v>
      </c>
      <c r="B35" s="13" t="s">
        <v>76</v>
      </c>
      <c r="C35" s="11"/>
    </row>
    <row r="36" spans="1:3" x14ac:dyDescent="0.3">
      <c r="A36" s="9" t="s">
        <v>84</v>
      </c>
      <c r="B36" s="13" t="s">
        <v>76</v>
      </c>
      <c r="C36" s="11"/>
    </row>
    <row r="37" spans="1:3" x14ac:dyDescent="0.3">
      <c r="A37" s="9" t="s">
        <v>90</v>
      </c>
      <c r="B37" s="13" t="s">
        <v>76</v>
      </c>
      <c r="C37" s="12" t="s">
        <v>89</v>
      </c>
    </row>
    <row r="38" spans="1:3" x14ac:dyDescent="0.3">
      <c r="A38" s="9" t="s">
        <v>93</v>
      </c>
      <c r="B38" s="13" t="s">
        <v>76</v>
      </c>
      <c r="C38" s="12" t="s">
        <v>88</v>
      </c>
    </row>
  </sheetData>
  <hyperlinks>
    <hyperlink ref="A35" r:id="rId3" display="BSS-6" xr:uid="{27530AB5-6274-43B1-9E97-ACAE64F77B76}"/>
    <hyperlink ref="A36" r:id="rId4" xr:uid="{DF6DC0F5-E756-435D-932D-7D594149ADF3}"/>
    <hyperlink ref="C37" r:id="rId5" display="https://graingerplc.atlassian.net/browse/RJ-30" xr:uid="{908E4D8F-A282-458D-9BDE-9F1F53AFB103}"/>
    <hyperlink ref="C34" r:id="rId6" display="https://graingerplc.atlassian.net/browse/FVVP-416" xr:uid="{5B47B1BF-2F58-44C8-8185-BCEA282292A4}"/>
    <hyperlink ref="C38" r:id="rId7" display="https://graingerplc.atlassian.net/browse/FVVP-417" xr:uid="{FD95A278-782E-4739-B9D0-04DD71C26BD7}"/>
    <hyperlink ref="A37" r:id="rId8" xr:uid="{2896D77C-F49D-44C7-BCDD-0DB342061F88}"/>
    <hyperlink ref="A34" r:id="rId9" xr:uid="{6F7F5981-1E77-4E8D-B8B9-AE0C0D0E4057}"/>
    <hyperlink ref="A38" r:id="rId10" xr:uid="{C6E2AC0A-9165-4AD6-86B4-8DA01F4D2210}"/>
    <hyperlink ref="A33" r:id="rId11" xr:uid="{6ED921B1-8012-4171-AD54-2AACF09365F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"/>
  <sheetViews>
    <sheetView workbookViewId="0"/>
  </sheetViews>
  <sheetFormatPr defaultRowHeight="14.4" x14ac:dyDescent="0.3"/>
  <cols>
    <col min="1" max="1" width="9.5546875" bestFit="1" customWidth="1"/>
    <col min="29" max="29" width="110.1093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3" t="s">
        <v>44</v>
      </c>
      <c r="AF1" s="3" t="s">
        <v>45</v>
      </c>
    </row>
    <row r="2" spans="1:32" x14ac:dyDescent="0.3">
      <c r="A2" s="1">
        <v>45373</v>
      </c>
      <c r="B2" t="s">
        <v>67</v>
      </c>
      <c r="C2" t="s">
        <v>60</v>
      </c>
      <c r="D2" t="s">
        <v>31</v>
      </c>
      <c r="E2" t="s">
        <v>43</v>
      </c>
      <c r="F2" t="s">
        <v>32</v>
      </c>
      <c r="G2" t="s">
        <v>33</v>
      </c>
      <c r="H2" t="s">
        <v>61</v>
      </c>
      <c r="I2" t="s">
        <v>62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63</v>
      </c>
      <c r="P2">
        <v>227014</v>
      </c>
      <c r="Q2" t="s">
        <v>64</v>
      </c>
      <c r="R2" t="s">
        <v>37</v>
      </c>
      <c r="S2" t="s">
        <v>38</v>
      </c>
      <c r="T2">
        <v>90</v>
      </c>
      <c r="U2">
        <v>1</v>
      </c>
      <c r="V2" s="2">
        <v>4.1666666666666664E-2</v>
      </c>
      <c r="W2">
        <v>90</v>
      </c>
      <c r="AA2" t="s">
        <v>39</v>
      </c>
      <c r="AB2" t="s">
        <v>40</v>
      </c>
      <c r="AC2" s="8" t="s">
        <v>68</v>
      </c>
      <c r="AD2" t="s">
        <v>41</v>
      </c>
      <c r="AE2">
        <f>MONTH(A2)</f>
        <v>3</v>
      </c>
      <c r="AF2" t="str">
        <f>IF(AE2=1,"January",IF(AE2=2,"February",IF(AE2=3,"March",IF(AE2=4,"April",IF(AE2=5,"May")))))</f>
        <v>March</v>
      </c>
    </row>
    <row r="3" spans="1:32" x14ac:dyDescent="0.3">
      <c r="A3" s="1">
        <v>45377</v>
      </c>
      <c r="B3" t="s">
        <v>59</v>
      </c>
      <c r="C3" t="s">
        <v>60</v>
      </c>
      <c r="D3" t="s">
        <v>31</v>
      </c>
      <c r="E3" t="s">
        <v>43</v>
      </c>
      <c r="F3" t="s">
        <v>32</v>
      </c>
      <c r="G3" t="s">
        <v>33</v>
      </c>
      <c r="H3" t="s">
        <v>61</v>
      </c>
      <c r="I3" t="s">
        <v>62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63</v>
      </c>
      <c r="P3">
        <v>229192</v>
      </c>
      <c r="Q3" t="s">
        <v>64</v>
      </c>
      <c r="R3" t="s">
        <v>37</v>
      </c>
      <c r="S3" t="s">
        <v>38</v>
      </c>
      <c r="T3">
        <v>90</v>
      </c>
      <c r="U3">
        <v>2</v>
      </c>
      <c r="V3" s="2">
        <v>8.3333333333333329E-2</v>
      </c>
      <c r="W3">
        <v>180</v>
      </c>
      <c r="AA3" t="s">
        <v>39</v>
      </c>
      <c r="AB3" t="s">
        <v>40</v>
      </c>
      <c r="AC3" s="8" t="s">
        <v>65</v>
      </c>
      <c r="AD3" t="s">
        <v>41</v>
      </c>
      <c r="AE3">
        <f>MONTH(A3)</f>
        <v>3</v>
      </c>
      <c r="AF3" t="str">
        <f>IF(AE3=1,"January",IF(AE3=2,"February",IF(AE3=3,"March",IF(AE3=4,"April",IF(AE3=5,"May")))))</f>
        <v>March</v>
      </c>
    </row>
    <row r="4" spans="1:32" x14ac:dyDescent="0.3">
      <c r="A4" s="1">
        <v>45377</v>
      </c>
      <c r="B4" t="s">
        <v>67</v>
      </c>
      <c r="C4" t="s">
        <v>60</v>
      </c>
      <c r="D4" t="s">
        <v>31</v>
      </c>
      <c r="E4" t="s">
        <v>43</v>
      </c>
      <c r="F4" t="s">
        <v>32</v>
      </c>
      <c r="G4" t="s">
        <v>33</v>
      </c>
      <c r="H4" t="s">
        <v>61</v>
      </c>
      <c r="I4" t="s">
        <v>62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63</v>
      </c>
      <c r="P4">
        <v>228560</v>
      </c>
      <c r="Q4" t="s">
        <v>64</v>
      </c>
      <c r="R4" t="s">
        <v>37</v>
      </c>
      <c r="S4" t="s">
        <v>38</v>
      </c>
      <c r="T4">
        <v>90</v>
      </c>
      <c r="U4">
        <v>1</v>
      </c>
      <c r="V4" s="2">
        <v>4.1666666666666664E-2</v>
      </c>
      <c r="W4">
        <v>90</v>
      </c>
      <c r="AA4" t="s">
        <v>39</v>
      </c>
      <c r="AB4" t="s">
        <v>40</v>
      </c>
      <c r="AC4" s="8" t="s">
        <v>69</v>
      </c>
      <c r="AD4" t="s">
        <v>41</v>
      </c>
      <c r="AE4">
        <f>MONTH(A4)</f>
        <v>3</v>
      </c>
      <c r="AF4" t="str">
        <f>IF(AE4=1,"January",IF(AE4=2,"February",IF(AE4=3,"March",IF(AE4=4,"April",IF(AE4=5,"May")))))</f>
        <v>March</v>
      </c>
    </row>
    <row r="5" spans="1:32" x14ac:dyDescent="0.3">
      <c r="A5" s="1">
        <v>45378</v>
      </c>
      <c r="B5" t="s">
        <v>59</v>
      </c>
      <c r="C5" t="s">
        <v>60</v>
      </c>
      <c r="D5" t="s">
        <v>31</v>
      </c>
      <c r="E5" t="s">
        <v>43</v>
      </c>
      <c r="F5" t="s">
        <v>32</v>
      </c>
      <c r="G5" t="s">
        <v>33</v>
      </c>
      <c r="H5" t="s">
        <v>61</v>
      </c>
      <c r="I5" t="s">
        <v>62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63</v>
      </c>
      <c r="P5">
        <v>229334</v>
      </c>
      <c r="Q5" t="s">
        <v>64</v>
      </c>
      <c r="R5" t="s">
        <v>37</v>
      </c>
      <c r="S5" t="s">
        <v>38</v>
      </c>
      <c r="T5">
        <v>90</v>
      </c>
      <c r="U5">
        <v>1</v>
      </c>
      <c r="V5" s="2">
        <v>4.1666666666666664E-2</v>
      </c>
      <c r="W5">
        <v>90</v>
      </c>
      <c r="AA5" t="s">
        <v>39</v>
      </c>
      <c r="AB5" t="s">
        <v>40</v>
      </c>
      <c r="AC5" s="8" t="s">
        <v>66</v>
      </c>
      <c r="AD5" t="s">
        <v>41</v>
      </c>
      <c r="AE5">
        <f>MONTH(A5)</f>
        <v>3</v>
      </c>
      <c r="AF5" t="str">
        <f>IF(AE5=1,"January",IF(AE5=2,"February",IF(AE5=3,"March",IF(AE5=4,"April",IF(AE5=5,"May")))))</f>
        <v>March</v>
      </c>
    </row>
    <row r="6" spans="1:32" x14ac:dyDescent="0.3">
      <c r="A6" s="1">
        <v>45378</v>
      </c>
      <c r="B6" t="s">
        <v>67</v>
      </c>
      <c r="C6" t="s">
        <v>60</v>
      </c>
      <c r="D6" t="s">
        <v>31</v>
      </c>
      <c r="E6" t="s">
        <v>43</v>
      </c>
      <c r="F6" t="s">
        <v>32</v>
      </c>
      <c r="G6" t="s">
        <v>33</v>
      </c>
      <c r="H6" t="s">
        <v>61</v>
      </c>
      <c r="I6" t="s">
        <v>62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63</v>
      </c>
      <c r="P6">
        <v>229177</v>
      </c>
      <c r="Q6" t="s">
        <v>64</v>
      </c>
      <c r="R6" t="s">
        <v>37</v>
      </c>
      <c r="S6" t="s">
        <v>38</v>
      </c>
      <c r="T6">
        <v>90</v>
      </c>
      <c r="U6">
        <v>0.5</v>
      </c>
      <c r="V6" s="2">
        <v>2.0833333333333332E-2</v>
      </c>
      <c r="W6">
        <v>45</v>
      </c>
      <c r="AA6" t="s">
        <v>39</v>
      </c>
      <c r="AB6" t="s">
        <v>40</v>
      </c>
      <c r="AC6" s="8" t="s">
        <v>70</v>
      </c>
      <c r="AD6" t="s">
        <v>41</v>
      </c>
      <c r="AE6">
        <f>MONTH(A6)</f>
        <v>3</v>
      </c>
      <c r="AF6" t="str">
        <f>IF(AE6=1,"January",IF(AE6=2,"February",IF(AE6=3,"March",IF(AE6=4,"April",IF(AE6=5,"May")))))</f>
        <v>March</v>
      </c>
    </row>
    <row r="7" spans="1:32" x14ac:dyDescent="0.3">
      <c r="A7" s="1">
        <v>45379</v>
      </c>
      <c r="B7" t="s">
        <v>71</v>
      </c>
      <c r="C7" t="s">
        <v>30</v>
      </c>
      <c r="D7" t="s">
        <v>31</v>
      </c>
      <c r="E7" t="s">
        <v>43</v>
      </c>
      <c r="F7" t="s">
        <v>32</v>
      </c>
      <c r="G7" t="s">
        <v>33</v>
      </c>
      <c r="H7" t="s">
        <v>61</v>
      </c>
      <c r="I7" t="s">
        <v>62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63</v>
      </c>
      <c r="P7">
        <v>229978</v>
      </c>
      <c r="Q7" t="s">
        <v>64</v>
      </c>
      <c r="R7" t="s">
        <v>37</v>
      </c>
      <c r="S7" t="s">
        <v>38</v>
      </c>
      <c r="T7">
        <v>90</v>
      </c>
      <c r="U7">
        <v>0.5</v>
      </c>
      <c r="V7" s="2">
        <v>2.0833333333333332E-2</v>
      </c>
      <c r="W7">
        <v>45</v>
      </c>
      <c r="AA7" t="s">
        <v>39</v>
      </c>
      <c r="AB7" t="s">
        <v>40</v>
      </c>
      <c r="AC7" t="s">
        <v>72</v>
      </c>
      <c r="AD7" t="s">
        <v>41</v>
      </c>
      <c r="AE7">
        <f>MONTH(A7)</f>
        <v>3</v>
      </c>
      <c r="AF7" t="str">
        <f>IF(AE7=1,"January",IF(AE7=2,"February",IF(AE7=3,"March",IF(AE7=4,"April",IF(AE7=5,"May")))))</f>
        <v>March</v>
      </c>
    </row>
    <row r="8" spans="1:32" x14ac:dyDescent="0.3">
      <c r="A8" s="1">
        <v>45386</v>
      </c>
      <c r="B8" t="s">
        <v>42</v>
      </c>
      <c r="C8" t="s">
        <v>30</v>
      </c>
      <c r="D8" t="s">
        <v>31</v>
      </c>
      <c r="E8" t="s">
        <v>43</v>
      </c>
      <c r="F8" t="s">
        <v>32</v>
      </c>
      <c r="G8" t="s">
        <v>33</v>
      </c>
      <c r="H8" t="s">
        <v>61</v>
      </c>
      <c r="I8" t="s">
        <v>62</v>
      </c>
      <c r="J8" t="s">
        <v>34</v>
      </c>
      <c r="K8" t="s">
        <v>31</v>
      </c>
      <c r="L8" t="s">
        <v>35</v>
      </c>
      <c r="M8" t="s">
        <v>36</v>
      </c>
      <c r="N8" t="s">
        <v>73</v>
      </c>
      <c r="O8" t="s">
        <v>63</v>
      </c>
      <c r="P8">
        <v>231333</v>
      </c>
      <c r="Q8" t="s">
        <v>64</v>
      </c>
      <c r="R8" t="s">
        <v>37</v>
      </c>
      <c r="S8" t="s">
        <v>38</v>
      </c>
      <c r="T8">
        <v>90</v>
      </c>
      <c r="U8">
        <v>0.5</v>
      </c>
      <c r="V8" s="2">
        <v>2.0833333333333332E-2</v>
      </c>
      <c r="W8">
        <v>45</v>
      </c>
      <c r="AA8" t="s">
        <v>39</v>
      </c>
      <c r="AC8" t="s">
        <v>74</v>
      </c>
      <c r="AD8" t="s">
        <v>41</v>
      </c>
      <c r="AE8">
        <f>MONTH(A8)</f>
        <v>4</v>
      </c>
      <c r="AF8" t="str">
        <f>IF(AE8=1,"January",IF(AE8=2,"February",IF(AE8=3,"March",IF(AE8=4,"April",IF(AE8=5,"May")))))</f>
        <v>April</v>
      </c>
    </row>
    <row r="9" spans="1:32" x14ac:dyDescent="0.3">
      <c r="A9" s="1">
        <v>45390</v>
      </c>
      <c r="B9" t="s">
        <v>42</v>
      </c>
      <c r="C9" t="s">
        <v>30</v>
      </c>
      <c r="D9" t="s">
        <v>31</v>
      </c>
      <c r="E9" t="s">
        <v>43</v>
      </c>
      <c r="F9" t="s">
        <v>32</v>
      </c>
      <c r="G9" t="s">
        <v>33</v>
      </c>
      <c r="H9" t="s">
        <v>61</v>
      </c>
      <c r="I9" t="s">
        <v>62</v>
      </c>
      <c r="J9" t="s">
        <v>34</v>
      </c>
      <c r="K9" t="s">
        <v>31</v>
      </c>
      <c r="L9" t="s">
        <v>35</v>
      </c>
      <c r="M9" t="s">
        <v>36</v>
      </c>
      <c r="N9" t="s">
        <v>73</v>
      </c>
      <c r="O9" t="s">
        <v>63</v>
      </c>
      <c r="P9">
        <v>232216</v>
      </c>
      <c r="Q9" t="s">
        <v>64</v>
      </c>
      <c r="R9" t="s">
        <v>37</v>
      </c>
      <c r="S9" t="s">
        <v>38</v>
      </c>
      <c r="T9">
        <v>90</v>
      </c>
      <c r="U9">
        <v>0.5</v>
      </c>
      <c r="V9" s="2">
        <v>2.0833333333333332E-2</v>
      </c>
      <c r="W9">
        <v>45</v>
      </c>
      <c r="AA9" t="s">
        <v>39</v>
      </c>
      <c r="AC9" t="s">
        <v>75</v>
      </c>
      <c r="AD9" t="s">
        <v>41</v>
      </c>
      <c r="AE9">
        <f>MONTH(A9)</f>
        <v>4</v>
      </c>
      <c r="AF9" t="str">
        <f>IF(AE9=1,"January",IF(AE9=2,"February",IF(AE9=3,"March",IF(AE9=4,"April",IF(AE9=5,"May")))))</f>
        <v>April</v>
      </c>
    </row>
    <row r="10" spans="1:32" x14ac:dyDescent="0.3">
      <c r="A10" s="1"/>
      <c r="V10" s="2"/>
    </row>
  </sheetData>
  <sortState xmlns:xlrd2="http://schemas.microsoft.com/office/spreadsheetml/2017/richdata2" ref="A2:AF9">
    <sortCondition ref="A2:A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2CCDB459-C2B5-420F-BBB5-B5ACDE0E3FC6}"/>
</file>

<file path=customXml/itemProps2.xml><?xml version="1.0" encoding="utf-8"?>
<ds:datastoreItem xmlns:ds="http://schemas.openxmlformats.org/officeDocument/2006/customXml" ds:itemID="{FEE78525-B54C-4A6F-9720-06EFACE090AF}"/>
</file>

<file path=customXml/itemProps3.xml><?xml version="1.0" encoding="utf-8"?>
<ds:datastoreItem xmlns:ds="http://schemas.openxmlformats.org/officeDocument/2006/customXml" ds:itemID="{F4D5DDA5-62E5-4982-9C3E-B2BCB4E44D97}"/>
</file>

<file path=customXml/itemProps4.xml><?xml version="1.0" encoding="utf-8"?>
<ds:datastoreItem xmlns:ds="http://schemas.openxmlformats.org/officeDocument/2006/customXml" ds:itemID="{7CD0A914-AB0D-4AAE-BD14-8EA70DFCD8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Project 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2024-04-02T08:03:36Z</dcterms:created>
  <dcterms:modified xsi:type="dcterms:W3CDTF">2024-04-08T10:30:38Z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