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5" documentId="13_ncr:40009_{BBCEBA60-E38F-4EE1-BDB9-DA93CE793831}" xr6:coauthVersionLast="47" xr6:coauthVersionMax="47" xr10:uidLastSave="{9C08EBE2-A18B-4C37-804E-2EDBE53BAE4F}"/>
  <bookViews>
    <workbookView xWindow="5748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23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" i="1" l="1"/>
  <c r="AF11" i="1" s="1"/>
  <c r="AE12" i="1"/>
  <c r="AF12" i="1"/>
  <c r="AE13" i="1"/>
  <c r="AF13" i="1"/>
  <c r="AE14" i="1"/>
  <c r="AF14" i="1" s="1"/>
  <c r="AE15" i="1"/>
  <c r="AF15" i="1" s="1"/>
  <c r="AE16" i="1"/>
  <c r="AF16" i="1"/>
  <c r="AE17" i="1"/>
  <c r="AF17" i="1"/>
  <c r="AE18" i="1"/>
  <c r="AF18" i="1"/>
  <c r="AE19" i="1"/>
  <c r="AF19" i="1"/>
  <c r="AE20" i="1"/>
  <c r="AF20" i="1" s="1"/>
  <c r="AE21" i="1"/>
  <c r="AF21" i="1"/>
  <c r="AE22" i="1"/>
  <c r="AF22" i="1"/>
  <c r="AE23" i="1"/>
  <c r="AF23" i="1"/>
  <c r="AE24" i="1"/>
  <c r="AF24" i="1"/>
  <c r="AE25" i="1"/>
  <c r="AF25" i="1"/>
  <c r="AE26" i="1"/>
  <c r="AF26" i="1" s="1"/>
  <c r="AE27" i="1"/>
  <c r="AF27" i="1"/>
  <c r="AE28" i="1"/>
  <c r="AF28" i="1"/>
  <c r="AE29" i="1"/>
  <c r="AF29" i="1"/>
  <c r="AE30" i="1"/>
  <c r="AF30" i="1"/>
  <c r="AE31" i="1"/>
  <c r="AF31" i="1"/>
  <c r="AE32" i="1"/>
  <c r="AF32" i="1" s="1"/>
  <c r="AE33" i="1"/>
  <c r="AF33" i="1"/>
  <c r="AE34" i="1"/>
  <c r="AF34" i="1"/>
  <c r="AE35" i="1"/>
  <c r="AF35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2" i="1"/>
  <c r="AF2" i="1" s="1"/>
</calcChain>
</file>

<file path=xl/sharedStrings.xml><?xml version="1.0" encoding="utf-8"?>
<sst xmlns="http://schemas.openxmlformats.org/spreadsheetml/2006/main" count="776" uniqueCount="105">
  <si>
    <t>Month</t>
  </si>
  <si>
    <t>(All)</t>
  </si>
  <si>
    <t>&lt;- Filter By Month</t>
  </si>
  <si>
    <t>Sum of Hours</t>
  </si>
  <si>
    <t>Column Labels</t>
  </si>
  <si>
    <t>Phase</t>
  </si>
  <si>
    <t>Hours</t>
  </si>
  <si>
    <t>Lower Bound</t>
  </si>
  <si>
    <t>Upper Bound</t>
  </si>
  <si>
    <t>Row Labels</t>
  </si>
  <si>
    <t>Delivery (Billable)</t>
  </si>
  <si>
    <t>Grand Total</t>
  </si>
  <si>
    <t>Analysis</t>
  </si>
  <si>
    <t>60 - 78</t>
  </si>
  <si>
    <t xml:space="preserve">£7,200 </t>
  </si>
  <si>
    <t xml:space="preserve"> £9,360 </t>
  </si>
  <si>
    <t>Nikki Papenfus</t>
  </si>
  <si>
    <t>Build</t>
  </si>
  <si>
    <t>200 - 260</t>
  </si>
  <si>
    <t xml:space="preserve">£24,000 </t>
  </si>
  <si>
    <t xml:space="preserve"> £31,200 </t>
  </si>
  <si>
    <t>Sam Duncan</t>
  </si>
  <si>
    <t>Project Management</t>
  </si>
  <si>
    <t>12 - 15.6</t>
  </si>
  <si>
    <t xml:space="preserve">£1,440 </t>
  </si>
  <si>
    <t xml:space="preserve"> £1,872 </t>
  </si>
  <si>
    <t>Shaun Barrett</t>
  </si>
  <si>
    <t>UAT</t>
  </si>
  <si>
    <t>40 - 52</t>
  </si>
  <si>
    <t xml:space="preserve">£4,800 </t>
  </si>
  <si>
    <t xml:space="preserve"> £6,240 </t>
  </si>
  <si>
    <t>Anjali Salecha</t>
  </si>
  <si>
    <t>Production</t>
  </si>
  <si>
    <t>5 - 6.5</t>
  </si>
  <si>
    <t xml:space="preserve">£600 </t>
  </si>
  <si>
    <t xml:space="preserve"> £780 </t>
  </si>
  <si>
    <t>Khonani Davhana</t>
  </si>
  <si>
    <t>Total</t>
  </si>
  <si>
    <t>317 - 412</t>
  </si>
  <si>
    <t xml:space="preserve">£38,040 </t>
  </si>
  <si>
    <t xml:space="preserve"> £49,452 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</si>
  <si>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</si>
  <si>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</si>
  <si>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</si>
  <si>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</si>
  <si>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</si>
  <si>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</si>
  <si>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</si>
  <si>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</si>
  <si>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</si>
  <si>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</si>
  <si>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</si>
  <si>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</si>
  <si>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</si>
  <si>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</si>
  <si>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</si>
  <si>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</si>
  <si>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</si>
  <si>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</si>
  <si>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</si>
  <si>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</si>
  <si>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</si>
  <si>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</si>
  <si>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</si>
  <si>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</si>
  <si>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</si>
  <si>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</si>
  <si>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</si>
  <si>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</si>
  <si>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</si>
  <si>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</si>
  <si>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</si>
  <si>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</si>
  <si>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</si>
  <si>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</si>
  <si>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</si>
  <si>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</si>
  <si>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OB-000599</t>
  </si>
  <si>
    <t>Axis Void Process (T&amp;M)</t>
  </si>
  <si>
    <t>Billable</t>
  </si>
  <si>
    <t>Brendan Canny</t>
  </si>
  <si>
    <t>Delivery</t>
  </si>
  <si>
    <t>Billable timecode</t>
  </si>
  <si>
    <t>Standard Timecode</t>
  </si>
  <si>
    <t>GBP</t>
  </si>
  <si>
    <t>Daily standup with Nikki. Workedon RMAXIS-196 Calculate when 'Axis Fields Last Modified' so that we can inform Axis of changes to relevant EOT details. worked on RMAXIS-196 in devxas deployed to devxob and tested. Prepared questions to discuss with Sam and Nikki</t>
  </si>
  <si>
    <t>Not submitted</t>
  </si>
  <si>
    <t>Worked on RMAXIS-185 in devxob. Daily standup. Meeting with client - Grainger: Axis Void Management Refinement. Understanding and analysis of requirements for RMAXIS-180</t>
  </si>
  <si>
    <t>Daily standup. Worked on RMAXIS-181 RMAXIS-180. Test class for RMAXIS-196.</t>
  </si>
  <si>
    <t>Daily standup. Discussion with Sam about new sandbox setup. Questions on stories. Worked on RMAXIS-180. Testing. Worked on moving stories from devxob sadnbox to new dev sandbox called grainger.dev. Refinement session.</t>
  </si>
  <si>
    <t>Daily standup. Worked on AVM-18. Could not complete AVM-18 due to other dependant stories. Worked on AVM-6. Researched about using time fields in flow.</t>
  </si>
  <si>
    <t>Salaried / Fixed</t>
  </si>
  <si>
    <t xml:space="preserve"> </t>
  </si>
  <si>
    <t>Custom Software</t>
  </si>
  <si>
    <t>Andrew Pollock</t>
  </si>
  <si>
    <t>IN07963</t>
  </si>
  <si>
    <t>Reviewed</t>
  </si>
  <si>
    <t>..</t>
  </si>
  <si>
    <t>User story review &amp; discussion</t>
  </si>
  <si>
    <t>Requirments gathering session with Jaic Jacob Scott</t>
  </si>
  <si>
    <t>Daily standup (15 mins) Refinement session (2 hours)</t>
  </si>
  <si>
    <t>Daily standup (15 mins)</t>
  </si>
  <si>
    <t>Refinement session (1 hour) Daily standup (15 mins)</t>
  </si>
  <si>
    <t>stand up</t>
  </si>
  <si>
    <t>Refinement Stand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</si>
</sst>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0.52871273148" createdVersion="8" refreshedVersion="8" minRefreshableVersion="3" recordCount="34" xr:uid="{017B9796-C57F-4FCC-87D0-94B2E277D683}">
  <cacheSource type="worksheet">
    <worksheetSource ref="A1:AF35" sheet="Project Timesheets"/>
  </cacheSource>
  <cacheFields count="32">
    <cacheField name="Date" numFmtId="15">
      <sharedItems containsSemiMixedTypes="0" containsNonDate="0" containsDate="1" containsString="0" minDate="2024-03-06T00:00:00" maxDate="2024-04-06T00:00:00"/>
    </cacheField>
    <cacheField name="Person" numFmtId="0">
      <sharedItems count="6">
        <s v="Anjali Salecha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0377" maxValue="232236"/>
    </cacheField>
    <cacheField name="Timecode Name" numFmtId="0">
      <sharedItems count="1">
        <s v="Delivery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22.5" maxValue="720"/>
    </cacheField>
    <cacheField name="Invoiced Amount" numFmtId="0">
      <sharedItems containsString="0" containsBlank="1" containsNumber="1" containsInteger="1" minValue="30" maxValue="540"/>
    </cacheField>
    <cacheField name="Invoiced Delta" numFmtId="0">
      <sharedItems containsString="0" containsBlank="1" containsNumber="1" minValue="7.5" maxValue="13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April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4-04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5"/>
    <x v="0"/>
    <s v="Billable timecode"/>
    <s v="Standard Timecode"/>
    <n v="90"/>
    <n v="8"/>
    <d v="1899-12-30T08:00:00"/>
    <n v="720"/>
    <m/>
    <m/>
    <m/>
    <s v="GBP"/>
    <m/>
    <s v="Daily standup with Nikki. Workedon RMAXIS-196 Calculate when 'Axis Fields Last Modified' so that we can inform Axis of changes to relevant EOT details. worked on RMAXIS-196 in devxas deployed to devxob and tested. Prepared questions to discuss with Sam and Nikki"/>
    <s v="Not submitted"/>
    <n v="4"/>
    <x v="0"/>
  </r>
  <r>
    <d v="2024-04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7"/>
    <x v="0"/>
    <s v="Billable timecode"/>
    <s v="Standard Timecode"/>
    <n v="90"/>
    <n v="8"/>
    <d v="1899-12-30T08:00:00"/>
    <n v="720"/>
    <m/>
    <m/>
    <m/>
    <s v="GBP"/>
    <m/>
    <s v="Worked on RMAXIS-185 in devxob. Daily standup. Meeting with client - Grainger: Axis Void Management Refinement. Understanding and analysis of requirements for RMAXIS-180"/>
    <s v="Not submitted"/>
    <n v="4"/>
    <x v="0"/>
  </r>
  <r>
    <d v="2024-04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80"/>
    <x v="0"/>
    <s v="Billable timecode"/>
    <s v="Standard Timecode"/>
    <n v="90"/>
    <n v="8"/>
    <d v="1899-12-30T08:00:00"/>
    <n v="720"/>
    <m/>
    <m/>
    <m/>
    <s v="GBP"/>
    <m/>
    <s v="Daily standup. Worked on RMAXIS-181 RMAXIS-180. Test class for RMAXIS-196."/>
    <s v="Not submitted"/>
    <n v="4"/>
    <x v="0"/>
  </r>
  <r>
    <d v="2024-04-0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9"/>
    <x v="0"/>
    <s v="Billable timecode"/>
    <s v="Standard Timecode"/>
    <n v="90"/>
    <n v="8"/>
    <d v="1899-12-30T08:00:00"/>
    <n v="720"/>
    <m/>
    <m/>
    <m/>
    <s v="GBP"/>
    <m/>
    <s v="Daily standup. Discussion with Sam about new sandbox setup. Questions on stories. Worked on RMAXIS-180. Testing. Worked on moving stories from devxob sadnbox to new dev sandbox called grainger.dev. Refinement session."/>
    <s v="Not submitted"/>
    <n v="4"/>
    <x v="0"/>
  </r>
  <r>
    <d v="2024-04-0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187"/>
    <x v="0"/>
    <s v="Billable timecode"/>
    <s v="Standard Timecode"/>
    <n v="90"/>
    <n v="6"/>
    <d v="1899-12-30T06:00:00"/>
    <n v="540"/>
    <m/>
    <m/>
    <m/>
    <s v="GBP"/>
    <m/>
    <s v="Daily standup. Worked on AVM-18. Could not complete AVM-18 due to other dependant stories. Worked on AVM-6. Researched about using time fields in flow."/>
    <s v="Not submitted"/>
    <n v="4"/>
    <x v="0"/>
  </r>
  <r>
    <d v="2024-04-03T00:00:00"/>
    <x v="1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7"/>
    <x v="0"/>
    <s v="Billable timecode"/>
    <s v="Standard Timecode"/>
    <n v="90"/>
    <n v="1"/>
    <d v="1899-12-30T01:00:00"/>
    <n v="90"/>
    <m/>
    <m/>
    <m/>
    <s v="GBP"/>
    <m/>
    <s v=" "/>
    <s v="Not submitted"/>
    <n v="4"/>
    <x v="0"/>
  </r>
  <r>
    <d v="2024-04-04T00:00:00"/>
    <x v="1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6"/>
    <x v="0"/>
    <s v="Billable timecode"/>
    <s v="Standard Timecode"/>
    <n v="90"/>
    <n v="0.25"/>
    <d v="1899-12-30T00:15:00"/>
    <n v="22.5"/>
    <m/>
    <m/>
    <m/>
    <s v="GBP"/>
    <m/>
    <s v=" "/>
    <s v="Not submitted"/>
    <n v="4"/>
    <x v="0"/>
  </r>
  <r>
    <d v="2024-04-05T00:00:00"/>
    <x v="1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2"/>
    <x v="0"/>
    <s v="Billable timecode"/>
    <s v="Standard Timecode"/>
    <n v="90"/>
    <n v="0.5"/>
    <d v="1899-12-30T00:30:00"/>
    <n v="45"/>
    <m/>
    <m/>
    <m/>
    <s v="GBP"/>
    <m/>
    <s v=" "/>
    <s v="Not submitted"/>
    <n v="4"/>
    <x v="0"/>
  </r>
  <r>
    <d v="2024-03-06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7"/>
    <x v="0"/>
    <s v="Billable timecode"/>
    <s v="Standard Timecode"/>
    <n v="90"/>
    <n v="1.75"/>
    <d v="1899-12-30T01:45:00"/>
    <n v="157.5"/>
    <n v="210"/>
    <n v="52.5"/>
    <s v="IN07963"/>
    <s v="GBP"/>
    <s v="Reviewed"/>
    <s v=" "/>
    <s v="Not submitted"/>
    <n v="3"/>
    <x v="1"/>
  </r>
  <r>
    <d v="2024-03-11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2480"/>
    <x v="0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1"/>
  </r>
  <r>
    <d v="2024-03-13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3599"/>
    <x v="0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1"/>
  </r>
  <r>
    <d v="2024-03-25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7600"/>
    <x v="0"/>
    <s v="Billable timecode"/>
    <s v="Standard Timecode"/>
    <n v="90"/>
    <n v="0.25"/>
    <d v="1899-12-30T00:15:00"/>
    <n v="22.5"/>
    <n v="30"/>
    <n v="7.5"/>
    <s v="IN07963"/>
    <s v="GBP"/>
    <s v="Reviewed"/>
    <s v=" "/>
    <s v="Not submitted"/>
    <n v="3"/>
    <x v="1"/>
  </r>
  <r>
    <d v="2024-03-27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8789"/>
    <x v="0"/>
    <s v="Billable timecode"/>
    <s v="Standard Timecode"/>
    <n v="90"/>
    <n v="4.5"/>
    <d v="1899-12-30T04:30:00"/>
    <n v="405"/>
    <n v="540"/>
    <n v="135"/>
    <s v="IN07963"/>
    <s v="GBP"/>
    <s v="Reviewed"/>
    <s v=".."/>
    <s v="Not submitted"/>
    <n v="3"/>
    <x v="1"/>
  </r>
  <r>
    <d v="2024-03-28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9677"/>
    <x v="0"/>
    <s v="Billable timecode"/>
    <s v="Standard Timecode"/>
    <n v="90"/>
    <n v="2.5"/>
    <d v="1899-12-30T02:30:00"/>
    <n v="225"/>
    <n v="300"/>
    <n v="75"/>
    <s v="IN07963"/>
    <s v="GBP"/>
    <s v="Reviewed"/>
    <s v=" "/>
    <s v="Not submitted"/>
    <n v="3"/>
    <x v="1"/>
  </r>
  <r>
    <d v="2024-04-01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0"/>
    <x v="0"/>
    <s v="Billable timecode"/>
    <s v="Standard Timecode"/>
    <n v="90"/>
    <n v="5"/>
    <d v="1899-12-30T05:00:00"/>
    <n v="450"/>
    <m/>
    <m/>
    <m/>
    <s v="GBP"/>
    <s v="Reviewed"/>
    <s v=" "/>
    <s v="Not submitted"/>
    <n v="4"/>
    <x v="0"/>
  </r>
  <r>
    <d v="2024-04-02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3"/>
    <x v="0"/>
    <s v="Billable timecode"/>
    <s v="Standard Timecode"/>
    <n v="90"/>
    <n v="3.75"/>
    <d v="1899-12-30T03:45:00"/>
    <n v="337.5"/>
    <m/>
    <m/>
    <m/>
    <s v="GBP"/>
    <s v="Reviewed"/>
    <s v=" "/>
    <s v="Not submitted"/>
    <n v="4"/>
    <x v="0"/>
  </r>
  <r>
    <d v="2024-04-03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7"/>
    <x v="0"/>
    <s v="Billable timecode"/>
    <s v="Standard Timecode"/>
    <n v="90"/>
    <n v="3.5"/>
    <d v="1899-12-30T03:30:00"/>
    <n v="315"/>
    <m/>
    <m/>
    <m/>
    <s v="GBP"/>
    <m/>
    <s v=" "/>
    <s v="Not submitted"/>
    <n v="4"/>
    <x v="0"/>
  </r>
  <r>
    <d v="2024-04-04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189"/>
    <x v="0"/>
    <s v="Billable timecode"/>
    <s v="Standard Timecode"/>
    <n v="90"/>
    <n v="3.5"/>
    <d v="1899-12-30T03:30:00"/>
    <n v="315"/>
    <m/>
    <m/>
    <m/>
    <s v="GBP"/>
    <m/>
    <s v=" "/>
    <s v="Not submitted"/>
    <n v="4"/>
    <x v="0"/>
  </r>
  <r>
    <d v="2024-04-05T00:00:00"/>
    <x v="2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856"/>
    <x v="0"/>
    <s v="Billable timecode"/>
    <s v="Standard Timecode"/>
    <n v="90"/>
    <n v="4.5"/>
    <d v="1899-12-30T04:30:00"/>
    <n v="405"/>
    <m/>
    <m/>
    <m/>
    <s v="GBP"/>
    <m/>
    <s v=" "/>
    <s v="Not submitted"/>
    <n v="4"/>
    <x v="0"/>
  </r>
  <r>
    <d v="2024-03-0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30"/>
    <x v="0"/>
    <s v="Billable timecode"/>
    <s v="Standard Timecode"/>
    <n v="90"/>
    <n v="1.5"/>
    <d v="1899-12-30T01:30:00"/>
    <n v="135"/>
    <n v="180"/>
    <n v="45"/>
    <s v="IN07963"/>
    <s v="GBP"/>
    <s v="Reviewed"/>
    <s v="User story review &amp; discussion"/>
    <s v="Not submitted"/>
    <n v="3"/>
    <x v="1"/>
  </r>
  <r>
    <d v="2024-03-1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051"/>
    <x v="0"/>
    <s v="Billable timecode"/>
    <s v="Standard Timecode"/>
    <n v="90"/>
    <n v="1"/>
    <d v="1899-12-30T01:00:00"/>
    <n v="90"/>
    <n v="120"/>
    <n v="30"/>
    <s v="IN07963"/>
    <s v="GBP"/>
    <s v="Reviewed"/>
    <s v="Requirments gathering session with Jaic Jacob Scott"/>
    <s v="Not submitted"/>
    <n v="3"/>
    <x v="1"/>
  </r>
  <r>
    <d v="2024-04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45"/>
    <x v="0"/>
    <s v="Billable timecode"/>
    <s v="Standard Timecode"/>
    <n v="90"/>
    <n v="2.25"/>
    <d v="1899-12-30T02:15:00"/>
    <n v="202.5"/>
    <m/>
    <m/>
    <m/>
    <s v="GBP"/>
    <m/>
    <s v="Daily standup (15 mins) Refinement session (2 hours)"/>
    <s v="Not submitted"/>
    <n v="4"/>
    <x v="0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3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4"/>
    <x v="0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2"/>
    <x v="0"/>
    <s v="Billable timecode"/>
    <s v="Standard Timecode"/>
    <n v="90"/>
    <n v="1.25"/>
    <d v="1899-12-30T01:15:00"/>
    <n v="112.5"/>
    <m/>
    <m/>
    <m/>
    <s v="GBP"/>
    <m/>
    <s v="Refinement session (1 hour) Daily standup (15 mins)"/>
    <s v="Not submitted"/>
    <n v="4"/>
    <x v="0"/>
  </r>
  <r>
    <d v="2024-04-0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4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4"/>
    <x v="0"/>
  </r>
  <r>
    <d v="2024-03-27T00:00:00"/>
    <x v="4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3"/>
    <x v="0"/>
    <s v="Billable timecode"/>
    <s v="Standard Timecode"/>
    <n v="90"/>
    <n v="0.25"/>
    <d v="1899-12-30T00:15:00"/>
    <n v="22.5"/>
    <n v="30"/>
    <n v="7.5"/>
    <s v="IN07963"/>
    <s v="GBP"/>
    <s v="Reviewed"/>
    <s v="stand up"/>
    <s v="Not submitted"/>
    <n v="3"/>
    <x v="1"/>
  </r>
  <r>
    <d v="2024-04-02T00:00:00"/>
    <x v="4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06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0"/>
  </r>
  <r>
    <d v="2024-04-03T00:00:00"/>
    <x v="4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0"/>
    <x v="0"/>
    <s v="Billable timecode"/>
    <s v="Standard Timecode"/>
    <n v="90"/>
    <n v="0.25"/>
    <d v="1899-12-30T00:15:00"/>
    <n v="22.5"/>
    <m/>
    <m/>
    <m/>
    <s v="GBP"/>
    <m/>
    <s v=" "/>
    <s v="Not submitted"/>
    <n v="4"/>
    <x v="0"/>
  </r>
  <r>
    <d v="2024-04-04T00:00:00"/>
    <x v="4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45"/>
    <x v="0"/>
    <s v="Billable timecode"/>
    <s v="Standard Timecode"/>
    <n v="90"/>
    <n v="0.5"/>
    <d v="1899-12-30T00:30:00"/>
    <n v="45"/>
    <m/>
    <m/>
    <m/>
    <s v="GBP"/>
    <m/>
    <s v=" "/>
    <s v="Not submitted"/>
    <n v="4"/>
    <x v="0"/>
  </r>
  <r>
    <d v="2024-04-05T00:00:00"/>
    <x v="4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50"/>
    <x v="0"/>
    <s v="Billable timecode"/>
    <s v="Standard Timecode"/>
    <n v="90"/>
    <n v="0.5"/>
    <d v="1899-12-30T00:30:00"/>
    <n v="45"/>
    <m/>
    <m/>
    <m/>
    <s v="GBP"/>
    <m/>
    <s v=" "/>
    <s v="Not submitted"/>
    <n v="4"/>
    <x v="0"/>
  </r>
  <r>
    <d v="2024-04-02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5"/>
    <x v="0"/>
    <s v="Billable timecode"/>
    <s v="Standard Timecode"/>
    <n v="90"/>
    <n v="2.25"/>
    <d v="1899-12-30T02:15:00"/>
    <n v="202.5"/>
    <m/>
    <m/>
    <m/>
    <s v="GBP"/>
    <m/>
    <s v="Refinement Stand Up"/>
    <s v="Not submitted"/>
    <n v="4"/>
    <x v="0"/>
  </r>
  <r>
    <d v="2024-04-03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9"/>
    <x v="0"/>
    <s v="Billable timecode"/>
    <s v="Standard Timecode"/>
    <n v="90"/>
    <n v="0.25"/>
    <d v="1899-12-30T00:15:00"/>
    <n v="22.5"/>
    <m/>
    <m/>
    <m/>
    <s v="GBP"/>
    <m/>
    <s v=" "/>
    <s v="Not submitted"/>
    <n v="4"/>
    <x v="0"/>
  </r>
  <r>
    <d v="2024-04-04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1"/>
    <x v="0"/>
    <s v="Billable timecode"/>
    <s v="Standard Timecode"/>
    <n v="90"/>
    <n v="1.25"/>
    <d v="1899-12-30T01:15:00"/>
    <n v="112.5"/>
    <m/>
    <m/>
    <m/>
    <s v="GBP"/>
    <m/>
    <s v="Refinement Stand Up"/>
    <s v="Not submitted"/>
    <n v="4"/>
    <x v="0"/>
  </r>
  <r>
    <d v="2024-04-05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6"/>
    <x v="0"/>
    <s v="Billable timecode"/>
    <s v="Standard Timecode"/>
    <n v="90"/>
    <n v="0.25"/>
    <d v="1899-12-30T00:15:00"/>
    <n v="22.5"/>
    <m/>
    <m/>
    <m/>
    <s v="GBP"/>
    <m/>
    <s v=" "/>
    <s v="Not submitted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FA54C-7A2F-4A34-A231-4345DEF3945B}" name="PivotTable1" cacheId="2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1" firstDataRow="2" firstDataCol="1" rowPageCount="1" colPageCount="1"/>
  <pivotFields count="32">
    <pivotField numFmtId="15"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.45"/>
  <cols>
    <col min="1" max="1" width="16.28515625" bestFit="1" customWidth="1"/>
    <col min="2" max="2" width="16.85546875" bestFit="1" customWidth="1"/>
    <col min="3" max="3" width="11" bestFit="1" customWidth="1"/>
    <col min="4" max="4" width="16.28515625" bestFit="1" customWidth="1"/>
    <col min="6" max="6" width="25.42578125" customWidth="1"/>
    <col min="7" max="7" width="12" customWidth="1"/>
    <col min="8" max="9" width="14.7109375" customWidth="1"/>
  </cols>
  <sheetData>
    <row r="1" spans="1:9">
      <c r="A1" s="4" t="s">
        <v>0</v>
      </c>
      <c r="B1" t="s">
        <v>1</v>
      </c>
      <c r="D1" s="15" t="s">
        <v>2</v>
      </c>
    </row>
    <row r="2" spans="1:9" ht="15" thickBot="1"/>
    <row r="3" spans="1:9" ht="25.9" thickBot="1">
      <c r="A3" s="4" t="s">
        <v>3</v>
      </c>
      <c r="B3" s="4" t="s">
        <v>4</v>
      </c>
      <c r="F3" s="6" t="s">
        <v>5</v>
      </c>
      <c r="G3" s="7" t="s">
        <v>6</v>
      </c>
      <c r="H3" s="8" t="s">
        <v>7</v>
      </c>
      <c r="I3" s="8" t="s">
        <v>8</v>
      </c>
    </row>
    <row r="4" spans="1:9" ht="15" thickBot="1">
      <c r="A4" s="4" t="s">
        <v>9</v>
      </c>
      <c r="B4" t="s">
        <v>10</v>
      </c>
      <c r="C4" t="s">
        <v>11</v>
      </c>
      <c r="F4" s="9" t="s">
        <v>12</v>
      </c>
      <c r="G4" s="10" t="s">
        <v>13</v>
      </c>
      <c r="H4" s="11" t="s">
        <v>14</v>
      </c>
      <c r="I4" s="11" t="s">
        <v>15</v>
      </c>
    </row>
    <row r="5" spans="1:9" ht="15" thickBot="1">
      <c r="A5" s="5" t="s">
        <v>16</v>
      </c>
      <c r="B5">
        <v>31.25</v>
      </c>
      <c r="C5">
        <v>31.25</v>
      </c>
      <c r="F5" s="9" t="s">
        <v>17</v>
      </c>
      <c r="G5" s="10" t="s">
        <v>18</v>
      </c>
      <c r="H5" s="11" t="s">
        <v>19</v>
      </c>
      <c r="I5" s="11" t="s">
        <v>20</v>
      </c>
    </row>
    <row r="6" spans="1:9" ht="15" thickBot="1">
      <c r="A6" s="5" t="s">
        <v>21</v>
      </c>
      <c r="B6">
        <v>6.5</v>
      </c>
      <c r="C6">
        <v>6.5</v>
      </c>
      <c r="F6" s="9" t="s">
        <v>22</v>
      </c>
      <c r="G6" s="10" t="s">
        <v>23</v>
      </c>
      <c r="H6" s="11" t="s">
        <v>24</v>
      </c>
      <c r="I6" s="11" t="s">
        <v>25</v>
      </c>
    </row>
    <row r="7" spans="1:9" ht="15" thickBot="1">
      <c r="A7" s="5" t="s">
        <v>26</v>
      </c>
      <c r="B7">
        <v>1.75</v>
      </c>
      <c r="C7">
        <v>1.75</v>
      </c>
      <c r="F7" s="9" t="s">
        <v>27</v>
      </c>
      <c r="G7" s="10" t="s">
        <v>28</v>
      </c>
      <c r="H7" s="11" t="s">
        <v>29</v>
      </c>
      <c r="I7" s="11" t="s">
        <v>30</v>
      </c>
    </row>
    <row r="8" spans="1:9" ht="15" thickBot="1">
      <c r="A8" s="5" t="s">
        <v>31</v>
      </c>
      <c r="B8">
        <v>38</v>
      </c>
      <c r="C8">
        <v>38</v>
      </c>
      <c r="F8" s="9" t="s">
        <v>32</v>
      </c>
      <c r="G8" s="10" t="s">
        <v>33</v>
      </c>
      <c r="H8" s="11" t="s">
        <v>34</v>
      </c>
      <c r="I8" s="11" t="s">
        <v>35</v>
      </c>
    </row>
    <row r="9" spans="1:9" ht="15" thickBot="1">
      <c r="A9" s="5" t="s">
        <v>36</v>
      </c>
      <c r="B9">
        <v>1.75</v>
      </c>
      <c r="C9">
        <v>1.75</v>
      </c>
      <c r="F9" s="12" t="s">
        <v>37</v>
      </c>
      <c r="G9" s="13" t="s">
        <v>38</v>
      </c>
      <c r="H9" s="14" t="s">
        <v>39</v>
      </c>
      <c r="I9" s="14" t="s">
        <v>40</v>
      </c>
    </row>
    <row r="10" spans="1:9" ht="15" thickTop="1">
      <c r="A10" s="5" t="s">
        <v>41</v>
      </c>
      <c r="B10">
        <v>4</v>
      </c>
      <c r="C10">
        <v>4</v>
      </c>
    </row>
    <row r="11" spans="1:9">
      <c r="A11" s="5" t="s">
        <v>11</v>
      </c>
      <c r="B11">
        <v>83.25</v>
      </c>
      <c r="C11">
        <v>83.25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5"/>
  <sheetViews>
    <sheetView topLeftCell="D1" workbookViewId="0"/>
  </sheetViews>
  <sheetFormatPr defaultRowHeight="14.45"/>
  <sheetData>
    <row r="1" spans="1:3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s="3" t="s">
        <v>71</v>
      </c>
      <c r="AF1" s="3" t="s">
        <v>0</v>
      </c>
    </row>
    <row r="2" spans="1:32">
      <c r="A2" s="1">
        <v>45383</v>
      </c>
      <c r="B2" t="s">
        <v>31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73</v>
      </c>
      <c r="L2" t="s">
        <v>26</v>
      </c>
      <c r="M2" t="s">
        <v>80</v>
      </c>
      <c r="N2" t="s">
        <v>21</v>
      </c>
      <c r="O2" t="s">
        <v>81</v>
      </c>
      <c r="P2">
        <v>230625</v>
      </c>
      <c r="Q2" t="s">
        <v>10</v>
      </c>
      <c r="R2" t="s">
        <v>82</v>
      </c>
      <c r="S2" t="s">
        <v>83</v>
      </c>
      <c r="T2">
        <v>90</v>
      </c>
      <c r="U2">
        <v>8</v>
      </c>
      <c r="V2" s="2">
        <v>0.33333333333333331</v>
      </c>
      <c r="W2">
        <v>720</v>
      </c>
      <c r="AA2" t="s">
        <v>84</v>
      </c>
      <c r="AC2" t="s">
        <v>85</v>
      </c>
      <c r="AD2" t="s">
        <v>86</v>
      </c>
      <c r="AE2">
        <f>MONTH(A2)</f>
        <v>4</v>
      </c>
      <c r="AF2" t="str">
        <f>IF(AE2=1,"January",IF(AE2=2,"February",IF(AE2=3,"March",IF(AE2=4,"April",IF(AE2=5,"May")))))</f>
        <v>April</v>
      </c>
    </row>
    <row r="3" spans="1:32">
      <c r="A3" s="1">
        <v>45384</v>
      </c>
      <c r="B3" t="s">
        <v>31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73</v>
      </c>
      <c r="L3" t="s">
        <v>26</v>
      </c>
      <c r="M3" t="s">
        <v>80</v>
      </c>
      <c r="N3" t="s">
        <v>21</v>
      </c>
      <c r="O3" t="s">
        <v>81</v>
      </c>
      <c r="P3">
        <v>230627</v>
      </c>
      <c r="Q3" t="s">
        <v>10</v>
      </c>
      <c r="R3" t="s">
        <v>82</v>
      </c>
      <c r="S3" t="s">
        <v>83</v>
      </c>
      <c r="T3">
        <v>90</v>
      </c>
      <c r="U3">
        <v>8</v>
      </c>
      <c r="V3" s="2">
        <v>0.33333333333333331</v>
      </c>
      <c r="W3">
        <v>720</v>
      </c>
      <c r="AA3" t="s">
        <v>84</v>
      </c>
      <c r="AC3" t="s">
        <v>87</v>
      </c>
      <c r="AD3" t="s">
        <v>86</v>
      </c>
      <c r="AE3">
        <f t="shared" ref="AE3:AE10" si="0">MONTH(A3)</f>
        <v>4</v>
      </c>
      <c r="AF3" t="str">
        <f t="shared" ref="AF3:AF10" si="1">IF(AE3=1,"January",IF(AE3=2,"February",IF(AE3=3,"March",IF(AE3=4,"April",IF(AE3=5,"May")))))</f>
        <v>April</v>
      </c>
    </row>
    <row r="4" spans="1:32">
      <c r="A4" s="1">
        <v>45385</v>
      </c>
      <c r="B4" t="s">
        <v>31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73</v>
      </c>
      <c r="L4" t="s">
        <v>26</v>
      </c>
      <c r="M4" t="s">
        <v>80</v>
      </c>
      <c r="N4" t="s">
        <v>21</v>
      </c>
      <c r="O4" t="s">
        <v>81</v>
      </c>
      <c r="P4">
        <v>231180</v>
      </c>
      <c r="Q4" t="s">
        <v>10</v>
      </c>
      <c r="R4" t="s">
        <v>82</v>
      </c>
      <c r="S4" t="s">
        <v>83</v>
      </c>
      <c r="T4">
        <v>90</v>
      </c>
      <c r="U4">
        <v>8</v>
      </c>
      <c r="V4" s="2">
        <v>0.33333333333333331</v>
      </c>
      <c r="W4">
        <v>720</v>
      </c>
      <c r="AA4" t="s">
        <v>84</v>
      </c>
      <c r="AC4" t="s">
        <v>88</v>
      </c>
      <c r="AD4" t="s">
        <v>86</v>
      </c>
      <c r="AE4">
        <f t="shared" si="0"/>
        <v>4</v>
      </c>
      <c r="AF4" t="str">
        <f t="shared" si="1"/>
        <v>April</v>
      </c>
    </row>
    <row r="5" spans="1:32">
      <c r="A5" s="1">
        <v>45386</v>
      </c>
      <c r="B5" t="s">
        <v>31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73</v>
      </c>
      <c r="L5" t="s">
        <v>26</v>
      </c>
      <c r="M5" t="s">
        <v>80</v>
      </c>
      <c r="N5" t="s">
        <v>21</v>
      </c>
      <c r="O5" t="s">
        <v>81</v>
      </c>
      <c r="P5">
        <v>231179</v>
      </c>
      <c r="Q5" t="s">
        <v>10</v>
      </c>
      <c r="R5" t="s">
        <v>82</v>
      </c>
      <c r="S5" t="s">
        <v>83</v>
      </c>
      <c r="T5">
        <v>90</v>
      </c>
      <c r="U5">
        <v>8</v>
      </c>
      <c r="V5" s="2">
        <v>0.33333333333333331</v>
      </c>
      <c r="W5">
        <v>720</v>
      </c>
      <c r="AA5" t="s">
        <v>84</v>
      </c>
      <c r="AC5" t="s">
        <v>89</v>
      </c>
      <c r="AD5" t="s">
        <v>86</v>
      </c>
      <c r="AE5">
        <f t="shared" si="0"/>
        <v>4</v>
      </c>
      <c r="AF5" t="str">
        <f t="shared" si="1"/>
        <v>April</v>
      </c>
    </row>
    <row r="6" spans="1:32">
      <c r="A6" s="1">
        <v>45387</v>
      </c>
      <c r="B6" t="s">
        <v>31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26</v>
      </c>
      <c r="M6" t="s">
        <v>80</v>
      </c>
      <c r="N6" t="s">
        <v>21</v>
      </c>
      <c r="O6" t="s">
        <v>81</v>
      </c>
      <c r="P6">
        <v>232187</v>
      </c>
      <c r="Q6" t="s">
        <v>10</v>
      </c>
      <c r="R6" t="s">
        <v>82</v>
      </c>
      <c r="S6" t="s">
        <v>83</v>
      </c>
      <c r="T6">
        <v>90</v>
      </c>
      <c r="U6">
        <v>6</v>
      </c>
      <c r="V6" s="2">
        <v>0.25</v>
      </c>
      <c r="W6">
        <v>540</v>
      </c>
      <c r="AA6" t="s">
        <v>84</v>
      </c>
      <c r="AC6" t="s">
        <v>90</v>
      </c>
      <c r="AD6" t="s">
        <v>86</v>
      </c>
      <c r="AE6">
        <f t="shared" si="0"/>
        <v>4</v>
      </c>
      <c r="AF6" t="str">
        <f t="shared" si="1"/>
        <v>April</v>
      </c>
    </row>
    <row r="7" spans="1:32">
      <c r="A7" s="1">
        <v>45385</v>
      </c>
      <c r="B7" t="s">
        <v>36</v>
      </c>
      <c r="C7" t="s">
        <v>91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73</v>
      </c>
      <c r="L7" t="s">
        <v>26</v>
      </c>
      <c r="M7" t="s">
        <v>80</v>
      </c>
      <c r="N7" t="s">
        <v>92</v>
      </c>
      <c r="O7" t="s">
        <v>81</v>
      </c>
      <c r="P7">
        <v>231087</v>
      </c>
      <c r="Q7" t="s">
        <v>10</v>
      </c>
      <c r="R7" t="s">
        <v>82</v>
      </c>
      <c r="S7" t="s">
        <v>83</v>
      </c>
      <c r="T7">
        <v>90</v>
      </c>
      <c r="U7">
        <v>1</v>
      </c>
      <c r="V7" s="2">
        <v>4.1666666666666664E-2</v>
      </c>
      <c r="W7">
        <v>90</v>
      </c>
      <c r="AA7" t="s">
        <v>84</v>
      </c>
      <c r="AC7" t="s">
        <v>92</v>
      </c>
      <c r="AD7" t="s">
        <v>86</v>
      </c>
      <c r="AE7">
        <f t="shared" si="0"/>
        <v>4</v>
      </c>
      <c r="AF7" t="str">
        <f t="shared" si="1"/>
        <v>April</v>
      </c>
    </row>
    <row r="8" spans="1:32">
      <c r="A8" s="1">
        <v>45386</v>
      </c>
      <c r="B8" t="s">
        <v>36</v>
      </c>
      <c r="C8" t="s">
        <v>91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73</v>
      </c>
      <c r="L8" t="s">
        <v>26</v>
      </c>
      <c r="M8" t="s">
        <v>80</v>
      </c>
      <c r="N8" t="s">
        <v>92</v>
      </c>
      <c r="O8" t="s">
        <v>81</v>
      </c>
      <c r="P8">
        <v>231086</v>
      </c>
      <c r="Q8" t="s">
        <v>10</v>
      </c>
      <c r="R8" t="s">
        <v>82</v>
      </c>
      <c r="S8" t="s">
        <v>83</v>
      </c>
      <c r="T8">
        <v>90</v>
      </c>
      <c r="U8">
        <v>0.25</v>
      </c>
      <c r="V8" s="2">
        <v>1.0416666666666666E-2</v>
      </c>
      <c r="W8">
        <v>22.5</v>
      </c>
      <c r="AA8" t="s">
        <v>84</v>
      </c>
      <c r="AC8" t="s">
        <v>92</v>
      </c>
      <c r="AD8" t="s">
        <v>86</v>
      </c>
      <c r="AE8">
        <f t="shared" si="0"/>
        <v>4</v>
      </c>
      <c r="AF8" t="str">
        <f t="shared" si="1"/>
        <v>April</v>
      </c>
    </row>
    <row r="9" spans="1:32">
      <c r="A9" s="1">
        <v>45387</v>
      </c>
      <c r="B9" t="s">
        <v>36</v>
      </c>
      <c r="C9" t="s">
        <v>91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73</v>
      </c>
      <c r="L9" t="s">
        <v>26</v>
      </c>
      <c r="M9" t="s">
        <v>80</v>
      </c>
      <c r="N9" t="s">
        <v>92</v>
      </c>
      <c r="O9" t="s">
        <v>81</v>
      </c>
      <c r="P9">
        <v>231762</v>
      </c>
      <c r="Q9" t="s">
        <v>10</v>
      </c>
      <c r="R9" t="s">
        <v>82</v>
      </c>
      <c r="S9" t="s">
        <v>83</v>
      </c>
      <c r="T9">
        <v>90</v>
      </c>
      <c r="U9">
        <v>0.5</v>
      </c>
      <c r="V9" s="2">
        <v>2.0833333333333332E-2</v>
      </c>
      <c r="W9">
        <v>45</v>
      </c>
      <c r="AA9" t="s">
        <v>84</v>
      </c>
      <c r="AC9" t="s">
        <v>92</v>
      </c>
      <c r="AD9" t="s">
        <v>86</v>
      </c>
      <c r="AE9">
        <f t="shared" si="0"/>
        <v>4</v>
      </c>
      <c r="AF9" t="str">
        <f t="shared" si="1"/>
        <v>April</v>
      </c>
    </row>
    <row r="10" spans="1:32">
      <c r="A10" s="1">
        <v>45357</v>
      </c>
      <c r="B10" t="s">
        <v>16</v>
      </c>
      <c r="C10" t="s">
        <v>91</v>
      </c>
      <c r="D10" t="s">
        <v>73</v>
      </c>
      <c r="E10" t="s">
        <v>93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73</v>
      </c>
      <c r="L10" t="s">
        <v>26</v>
      </c>
      <c r="M10" t="s">
        <v>80</v>
      </c>
      <c r="N10" t="s">
        <v>94</v>
      </c>
      <c r="O10" t="s">
        <v>81</v>
      </c>
      <c r="P10">
        <v>220377</v>
      </c>
      <c r="Q10" t="s">
        <v>10</v>
      </c>
      <c r="R10" t="s">
        <v>82</v>
      </c>
      <c r="S10" t="s">
        <v>83</v>
      </c>
      <c r="T10">
        <v>90</v>
      </c>
      <c r="U10">
        <v>1.75</v>
      </c>
      <c r="V10" s="2">
        <v>7.2916666666666671E-2</v>
      </c>
      <c r="W10">
        <v>157.5</v>
      </c>
      <c r="X10">
        <v>210</v>
      </c>
      <c r="Y10">
        <v>52.5</v>
      </c>
      <c r="Z10" t="s">
        <v>95</v>
      </c>
      <c r="AA10" t="s">
        <v>84</v>
      </c>
      <c r="AB10" t="s">
        <v>96</v>
      </c>
      <c r="AC10" t="s">
        <v>92</v>
      </c>
      <c r="AD10" t="s">
        <v>86</v>
      </c>
      <c r="AE10">
        <f t="shared" si="0"/>
        <v>3</v>
      </c>
      <c r="AF10" t="str">
        <f t="shared" si="1"/>
        <v>March</v>
      </c>
    </row>
    <row r="11" spans="1:32">
      <c r="A11" s="1">
        <v>45362</v>
      </c>
      <c r="B11" t="s">
        <v>16</v>
      </c>
      <c r="C11" t="s">
        <v>91</v>
      </c>
      <c r="D11" t="s">
        <v>73</v>
      </c>
      <c r="E11" t="s">
        <v>93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26</v>
      </c>
      <c r="M11" t="s">
        <v>80</v>
      </c>
      <c r="N11" t="s">
        <v>94</v>
      </c>
      <c r="O11" t="s">
        <v>81</v>
      </c>
      <c r="P11">
        <v>222480</v>
      </c>
      <c r="Q11" t="s">
        <v>10</v>
      </c>
      <c r="R11" t="s">
        <v>82</v>
      </c>
      <c r="S11" t="s">
        <v>83</v>
      </c>
      <c r="T11">
        <v>90</v>
      </c>
      <c r="U11">
        <v>1</v>
      </c>
      <c r="V11" s="2">
        <v>4.1666666666666664E-2</v>
      </c>
      <c r="W11">
        <v>90</v>
      </c>
      <c r="X11">
        <v>120</v>
      </c>
      <c r="Y11">
        <v>30</v>
      </c>
      <c r="Z11" t="s">
        <v>95</v>
      </c>
      <c r="AA11" t="s">
        <v>84</v>
      </c>
      <c r="AB11" t="s">
        <v>96</v>
      </c>
      <c r="AC11" t="s">
        <v>92</v>
      </c>
      <c r="AD11" t="s">
        <v>86</v>
      </c>
      <c r="AE11">
        <f t="shared" ref="AE11:AE35" si="2">MONTH(A11)</f>
        <v>3</v>
      </c>
      <c r="AF11" t="str">
        <f t="shared" ref="AF11:AF35" si="3">IF(AE11=1,"January",IF(AE11=2,"February",IF(AE11=3,"March",IF(AE11=4,"April",IF(AE11=5,"May")))))</f>
        <v>March</v>
      </c>
    </row>
    <row r="12" spans="1:32">
      <c r="A12" s="1">
        <v>45364</v>
      </c>
      <c r="B12" t="s">
        <v>16</v>
      </c>
      <c r="C12" t="s">
        <v>91</v>
      </c>
      <c r="D12" t="s">
        <v>73</v>
      </c>
      <c r="E12" t="s">
        <v>93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73</v>
      </c>
      <c r="L12" t="s">
        <v>26</v>
      </c>
      <c r="M12" t="s">
        <v>80</v>
      </c>
      <c r="N12" t="s">
        <v>94</v>
      </c>
      <c r="O12" t="s">
        <v>81</v>
      </c>
      <c r="P12">
        <v>223599</v>
      </c>
      <c r="Q12" t="s">
        <v>10</v>
      </c>
      <c r="R12" t="s">
        <v>82</v>
      </c>
      <c r="S12" t="s">
        <v>83</v>
      </c>
      <c r="T12">
        <v>90</v>
      </c>
      <c r="U12">
        <v>1</v>
      </c>
      <c r="V12" s="2">
        <v>4.1666666666666664E-2</v>
      </c>
      <c r="W12">
        <v>90</v>
      </c>
      <c r="X12">
        <v>120</v>
      </c>
      <c r="Y12">
        <v>30</v>
      </c>
      <c r="Z12" t="s">
        <v>95</v>
      </c>
      <c r="AA12" t="s">
        <v>84</v>
      </c>
      <c r="AB12" t="s">
        <v>96</v>
      </c>
      <c r="AC12" t="s">
        <v>92</v>
      </c>
      <c r="AD12" t="s">
        <v>86</v>
      </c>
      <c r="AE12">
        <f t="shared" si="2"/>
        <v>3</v>
      </c>
      <c r="AF12" t="str">
        <f t="shared" si="3"/>
        <v>March</v>
      </c>
    </row>
    <row r="13" spans="1:32">
      <c r="A13" s="1">
        <v>45376</v>
      </c>
      <c r="B13" t="s">
        <v>16</v>
      </c>
      <c r="C13" t="s">
        <v>91</v>
      </c>
      <c r="D13" t="s">
        <v>73</v>
      </c>
      <c r="E13" t="s">
        <v>93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73</v>
      </c>
      <c r="L13" t="s">
        <v>26</v>
      </c>
      <c r="M13" t="s">
        <v>80</v>
      </c>
      <c r="N13" t="s">
        <v>94</v>
      </c>
      <c r="O13" t="s">
        <v>81</v>
      </c>
      <c r="P13">
        <v>227600</v>
      </c>
      <c r="Q13" t="s">
        <v>10</v>
      </c>
      <c r="R13" t="s">
        <v>82</v>
      </c>
      <c r="S13" t="s">
        <v>83</v>
      </c>
      <c r="T13">
        <v>90</v>
      </c>
      <c r="U13">
        <v>0.25</v>
      </c>
      <c r="V13" s="2">
        <v>1.0416666666666666E-2</v>
      </c>
      <c r="W13">
        <v>22.5</v>
      </c>
      <c r="X13">
        <v>30</v>
      </c>
      <c r="Y13">
        <v>7.5</v>
      </c>
      <c r="Z13" t="s">
        <v>95</v>
      </c>
      <c r="AA13" t="s">
        <v>84</v>
      </c>
      <c r="AB13" t="s">
        <v>96</v>
      </c>
      <c r="AC13" t="s">
        <v>92</v>
      </c>
      <c r="AD13" t="s">
        <v>86</v>
      </c>
      <c r="AE13">
        <f t="shared" si="2"/>
        <v>3</v>
      </c>
      <c r="AF13" t="str">
        <f t="shared" si="3"/>
        <v>March</v>
      </c>
    </row>
    <row r="14" spans="1:32">
      <c r="A14" s="1">
        <v>45378</v>
      </c>
      <c r="B14" t="s">
        <v>16</v>
      </c>
      <c r="C14" t="s">
        <v>91</v>
      </c>
      <c r="D14" t="s">
        <v>73</v>
      </c>
      <c r="E14" t="s">
        <v>93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73</v>
      </c>
      <c r="L14" t="s">
        <v>26</v>
      </c>
      <c r="M14" t="s">
        <v>80</v>
      </c>
      <c r="N14" t="s">
        <v>94</v>
      </c>
      <c r="O14" t="s">
        <v>81</v>
      </c>
      <c r="P14">
        <v>228789</v>
      </c>
      <c r="Q14" t="s">
        <v>10</v>
      </c>
      <c r="R14" t="s">
        <v>82</v>
      </c>
      <c r="S14" t="s">
        <v>83</v>
      </c>
      <c r="T14">
        <v>90</v>
      </c>
      <c r="U14">
        <v>4.5</v>
      </c>
      <c r="V14" s="2">
        <v>0.1875</v>
      </c>
      <c r="W14">
        <v>405</v>
      </c>
      <c r="X14">
        <v>540</v>
      </c>
      <c r="Y14">
        <v>135</v>
      </c>
      <c r="Z14" t="s">
        <v>95</v>
      </c>
      <c r="AA14" t="s">
        <v>84</v>
      </c>
      <c r="AB14" t="s">
        <v>96</v>
      </c>
      <c r="AC14" t="s">
        <v>97</v>
      </c>
      <c r="AD14" t="s">
        <v>86</v>
      </c>
      <c r="AE14">
        <f t="shared" si="2"/>
        <v>3</v>
      </c>
      <c r="AF14" t="str">
        <f t="shared" si="3"/>
        <v>March</v>
      </c>
    </row>
    <row r="15" spans="1:32">
      <c r="A15" s="1">
        <v>45379</v>
      </c>
      <c r="B15" t="s">
        <v>16</v>
      </c>
      <c r="C15" t="s">
        <v>91</v>
      </c>
      <c r="D15" t="s">
        <v>73</v>
      </c>
      <c r="E15" t="s">
        <v>93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73</v>
      </c>
      <c r="L15" t="s">
        <v>26</v>
      </c>
      <c r="M15" t="s">
        <v>80</v>
      </c>
      <c r="N15" t="s">
        <v>94</v>
      </c>
      <c r="O15" t="s">
        <v>81</v>
      </c>
      <c r="P15">
        <v>229677</v>
      </c>
      <c r="Q15" t="s">
        <v>10</v>
      </c>
      <c r="R15" t="s">
        <v>82</v>
      </c>
      <c r="S15" t="s">
        <v>83</v>
      </c>
      <c r="T15">
        <v>90</v>
      </c>
      <c r="U15">
        <v>2.5</v>
      </c>
      <c r="V15" s="2">
        <v>0.10416666666666667</v>
      </c>
      <c r="W15">
        <v>225</v>
      </c>
      <c r="X15">
        <v>300</v>
      </c>
      <c r="Y15">
        <v>75</v>
      </c>
      <c r="Z15" t="s">
        <v>95</v>
      </c>
      <c r="AA15" t="s">
        <v>84</v>
      </c>
      <c r="AB15" t="s">
        <v>96</v>
      </c>
      <c r="AC15" t="s">
        <v>92</v>
      </c>
      <c r="AD15" t="s">
        <v>86</v>
      </c>
      <c r="AE15">
        <f t="shared" si="2"/>
        <v>3</v>
      </c>
      <c r="AF15" t="str">
        <f t="shared" si="3"/>
        <v>March</v>
      </c>
    </row>
    <row r="16" spans="1:32">
      <c r="A16" s="1">
        <v>45383</v>
      </c>
      <c r="B16" t="s">
        <v>16</v>
      </c>
      <c r="C16" t="s">
        <v>91</v>
      </c>
      <c r="D16" t="s">
        <v>73</v>
      </c>
      <c r="E16" t="s">
        <v>93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73</v>
      </c>
      <c r="L16" t="s">
        <v>26</v>
      </c>
      <c r="M16" t="s">
        <v>80</v>
      </c>
      <c r="N16" t="s">
        <v>94</v>
      </c>
      <c r="O16" t="s">
        <v>81</v>
      </c>
      <c r="P16">
        <v>230320</v>
      </c>
      <c r="Q16" t="s">
        <v>10</v>
      </c>
      <c r="R16" t="s">
        <v>82</v>
      </c>
      <c r="S16" t="s">
        <v>83</v>
      </c>
      <c r="T16">
        <v>90</v>
      </c>
      <c r="U16">
        <v>5</v>
      </c>
      <c r="V16" s="2">
        <v>0.20833333333333334</v>
      </c>
      <c r="W16">
        <v>450</v>
      </c>
      <c r="AA16" t="s">
        <v>84</v>
      </c>
      <c r="AB16" t="s">
        <v>96</v>
      </c>
      <c r="AC16" t="s">
        <v>92</v>
      </c>
      <c r="AD16" t="s">
        <v>86</v>
      </c>
      <c r="AE16">
        <f t="shared" si="2"/>
        <v>4</v>
      </c>
      <c r="AF16" t="str">
        <f t="shared" si="3"/>
        <v>April</v>
      </c>
    </row>
    <row r="17" spans="1:32">
      <c r="A17" s="1">
        <v>45384</v>
      </c>
      <c r="B17" t="s">
        <v>16</v>
      </c>
      <c r="C17" t="s">
        <v>91</v>
      </c>
      <c r="D17" t="s">
        <v>73</v>
      </c>
      <c r="E17" t="s">
        <v>93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73</v>
      </c>
      <c r="L17" t="s">
        <v>26</v>
      </c>
      <c r="M17" t="s">
        <v>80</v>
      </c>
      <c r="N17" t="s">
        <v>94</v>
      </c>
      <c r="O17" t="s">
        <v>81</v>
      </c>
      <c r="P17">
        <v>230323</v>
      </c>
      <c r="Q17" t="s">
        <v>10</v>
      </c>
      <c r="R17" t="s">
        <v>82</v>
      </c>
      <c r="S17" t="s">
        <v>83</v>
      </c>
      <c r="T17">
        <v>90</v>
      </c>
      <c r="U17">
        <v>3.75</v>
      </c>
      <c r="V17" s="2">
        <v>0.15625</v>
      </c>
      <c r="W17">
        <v>337.5</v>
      </c>
      <c r="AA17" t="s">
        <v>84</v>
      </c>
      <c r="AB17" t="s">
        <v>96</v>
      </c>
      <c r="AC17" t="s">
        <v>92</v>
      </c>
      <c r="AD17" t="s">
        <v>86</v>
      </c>
      <c r="AE17">
        <f t="shared" si="2"/>
        <v>4</v>
      </c>
      <c r="AF17" t="str">
        <f t="shared" si="3"/>
        <v>April</v>
      </c>
    </row>
    <row r="18" spans="1:32">
      <c r="A18" s="1">
        <v>45385</v>
      </c>
      <c r="B18" t="s">
        <v>16</v>
      </c>
      <c r="C18" t="s">
        <v>91</v>
      </c>
      <c r="D18" t="s">
        <v>73</v>
      </c>
      <c r="E18" t="s">
        <v>93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73</v>
      </c>
      <c r="L18" t="s">
        <v>26</v>
      </c>
      <c r="M18" t="s">
        <v>80</v>
      </c>
      <c r="N18" t="s">
        <v>94</v>
      </c>
      <c r="O18" t="s">
        <v>81</v>
      </c>
      <c r="P18">
        <v>230327</v>
      </c>
      <c r="Q18" t="s">
        <v>10</v>
      </c>
      <c r="R18" t="s">
        <v>82</v>
      </c>
      <c r="S18" t="s">
        <v>83</v>
      </c>
      <c r="T18">
        <v>90</v>
      </c>
      <c r="U18">
        <v>3.5</v>
      </c>
      <c r="V18" s="2">
        <v>0.14583333333333334</v>
      </c>
      <c r="W18">
        <v>315</v>
      </c>
      <c r="AA18" t="s">
        <v>84</v>
      </c>
      <c r="AC18" t="s">
        <v>92</v>
      </c>
      <c r="AD18" t="s">
        <v>86</v>
      </c>
      <c r="AE18">
        <f t="shared" si="2"/>
        <v>4</v>
      </c>
      <c r="AF18" t="str">
        <f t="shared" si="3"/>
        <v>April</v>
      </c>
    </row>
    <row r="19" spans="1:32">
      <c r="A19" s="1">
        <v>45386</v>
      </c>
      <c r="B19" t="s">
        <v>16</v>
      </c>
      <c r="C19" t="s">
        <v>91</v>
      </c>
      <c r="D19" t="s">
        <v>73</v>
      </c>
      <c r="E19" t="s">
        <v>93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73</v>
      </c>
      <c r="L19" t="s">
        <v>26</v>
      </c>
      <c r="M19" t="s">
        <v>80</v>
      </c>
      <c r="N19" t="s">
        <v>94</v>
      </c>
      <c r="O19" t="s">
        <v>81</v>
      </c>
      <c r="P19">
        <v>231189</v>
      </c>
      <c r="Q19" t="s">
        <v>10</v>
      </c>
      <c r="R19" t="s">
        <v>82</v>
      </c>
      <c r="S19" t="s">
        <v>83</v>
      </c>
      <c r="T19">
        <v>90</v>
      </c>
      <c r="U19">
        <v>3.5</v>
      </c>
      <c r="V19" s="2">
        <v>0.14583333333333334</v>
      </c>
      <c r="W19">
        <v>315</v>
      </c>
      <c r="AA19" t="s">
        <v>84</v>
      </c>
      <c r="AC19" t="s">
        <v>92</v>
      </c>
      <c r="AD19" t="s">
        <v>86</v>
      </c>
      <c r="AE19">
        <f t="shared" si="2"/>
        <v>4</v>
      </c>
      <c r="AF19" t="str">
        <f t="shared" si="3"/>
        <v>April</v>
      </c>
    </row>
    <row r="20" spans="1:32">
      <c r="A20" s="1">
        <v>45387</v>
      </c>
      <c r="B20" t="s">
        <v>16</v>
      </c>
      <c r="C20" t="s">
        <v>91</v>
      </c>
      <c r="D20" t="s">
        <v>73</v>
      </c>
      <c r="E20" t="s">
        <v>93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73</v>
      </c>
      <c r="L20" t="s">
        <v>26</v>
      </c>
      <c r="M20" t="s">
        <v>80</v>
      </c>
      <c r="N20" t="s">
        <v>94</v>
      </c>
      <c r="O20" t="s">
        <v>81</v>
      </c>
      <c r="P20">
        <v>231856</v>
      </c>
      <c r="Q20" t="s">
        <v>10</v>
      </c>
      <c r="R20" t="s">
        <v>82</v>
      </c>
      <c r="S20" t="s">
        <v>83</v>
      </c>
      <c r="T20">
        <v>90</v>
      </c>
      <c r="U20">
        <v>4.5</v>
      </c>
      <c r="V20" s="2">
        <v>0.1875</v>
      </c>
      <c r="W20">
        <v>405</v>
      </c>
      <c r="AA20" t="s">
        <v>84</v>
      </c>
      <c r="AC20" t="s">
        <v>92</v>
      </c>
      <c r="AD20" t="s">
        <v>86</v>
      </c>
      <c r="AE20">
        <f t="shared" si="2"/>
        <v>4</v>
      </c>
      <c r="AF20" t="str">
        <f t="shared" si="3"/>
        <v>April</v>
      </c>
    </row>
    <row r="21" spans="1:32">
      <c r="A21" s="1">
        <v>45357</v>
      </c>
      <c r="B21" t="s">
        <v>21</v>
      </c>
      <c r="C21" t="s">
        <v>91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73</v>
      </c>
      <c r="L21" t="s">
        <v>26</v>
      </c>
      <c r="M21" t="s">
        <v>80</v>
      </c>
      <c r="N21" t="s">
        <v>92</v>
      </c>
      <c r="O21" t="s">
        <v>81</v>
      </c>
      <c r="P21">
        <v>222230</v>
      </c>
      <c r="Q21" t="s">
        <v>10</v>
      </c>
      <c r="R21" t="s">
        <v>82</v>
      </c>
      <c r="S21" t="s">
        <v>83</v>
      </c>
      <c r="T21">
        <v>90</v>
      </c>
      <c r="U21">
        <v>1.5</v>
      </c>
      <c r="V21" s="2">
        <v>6.25E-2</v>
      </c>
      <c r="W21">
        <v>135</v>
      </c>
      <c r="X21">
        <v>180</v>
      </c>
      <c r="Y21">
        <v>45</v>
      </c>
      <c r="Z21" t="s">
        <v>95</v>
      </c>
      <c r="AA21" t="s">
        <v>84</v>
      </c>
      <c r="AB21" t="s">
        <v>96</v>
      </c>
      <c r="AC21" t="s">
        <v>98</v>
      </c>
      <c r="AD21" t="s">
        <v>86</v>
      </c>
      <c r="AE21">
        <f t="shared" si="2"/>
        <v>3</v>
      </c>
      <c r="AF21" t="str">
        <f t="shared" si="3"/>
        <v>March</v>
      </c>
    </row>
    <row r="22" spans="1:32">
      <c r="A22" s="1">
        <v>45362</v>
      </c>
      <c r="B22" t="s">
        <v>21</v>
      </c>
      <c r="C22" t="s">
        <v>91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73</v>
      </c>
      <c r="L22" t="s">
        <v>26</v>
      </c>
      <c r="M22" t="s">
        <v>80</v>
      </c>
      <c r="N22" t="s">
        <v>92</v>
      </c>
      <c r="O22" t="s">
        <v>81</v>
      </c>
      <c r="P22">
        <v>223051</v>
      </c>
      <c r="Q22" t="s">
        <v>10</v>
      </c>
      <c r="R22" t="s">
        <v>82</v>
      </c>
      <c r="S22" t="s">
        <v>83</v>
      </c>
      <c r="T22">
        <v>90</v>
      </c>
      <c r="U22">
        <v>1</v>
      </c>
      <c r="V22" s="2">
        <v>4.1666666666666664E-2</v>
      </c>
      <c r="W22">
        <v>90</v>
      </c>
      <c r="X22">
        <v>120</v>
      </c>
      <c r="Y22">
        <v>30</v>
      </c>
      <c r="Z22" t="s">
        <v>95</v>
      </c>
      <c r="AA22" t="s">
        <v>84</v>
      </c>
      <c r="AB22" t="s">
        <v>96</v>
      </c>
      <c r="AC22" t="s">
        <v>99</v>
      </c>
      <c r="AD22" t="s">
        <v>86</v>
      </c>
      <c r="AE22">
        <f t="shared" si="2"/>
        <v>3</v>
      </c>
      <c r="AF22" t="str">
        <f t="shared" si="3"/>
        <v>March</v>
      </c>
    </row>
    <row r="23" spans="1:32">
      <c r="A23" s="1">
        <v>45384</v>
      </c>
      <c r="B23" t="s">
        <v>21</v>
      </c>
      <c r="C23" t="s">
        <v>91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73</v>
      </c>
      <c r="L23" t="s">
        <v>26</v>
      </c>
      <c r="M23" t="s">
        <v>80</v>
      </c>
      <c r="N23" t="s">
        <v>92</v>
      </c>
      <c r="O23" t="s">
        <v>81</v>
      </c>
      <c r="P23">
        <v>231445</v>
      </c>
      <c r="Q23" t="s">
        <v>10</v>
      </c>
      <c r="R23" t="s">
        <v>82</v>
      </c>
      <c r="S23" t="s">
        <v>83</v>
      </c>
      <c r="T23">
        <v>90</v>
      </c>
      <c r="U23">
        <v>2.25</v>
      </c>
      <c r="V23" s="2">
        <v>9.375E-2</v>
      </c>
      <c r="W23">
        <v>202.5</v>
      </c>
      <c r="AA23" t="s">
        <v>84</v>
      </c>
      <c r="AC23" t="s">
        <v>100</v>
      </c>
      <c r="AD23" t="s">
        <v>86</v>
      </c>
      <c r="AE23">
        <f t="shared" si="2"/>
        <v>4</v>
      </c>
      <c r="AF23" t="str">
        <f t="shared" si="3"/>
        <v>April</v>
      </c>
    </row>
    <row r="24" spans="1:32">
      <c r="A24" s="1">
        <v>45385</v>
      </c>
      <c r="B24" t="s">
        <v>21</v>
      </c>
      <c r="C24" t="s">
        <v>91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73</v>
      </c>
      <c r="L24" t="s">
        <v>26</v>
      </c>
      <c r="M24" t="s">
        <v>80</v>
      </c>
      <c r="N24" t="s">
        <v>92</v>
      </c>
      <c r="O24" t="s">
        <v>81</v>
      </c>
      <c r="P24">
        <v>231463</v>
      </c>
      <c r="Q24" t="s">
        <v>10</v>
      </c>
      <c r="R24" t="s">
        <v>82</v>
      </c>
      <c r="S24" t="s">
        <v>83</v>
      </c>
      <c r="T24">
        <v>90</v>
      </c>
      <c r="U24">
        <v>0.25</v>
      </c>
      <c r="V24" s="2">
        <v>1.0416666666666666E-2</v>
      </c>
      <c r="W24">
        <v>22.5</v>
      </c>
      <c r="AA24" t="s">
        <v>84</v>
      </c>
      <c r="AC24" t="s">
        <v>101</v>
      </c>
      <c r="AD24" t="s">
        <v>86</v>
      </c>
      <c r="AE24">
        <f t="shared" si="2"/>
        <v>4</v>
      </c>
      <c r="AF24" t="str">
        <f t="shared" si="3"/>
        <v>April</v>
      </c>
    </row>
    <row r="25" spans="1:32">
      <c r="A25" s="1">
        <v>45386</v>
      </c>
      <c r="B25" t="s">
        <v>21</v>
      </c>
      <c r="C25" t="s">
        <v>91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73</v>
      </c>
      <c r="L25" t="s">
        <v>26</v>
      </c>
      <c r="M25" t="s">
        <v>80</v>
      </c>
      <c r="N25" t="s">
        <v>92</v>
      </c>
      <c r="O25" t="s">
        <v>81</v>
      </c>
      <c r="P25">
        <v>231462</v>
      </c>
      <c r="Q25" t="s">
        <v>10</v>
      </c>
      <c r="R25" t="s">
        <v>82</v>
      </c>
      <c r="S25" t="s">
        <v>83</v>
      </c>
      <c r="T25">
        <v>90</v>
      </c>
      <c r="U25">
        <v>1.25</v>
      </c>
      <c r="V25" s="2">
        <v>5.2083333333333336E-2</v>
      </c>
      <c r="W25">
        <v>112.5</v>
      </c>
      <c r="AA25" t="s">
        <v>84</v>
      </c>
      <c r="AC25" t="s">
        <v>102</v>
      </c>
      <c r="AD25" t="s">
        <v>86</v>
      </c>
      <c r="AE25">
        <f t="shared" si="2"/>
        <v>4</v>
      </c>
      <c r="AF25" t="str">
        <f t="shared" si="3"/>
        <v>April</v>
      </c>
    </row>
    <row r="26" spans="1:32">
      <c r="A26" s="1">
        <v>45387</v>
      </c>
      <c r="B26" t="s">
        <v>21</v>
      </c>
      <c r="C26" t="s">
        <v>91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79</v>
      </c>
      <c r="K26" t="s">
        <v>73</v>
      </c>
      <c r="L26" t="s">
        <v>26</v>
      </c>
      <c r="M26" t="s">
        <v>80</v>
      </c>
      <c r="N26" t="s">
        <v>92</v>
      </c>
      <c r="O26" t="s">
        <v>81</v>
      </c>
      <c r="P26">
        <v>231464</v>
      </c>
      <c r="Q26" t="s">
        <v>10</v>
      </c>
      <c r="R26" t="s">
        <v>82</v>
      </c>
      <c r="S26" t="s">
        <v>83</v>
      </c>
      <c r="T26">
        <v>90</v>
      </c>
      <c r="U26">
        <v>0.25</v>
      </c>
      <c r="V26" s="2">
        <v>1.0416666666666666E-2</v>
      </c>
      <c r="W26">
        <v>22.5</v>
      </c>
      <c r="AA26" t="s">
        <v>84</v>
      </c>
      <c r="AC26" t="s">
        <v>101</v>
      </c>
      <c r="AD26" t="s">
        <v>86</v>
      </c>
      <c r="AE26">
        <f t="shared" si="2"/>
        <v>4</v>
      </c>
      <c r="AF26" t="str">
        <f t="shared" si="3"/>
        <v>April</v>
      </c>
    </row>
    <row r="27" spans="1:32">
      <c r="A27" s="1">
        <v>45378</v>
      </c>
      <c r="B27" t="s">
        <v>26</v>
      </c>
      <c r="C27" t="s">
        <v>91</v>
      </c>
      <c r="D27" t="s">
        <v>73</v>
      </c>
      <c r="E27" t="s">
        <v>93</v>
      </c>
      <c r="F27" t="s">
        <v>75</v>
      </c>
      <c r="G27" t="s">
        <v>76</v>
      </c>
      <c r="H27" t="s">
        <v>77</v>
      </c>
      <c r="I27" t="s">
        <v>78</v>
      </c>
      <c r="J27" t="s">
        <v>79</v>
      </c>
      <c r="K27" t="s">
        <v>73</v>
      </c>
      <c r="L27" t="s">
        <v>26</v>
      </c>
      <c r="M27" t="s">
        <v>80</v>
      </c>
      <c r="N27" t="s">
        <v>92</v>
      </c>
      <c r="O27" t="s">
        <v>81</v>
      </c>
      <c r="P27">
        <v>228823</v>
      </c>
      <c r="Q27" t="s">
        <v>10</v>
      </c>
      <c r="R27" t="s">
        <v>82</v>
      </c>
      <c r="S27" t="s">
        <v>83</v>
      </c>
      <c r="T27">
        <v>90</v>
      </c>
      <c r="U27">
        <v>0.25</v>
      </c>
      <c r="V27" s="2">
        <v>1.0416666666666666E-2</v>
      </c>
      <c r="W27">
        <v>22.5</v>
      </c>
      <c r="X27">
        <v>30</v>
      </c>
      <c r="Y27">
        <v>7.5</v>
      </c>
      <c r="Z27" t="s">
        <v>95</v>
      </c>
      <c r="AA27" t="s">
        <v>84</v>
      </c>
      <c r="AB27" t="s">
        <v>96</v>
      </c>
      <c r="AC27" t="s">
        <v>103</v>
      </c>
      <c r="AD27" t="s">
        <v>86</v>
      </c>
      <c r="AE27">
        <f t="shared" si="2"/>
        <v>3</v>
      </c>
      <c r="AF27" t="str">
        <f t="shared" si="3"/>
        <v>March</v>
      </c>
    </row>
    <row r="28" spans="1:32">
      <c r="A28" s="1">
        <v>45384</v>
      </c>
      <c r="B28" t="s">
        <v>26</v>
      </c>
      <c r="C28" t="s">
        <v>91</v>
      </c>
      <c r="D28" t="s">
        <v>73</v>
      </c>
      <c r="E28" t="s">
        <v>93</v>
      </c>
      <c r="F28" t="s">
        <v>75</v>
      </c>
      <c r="G28" t="s">
        <v>76</v>
      </c>
      <c r="H28" t="s">
        <v>77</v>
      </c>
      <c r="I28" t="s">
        <v>78</v>
      </c>
      <c r="J28" t="s">
        <v>79</v>
      </c>
      <c r="K28" t="s">
        <v>73</v>
      </c>
      <c r="L28" t="s">
        <v>26</v>
      </c>
      <c r="M28" t="s">
        <v>80</v>
      </c>
      <c r="N28" t="s">
        <v>92</v>
      </c>
      <c r="O28" t="s">
        <v>81</v>
      </c>
      <c r="P28">
        <v>230406</v>
      </c>
      <c r="Q28" t="s">
        <v>10</v>
      </c>
      <c r="R28" t="s">
        <v>82</v>
      </c>
      <c r="S28" t="s">
        <v>83</v>
      </c>
      <c r="T28">
        <v>90</v>
      </c>
      <c r="U28">
        <v>0.25</v>
      </c>
      <c r="V28" s="2">
        <v>1.0416666666666666E-2</v>
      </c>
      <c r="W28">
        <v>22.5</v>
      </c>
      <c r="AA28" t="s">
        <v>84</v>
      </c>
      <c r="AB28" t="s">
        <v>96</v>
      </c>
      <c r="AC28" t="s">
        <v>92</v>
      </c>
      <c r="AD28" t="s">
        <v>86</v>
      </c>
      <c r="AE28">
        <f t="shared" si="2"/>
        <v>4</v>
      </c>
      <c r="AF28" t="str">
        <f t="shared" si="3"/>
        <v>April</v>
      </c>
    </row>
    <row r="29" spans="1:32">
      <c r="A29" s="1">
        <v>45385</v>
      </c>
      <c r="B29" t="s">
        <v>26</v>
      </c>
      <c r="C29" t="s">
        <v>91</v>
      </c>
      <c r="D29" t="s">
        <v>73</v>
      </c>
      <c r="E29" t="s">
        <v>93</v>
      </c>
      <c r="F29" t="s">
        <v>75</v>
      </c>
      <c r="G29" t="s">
        <v>76</v>
      </c>
      <c r="H29" t="s">
        <v>77</v>
      </c>
      <c r="I29" t="s">
        <v>78</v>
      </c>
      <c r="J29" t="s">
        <v>79</v>
      </c>
      <c r="K29" t="s">
        <v>73</v>
      </c>
      <c r="L29" t="s">
        <v>26</v>
      </c>
      <c r="M29" t="s">
        <v>80</v>
      </c>
      <c r="N29" t="s">
        <v>92</v>
      </c>
      <c r="O29" t="s">
        <v>81</v>
      </c>
      <c r="P29">
        <v>230870</v>
      </c>
      <c r="Q29" t="s">
        <v>10</v>
      </c>
      <c r="R29" t="s">
        <v>82</v>
      </c>
      <c r="S29" t="s">
        <v>83</v>
      </c>
      <c r="T29">
        <v>90</v>
      </c>
      <c r="U29">
        <v>0.25</v>
      </c>
      <c r="V29" s="2">
        <v>1.0416666666666666E-2</v>
      </c>
      <c r="W29">
        <v>22.5</v>
      </c>
      <c r="AA29" t="s">
        <v>84</v>
      </c>
      <c r="AC29" t="s">
        <v>92</v>
      </c>
      <c r="AD29" t="s">
        <v>86</v>
      </c>
      <c r="AE29">
        <f t="shared" si="2"/>
        <v>4</v>
      </c>
      <c r="AF29" t="str">
        <f t="shared" si="3"/>
        <v>April</v>
      </c>
    </row>
    <row r="30" spans="1:32">
      <c r="A30" s="1">
        <v>45386</v>
      </c>
      <c r="B30" t="s">
        <v>26</v>
      </c>
      <c r="C30" t="s">
        <v>91</v>
      </c>
      <c r="D30" t="s">
        <v>73</v>
      </c>
      <c r="E30" t="s">
        <v>93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73</v>
      </c>
      <c r="L30" t="s">
        <v>26</v>
      </c>
      <c r="M30" t="s">
        <v>80</v>
      </c>
      <c r="N30" t="s">
        <v>92</v>
      </c>
      <c r="O30" t="s">
        <v>81</v>
      </c>
      <c r="P30">
        <v>231545</v>
      </c>
      <c r="Q30" t="s">
        <v>10</v>
      </c>
      <c r="R30" t="s">
        <v>82</v>
      </c>
      <c r="S30" t="s">
        <v>83</v>
      </c>
      <c r="T30">
        <v>90</v>
      </c>
      <c r="U30">
        <v>0.5</v>
      </c>
      <c r="V30" s="2">
        <v>2.0833333333333332E-2</v>
      </c>
      <c r="W30">
        <v>45</v>
      </c>
      <c r="AA30" t="s">
        <v>84</v>
      </c>
      <c r="AC30" t="s">
        <v>92</v>
      </c>
      <c r="AD30" t="s">
        <v>86</v>
      </c>
      <c r="AE30">
        <f t="shared" si="2"/>
        <v>4</v>
      </c>
      <c r="AF30" t="str">
        <f t="shared" si="3"/>
        <v>April</v>
      </c>
    </row>
    <row r="31" spans="1:32">
      <c r="A31" s="1">
        <v>45387</v>
      </c>
      <c r="B31" t="s">
        <v>26</v>
      </c>
      <c r="C31" t="s">
        <v>91</v>
      </c>
      <c r="D31" t="s">
        <v>73</v>
      </c>
      <c r="E31" t="s">
        <v>93</v>
      </c>
      <c r="F31" t="s">
        <v>75</v>
      </c>
      <c r="G31" t="s">
        <v>76</v>
      </c>
      <c r="H31" t="s">
        <v>77</v>
      </c>
      <c r="I31" t="s">
        <v>78</v>
      </c>
      <c r="J31" t="s">
        <v>79</v>
      </c>
      <c r="K31" t="s">
        <v>73</v>
      </c>
      <c r="L31" t="s">
        <v>26</v>
      </c>
      <c r="M31" t="s">
        <v>80</v>
      </c>
      <c r="N31" t="s">
        <v>92</v>
      </c>
      <c r="O31" t="s">
        <v>81</v>
      </c>
      <c r="P31">
        <v>231550</v>
      </c>
      <c r="Q31" t="s">
        <v>10</v>
      </c>
      <c r="R31" t="s">
        <v>82</v>
      </c>
      <c r="S31" t="s">
        <v>83</v>
      </c>
      <c r="T31">
        <v>90</v>
      </c>
      <c r="U31">
        <v>0.5</v>
      </c>
      <c r="V31" s="2">
        <v>2.0833333333333332E-2</v>
      </c>
      <c r="W31">
        <v>45</v>
      </c>
      <c r="AA31" t="s">
        <v>84</v>
      </c>
      <c r="AC31" t="s">
        <v>92</v>
      </c>
      <c r="AD31" t="s">
        <v>86</v>
      </c>
      <c r="AE31">
        <f t="shared" si="2"/>
        <v>4</v>
      </c>
      <c r="AF31" t="str">
        <f t="shared" si="3"/>
        <v>April</v>
      </c>
    </row>
    <row r="32" spans="1:32">
      <c r="A32" s="1">
        <v>45384</v>
      </c>
      <c r="B32" t="s">
        <v>41</v>
      </c>
      <c r="C32" t="s">
        <v>91</v>
      </c>
      <c r="D32" t="s">
        <v>73</v>
      </c>
      <c r="E32" t="s">
        <v>74</v>
      </c>
      <c r="F32" t="s">
        <v>75</v>
      </c>
      <c r="G32" t="s">
        <v>76</v>
      </c>
      <c r="H32" t="s">
        <v>77</v>
      </c>
      <c r="I32" t="s">
        <v>78</v>
      </c>
      <c r="J32" t="s">
        <v>79</v>
      </c>
      <c r="K32" t="s">
        <v>73</v>
      </c>
      <c r="L32" t="s">
        <v>26</v>
      </c>
      <c r="M32" t="s">
        <v>80</v>
      </c>
      <c r="N32" t="s">
        <v>21</v>
      </c>
      <c r="O32" t="s">
        <v>81</v>
      </c>
      <c r="P32">
        <v>232225</v>
      </c>
      <c r="Q32" t="s">
        <v>10</v>
      </c>
      <c r="R32" t="s">
        <v>82</v>
      </c>
      <c r="S32" t="s">
        <v>83</v>
      </c>
      <c r="T32">
        <v>90</v>
      </c>
      <c r="U32">
        <v>2.25</v>
      </c>
      <c r="V32" s="2">
        <v>9.375E-2</v>
      </c>
      <c r="W32">
        <v>202.5</v>
      </c>
      <c r="AA32" t="s">
        <v>84</v>
      </c>
      <c r="AC32" t="s">
        <v>104</v>
      </c>
      <c r="AD32" t="s">
        <v>86</v>
      </c>
      <c r="AE32">
        <f t="shared" si="2"/>
        <v>4</v>
      </c>
      <c r="AF32" t="str">
        <f t="shared" si="3"/>
        <v>April</v>
      </c>
    </row>
    <row r="33" spans="1:32">
      <c r="A33" s="1">
        <v>45385</v>
      </c>
      <c r="B33" t="s">
        <v>41</v>
      </c>
      <c r="C33" t="s">
        <v>91</v>
      </c>
      <c r="D33" t="s">
        <v>73</v>
      </c>
      <c r="E33" t="s">
        <v>74</v>
      </c>
      <c r="F33" t="s">
        <v>75</v>
      </c>
      <c r="G33" t="s">
        <v>76</v>
      </c>
      <c r="H33" t="s">
        <v>77</v>
      </c>
      <c r="I33" t="s">
        <v>78</v>
      </c>
      <c r="J33" t="s">
        <v>79</v>
      </c>
      <c r="K33" t="s">
        <v>73</v>
      </c>
      <c r="L33" t="s">
        <v>26</v>
      </c>
      <c r="M33" t="s">
        <v>80</v>
      </c>
      <c r="N33" t="s">
        <v>21</v>
      </c>
      <c r="O33" t="s">
        <v>81</v>
      </c>
      <c r="P33">
        <v>232229</v>
      </c>
      <c r="Q33" t="s">
        <v>10</v>
      </c>
      <c r="R33" t="s">
        <v>82</v>
      </c>
      <c r="S33" t="s">
        <v>83</v>
      </c>
      <c r="T33">
        <v>90</v>
      </c>
      <c r="U33">
        <v>0.25</v>
      </c>
      <c r="V33" s="2">
        <v>1.0416666666666666E-2</v>
      </c>
      <c r="W33">
        <v>22.5</v>
      </c>
      <c r="AA33" t="s">
        <v>84</v>
      </c>
      <c r="AC33" t="s">
        <v>92</v>
      </c>
      <c r="AD33" t="s">
        <v>86</v>
      </c>
      <c r="AE33">
        <f t="shared" si="2"/>
        <v>4</v>
      </c>
      <c r="AF33" t="str">
        <f t="shared" si="3"/>
        <v>April</v>
      </c>
    </row>
    <row r="34" spans="1:32">
      <c r="A34" s="1">
        <v>45386</v>
      </c>
      <c r="B34" t="s">
        <v>41</v>
      </c>
      <c r="C34" t="s">
        <v>91</v>
      </c>
      <c r="D34" t="s">
        <v>73</v>
      </c>
      <c r="E34" t="s">
        <v>74</v>
      </c>
      <c r="F34" t="s">
        <v>75</v>
      </c>
      <c r="G34" t="s">
        <v>76</v>
      </c>
      <c r="H34" t="s">
        <v>77</v>
      </c>
      <c r="I34" t="s">
        <v>78</v>
      </c>
      <c r="J34" t="s">
        <v>79</v>
      </c>
      <c r="K34" t="s">
        <v>73</v>
      </c>
      <c r="L34" t="s">
        <v>26</v>
      </c>
      <c r="M34" t="s">
        <v>80</v>
      </c>
      <c r="N34" t="s">
        <v>21</v>
      </c>
      <c r="O34" t="s">
        <v>81</v>
      </c>
      <c r="P34">
        <v>232231</v>
      </c>
      <c r="Q34" t="s">
        <v>10</v>
      </c>
      <c r="R34" t="s">
        <v>82</v>
      </c>
      <c r="S34" t="s">
        <v>83</v>
      </c>
      <c r="T34">
        <v>90</v>
      </c>
      <c r="U34">
        <v>1.25</v>
      </c>
      <c r="V34" s="2">
        <v>5.2083333333333336E-2</v>
      </c>
      <c r="W34">
        <v>112.5</v>
      </c>
      <c r="AA34" t="s">
        <v>84</v>
      </c>
      <c r="AC34" t="s">
        <v>104</v>
      </c>
      <c r="AD34" t="s">
        <v>86</v>
      </c>
      <c r="AE34">
        <f t="shared" si="2"/>
        <v>4</v>
      </c>
      <c r="AF34" t="str">
        <f t="shared" si="3"/>
        <v>April</v>
      </c>
    </row>
    <row r="35" spans="1:32">
      <c r="A35" s="1">
        <v>45387</v>
      </c>
      <c r="B35" t="s">
        <v>41</v>
      </c>
      <c r="C35" t="s">
        <v>91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  <c r="J35" t="s">
        <v>79</v>
      </c>
      <c r="K35" t="s">
        <v>73</v>
      </c>
      <c r="L35" t="s">
        <v>26</v>
      </c>
      <c r="M35" t="s">
        <v>80</v>
      </c>
      <c r="N35" t="s">
        <v>21</v>
      </c>
      <c r="O35" t="s">
        <v>81</v>
      </c>
      <c r="P35">
        <v>232236</v>
      </c>
      <c r="Q35" t="s">
        <v>10</v>
      </c>
      <c r="R35" t="s">
        <v>82</v>
      </c>
      <c r="S35" t="s">
        <v>83</v>
      </c>
      <c r="T35">
        <v>90</v>
      </c>
      <c r="U35">
        <v>0.25</v>
      </c>
      <c r="V35" s="2">
        <v>1.0416666666666666E-2</v>
      </c>
      <c r="W35">
        <v>22.5</v>
      </c>
      <c r="AA35" t="s">
        <v>84</v>
      </c>
      <c r="AC35" t="s">
        <v>92</v>
      </c>
      <c r="AD35" t="s">
        <v>86</v>
      </c>
      <c r="AE35">
        <f t="shared" si="2"/>
        <v>4</v>
      </c>
      <c r="AF35" t="str">
        <f t="shared" si="3"/>
        <v>April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919E4A-A9CB-48E0-B926-0FDED943BA9B}"/>
</file>

<file path=customXml/itemProps2.xml><?xml version="1.0" encoding="utf-8"?>
<ds:datastoreItem xmlns:ds="http://schemas.openxmlformats.org/officeDocument/2006/customXml" ds:itemID="{E865080B-743F-47FD-BC23-A7C454C70978}"/>
</file>

<file path=customXml/itemProps3.xml><?xml version="1.0" encoding="utf-8"?>
<ds:datastoreItem xmlns:ds="http://schemas.openxmlformats.org/officeDocument/2006/customXml" ds:itemID="{4B1217D3-E989-4579-B81D-F8EBCFB39AFE}"/>
</file>

<file path=customXml/itemProps4.xml><?xml version="1.0" encoding="utf-8"?>
<ds:datastoreItem xmlns:ds="http://schemas.openxmlformats.org/officeDocument/2006/customXml" ds:itemID="{DAB544D8-E80F-4E99-BC01-C926C79D2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2024-05-27T14:51:48Z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