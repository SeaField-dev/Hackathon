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4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42" documentId="13_ncr:40009_{BBCEBA60-E38F-4EE1-BDB9-DA93CE793831}" xr6:coauthVersionLast="47" xr6:coauthVersionMax="47" xr10:uidLastSave="{7EC22287-5543-4959-B40F-35A81041F77A}"/>
  <bookViews>
    <workbookView xWindow="-108" yWindow="-108" windowWidth="23256" windowHeight="12456" xr2:uid="{00000000-000D-0000-FFFF-FFFF00000000}"/>
  </bookViews>
  <sheets>
    <sheet name="Pivot" sheetId="2" r:id="rId1"/>
    <sheet name="Project Timesheets" sheetId="1" r:id="rId2"/>
  </sheets>
  <calcPr calcId="191028"/>
  <pivotCaches>
    <pivotCache cacheId="244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89" i="1" l="1"/>
  <c r="AF189" i="1" s="1"/>
  <c r="AE190" i="1"/>
  <c r="AF190" i="1"/>
  <c r="AE191" i="1"/>
  <c r="AF191" i="1" s="1"/>
  <c r="AE192" i="1"/>
  <c r="AF192" i="1" s="1"/>
  <c r="AE193" i="1"/>
  <c r="AF193" i="1" s="1"/>
  <c r="AE194" i="1"/>
  <c r="AF194" i="1"/>
  <c r="AE195" i="1"/>
  <c r="AF195" i="1"/>
  <c r="AE196" i="1"/>
  <c r="AF196" i="1"/>
  <c r="AE197" i="1"/>
  <c r="AF197" i="1"/>
  <c r="AE198" i="1"/>
  <c r="AF198" i="1"/>
  <c r="AE199" i="1"/>
  <c r="AF199" i="1" s="1"/>
  <c r="AE200" i="1"/>
  <c r="AF200" i="1"/>
  <c r="AE201" i="1"/>
  <c r="AF201" i="1"/>
  <c r="AE202" i="1"/>
  <c r="AF202" i="1"/>
  <c r="AE203" i="1"/>
  <c r="AF203" i="1"/>
  <c r="AE204" i="1"/>
  <c r="AF204" i="1"/>
  <c r="AE205" i="1"/>
  <c r="AF205" i="1" s="1"/>
  <c r="AE206" i="1"/>
  <c r="AF206" i="1"/>
  <c r="AE207" i="1"/>
  <c r="AF207" i="1"/>
  <c r="AE208" i="1"/>
  <c r="AF208" i="1"/>
  <c r="AE209" i="1"/>
  <c r="AF209" i="1"/>
  <c r="AE210" i="1"/>
  <c r="AF210" i="1"/>
  <c r="AE211" i="1"/>
  <c r="AF211" i="1" s="1"/>
  <c r="AE212" i="1"/>
  <c r="AF212" i="1"/>
  <c r="AE213" i="1"/>
  <c r="AF213" i="1"/>
  <c r="AE214" i="1"/>
  <c r="AF214" i="1"/>
  <c r="AE215" i="1"/>
  <c r="AF215" i="1"/>
  <c r="AE216" i="1"/>
  <c r="AF216" i="1"/>
  <c r="AE217" i="1"/>
  <c r="AF217" i="1" s="1"/>
  <c r="AE218" i="1"/>
  <c r="AF218" i="1"/>
  <c r="AE219" i="1"/>
  <c r="AF219" i="1"/>
  <c r="AE220" i="1"/>
  <c r="AF220" i="1"/>
  <c r="AE221" i="1"/>
  <c r="AF221" i="1"/>
  <c r="AE222" i="1"/>
  <c r="AF222" i="1"/>
  <c r="AE223" i="1"/>
  <c r="AF223" i="1" s="1"/>
  <c r="AE224" i="1"/>
  <c r="AF224" i="1"/>
  <c r="AE225" i="1"/>
  <c r="AF225" i="1"/>
  <c r="AE226" i="1"/>
  <c r="AF226" i="1"/>
  <c r="AC154" i="1"/>
  <c r="AC153" i="1"/>
  <c r="AC152" i="1"/>
  <c r="AC151" i="1"/>
  <c r="AC79" i="1"/>
  <c r="AC78" i="1"/>
  <c r="AC76" i="1"/>
  <c r="AC75" i="1"/>
  <c r="AC74" i="1"/>
  <c r="AC73" i="1"/>
  <c r="AC72" i="1"/>
  <c r="AC71" i="1"/>
  <c r="AC70" i="1"/>
  <c r="AC69" i="1"/>
  <c r="AC63" i="1"/>
  <c r="AC61" i="1"/>
  <c r="AC57" i="1"/>
  <c r="AE154" i="1" l="1"/>
  <c r="AF154" i="1" s="1"/>
  <c r="AE155" i="1"/>
  <c r="AF155" i="1" s="1"/>
  <c r="AE156" i="1"/>
  <c r="AF156" i="1" s="1"/>
  <c r="AE157" i="1"/>
  <c r="AF157" i="1" s="1"/>
  <c r="AE158" i="1"/>
  <c r="AF158" i="1" s="1"/>
  <c r="AE159" i="1"/>
  <c r="AF159" i="1" s="1"/>
  <c r="AE160" i="1"/>
  <c r="AF160" i="1" s="1"/>
  <c r="AE161" i="1"/>
  <c r="AF161" i="1" s="1"/>
  <c r="AE162" i="1"/>
  <c r="AF162" i="1" s="1"/>
  <c r="AE163" i="1"/>
  <c r="AF163" i="1" s="1"/>
  <c r="AE164" i="1"/>
  <c r="AF164" i="1" s="1"/>
  <c r="AE165" i="1"/>
  <c r="AF165" i="1"/>
  <c r="AE166" i="1"/>
  <c r="AF166" i="1"/>
  <c r="AE167" i="1"/>
  <c r="AF167" i="1" s="1"/>
  <c r="AE168" i="1"/>
  <c r="AF168" i="1" s="1"/>
  <c r="AE169" i="1"/>
  <c r="AF169" i="1" s="1"/>
  <c r="AE170" i="1"/>
  <c r="AF170" i="1"/>
  <c r="AE171" i="1"/>
  <c r="AF171" i="1" s="1"/>
  <c r="AE172" i="1"/>
  <c r="AF172" i="1"/>
  <c r="AE173" i="1"/>
  <c r="AF173" i="1" s="1"/>
  <c r="AE174" i="1"/>
  <c r="AF174" i="1" s="1"/>
  <c r="AE175" i="1"/>
  <c r="AF175" i="1" s="1"/>
  <c r="AE176" i="1"/>
  <c r="AF176" i="1" s="1"/>
  <c r="AE177" i="1"/>
  <c r="AF177" i="1"/>
  <c r="AE178" i="1"/>
  <c r="AF178" i="1" s="1"/>
  <c r="AE179" i="1"/>
  <c r="AF179" i="1" s="1"/>
  <c r="AE180" i="1"/>
  <c r="AF180" i="1" s="1"/>
  <c r="AE181" i="1"/>
  <c r="AF181" i="1"/>
  <c r="AE182" i="1"/>
  <c r="AF182" i="1" s="1"/>
  <c r="AE183" i="1"/>
  <c r="AF183" i="1" s="1"/>
  <c r="AE184" i="1"/>
  <c r="AF184" i="1"/>
  <c r="AE185" i="1"/>
  <c r="AF185" i="1" s="1"/>
  <c r="AE186" i="1"/>
  <c r="AF186" i="1" s="1"/>
  <c r="AE187" i="1"/>
  <c r="AF187" i="1"/>
  <c r="AE188" i="1"/>
  <c r="AF188" i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/>
  <c r="AE128" i="1"/>
  <c r="AF128" i="1" s="1"/>
  <c r="AE129" i="1"/>
  <c r="AF129" i="1" s="1"/>
  <c r="AE130" i="1"/>
  <c r="AF130" i="1" s="1"/>
  <c r="AE131" i="1"/>
  <c r="AF131" i="1"/>
  <c r="AE132" i="1"/>
  <c r="AF132" i="1" s="1"/>
  <c r="AE133" i="1"/>
  <c r="AF133" i="1" s="1"/>
  <c r="AE134" i="1"/>
  <c r="AF134" i="1" s="1"/>
  <c r="AE135" i="1"/>
  <c r="AF135" i="1" s="1"/>
  <c r="AE136" i="1"/>
  <c r="AF136" i="1" s="1"/>
  <c r="AE137" i="1"/>
  <c r="AF137" i="1" s="1"/>
  <c r="AE138" i="1"/>
  <c r="AF138" i="1" s="1"/>
  <c r="AE139" i="1"/>
  <c r="AF139" i="1" s="1"/>
  <c r="AE140" i="1"/>
  <c r="AF140" i="1" s="1"/>
  <c r="AE141" i="1"/>
  <c r="AF141" i="1" s="1"/>
  <c r="AE142" i="1"/>
  <c r="AF142" i="1" s="1"/>
  <c r="AE143" i="1"/>
  <c r="AF143" i="1"/>
  <c r="AE144" i="1"/>
  <c r="AF144" i="1" s="1"/>
  <c r="AE145" i="1"/>
  <c r="AF145" i="1" s="1"/>
  <c r="AE146" i="1"/>
  <c r="AF146" i="1" s="1"/>
  <c r="AE147" i="1"/>
  <c r="AF147" i="1" s="1"/>
  <c r="AE148" i="1"/>
  <c r="AF148" i="1" s="1"/>
  <c r="AE149" i="1"/>
  <c r="AF149" i="1" s="1"/>
  <c r="AE150" i="1"/>
  <c r="AF150" i="1" s="1"/>
  <c r="AE151" i="1"/>
  <c r="AF151" i="1"/>
  <c r="AE152" i="1"/>
  <c r="AF152" i="1" s="1"/>
  <c r="AE153" i="1"/>
  <c r="AF153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/>
  <c r="AE111" i="1"/>
  <c r="AF111" i="1" s="1"/>
  <c r="AE112" i="1"/>
  <c r="AF112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2" i="1"/>
  <c r="AF2" i="1" s="1"/>
  <c r="B19" i="2"/>
</calcChain>
</file>

<file path=xl/sharedStrings.xml><?xml version="1.0" encoding="utf-8"?>
<sst xmlns="http://schemas.openxmlformats.org/spreadsheetml/2006/main" count="4924" uniqueCount="183">
  <si>
    <t>Month</t>
  </si>
  <si>
    <t>(All)</t>
  </si>
  <si>
    <t>&lt;- Filter By Month</t>
  </si>
  <si>
    <t>Sum of Hours</t>
  </si>
  <si>
    <t>Column Labels</t>
  </si>
  <si>
    <t>Phase</t>
  </si>
  <si>
    <t>Hours</t>
  </si>
  <si>
    <t>Lower Bound</t>
  </si>
  <si>
    <t>Upper Bound</t>
  </si>
  <si>
    <t>Row Labels</t>
  </si>
  <si>
    <t>Delivery (Billable)</t>
  </si>
  <si>
    <t>Delivery (non-billable) @ $0.00</t>
  </si>
  <si>
    <t>EoT Deployment to UAT</t>
  </si>
  <si>
    <t>Grand Total</t>
  </si>
  <si>
    <t>Analysis</t>
  </si>
  <si>
    <t>60 - 78</t>
  </si>
  <si>
    <t xml:space="preserve">£7,200 </t>
  </si>
  <si>
    <t xml:space="preserve"> £9,360 </t>
  </si>
  <si>
    <t>Nikki Papenfus</t>
  </si>
  <si>
    <t>Build</t>
  </si>
  <si>
    <t>200 - 260</t>
  </si>
  <si>
    <t xml:space="preserve">£24,000 </t>
  </si>
  <si>
    <t xml:space="preserve"> £31,200 </t>
  </si>
  <si>
    <t>Sam Duncan</t>
  </si>
  <si>
    <t>Project Management</t>
  </si>
  <si>
    <t>12 - 15.6</t>
  </si>
  <si>
    <t xml:space="preserve">£1,440 </t>
  </si>
  <si>
    <t xml:space="preserve"> £1,872 </t>
  </si>
  <si>
    <t>Shaun Barrett</t>
  </si>
  <si>
    <t>UAT</t>
  </si>
  <si>
    <t>40 - 52</t>
  </si>
  <si>
    <t xml:space="preserve">£4,800 </t>
  </si>
  <si>
    <t xml:space="preserve"> £6,240 </t>
  </si>
  <si>
    <t>Anjali Salecha</t>
  </si>
  <si>
    <t>Production</t>
  </si>
  <si>
    <t>5 - 6.5</t>
  </si>
  <si>
    <t xml:space="preserve">£600 </t>
  </si>
  <si>
    <t xml:space="preserve"> £780 </t>
  </si>
  <si>
    <t>Khonani Davhana</t>
  </si>
  <si>
    <t>Total</t>
  </si>
  <si>
    <t>317 - 412</t>
  </si>
  <si>
    <t xml:space="preserve">£38,040 </t>
  </si>
  <si>
    <t xml:space="preserve"> £49,452 </t>
  </si>
  <si>
    <t>Tafadzwa Toro</t>
  </si>
  <si>
    <t>Carami Le Grange</t>
  </si>
  <si>
    <t>Dillan Landsberg</t>
  </si>
  <si>
    <t>Matthew Cornfield</t>
  </si>
  <si>
    <t>Matthew Pitcairn</t>
  </si>
  <si>
    <t xml:space="preserve">Sachin  Deshmukh </t>
  </si>
  <si>
    <t>Just keeping track of Non-Billable</t>
  </si>
  <si>
    <t>Billable Total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</si>
  <si>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</si>
  <si>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</si>
  <si>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</si>
  <si>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</si>
  <si>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</si>
  <si>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</si>
  <si>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</si>
  <si>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</si>
  <si>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</si>
  <si>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</si>
  <si>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</si>
  <si>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</si>
  <si>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</si>
  <si>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</si>
  <si>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</si>
  <si>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</si>
  <si>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</si>
  <si>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</si>
  <si>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</si>
  <si>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</si>
  <si>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</si>
  <si>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</si>
  <si>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</si>
  <si>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</si>
  <si>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</si>
  <si>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</si>
  <si>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</si>
  <si>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</si>
  <si>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</si>
  <si>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</si>
  <si>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</si>
  <si>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</si>
  <si>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</si>
  <si>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</si>
  <si>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</si>
  <si>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OB-000599</t>
  </si>
  <si>
    <t>Axis Void Process (T&amp;M)</t>
  </si>
  <si>
    <t>Billable</t>
  </si>
  <si>
    <t>Brendan Canny</t>
  </si>
  <si>
    <t>Delivery</t>
  </si>
  <si>
    <t>Non-billable timecode</t>
  </si>
  <si>
    <t>Standard Timecode</t>
  </si>
  <si>
    <t>GBP</t>
  </si>
  <si>
    <t>Reviewed</t>
  </si>
  <si>
    <t>Axis project stanup. Reading sow doc for axis project discussion with SAm khonani Toro and Dillan about Axis project. Checked Tenancy__c field dependancy on eot for axis project</t>
  </si>
  <si>
    <t>Not submitted</t>
  </si>
  <si>
    <t>Daily standup. Meeting with client - Grainger: Axis Void Management Refinement. Discussion with Sam - Axis void managemet work. Worked on trigger to capture Axis_Modstamp__c field</t>
  </si>
  <si>
    <t>Billable timecode</t>
  </si>
  <si>
    <t>IN08035</t>
  </si>
  <si>
    <t>Daily standup with Nikki. Workedon RMAXIS-196 Calculate when 'Axis Fields Last Modified' so that we can inform Axis of changes to relevant EOT details. worked on RMAXIS-196 in devxas deployed to devxob and tested. Prepared questions to discuss with Sam and Nikki</t>
  </si>
  <si>
    <t>Worked on RMAXIS-185 in devxob. Daily standup. Meeting with client - Grainger: Axis Void Management Refinement. Understanding and analysis of requirements for RMAXIS-180</t>
  </si>
  <si>
    <t>Daily standup. Worked on RMAXIS-181 RMAXIS-180. Test class for RMAXIS-196.</t>
  </si>
  <si>
    <t>Daily standup. Discussion with Sam about new sandbox setup. Questions on stories. Worked on RMAXIS-180. Testing. Worked on moving stories from devxob sadnbox to new dev sandbox called grainger.dev. Refinement session.</t>
  </si>
  <si>
    <t>Daily standup. Worked on AVM-18. Could not complete AVM-18 due to other dependant stories. Worked on AVM-6. Researched about using time fields in flow.</t>
  </si>
  <si>
    <t>Daily standup. Discussion with Sam and Nikki about AVM-5. Worked on Time field value defaulting for AVM-5 did not work. Another discussion with SAm. Tested QA sandbox setup. Worked on new approach for AVM-5</t>
  </si>
  <si>
    <t>Daily standup. Worked on AVM-5. Dev review meeting with Sam - Axis Void Management - Dev Review. Meeting with client - Grainger: Axis Void Management Refinement. Show me with Khonani - Grainger show-me. QA environment deployment for AVM-4 10 &amp; 11. Testing.</t>
  </si>
  <si>
    <t>Daily standup. Worked on AVM-5610 &amp; 11. Testing and deployment to qa environment. Show me with Dillan.</t>
  </si>
  <si>
    <t>1. discussion with toro dev review of AVM-1 with Toro 2. Dev review with Sam for AVM-18 and AVM-7 3. Daily standup 4. Meeting with Shaun and Sam - Grainger deployment estimates 5. Worked on AVM-7 18</t>
  </si>
  <si>
    <t>1. discussion with toro about unit layout related to AVM-1 2. daily standup 3. Partial deployment of AVM-7 and AVM-5 and manual steps note 4. Worked on AVM-20 5. Discussion with Matt C and Khonani - Grainger Website Permissions in UAT</t>
  </si>
  <si>
    <t>1. Dev review of AVM-8 with Toro 2. Implementation approach discussion AVM-21 with Toro 3. Worked on AVM-7 &amp; 18. Deployment and testing 4. Show me with Dillan about AVM-7 &amp; 18 5. Daily standup</t>
  </si>
  <si>
    <t>Deployment of EoT from prod to uat - discussion with Sachin</t>
  </si>
  <si>
    <t>1. Daily standup 2. Discussion wtih Dillan related to issue on AVM-18 3 Worked on AVM-12 and AVM-21. 4. Deployment and testing of AVM-12 and AVM-21</t>
  </si>
  <si>
    <t>1. Daily standup 2. Show Me wtih Dillan and Khonani for AVM-12 and AVM-21  3  Worked on AVM-2  4. Discussion review and deployment of AVM-48 and AVM-49 with Toro</t>
  </si>
  <si>
    <t>1. Daily standup 2. Show Me wtih Dillan for AVM-2. Deployment to QA and testing. 3  Worked on AVM-14  4. Discussion review and deployment of AVM-49 with Toro</t>
  </si>
  <si>
    <t>1. daily standup 2. Worked on AVM-14 3. Deployment and testing of AVM-14 4. Show me AVM-14 with Dillan</t>
  </si>
  <si>
    <t>1. Daily standup 2. Worked on AVM-52 deployment and testing 3. Worked on apex test classes and deployment to qa 4. Discussion with Dillan about Tenancy End Date on Tenancy record.</t>
  </si>
  <si>
    <t>1. Discussion with Sam about AVM-14 and AVM-15 2. Daily standup 3. Worked on story AVM-15 4. Axis &amp; Void Management Report / Data Sharing for Day 1 5. Axis Update and Plan</t>
  </si>
  <si>
    <t>1. Daily standup 2. AVM-15 testing and deployment to qa environment 3. UAT deployment and pre-post deployment steps and configuration 4. Worked on deployment issues - Key Location - Axis Voids permission issue 5. UAT deployment issue - creating EoT from Unit record and default values 6. UAT deployment issue - closing Confirm Notice task 7. UAT deployment issue - creating EoT from Unit record and closed lost opps</t>
  </si>
  <si>
    <t>1. Daily standup 2. worked on AVM-55 deployment to qa and uat. Testing. 3. Discussion with Khonani about PVI  time not populating on EoT. Worked on issue deployment and testing. 4. worked on below issues reported AVM - 57. duplicate heading AVM - 58. link to opp AVM - 59. status - can not be done AVM - 60. Start Date not populated &amp; End Date not calculated AVM - 61. break clause Deployment and testing of above issues</t>
  </si>
  <si>
    <t>1. Daily standup 2. Worked on AVM-63 fix deployment and testing. 3. Void Management (Axis) - Demo</t>
  </si>
  <si>
    <t>1. Discussion with Sam about AVM-62 2. Daily standup 3. Worked on story AVM-62 root cause analysis</t>
  </si>
  <si>
    <t>1. Grainger: Axis Project Retro</t>
  </si>
  <si>
    <t>1. Daily standup 2. Discussion with Jacob and Shaun - AVM-62 Discussion 3. Worked on AVM-62 DLRS updating opp not working with relationship criteria</t>
  </si>
  <si>
    <t>1. Daily standup 2. Meeting with Sachin and Sam about AVM-6265 3. Meeting with Team - Grainger: UAT Feedback Session 4. Discussion with Jacob - AVM 62-65 Discussion 5. Worked on AVM-62 AVM-65 and AVM-64 deployment to UAT and setup check.</t>
  </si>
  <si>
    <t>1. Daily standup 2. Worked on AVM-66 deployment to UAT. Discussion with Nikki 3. Discussion with Khonani about AVM-66 4. Client meeting - Grainger UAT Feedback &amp; Go Live Prep 5. Prapared draft deployment for prod</t>
  </si>
  <si>
    <t>Salaried / Fixed</t>
  </si>
  <si>
    <t>Custom Software</t>
  </si>
  <si>
    <t xml:space="preserve"> </t>
  </si>
  <si>
    <t>Refinement Standup &amp; Time Report</t>
  </si>
  <si>
    <t>Standup</t>
  </si>
  <si>
    <t>Sorting out Jira</t>
  </si>
  <si>
    <t>Standup &amp; Time Reports</t>
  </si>
  <si>
    <t>Standup &amp; Time Report</t>
  </si>
  <si>
    <t>Time Report</t>
  </si>
  <si>
    <t>Standup &amp; refinement</t>
  </si>
  <si>
    <t>Standup &amp; Plan update</t>
  </si>
  <si>
    <t>Final Checks</t>
  </si>
  <si>
    <t>Stand up &amp; QA planning with Khonani</t>
  </si>
  <si>
    <t>QA on AVM-4</t>
  </si>
  <si>
    <t>Test case creation for refined user stories</t>
  </si>
  <si>
    <t>QA AVM-3 AVM-4</t>
  </si>
  <si>
    <t>- Show me and QA: AVM-7 AVM-18 AVM-20 - Stand up</t>
  </si>
  <si>
    <t>QA AVM-18 &amp; AVM-20</t>
  </si>
  <si>
    <t>AVM-48 AVM-18 QA Ac's</t>
  </si>
  <si>
    <t>AVM-18&amp;AVM20 - final test and Close bug - AVM-2 &amp; AVM36</t>
  </si>
  <si>
    <t>Stand Up QA AVM-14</t>
  </si>
  <si>
    <t>Axis retro</t>
  </si>
  <si>
    <t>Data migration from prod to dev sandbox</t>
  </si>
  <si>
    <t>Data migration from prod to dev environment</t>
  </si>
  <si>
    <t>Migrating EOT templates from prod to dev</t>
  </si>
  <si>
    <t>Grainger meeting</t>
  </si>
  <si>
    <t>Requirements planning</t>
  </si>
  <si>
    <t>Andrew Pollock</t>
  </si>
  <si>
    <t>IN07963</t>
  </si>
  <si>
    <t>..</t>
  </si>
  <si>
    <t>User story review &amp; discussion</t>
  </si>
  <si>
    <t>Requirments gathering session with Jaic Jacob Scott</t>
  </si>
  <si>
    <t>Daily standup (15 mins) Refinement session (2 hours)</t>
  </si>
  <si>
    <t>Daily standup (15 mins)</t>
  </si>
  <si>
    <t>Refinement session (1 hour) Daily standup (15 mins)</t>
  </si>
  <si>
    <t>Daily standup (15 mins) Refinement session (1 hour) Environment refresh planning (1 hour)</t>
  </si>
  <si>
    <t>Daily standup (15 mins) Dev review with Anjali (30 mins)</t>
  </si>
  <si>
    <t>Meeting with Axis to confirm report requirements</t>
  </si>
  <si>
    <t>Demo ( 1 hour) Standup (15 mins)</t>
  </si>
  <si>
    <t>Standup (15 mins) Helping Anjali with bugs (1 hour)</t>
  </si>
  <si>
    <t>Retro</t>
  </si>
  <si>
    <t>stand up</t>
  </si>
  <si>
    <t>project prep</t>
  </si>
  <si>
    <t>Reviewing User Stories</t>
  </si>
  <si>
    <t>Axis Void Stand Up Refinement Stories Review</t>
  </si>
  <si>
    <t>Refinement Stand Up</t>
  </si>
  <si>
    <t>AVM-16 Meeting with Sam Stand Up</t>
  </si>
  <si>
    <t>Refinement Catch Up with Tapiwa Standup AVM-16</t>
  </si>
  <si>
    <t>AVM-1</t>
  </si>
  <si>
    <t>Stand Up Dynamic Label Research</t>
  </si>
  <si>
    <t>Approach Review with Anjali Dev Review with Anjali AVM-1 &amp; AVM-8</t>
  </si>
  <si>
    <t>Show Me &amp; AVM-1 &amp; AVM-8</t>
  </si>
  <si>
    <t>AVM 21</t>
  </si>
  <si>
    <t>Fixing bug 48 &amp; 49</t>
  </si>
  <si>
    <t>Debugging and reviewing bug with Anjali and Khonani</t>
  </si>
  <si>
    <t>Void Demo Stand Up</t>
  </si>
  <si>
    <t>Stand Up Retro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</si>
</sst>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16" fillId="35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18.498019560182" createdVersion="8" refreshedVersion="8" minRefreshableVersion="3" recordCount="225" xr:uid="{3AB5B403-6AC9-43EF-832D-43B14554D4E4}">
  <cacheSource type="worksheet">
    <worksheetSource ref="A1:AF226" sheet="Project Timesheets"/>
  </cacheSource>
  <cacheFields count="32">
    <cacheField name="Date" numFmtId="15">
      <sharedItems containsSemiMixedTypes="0" containsNonDate="0" containsDate="1" containsString="0" minDate="2024-03-05T00:00:00" maxDate="2024-05-04T00:00:00"/>
    </cacheField>
    <cacheField name="Person" numFmtId="0">
      <sharedItems containsNonDate="0" count="11">
        <s v="Anjali Salecha"/>
        <s v="Carami Le Grange"/>
        <s v="Dillan Landsberg"/>
        <s v="Khonani Davhana"/>
        <s v="Matthew Cornfield"/>
        <s v="Matthew Pitcairn"/>
        <s v="Nikki Papenfus"/>
        <s v="Sachin  Deshmukh "/>
        <s v="Sam Duncan"/>
        <s v="Shaun Barrett"/>
        <s v="Tafadzwa Toro"/>
      </sharedItems>
    </cacheField>
    <cacheField name="Agreement Type" numFmtId="0">
      <sharedItems containsNonDate="0"/>
    </cacheField>
    <cacheField name="Person Organisation" numFmtId="0">
      <sharedItems containsNonDate="0"/>
    </cacheField>
    <cacheField name="Person Team" numFmtId="0">
      <sharedItems containsNonDate="0"/>
    </cacheField>
    <cacheField name="Person Location" numFmtId="0">
      <sharedItems containsNonDate="0"/>
    </cacheField>
    <cacheField name="Company Name" numFmtId="0">
      <sharedItems containsNonDate="0"/>
    </cacheField>
    <cacheField name="Project Number" numFmtId="0">
      <sharedItems containsNonDate="0"/>
    </cacheField>
    <cacheField name="Project Name" numFmtId="0">
      <sharedItems containsNonDate="0"/>
    </cacheField>
    <cacheField name="Project Type" numFmtId="0">
      <sharedItems containsNonDate="0"/>
    </cacheField>
    <cacheField name="Project Organisation" numFmtId="0">
      <sharedItems containsNonDate="0"/>
    </cacheField>
    <cacheField name="Project Manager" numFmtId="0">
      <sharedItems containsNonDate="0"/>
    </cacheField>
    <cacheField name="Account Manager" numFmtId="0">
      <sharedItems containsNonDate="0"/>
    </cacheField>
    <cacheField name="Line Manager" numFmtId="0">
      <sharedItems containsNonDate="0"/>
    </cacheField>
    <cacheField name="Budget Name" numFmtId="0">
      <sharedItems containsNonDate="0"/>
    </cacheField>
    <cacheField name="Time Entry ID" numFmtId="0">
      <sharedItems containsSemiMixedTypes="0" containsString="0" containsNumber="1" containsInteger="1" minValue="220375" maxValue="243417"/>
    </cacheField>
    <cacheField name="Timecode Name" numFmtId="0">
      <sharedItems containsNonDate="0" count="3">
        <s v="Delivery (non-billable) @ $0.00"/>
        <s v="Delivery (Billable)"/>
        <s v="EoT Deployment to UAT"/>
      </sharedItems>
    </cacheField>
    <cacheField name="Billable Timecode" numFmtId="0">
      <sharedItems containsNonDate="0"/>
    </cacheField>
    <cacheField name="Timecode Type" numFmtId="0">
      <sharedItems containsNonDate="0"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9"/>
    </cacheField>
    <cacheField name="Time" numFmtId="20">
      <sharedItems containsSemiMixedTypes="0" containsNonDate="0" containsDate="1" containsString="0" minDate="1899-12-30T00:15:00" maxDate="1899-12-30T09:00:00"/>
    </cacheField>
    <cacheField name="Worked Amount" numFmtId="0">
      <sharedItems containsSemiMixedTypes="0" containsString="0" containsNumber="1" minValue="0" maxValue="810"/>
    </cacheField>
    <cacheField name="Invoiced Amount" numFmtId="0">
      <sharedItems containsString="0" containsBlank="1" containsNumber="1" containsInteger="1" minValue="30" maxValue="1080"/>
    </cacheField>
    <cacheField name="Invoiced Delta" numFmtId="0">
      <sharedItems containsString="0" containsBlank="1" containsNumber="1" minValue="7.5" maxValue="270"/>
    </cacheField>
    <cacheField name="Invoice #" numFmtId="0">
      <sharedItems containsNonDate="0" containsBlank="1"/>
    </cacheField>
    <cacheField name="Currency" numFmtId="0">
      <sharedItems containsNonDate="0"/>
    </cacheField>
    <cacheField name="Reviewed Status" numFmtId="0">
      <sharedItems containsNonDate="0"/>
    </cacheField>
    <cacheField name="Comment" numFmtId="0">
      <sharedItems containsNonDate="0" longText="1"/>
    </cacheField>
    <cacheField name="Timesheet Status" numFmtId="0">
      <sharedItems containsNonDate="0"/>
    </cacheField>
    <cacheField name="Period" numFmtId="0">
      <sharedItems containsSemiMixedTypes="0" containsString="0" containsNumber="1" containsInteger="1" minValue="3" maxValue="5"/>
    </cacheField>
    <cacheField name="Month" numFmtId="0">
      <sharedItems containsNonDate="0" count="3">
        <s v="March"/>
        <s v="April"/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d v="2024-03-27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578"/>
    <x v="0"/>
    <s v="Non-billable timecode"/>
    <s v="Standard Timecode"/>
    <n v="0"/>
    <n v="4"/>
    <d v="1899-12-30T04:00:00"/>
    <n v="0"/>
    <m/>
    <m/>
    <m/>
    <s v="GBP"/>
    <s v="Reviewed"/>
    <s v="Axis project stanup. Reading sow doc for axis project discussion with SAm khonani Toro and Dillan about Axis project. Checked Tenancy__c field dependancy on eot for axis project"/>
    <s v="Not submitted"/>
    <n v="3"/>
    <x v="0"/>
  </r>
  <r>
    <d v="2024-03-28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577"/>
    <x v="0"/>
    <s v="Non-billable timecode"/>
    <s v="Standard Timecode"/>
    <n v="0"/>
    <n v="6"/>
    <d v="1899-12-30T06:00:00"/>
    <n v="0"/>
    <m/>
    <m/>
    <m/>
    <s v="GBP"/>
    <s v="Reviewed"/>
    <s v="Daily standup. Meeting with client - Grainger: Axis Void Management Refinement. Discussion with Sam - Axis void managemet work. Worked on trigger to capture Axis_Modstamp__c field"/>
    <s v="Not submitted"/>
    <n v="3"/>
    <x v="0"/>
  </r>
  <r>
    <d v="2024-04-01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625"/>
    <x v="1"/>
    <s v="Billable timecode"/>
    <s v="Standard Timecode"/>
    <n v="90"/>
    <n v="8"/>
    <d v="1899-12-30T08:00:00"/>
    <n v="720"/>
    <n v="960"/>
    <n v="240"/>
    <s v="IN08035"/>
    <s v="GBP"/>
    <s v="Reviewed"/>
    <s v="Daily standup with Nikki. Workedon RMAXIS-196 Calculate when 'Axis Fields Last Modified' so that we can inform Axis of changes to relevant EOT details. worked on RMAXIS-196 in devxas deployed to devxob and tested. Prepared questions to discuss with Sam and Nikki"/>
    <s v="Not submitted"/>
    <n v="4"/>
    <x v="1"/>
  </r>
  <r>
    <d v="2024-04-02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627"/>
    <x v="1"/>
    <s v="Billable timecode"/>
    <s v="Standard Timecode"/>
    <n v="90"/>
    <n v="8"/>
    <d v="1899-12-30T08:00:00"/>
    <n v="720"/>
    <n v="960"/>
    <n v="240"/>
    <s v="IN08035"/>
    <s v="GBP"/>
    <s v="Reviewed"/>
    <s v="Worked on RMAXIS-185 in devxob. Daily standup. Meeting with client - Grainger: Axis Void Management Refinement. Understanding and analysis of requirements for RMAXIS-180"/>
    <s v="Not submitted"/>
    <n v="4"/>
    <x v="1"/>
  </r>
  <r>
    <d v="2024-04-03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180"/>
    <x v="1"/>
    <s v="Billable timecode"/>
    <s v="Standard Timecode"/>
    <n v="90"/>
    <n v="8"/>
    <d v="1899-12-30T08:00:00"/>
    <n v="720"/>
    <n v="960"/>
    <n v="240"/>
    <s v="IN08035"/>
    <s v="GBP"/>
    <s v="Reviewed"/>
    <s v="Daily standup. Worked on RMAXIS-181 RMAXIS-180. Test class for RMAXIS-196."/>
    <s v="Not submitted"/>
    <n v="4"/>
    <x v="1"/>
  </r>
  <r>
    <d v="2024-04-04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179"/>
    <x v="1"/>
    <s v="Billable timecode"/>
    <s v="Standard Timecode"/>
    <n v="90"/>
    <n v="8"/>
    <d v="1899-12-30T08:00:00"/>
    <n v="720"/>
    <n v="960"/>
    <n v="240"/>
    <s v="IN08035"/>
    <s v="GBP"/>
    <s v="Reviewed"/>
    <s v="Daily standup. Discussion with Sam about new sandbox setup. Questions on stories. Worked on RMAXIS-180. Testing. Worked on moving stories from devxob sadnbox to new dev sandbox called grainger.dev. Refinement session."/>
    <s v="Not submitted"/>
    <n v="4"/>
    <x v="1"/>
  </r>
  <r>
    <d v="2024-04-05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187"/>
    <x v="1"/>
    <s v="Billable timecode"/>
    <s v="Standard Timecode"/>
    <n v="90"/>
    <n v="6"/>
    <d v="1899-12-30T06:00:00"/>
    <n v="540"/>
    <n v="720"/>
    <n v="180"/>
    <s v="IN08035"/>
    <s v="GBP"/>
    <s v="Reviewed"/>
    <s v="Daily standup. Worked on AVM-18. Could not complete AVM-18 due to other dependant stories. Worked on AVM-6. Researched about using time fields in flow."/>
    <s v="Not submitted"/>
    <n v="4"/>
    <x v="1"/>
  </r>
  <r>
    <d v="2024-04-08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810"/>
    <x v="1"/>
    <s v="Billable timecode"/>
    <s v="Standard Timecode"/>
    <n v="90"/>
    <n v="7.5"/>
    <d v="1899-12-30T07:30:00"/>
    <n v="675"/>
    <n v="900"/>
    <n v="225"/>
    <s v="IN08035"/>
    <s v="GBP"/>
    <s v="Reviewed"/>
    <s v="Daily standup. Discussion with Sam and Nikki about AVM-5. Worked on Time field value defaulting for AVM-5 did not work. Another discussion with SAm. Tested QA sandbox setup. Worked on new approach for AVM-5"/>
    <s v="Not submitted"/>
    <n v="4"/>
    <x v="1"/>
  </r>
  <r>
    <d v="2024-04-09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813"/>
    <x v="1"/>
    <s v="Billable timecode"/>
    <s v="Standard Timecode"/>
    <n v="90"/>
    <n v="8"/>
    <d v="1899-12-30T08:00:00"/>
    <n v="720"/>
    <n v="960"/>
    <n v="240"/>
    <s v="IN08035"/>
    <s v="GBP"/>
    <s v="Reviewed"/>
    <s v="Daily standup. Worked on AVM-5. Dev review meeting with Sam - Axis Void Management - Dev Review. Meeting with client - Grainger: Axis Void Management Refinement. Show me with Khonani - Grainger show-me. QA environment deployment for AVM-4 10 &amp; 11. Testing."/>
    <s v="Not submitted"/>
    <n v="4"/>
    <x v="1"/>
  </r>
  <r>
    <d v="2024-04-10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85"/>
    <x v="1"/>
    <s v="Billable timecode"/>
    <s v="Standard Timecode"/>
    <n v="90"/>
    <n v="8"/>
    <d v="1899-12-30T08:00:00"/>
    <n v="720"/>
    <n v="960"/>
    <n v="240"/>
    <s v="IN08035"/>
    <s v="GBP"/>
    <s v="Reviewed"/>
    <s v="Daily standup. Worked on AVM-5610 &amp; 11. Testing and deployment to qa environment. Show me with Dillan."/>
    <s v="Not submitted"/>
    <n v="4"/>
    <x v="1"/>
  </r>
  <r>
    <d v="2024-04-11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87"/>
    <x v="1"/>
    <s v="Billable timecode"/>
    <s v="Standard Timecode"/>
    <n v="90"/>
    <n v="6"/>
    <d v="1899-12-30T06:00:00"/>
    <n v="540"/>
    <n v="720"/>
    <n v="180"/>
    <s v="IN08035"/>
    <s v="GBP"/>
    <s v="Reviewed"/>
    <s v="1. discussion with toro dev review of AVM-1 with Toro 2. Dev review with Sam for AVM-18 and AVM-7 3. Daily standup 4. Meeting with Shaun and Sam - Grainger deployment estimates 5. Worked on AVM-7 18"/>
    <s v="Not submitted"/>
    <n v="4"/>
    <x v="1"/>
  </r>
  <r>
    <d v="2024-04-12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398"/>
    <x v="1"/>
    <s v="Billable timecode"/>
    <s v="Standard Timecode"/>
    <n v="90"/>
    <n v="6.25"/>
    <d v="1899-12-30T06:15:00"/>
    <n v="562.5"/>
    <n v="750"/>
    <n v="187.5"/>
    <s v="IN08035"/>
    <s v="GBP"/>
    <s v="Reviewed"/>
    <s v="1. discussion with toro about unit layout related to AVM-1 2. daily standup 3. Partial deployment of AVM-7 and AVM-5 and manual steps note 4. Worked on AVM-20 5. Discussion with Matt C and Khonani - Grainger Website Permissions in UAT"/>
    <s v="Not submitted"/>
    <n v="4"/>
    <x v="1"/>
  </r>
  <r>
    <d v="2024-04-15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368"/>
    <x v="1"/>
    <s v="Billable timecode"/>
    <s v="Standard Timecode"/>
    <n v="90"/>
    <n v="7.5"/>
    <d v="1899-12-30T07:30:00"/>
    <n v="675"/>
    <n v="900"/>
    <n v="225"/>
    <s v="IN08035"/>
    <s v="GBP"/>
    <s v="Reviewed"/>
    <s v="1. Dev review of AVM-8 with Toro 2. Implementation approach discussion AVM-21 with Toro 3. Worked on AVM-7 &amp; 18. Deployment and testing 4. Show me with Dillan about AVM-7 &amp; 18 5. Daily standup"/>
    <s v="Not submitted"/>
    <n v="4"/>
    <x v="1"/>
  </r>
  <r>
    <d v="2024-04-15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602"/>
    <x v="2"/>
    <s v="Billable timecode"/>
    <s v="Standard Timecode"/>
    <n v="90"/>
    <n v="0.5"/>
    <d v="1899-12-30T00:30:00"/>
    <n v="45"/>
    <n v="60"/>
    <n v="15"/>
    <s v="IN08035"/>
    <s v="GBP"/>
    <s v="Reviewed"/>
    <s v="Deployment of EoT from prod to uat - discussion with Sachin"/>
    <s v="Not submitted"/>
    <n v="4"/>
    <x v="1"/>
  </r>
  <r>
    <d v="2024-04-16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711"/>
    <x v="1"/>
    <s v="Billable timecode"/>
    <s v="Standard Timecode"/>
    <n v="90"/>
    <n v="6"/>
    <d v="1899-12-30T06:00:00"/>
    <n v="540"/>
    <n v="720"/>
    <n v="180"/>
    <s v="IN08035"/>
    <s v="GBP"/>
    <s v="Reviewed"/>
    <s v="1. Daily standup 2. Discussion wtih Dillan related to issue on AVM-18 3 Worked on AVM-12 and AVM-21. 4. Deployment and testing of AVM-12 and AVM-21"/>
    <s v="Not submitted"/>
    <n v="4"/>
    <x v="1"/>
  </r>
  <r>
    <d v="2024-04-17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326"/>
    <x v="1"/>
    <s v="Billable timecode"/>
    <s v="Standard Timecode"/>
    <n v="90"/>
    <n v="8"/>
    <d v="1899-12-30T08:00:00"/>
    <n v="720"/>
    <n v="960"/>
    <n v="240"/>
    <s v="IN08035"/>
    <s v="GBP"/>
    <s v="Reviewed"/>
    <s v="1. Daily standup 2. Show Me wtih Dillan and Khonani for AVM-12 and AVM-21  3  Worked on AVM-2  4. Discussion review and deployment of AVM-48 and AVM-49 with Toro"/>
    <s v="Not submitted"/>
    <n v="4"/>
    <x v="1"/>
  </r>
  <r>
    <d v="2024-04-18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894"/>
    <x v="1"/>
    <s v="Billable timecode"/>
    <s v="Standard Timecode"/>
    <n v="90"/>
    <n v="7.75"/>
    <d v="1899-12-30T07:45:00"/>
    <n v="697.5"/>
    <n v="930"/>
    <n v="232.5"/>
    <s v="IN08035"/>
    <s v="GBP"/>
    <s v="Reviewed"/>
    <s v="1. Daily standup 2. Show Me wtih Dillan for AVM-2. Deployment to QA and testing. 3  Worked on AVM-14  4. Discussion review and deployment of AVM-49 with Toro"/>
    <s v="Not submitted"/>
    <n v="4"/>
    <x v="1"/>
  </r>
  <r>
    <d v="2024-04-19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730"/>
    <x v="1"/>
    <s v="Billable timecode"/>
    <s v="Standard Timecode"/>
    <n v="90"/>
    <n v="5.75"/>
    <d v="1899-12-30T05:45:00"/>
    <n v="517.5"/>
    <n v="690"/>
    <n v="172.5"/>
    <s v="IN08035"/>
    <s v="GBP"/>
    <s v="Reviewed"/>
    <s v="1. daily standup 2. Worked on AVM-14 3. Deployment and testing of AVM-14 4. Show me AVM-14 with Dillan"/>
    <s v="Not submitted"/>
    <n v="4"/>
    <x v="1"/>
  </r>
  <r>
    <d v="2024-04-22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8037"/>
    <x v="0"/>
    <s v="Non-billable timecode"/>
    <s v="Standard Timecode"/>
    <n v="0"/>
    <n v="5.5"/>
    <d v="1899-12-30T05:30:00"/>
    <n v="0"/>
    <m/>
    <m/>
    <m/>
    <s v="GBP"/>
    <s v="Reviewed"/>
    <s v="1. Daily standup 2. Worked on AVM-52 deployment and testing 3. Worked on apex test classes and deployment to qa 4. Discussion with Dillan about Tenancy End Date on Tenancy record."/>
    <s v="Not submitted"/>
    <n v="4"/>
    <x v="1"/>
  </r>
  <r>
    <d v="2024-04-24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9612"/>
    <x v="1"/>
    <s v="Billable timecode"/>
    <s v="Standard Timecode"/>
    <n v="90"/>
    <n v="8"/>
    <d v="1899-12-30T08:00:00"/>
    <n v="720"/>
    <n v="960"/>
    <n v="240"/>
    <s v="IN08035"/>
    <s v="GBP"/>
    <s v="Reviewed"/>
    <s v="1. Discussion with Sam about AVM-14 and AVM-15 2. Daily standup 3. Worked on story AVM-15 4. Axis &amp; Void Management Report / Data Sharing for Day 1 5. Axis Update and Plan"/>
    <s v="Not submitted"/>
    <n v="4"/>
    <x v="1"/>
  </r>
  <r>
    <d v="2024-04-25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109"/>
    <x v="1"/>
    <s v="Billable timecode"/>
    <s v="Standard Timecode"/>
    <n v="90"/>
    <n v="9"/>
    <d v="1899-12-30T09:00:00"/>
    <n v="810"/>
    <n v="1080"/>
    <n v="270"/>
    <s v="IN08035"/>
    <s v="GBP"/>
    <s v="Reviewed"/>
    <s v="1. Daily standup 2. AVM-15 testing and deployment to qa environment 3. UAT deployment and pre-post deployment steps and configuration 4. Worked on deployment issues - Key Location - Axis Voids permission issue 5. UAT deployment issue - creating EoT from Unit record and default values 6. UAT deployment issue - closing Confirm Notice task 7. UAT deployment issue - creating EoT from Unit record and closed lost opps"/>
    <s v="Not submitted"/>
    <n v="4"/>
    <x v="1"/>
  </r>
  <r>
    <d v="2024-04-26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678"/>
    <x v="1"/>
    <s v="Billable timecode"/>
    <s v="Standard Timecode"/>
    <n v="90"/>
    <n v="8.5"/>
    <d v="1899-12-30T08:30:00"/>
    <n v="765"/>
    <n v="1020"/>
    <n v="255"/>
    <s v="IN08035"/>
    <s v="GBP"/>
    <s v="Reviewed"/>
    <s v="1. Daily standup 2. worked on AVM-55 deployment to qa and uat. Testing. 3. Discussion with Khonani about PVI  time not populating on EoT. Worked on issue deployment and testing. 4. worked on below issues reported AVM - 57. duplicate heading AVM - 58. link to opp AVM - 59. status - can not be done AVM - 60. Start Date not populated &amp; End Date not calculated AVM - 61. break clause Deployment and testing of above issues"/>
    <s v="Not submitted"/>
    <n v="4"/>
    <x v="1"/>
  </r>
  <r>
    <d v="2024-04-29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1094"/>
    <x v="1"/>
    <s v="Billable timecode"/>
    <s v="Standard Timecode"/>
    <n v="90"/>
    <n v="1.75"/>
    <d v="1899-12-30T01:45:00"/>
    <n v="157.5"/>
    <n v="210"/>
    <n v="52.5"/>
    <s v="IN08035"/>
    <s v="GBP"/>
    <s v="Reviewed"/>
    <s v="1. Daily standup 2. Worked on AVM-63 fix deployment and testing. 3. Void Management (Axis) - Demo"/>
    <s v="Not submitted"/>
    <n v="4"/>
    <x v="1"/>
  </r>
  <r>
    <d v="2024-04-30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1825"/>
    <x v="1"/>
    <s v="Billable timecode"/>
    <s v="Standard Timecode"/>
    <n v="90"/>
    <n v="4"/>
    <d v="1899-12-30T04:00:00"/>
    <n v="360"/>
    <n v="480"/>
    <n v="120"/>
    <s v="IN08035"/>
    <s v="GBP"/>
    <s v="Reviewed"/>
    <s v="1. Discussion with Sam about AVM-62 2. Daily standup 3. Worked on story AVM-62 root cause analysis"/>
    <s v="Not submitted"/>
    <n v="4"/>
    <x v="1"/>
  </r>
  <r>
    <d v="2024-04-30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2217"/>
    <x v="0"/>
    <s v="Non-billable timecode"/>
    <s v="Standard Timecode"/>
    <n v="0"/>
    <n v="1"/>
    <d v="1899-12-30T01:00:00"/>
    <n v="0"/>
    <m/>
    <m/>
    <m/>
    <s v="GBP"/>
    <s v="Reviewed"/>
    <s v="1. Grainger: Axis Project Retro"/>
    <s v="Not submitted"/>
    <n v="4"/>
    <x v="1"/>
  </r>
  <r>
    <d v="2024-05-01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2574"/>
    <x v="1"/>
    <s v="Billable timecode"/>
    <s v="Standard Timecode"/>
    <n v="90"/>
    <n v="8.75"/>
    <d v="1899-12-30T08:45:00"/>
    <n v="787.5"/>
    <m/>
    <m/>
    <m/>
    <s v="GBP"/>
    <s v="Reviewed"/>
    <s v="1. Daily standup 2. Discussion with Jacob and Shaun - AVM-62 Discussion 3. Worked on AVM-62 DLRS updating opp not working with relationship criteria"/>
    <s v="Not submitted"/>
    <n v="5"/>
    <x v="2"/>
  </r>
  <r>
    <d v="2024-05-02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2860"/>
    <x v="1"/>
    <s v="Billable timecode"/>
    <s v="Standard Timecode"/>
    <n v="90"/>
    <n v="8"/>
    <d v="1899-12-30T08:00:00"/>
    <n v="720"/>
    <m/>
    <m/>
    <m/>
    <s v="GBP"/>
    <s v="Reviewed"/>
    <s v="1. Daily standup 2. Meeting with Sachin and Sam about AVM-6265 3. Meeting with Team - Grainger: UAT Feedback Session 4. Discussion with Jacob - AVM 62-65 Discussion 5. Worked on AVM-62 AVM-65 and AVM-64 deployment to UAT and setup check."/>
    <s v="Not submitted"/>
    <n v="5"/>
    <x v="2"/>
  </r>
  <r>
    <d v="2024-05-03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3069"/>
    <x v="1"/>
    <s v="Billable timecode"/>
    <s v="Standard Timecode"/>
    <n v="90"/>
    <n v="4.75"/>
    <d v="1899-12-30T04:45:00"/>
    <n v="427.5"/>
    <m/>
    <m/>
    <m/>
    <s v="GBP"/>
    <s v="Reviewed"/>
    <s v="1. Daily standup 2. Worked on AVM-66 deployment to UAT. Discussion with Nikki 3. Discussion with Khonani about AVM-66 4. Client meeting - Grainger UAT Feedback &amp; Go Live Prep 5. Prapared draft deployment for prod"/>
    <s v="Not submitted"/>
    <n v="5"/>
    <x v="2"/>
  </r>
  <r>
    <d v="2024-04-02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420"/>
    <x v="0"/>
    <s v="Non-billable timecode"/>
    <s v="Standard Timecode"/>
    <n v="0"/>
    <n v="2.5"/>
    <d v="1899-12-30T02:30:00"/>
    <n v="0"/>
    <m/>
    <m/>
    <m/>
    <s v="GBP"/>
    <s v="Reviewed"/>
    <s v="Refinement Standup &amp; Time Report"/>
    <s v="Not submitted"/>
    <n v="4"/>
    <x v="1"/>
  </r>
  <r>
    <d v="2024-04-03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878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04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89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05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615"/>
    <x v="0"/>
    <s v="Non-billable timecode"/>
    <s v="Standard Timecode"/>
    <n v="0"/>
    <n v="0.5"/>
    <d v="1899-12-30T00:30:00"/>
    <n v="0"/>
    <m/>
    <m/>
    <m/>
    <s v="GBP"/>
    <s v="Reviewed"/>
    <s v="Sorting out Jira"/>
    <s v="Not submitted"/>
    <n v="4"/>
    <x v="1"/>
  </r>
  <r>
    <d v="2024-04-08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448"/>
    <x v="0"/>
    <s v="Non-billable timecode"/>
    <s v="Standard Timecode"/>
    <n v="0"/>
    <n v="0.5"/>
    <d v="1899-12-30T00:30:00"/>
    <n v="0"/>
    <m/>
    <m/>
    <m/>
    <s v="GBP"/>
    <s v="Reviewed"/>
    <s v="Standup &amp; Time Reports"/>
    <s v="Not submitted"/>
    <n v="4"/>
    <x v="1"/>
  </r>
  <r>
    <d v="2024-04-09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768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0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860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1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193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2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553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5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379"/>
    <x v="0"/>
    <s v="Non-billable timecode"/>
    <s v="Standard Timecode"/>
    <n v="0"/>
    <n v="0.5"/>
    <d v="1899-12-30T00:30:00"/>
    <n v="0"/>
    <m/>
    <m/>
    <m/>
    <s v="GBP"/>
    <s v="Reviewed"/>
    <s v="Standup &amp; Time Report"/>
    <s v="Not submitted"/>
    <n v="4"/>
    <x v="1"/>
  </r>
  <r>
    <d v="2024-04-18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566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9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567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22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8279"/>
    <x v="0"/>
    <s v="Non-billable timecode"/>
    <s v="Standard Timecode"/>
    <n v="0"/>
    <n v="0.25"/>
    <d v="1899-12-30T00:15:00"/>
    <n v="0"/>
    <m/>
    <m/>
    <m/>
    <s v="GBP"/>
    <s v="Reviewed"/>
    <s v="Time Report"/>
    <s v="Not submitted"/>
    <n v="4"/>
    <x v="1"/>
  </r>
  <r>
    <d v="2024-04-23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8781"/>
    <x v="0"/>
    <s v="Non-billable timecode"/>
    <s v="Standard Timecode"/>
    <n v="0"/>
    <n v="0.75"/>
    <d v="1899-12-30T00:45:00"/>
    <n v="0"/>
    <m/>
    <m/>
    <m/>
    <s v="GBP"/>
    <s v="Reviewed"/>
    <s v="Standup &amp; refinement"/>
    <s v="Not submitted"/>
    <n v="4"/>
    <x v="1"/>
  </r>
  <r>
    <d v="2024-04-24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9451"/>
    <x v="0"/>
    <s v="Non-billable timecode"/>
    <s v="Standard Timecode"/>
    <n v="0"/>
    <n v="0.75"/>
    <d v="1899-12-30T00:45:00"/>
    <n v="0"/>
    <m/>
    <m/>
    <m/>
    <s v="GBP"/>
    <s v="Reviewed"/>
    <s v="Standup &amp; Plan update"/>
    <s v="Not submitted"/>
    <n v="4"/>
    <x v="1"/>
  </r>
  <r>
    <d v="2024-04-25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397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26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485"/>
    <x v="0"/>
    <s v="Non-billable timecode"/>
    <s v="Standard Timecode"/>
    <n v="0"/>
    <n v="0.5"/>
    <d v="1899-12-30T00:30:00"/>
    <n v="0"/>
    <m/>
    <m/>
    <m/>
    <s v="GBP"/>
    <s v="Reviewed"/>
    <s v="Final Checks"/>
    <s v="Not submitted"/>
    <n v="4"/>
    <x v="1"/>
  </r>
  <r>
    <d v="2024-04-29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534"/>
    <x v="0"/>
    <s v="Non-billable timecode"/>
    <s v="Standard Timecode"/>
    <n v="0"/>
    <n v="0.5"/>
    <d v="1899-12-30T00:30:00"/>
    <n v="0"/>
    <m/>
    <m/>
    <m/>
    <s v="GBP"/>
    <s v="Reviewed"/>
    <s v="Standup &amp; Time Report"/>
    <s v="Not submitted"/>
    <n v="4"/>
    <x v="1"/>
  </r>
  <r>
    <d v="2024-04-30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526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3-27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8702"/>
    <x v="0"/>
    <s v="Non-billable timecode"/>
    <s v="Standard Timecode"/>
    <n v="0"/>
    <n v="1.5"/>
    <d v="1899-12-30T01:30:00"/>
    <n v="0"/>
    <m/>
    <m/>
    <m/>
    <s v="GBP"/>
    <s v="Reviewed"/>
    <s v=" "/>
    <s v="Not submitted"/>
    <n v="3"/>
    <x v="0"/>
  </r>
  <r>
    <d v="2024-03-28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130"/>
    <x v="0"/>
    <s v="Non-billable timecode"/>
    <s v="Standard Timecode"/>
    <n v="0"/>
    <n v="1.25"/>
    <d v="1899-12-30T01:15:00"/>
    <n v="0"/>
    <m/>
    <m/>
    <m/>
    <s v="GBP"/>
    <s v="Reviewed"/>
    <s v=" "/>
    <s v="Not submitted"/>
    <n v="3"/>
    <x v="0"/>
  </r>
  <r>
    <d v="2024-04-0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277"/>
    <x v="0"/>
    <s v="Non-billable timecode"/>
    <s v="Standard Timecode"/>
    <n v="0"/>
    <n v="2.5"/>
    <d v="1899-12-30T02:30:00"/>
    <n v="0"/>
    <m/>
    <m/>
    <m/>
    <s v="GBP"/>
    <s v="Reviewed"/>
    <s v=" "/>
    <s v="Not submitted"/>
    <n v="4"/>
    <x v="1"/>
  </r>
  <r>
    <d v="2024-04-03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934"/>
    <x v="0"/>
    <s v="Non-billable timecode"/>
    <s v="Standard Timecode"/>
    <n v="0"/>
    <n v="2.75"/>
    <d v="1899-12-30T02:45:00"/>
    <n v="0"/>
    <m/>
    <m/>
    <m/>
    <s v="GBP"/>
    <s v="Reviewed"/>
    <s v=" "/>
    <s v="Not submitted"/>
    <n v="4"/>
    <x v="1"/>
  </r>
  <r>
    <d v="2024-04-04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177"/>
    <x v="0"/>
    <s v="Non-billable timecode"/>
    <s v="Standard Timecode"/>
    <n v="0"/>
    <n v="1.25"/>
    <d v="1899-12-30T01:15:00"/>
    <n v="0"/>
    <m/>
    <m/>
    <m/>
    <s v="GBP"/>
    <s v="Reviewed"/>
    <s v=" "/>
    <s v="Not submitted"/>
    <n v="4"/>
    <x v="1"/>
  </r>
  <r>
    <d v="2024-04-05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785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08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312"/>
    <x v="0"/>
    <s v="Non-billable timecode"/>
    <s v="Standard Timecode"/>
    <n v="0"/>
    <n v="0.5"/>
    <d v="1899-12-30T00:30:00"/>
    <n v="0"/>
    <m/>
    <m/>
    <m/>
    <s v="GBP"/>
    <s v="Reviewed"/>
    <s v="Stand up &amp; QA planning with Khonani"/>
    <s v="Not submitted"/>
    <n v="4"/>
    <x v="1"/>
  </r>
  <r>
    <d v="2024-04-0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947"/>
    <x v="1"/>
    <s v="Billable timecode"/>
    <s v="Standard Timecode"/>
    <n v="90"/>
    <n v="0.5"/>
    <d v="1899-12-30T00:30:00"/>
    <n v="45"/>
    <n v="60"/>
    <n v="15"/>
    <s v="IN08035"/>
    <s v="GBP"/>
    <s v="Reviewed"/>
    <s v="QA on AVM-4"/>
    <s v="Not submitted"/>
    <n v="4"/>
    <x v="1"/>
  </r>
  <r>
    <d v="2024-04-0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789"/>
    <x v="0"/>
    <s v="Non-billable timecode"/>
    <s v="Standard Timecode"/>
    <n v="0"/>
    <n v="2.5"/>
    <d v="1899-12-30T02:30:00"/>
    <n v="0"/>
    <m/>
    <m/>
    <m/>
    <s v="GBP"/>
    <s v="Reviewed"/>
    <e v="#NAME?"/>
    <s v="Not submitted"/>
    <n v="4"/>
    <x v="1"/>
  </r>
  <r>
    <d v="2024-04-10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42"/>
    <x v="1"/>
    <s v="Billable timecode"/>
    <s v="Standard Timecode"/>
    <n v="90"/>
    <n v="1.5"/>
    <d v="1899-12-30T01:30:00"/>
    <n v="135"/>
    <n v="180"/>
    <n v="45"/>
    <s v="IN08035"/>
    <s v="GBP"/>
    <s v="Reviewed"/>
    <s v=" "/>
    <s v="Not submitted"/>
    <n v="4"/>
    <x v="1"/>
  </r>
  <r>
    <d v="2024-04-10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410"/>
    <x v="0"/>
    <s v="Non-billable timecode"/>
    <s v="Standard Timecode"/>
    <n v="0"/>
    <n v="2.5"/>
    <d v="1899-12-30T02:30:00"/>
    <n v="0"/>
    <m/>
    <m/>
    <m/>
    <s v="GBP"/>
    <s v="Reviewed"/>
    <s v="Test case creation for refined user stories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45"/>
    <x v="1"/>
    <s v="Billable timecode"/>
    <s v="Standard Timecode"/>
    <n v="90"/>
    <n v="2"/>
    <d v="1899-12-30T02:00:00"/>
    <n v="180"/>
    <n v="240"/>
    <n v="60"/>
    <s v="IN08035"/>
    <s v="GBP"/>
    <s v="Reviewed"/>
    <s v="QA AVM-3 AVM-4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48"/>
    <x v="0"/>
    <s v="Non-billable timecode"/>
    <s v="Standard Timecode"/>
    <n v="0"/>
    <n v="2"/>
    <d v="1899-12-30T02:00:00"/>
    <n v="0"/>
    <m/>
    <m/>
    <m/>
    <s v="GBP"/>
    <s v="Reviewed"/>
    <e v="#NAME?"/>
    <s v="Not submitted"/>
    <n v="4"/>
    <x v="1"/>
  </r>
  <r>
    <d v="2024-04-1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451"/>
    <x v="1"/>
    <s v="Billable timecode"/>
    <s v="Standard Timecode"/>
    <n v="90"/>
    <n v="2.25"/>
    <d v="1899-12-30T02:15:00"/>
    <n v="202.5"/>
    <n v="270"/>
    <n v="67.5"/>
    <s v="IN08035"/>
    <s v="GBP"/>
    <s v="Reviewed"/>
    <s v=" "/>
    <s v="Not submitted"/>
    <n v="4"/>
    <x v="1"/>
  </r>
  <r>
    <d v="2024-04-1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335"/>
    <x v="0"/>
    <s v="Non-billable timecode"/>
    <s v="Standard Timecode"/>
    <n v="0"/>
    <n v="3.5"/>
    <d v="1899-12-30T03:30:00"/>
    <n v="0"/>
    <m/>
    <m/>
    <m/>
    <s v="GBP"/>
    <s v="Reviewed"/>
    <e v="#NAME?"/>
    <s v="Not submitted"/>
    <n v="4"/>
    <x v="1"/>
  </r>
  <r>
    <d v="2024-04-15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146"/>
    <x v="1"/>
    <s v="Billable timecode"/>
    <s v="Standard Timecode"/>
    <n v="90"/>
    <n v="2.5"/>
    <d v="1899-12-30T02:30:00"/>
    <n v="225"/>
    <n v="300"/>
    <n v="75"/>
    <s v="IN08035"/>
    <s v="GBP"/>
    <s v="Reviewed"/>
    <s v="- Show me and QA: AVM-7 AVM-18 AVM-20 - Stand up"/>
    <s v="Not submitted"/>
    <n v="4"/>
    <x v="1"/>
  </r>
  <r>
    <d v="2024-04-16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697"/>
    <x v="1"/>
    <s v="Billable timecode"/>
    <s v="Standard Timecode"/>
    <n v="90"/>
    <n v="3.25"/>
    <d v="1899-12-30T03:15:00"/>
    <n v="292.5"/>
    <n v="390"/>
    <n v="97.5"/>
    <s v="IN08035"/>
    <s v="GBP"/>
    <s v="Reviewed"/>
    <s v="QA AVM-18 &amp; AVM-20"/>
    <s v="Not submitted"/>
    <n v="4"/>
    <x v="1"/>
  </r>
  <r>
    <d v="2024-04-17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327"/>
    <x v="1"/>
    <s v="Billable timecode"/>
    <s v="Standard Timecode"/>
    <n v="90"/>
    <n v="1.5"/>
    <d v="1899-12-30T01:30:00"/>
    <n v="135"/>
    <n v="180"/>
    <n v="45"/>
    <s v="IN08035"/>
    <s v="GBP"/>
    <s v="Reviewed"/>
    <s v="AVM-48 AVM-18 QA Ac's"/>
    <s v="Not submitted"/>
    <n v="4"/>
    <x v="1"/>
  </r>
  <r>
    <d v="2024-04-18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739"/>
    <x v="1"/>
    <s v="Billable timecode"/>
    <s v="Standard Timecode"/>
    <n v="90"/>
    <n v="1.5"/>
    <d v="1899-12-30T01:30:00"/>
    <n v="135"/>
    <n v="180"/>
    <n v="45"/>
    <s v="IN08035"/>
    <s v="GBP"/>
    <s v="Reviewed"/>
    <s v="AVM-18&amp;AVM20 - final test and Close bug - AVM-2 &amp; AVM36"/>
    <s v="Not submitted"/>
    <n v="4"/>
    <x v="1"/>
  </r>
  <r>
    <d v="2024-04-1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310"/>
    <x v="1"/>
    <s v="Billable timecode"/>
    <s v="Standard Timecode"/>
    <n v="90"/>
    <n v="1.75"/>
    <d v="1899-12-30T01:45:00"/>
    <n v="157.5"/>
    <n v="210"/>
    <n v="52.5"/>
    <s v="IN08035"/>
    <s v="GBP"/>
    <s v="Reviewed"/>
    <s v="Stand Up QA AVM-14"/>
    <s v="Not submitted"/>
    <n v="4"/>
    <x v="1"/>
  </r>
  <r>
    <d v="2024-04-2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8053"/>
    <x v="1"/>
    <s v="Billable timecode"/>
    <s v="Standard Timecode"/>
    <n v="90"/>
    <n v="4.25"/>
    <d v="1899-12-30T04:15:00"/>
    <n v="382.5"/>
    <n v="510"/>
    <n v="127.5"/>
    <s v="IN08035"/>
    <s v="GBP"/>
    <s v="Reviewed"/>
    <e v="#NAME?"/>
    <s v="Not submitted"/>
    <n v="4"/>
    <x v="1"/>
  </r>
  <r>
    <d v="2024-04-23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8744"/>
    <x v="1"/>
    <s v="Billable timecode"/>
    <s v="Standard Timecode"/>
    <n v="90"/>
    <n v="1"/>
    <d v="1899-12-30T01:00:00"/>
    <n v="90"/>
    <n v="120"/>
    <n v="30"/>
    <s v="IN08035"/>
    <s v="GBP"/>
    <s v="Reviewed"/>
    <e v="#NAME?"/>
    <s v="Not submitted"/>
    <n v="4"/>
    <x v="1"/>
  </r>
  <r>
    <d v="2024-04-24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9095"/>
    <x v="1"/>
    <s v="Billable timecode"/>
    <s v="Standard Timecode"/>
    <n v="90"/>
    <n v="4.75"/>
    <d v="1899-12-30T04:45:00"/>
    <n v="427.5"/>
    <n v="570"/>
    <n v="142.5"/>
    <s v="IN08035"/>
    <s v="GBP"/>
    <s v="Reviewed"/>
    <e v="#NAME?"/>
    <s v="Not submitted"/>
    <n v="4"/>
    <x v="1"/>
  </r>
  <r>
    <d v="2024-04-25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9971"/>
    <x v="1"/>
    <s v="Billable timecode"/>
    <s v="Standard Timecode"/>
    <n v="90"/>
    <n v="6.25"/>
    <d v="1899-12-30T06:15:00"/>
    <n v="562.5"/>
    <n v="750"/>
    <n v="187.5"/>
    <s v="IN08035"/>
    <s v="GBP"/>
    <s v="Reviewed"/>
    <e v="#NAME?"/>
    <s v="Not submitted"/>
    <n v="4"/>
    <x v="1"/>
  </r>
  <r>
    <d v="2024-04-26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087"/>
    <x v="1"/>
    <s v="Billable timecode"/>
    <s v="Standard Timecode"/>
    <n v="90"/>
    <n v="3.75"/>
    <d v="1899-12-30T03:45:00"/>
    <n v="337.5"/>
    <n v="450"/>
    <n v="112.5"/>
    <s v="IN08035"/>
    <s v="GBP"/>
    <s v="Reviewed"/>
    <e v="#NAME?"/>
    <s v="Not submitted"/>
    <n v="4"/>
    <x v="1"/>
  </r>
  <r>
    <d v="2024-04-2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869"/>
    <x v="1"/>
    <s v="Billable timecode"/>
    <s v="Standard Timecode"/>
    <n v="90"/>
    <n v="0.25"/>
    <d v="1899-12-30T00:15:00"/>
    <n v="22.5"/>
    <n v="30"/>
    <n v="7.5"/>
    <s v="IN08035"/>
    <s v="GBP"/>
    <s v="Reviewed"/>
    <e v="#NAME?"/>
    <s v="Not submitted"/>
    <n v="4"/>
    <x v="1"/>
  </r>
  <r>
    <d v="2024-04-2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1627"/>
    <x v="0"/>
    <s v="Non-billable timecode"/>
    <s v="Standard Timecode"/>
    <n v="0"/>
    <n v="0.75"/>
    <d v="1899-12-30T00:45:00"/>
    <n v="0"/>
    <m/>
    <m/>
    <m/>
    <s v="GBP"/>
    <s v="Reviewed"/>
    <e v="#NAME?"/>
    <s v="Not submitted"/>
    <n v="4"/>
    <x v="1"/>
  </r>
  <r>
    <d v="2024-04-30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1887"/>
    <x v="1"/>
    <s v="Billable timecode"/>
    <s v="Standard Timecode"/>
    <n v="90"/>
    <n v="0.75"/>
    <d v="1899-12-30T00:45:00"/>
    <n v="67.5"/>
    <n v="90"/>
    <n v="22.5"/>
    <s v="IN08035"/>
    <s v="GBP"/>
    <s v="Reviewed"/>
    <e v="#NAME?"/>
    <s v="Not submitted"/>
    <n v="4"/>
    <x v="1"/>
  </r>
  <r>
    <d v="2024-04-30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1888"/>
    <x v="0"/>
    <s v="Non-billable timecode"/>
    <s v="Standard Timecode"/>
    <n v="0"/>
    <n v="1"/>
    <d v="1899-12-30T01:00:00"/>
    <n v="0"/>
    <m/>
    <m/>
    <m/>
    <s v="GBP"/>
    <s v="Reviewed"/>
    <s v="Axis retro"/>
    <s v="Not submitted"/>
    <n v="4"/>
    <x v="1"/>
  </r>
  <r>
    <d v="2024-05-0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2592"/>
    <x v="1"/>
    <s v="Billable timecode"/>
    <s v="Standard Timecode"/>
    <n v="90"/>
    <n v="1.25"/>
    <d v="1899-12-30T01:15:00"/>
    <n v="112.5"/>
    <m/>
    <m/>
    <m/>
    <s v="GBP"/>
    <s v="Reviewed"/>
    <e v="#NAME?"/>
    <s v="Not submitted"/>
    <n v="5"/>
    <x v="2"/>
  </r>
  <r>
    <d v="2024-05-03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3048"/>
    <x v="0"/>
    <s v="Non-billable timecode"/>
    <s v="Standard Timecode"/>
    <n v="0"/>
    <n v="0.5"/>
    <d v="1899-12-30T00:30:00"/>
    <n v="0"/>
    <m/>
    <m/>
    <m/>
    <s v="GBP"/>
    <s v="Reviewed"/>
    <e v="#NAME?"/>
    <s v="Not submitted"/>
    <n v="5"/>
    <x v="2"/>
  </r>
  <r>
    <d v="2024-03-27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8847"/>
    <x v="0"/>
    <s v="Non-billable timecode"/>
    <s v="Standard Timecode"/>
    <n v="0"/>
    <n v="0.75"/>
    <d v="1899-12-30T00:45:00"/>
    <n v="0"/>
    <m/>
    <m/>
    <m/>
    <s v="GBP"/>
    <s v="Reviewed"/>
    <s v=" "/>
    <s v="Not submitted"/>
    <n v="3"/>
    <x v="0"/>
  </r>
  <r>
    <d v="2024-03-2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9506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3"/>
    <x v="0"/>
  </r>
  <r>
    <d v="2024-04-02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154"/>
    <x v="0"/>
    <s v="Non-billable timecode"/>
    <s v="Standard Timecode"/>
    <n v="0"/>
    <n v="1.75"/>
    <d v="1899-12-30T01:45:00"/>
    <n v="0"/>
    <m/>
    <m/>
    <m/>
    <s v="GBP"/>
    <s v="Reviewed"/>
    <s v=" "/>
    <s v="Not submitted"/>
    <n v="4"/>
    <x v="1"/>
  </r>
  <r>
    <d v="2024-04-03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087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03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085"/>
    <x v="0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4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086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04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764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5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762"/>
    <x v="1"/>
    <s v="Billable timecode"/>
    <s v="Standard Timecode"/>
    <n v="90"/>
    <n v="0.5"/>
    <d v="1899-12-30T00:30:00"/>
    <n v="45"/>
    <n v="60"/>
    <n v="15"/>
    <s v="IN08035"/>
    <s v="GBP"/>
    <s v="Reviewed"/>
    <s v=" "/>
    <s v="Not submitted"/>
    <n v="4"/>
    <x v="1"/>
  </r>
  <r>
    <d v="2024-04-0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22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0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21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0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10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0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11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10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987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11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993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12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011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15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137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16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799"/>
    <x v="1"/>
    <s v="Billable timecode"/>
    <s v="Standard Timecode"/>
    <n v="90"/>
    <n v="0.5"/>
    <d v="1899-12-30T00:30:00"/>
    <n v="45"/>
    <n v="60"/>
    <n v="15"/>
    <s v="IN08035"/>
    <s v="GBP"/>
    <s v="Reviewed"/>
    <s v=" "/>
    <s v="Not submitted"/>
    <n v="4"/>
    <x v="1"/>
  </r>
  <r>
    <d v="2024-04-17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6433"/>
    <x v="1"/>
    <s v="Billable timecode"/>
    <s v="Standard Timecode"/>
    <n v="90"/>
    <n v="2"/>
    <d v="1899-12-30T02:00:00"/>
    <n v="180"/>
    <n v="240"/>
    <n v="60"/>
    <s v="IN08035"/>
    <s v="GBP"/>
    <s v="Reviewed"/>
    <s v=" "/>
    <s v="Not submitted"/>
    <n v="4"/>
    <x v="1"/>
  </r>
  <r>
    <d v="2024-04-1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6964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1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773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1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557"/>
    <x v="2"/>
    <s v="Billable timecode"/>
    <s v="Standard Timecode"/>
    <n v="90"/>
    <n v="1.5"/>
    <d v="1899-12-30T01:30:00"/>
    <n v="135"/>
    <n v="180"/>
    <n v="45"/>
    <s v="IN08035"/>
    <s v="GBP"/>
    <s v="Reviewed"/>
    <s v=" "/>
    <s v="Not submitted"/>
    <n v="4"/>
    <x v="1"/>
  </r>
  <r>
    <d v="2024-04-22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8218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23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8763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24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9311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25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058"/>
    <x v="1"/>
    <s v="Billable timecode"/>
    <s v="Standard Timecode"/>
    <n v="90"/>
    <n v="4.25"/>
    <d v="1899-12-30T04:15:00"/>
    <n v="382.5"/>
    <n v="510"/>
    <n v="127.5"/>
    <s v="IN08035"/>
    <s v="GBP"/>
    <s v="Reviewed"/>
    <s v=" "/>
    <s v="Not submitted"/>
    <n v="4"/>
    <x v="1"/>
  </r>
  <r>
    <d v="2024-04-26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400"/>
    <x v="1"/>
    <s v="Billable timecode"/>
    <s v="Standard Timecode"/>
    <n v="90"/>
    <n v="3"/>
    <d v="1899-12-30T03:00:00"/>
    <n v="270"/>
    <n v="360"/>
    <n v="90"/>
    <s v="IN08035"/>
    <s v="GBP"/>
    <s v="Reviewed"/>
    <s v=" "/>
    <s v="Not submitted"/>
    <n v="4"/>
    <x v="1"/>
  </r>
  <r>
    <d v="2024-04-2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488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2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629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30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915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30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908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5-01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2747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5"/>
    <x v="2"/>
  </r>
  <r>
    <d v="2024-05-02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2757"/>
    <x v="1"/>
    <s v="Billable timecode"/>
    <s v="Standard Timecode"/>
    <n v="90"/>
    <n v="2.75"/>
    <d v="1899-12-30T02:45:00"/>
    <n v="247.5"/>
    <m/>
    <m/>
    <m/>
    <s v="GBP"/>
    <s v="Reviewed"/>
    <s v=" "/>
    <s v="Not submitted"/>
    <n v="5"/>
    <x v="2"/>
  </r>
  <r>
    <d v="2024-05-03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3230"/>
    <x v="1"/>
    <s v="Billable timecode"/>
    <s v="Standard Timecode"/>
    <n v="90"/>
    <n v="1.75"/>
    <d v="1899-12-30T01:45:00"/>
    <n v="157.5"/>
    <m/>
    <m/>
    <m/>
    <s v="GBP"/>
    <s v="Reviewed"/>
    <s v=" "/>
    <s v="Not submitted"/>
    <n v="5"/>
    <x v="2"/>
  </r>
  <r>
    <d v="2024-03-28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109"/>
    <x v="0"/>
    <s v="Non-billable timecode"/>
    <s v="Standard Timecode"/>
    <n v="0"/>
    <n v="3.75"/>
    <d v="1899-12-30T03:45:00"/>
    <n v="0"/>
    <m/>
    <m/>
    <m/>
    <s v="GBP"/>
    <s v="Reviewed"/>
    <s v="Data migration from prod to dev sandbox"/>
    <s v="Not submitted"/>
    <n v="3"/>
    <x v="0"/>
  </r>
  <r>
    <d v="2024-04-02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092"/>
    <x v="0"/>
    <s v="Non-billable timecode"/>
    <s v="Standard Timecode"/>
    <n v="0"/>
    <n v="2.75"/>
    <d v="1899-12-30T02:45:00"/>
    <n v="0"/>
    <m/>
    <m/>
    <m/>
    <s v="GBP"/>
    <s v="Reviewed"/>
    <s v="Data migration from prod to dev environment"/>
    <s v="Not submitted"/>
    <n v="4"/>
    <x v="1"/>
  </r>
  <r>
    <d v="2024-04-03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731"/>
    <x v="0"/>
    <s v="Non-billable timecode"/>
    <s v="Standard Timecode"/>
    <n v="0"/>
    <n v="3"/>
    <d v="1899-12-30T03:00:00"/>
    <n v="0"/>
    <m/>
    <m/>
    <m/>
    <s v="GBP"/>
    <s v="Reviewed"/>
    <s v="Migrating EOT templates from prod to dev"/>
    <s v="Not submitted"/>
    <n v="4"/>
    <x v="1"/>
  </r>
  <r>
    <d v="2024-04-08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585"/>
    <x v="0"/>
    <s v="Non-billable timecode"/>
    <s v="Standard Timecode"/>
    <n v="0"/>
    <n v="2.75"/>
    <d v="1899-12-30T02:45:00"/>
    <n v="0"/>
    <m/>
    <m/>
    <m/>
    <s v="GBP"/>
    <s v="Reviewed"/>
    <s v=" "/>
    <s v="Not submitted"/>
    <n v="4"/>
    <x v="1"/>
  </r>
  <r>
    <d v="2024-03-06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0375"/>
    <x v="0"/>
    <s v="Non-billable timecode"/>
    <s v="Standard Timecode"/>
    <n v="0"/>
    <n v="1.5"/>
    <d v="1899-12-30T01:30:00"/>
    <n v="0"/>
    <m/>
    <m/>
    <m/>
    <s v="GBP"/>
    <s v="Reviewed"/>
    <s v="Grainger meeting"/>
    <s v="Not submitted"/>
    <n v="3"/>
    <x v="0"/>
  </r>
  <r>
    <d v="2024-03-11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2297"/>
    <x v="0"/>
    <s v="Non-billable timecode"/>
    <s v="Standard Timecode"/>
    <n v="0"/>
    <n v="1"/>
    <d v="1899-12-30T01:00:00"/>
    <n v="0"/>
    <m/>
    <m/>
    <m/>
    <s v="GBP"/>
    <s v="Reviewed"/>
    <s v="Requirements planning"/>
    <s v="Not submitted"/>
    <n v="3"/>
    <x v="0"/>
  </r>
  <r>
    <d v="2024-03-13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3525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3"/>
    <x v="0"/>
  </r>
  <r>
    <d v="2024-03-0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0379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3"/>
    <x v="0"/>
  </r>
  <r>
    <d v="2024-03-06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0377"/>
    <x v="1"/>
    <s v="Billable timecode"/>
    <s v="Standard Timecode"/>
    <n v="90"/>
    <n v="1.75"/>
    <d v="1899-12-30T01:45:00"/>
    <n v="157.5"/>
    <n v="210"/>
    <n v="52.5"/>
    <s v="IN07963"/>
    <s v="GBP"/>
    <s v="Reviewed"/>
    <s v=" "/>
    <s v="Not submitted"/>
    <n v="3"/>
    <x v="0"/>
  </r>
  <r>
    <d v="2024-03-11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2480"/>
    <x v="1"/>
    <s v="Billable timecode"/>
    <s v="Standard Timecode"/>
    <n v="90"/>
    <n v="1"/>
    <d v="1899-12-30T01:00:00"/>
    <n v="90"/>
    <n v="120"/>
    <n v="30"/>
    <s v="IN07963"/>
    <s v="GBP"/>
    <s v="Reviewed"/>
    <s v=" "/>
    <s v="Not submitted"/>
    <n v="3"/>
    <x v="0"/>
  </r>
  <r>
    <d v="2024-03-13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3599"/>
    <x v="1"/>
    <s v="Billable timecode"/>
    <s v="Standard Timecode"/>
    <n v="90"/>
    <n v="1"/>
    <d v="1899-12-30T01:00:00"/>
    <n v="90"/>
    <n v="120"/>
    <n v="30"/>
    <s v="IN07963"/>
    <s v="GBP"/>
    <s v="Reviewed"/>
    <s v=" "/>
    <s v="Not submitted"/>
    <n v="3"/>
    <x v="0"/>
  </r>
  <r>
    <d v="2024-03-2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7600"/>
    <x v="1"/>
    <s v="Billable timecode"/>
    <s v="Standard Timecode"/>
    <n v="90"/>
    <n v="0.25"/>
    <d v="1899-12-30T00:15:00"/>
    <n v="22.5"/>
    <n v="30"/>
    <n v="7.5"/>
    <s v="IN07963"/>
    <s v="GBP"/>
    <s v="Reviewed"/>
    <s v=" "/>
    <s v="Not submitted"/>
    <n v="3"/>
    <x v="0"/>
  </r>
  <r>
    <d v="2024-03-27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8789"/>
    <x v="1"/>
    <s v="Billable timecode"/>
    <s v="Standard Timecode"/>
    <n v="90"/>
    <n v="4.5"/>
    <d v="1899-12-30T04:30:00"/>
    <n v="405"/>
    <n v="540"/>
    <n v="135"/>
    <s v="IN07963"/>
    <s v="GBP"/>
    <s v="Reviewed"/>
    <s v=".."/>
    <s v="Not submitted"/>
    <n v="3"/>
    <x v="0"/>
  </r>
  <r>
    <d v="2024-03-28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9677"/>
    <x v="1"/>
    <s v="Billable timecode"/>
    <s v="Standard Timecode"/>
    <n v="90"/>
    <n v="2.5"/>
    <d v="1899-12-30T02:30:00"/>
    <n v="225"/>
    <n v="300"/>
    <n v="75"/>
    <s v="IN07963"/>
    <s v="GBP"/>
    <s v="Reviewed"/>
    <s v=" "/>
    <s v="Not submitted"/>
    <n v="3"/>
    <x v="0"/>
  </r>
  <r>
    <d v="2024-04-01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0320"/>
    <x v="1"/>
    <s v="Billable timecode"/>
    <s v="Standard Timecode"/>
    <n v="90"/>
    <n v="5"/>
    <d v="1899-12-30T05:00:00"/>
    <n v="450"/>
    <n v="600"/>
    <n v="150"/>
    <s v="IN08035"/>
    <s v="GBP"/>
    <s v="Reviewed"/>
    <s v=" "/>
    <s v="Not submitted"/>
    <n v="4"/>
    <x v="1"/>
  </r>
  <r>
    <d v="2024-04-02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0323"/>
    <x v="1"/>
    <s v="Billable timecode"/>
    <s v="Standard Timecode"/>
    <n v="90"/>
    <n v="3.75"/>
    <d v="1899-12-30T03:45:00"/>
    <n v="337.5"/>
    <n v="450"/>
    <n v="112.5"/>
    <s v="IN08035"/>
    <s v="GBP"/>
    <s v="Reviewed"/>
    <s v=" "/>
    <s v="Not submitted"/>
    <n v="4"/>
    <x v="1"/>
  </r>
  <r>
    <d v="2024-04-03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0327"/>
    <x v="1"/>
    <s v="Billable timecode"/>
    <s v="Standard Timecode"/>
    <n v="90"/>
    <n v="3.5"/>
    <d v="1899-12-30T03:30:00"/>
    <n v="315"/>
    <n v="420"/>
    <n v="105"/>
    <s v="IN08035"/>
    <s v="GBP"/>
    <s v="Reviewed"/>
    <s v=" "/>
    <s v="Not submitted"/>
    <n v="4"/>
    <x v="1"/>
  </r>
  <r>
    <d v="2024-04-04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1189"/>
    <x v="1"/>
    <s v="Billable timecode"/>
    <s v="Standard Timecode"/>
    <n v="90"/>
    <n v="3.5"/>
    <d v="1899-12-30T03:30:00"/>
    <n v="315"/>
    <n v="420"/>
    <n v="105"/>
    <s v="IN08035"/>
    <s v="GBP"/>
    <s v="Reviewed"/>
    <s v=" "/>
    <s v="Not submitted"/>
    <n v="4"/>
    <x v="1"/>
  </r>
  <r>
    <d v="2024-04-0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1856"/>
    <x v="1"/>
    <s v="Billable timecode"/>
    <s v="Standard Timecode"/>
    <n v="90"/>
    <n v="4.5"/>
    <d v="1899-12-30T04:30:00"/>
    <n v="405"/>
    <n v="540"/>
    <n v="135"/>
    <s v="IN08035"/>
    <s v="GBP"/>
    <s v="Reviewed"/>
    <s v=" "/>
    <s v="Not submitted"/>
    <n v="4"/>
    <x v="1"/>
  </r>
  <r>
    <d v="2024-04-09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3018"/>
    <x v="1"/>
    <s v="Billable timecode"/>
    <s v="Standard Timecode"/>
    <n v="90"/>
    <n v="1.25"/>
    <d v="1899-12-30T01:15:00"/>
    <n v="112.5"/>
    <n v="150"/>
    <n v="37.5"/>
    <s v="IN08035"/>
    <s v="GBP"/>
    <s v="Reviewed"/>
    <s v=" "/>
    <s v="Not submitted"/>
    <n v="4"/>
    <x v="1"/>
  </r>
  <r>
    <d v="2024-04-10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3629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11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4324"/>
    <x v="1"/>
    <s v="Billable timecode"/>
    <s v="Standard Timecode"/>
    <n v="90"/>
    <n v="0.5"/>
    <d v="1899-12-30T00:30:00"/>
    <n v="45"/>
    <n v="60"/>
    <n v="15"/>
    <s v="IN08035"/>
    <s v="GBP"/>
    <s v="Reviewed"/>
    <s v=" "/>
    <s v="Not submitted"/>
    <n v="4"/>
    <x v="1"/>
  </r>
  <r>
    <d v="2024-04-12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4504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1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5220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16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5869"/>
    <x v="1"/>
    <s v="Billable timecode"/>
    <s v="Standard Timecode"/>
    <n v="90"/>
    <n v="0.5"/>
    <d v="1899-12-30T00:30:00"/>
    <n v="45"/>
    <n v="60"/>
    <n v="15"/>
    <s v="IN08035"/>
    <s v="GBP"/>
    <s v="Reviewed"/>
    <s v=" "/>
    <s v="Not submitted"/>
    <n v="4"/>
    <x v="1"/>
  </r>
  <r>
    <d v="2024-04-17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6458"/>
    <x v="1"/>
    <s v="Billable timecode"/>
    <s v="Standard Timecode"/>
    <n v="90"/>
    <n v="0.5"/>
    <d v="1899-12-30T00:30:00"/>
    <n v="45"/>
    <n v="60"/>
    <n v="15"/>
    <s v="IN08035"/>
    <s v="GBP"/>
    <s v="Reviewed"/>
    <s v=" "/>
    <s v="Not submitted"/>
    <n v="4"/>
    <x v="1"/>
  </r>
  <r>
    <d v="2024-04-19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7421"/>
    <x v="1"/>
    <s v="Billable timecode"/>
    <s v="Standard Timecode"/>
    <n v="90"/>
    <n v="1.5"/>
    <d v="1899-12-30T01:30:00"/>
    <n v="135"/>
    <n v="180"/>
    <n v="45"/>
    <s v="IN08035"/>
    <s v="GBP"/>
    <s v="Reviewed"/>
    <s v=" "/>
    <s v="Not submitted"/>
    <n v="4"/>
    <x v="1"/>
  </r>
  <r>
    <d v="2024-04-22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8268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23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8842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24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9304"/>
    <x v="1"/>
    <s v="Billable timecode"/>
    <s v="Standard Timecode"/>
    <n v="90"/>
    <n v="1.5"/>
    <d v="1899-12-30T01:30:00"/>
    <n v="135"/>
    <n v="180"/>
    <n v="45"/>
    <s v="IN08035"/>
    <s v="GBP"/>
    <s v="Reviewed"/>
    <s v=" "/>
    <s v="Not submitted"/>
    <n v="4"/>
    <x v="1"/>
  </r>
  <r>
    <d v="2024-04-2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9301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26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40487"/>
    <x v="1"/>
    <s v="Billable timecode"/>
    <s v="Standard Timecode"/>
    <n v="90"/>
    <n v="1.5"/>
    <d v="1899-12-30T01:30:00"/>
    <n v="135"/>
    <n v="180"/>
    <n v="45"/>
    <s v="IN08035"/>
    <s v="GBP"/>
    <s v="Reviewed"/>
    <s v=" "/>
    <s v="Not submitted"/>
    <n v="4"/>
    <x v="1"/>
  </r>
  <r>
    <d v="2024-04-29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41174"/>
    <x v="1"/>
    <s v="Billable timecode"/>
    <s v="Standard Timecode"/>
    <n v="90"/>
    <n v="7.25"/>
    <d v="1899-12-30T07:15:00"/>
    <n v="652.5"/>
    <n v="870"/>
    <n v="217.5"/>
    <s v="IN08035"/>
    <s v="GBP"/>
    <s v="Reviewed"/>
    <s v=" "/>
    <s v="Not submitted"/>
    <n v="4"/>
    <x v="1"/>
  </r>
  <r>
    <d v="2024-04-30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41178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30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42031"/>
    <x v="0"/>
    <s v="Non-billable timecode"/>
    <s v="Standard Timecode"/>
    <n v="0"/>
    <n v="1.25"/>
    <d v="1899-12-30T01:15:00"/>
    <n v="0"/>
    <m/>
    <m/>
    <m/>
    <s v="GBP"/>
    <s v="Reviewed"/>
    <s v=" "/>
    <s v="Not submitted"/>
    <n v="4"/>
    <x v="1"/>
  </r>
  <r>
    <d v="2024-05-01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42525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5"/>
    <x v="2"/>
  </r>
  <r>
    <d v="2024-05-02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42765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5"/>
    <x v="2"/>
  </r>
  <r>
    <d v="2024-05-03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43266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5"/>
    <x v="2"/>
  </r>
  <r>
    <d v="2024-04-15T00:00:00"/>
    <x v="7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369"/>
    <x v="2"/>
    <s v="Billable timecode"/>
    <s v="Standard Timecode"/>
    <n v="90"/>
    <n v="5"/>
    <d v="1899-12-30T05:00:00"/>
    <n v="450"/>
    <n v="600"/>
    <n v="150"/>
    <s v="IN08035"/>
    <s v="GBP"/>
    <s v="Reviewed"/>
    <e v="#NAME?"/>
    <s v="Not submitted"/>
    <n v="4"/>
    <x v="1"/>
  </r>
  <r>
    <d v="2024-04-16T00:00:00"/>
    <x v="7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701"/>
    <x v="2"/>
    <s v="Billable timecode"/>
    <s v="Standard Timecode"/>
    <n v="90"/>
    <n v="8.5"/>
    <d v="1899-12-30T08:30:00"/>
    <n v="765"/>
    <n v="1020"/>
    <n v="255"/>
    <s v="IN08035"/>
    <s v="GBP"/>
    <s v="Reviewed"/>
    <e v="#NAME?"/>
    <s v="Not submitted"/>
    <n v="4"/>
    <x v="1"/>
  </r>
  <r>
    <d v="2024-04-18T00:00:00"/>
    <x v="7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839"/>
    <x v="2"/>
    <s v="Billable timecode"/>
    <s v="Standard Timecode"/>
    <n v="90"/>
    <n v="5"/>
    <d v="1899-12-30T05:00:00"/>
    <n v="450"/>
    <n v="600"/>
    <n v="150"/>
    <s v="IN08035"/>
    <s v="GBP"/>
    <s v="Reviewed"/>
    <e v="#NAME?"/>
    <s v="Not submitted"/>
    <n v="4"/>
    <x v="1"/>
  </r>
  <r>
    <d v="2024-04-19T00:00:00"/>
    <x v="7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358"/>
    <x v="2"/>
    <s v="Billable timecode"/>
    <s v="Standard Timecode"/>
    <n v="90"/>
    <n v="1"/>
    <d v="1899-12-30T01:00:00"/>
    <n v="90"/>
    <n v="120"/>
    <n v="30"/>
    <s v="IN08035"/>
    <s v="GBP"/>
    <s v="Reviewed"/>
    <e v="#NAME?"/>
    <s v="Not submitted"/>
    <n v="4"/>
    <x v="1"/>
  </r>
  <r>
    <d v="2024-03-06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2230"/>
    <x v="1"/>
    <s v="Billable timecode"/>
    <s v="Standard Timecode"/>
    <n v="90"/>
    <n v="1.5"/>
    <d v="1899-12-30T01:30:00"/>
    <n v="135"/>
    <n v="180"/>
    <n v="45"/>
    <s v="IN07963"/>
    <s v="GBP"/>
    <s v="Reviewed"/>
    <s v="User story review &amp; discussion"/>
    <s v="Not submitted"/>
    <n v="3"/>
    <x v="0"/>
  </r>
  <r>
    <d v="2024-03-11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3051"/>
    <x v="1"/>
    <s v="Billable timecode"/>
    <s v="Standard Timecode"/>
    <n v="90"/>
    <n v="1"/>
    <d v="1899-12-30T01:00:00"/>
    <n v="90"/>
    <n v="120"/>
    <n v="30"/>
    <s v="IN07963"/>
    <s v="GBP"/>
    <s v="Reviewed"/>
    <s v="Requirments gathering session with Jaic Jacob Scott"/>
    <s v="Not submitted"/>
    <n v="3"/>
    <x v="0"/>
  </r>
  <r>
    <d v="2024-04-02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45"/>
    <x v="1"/>
    <s v="Billable timecode"/>
    <s v="Standard Timecode"/>
    <n v="90"/>
    <n v="2.25"/>
    <d v="1899-12-30T02:15:00"/>
    <n v="202.5"/>
    <n v="270"/>
    <n v="67.5"/>
    <s v="IN08035"/>
    <s v="GBP"/>
    <s v="Reviewed"/>
    <s v="Daily standup (15 mins) Refinement session (2 hours)"/>
    <s v="Not submitted"/>
    <n v="4"/>
    <x v="1"/>
  </r>
  <r>
    <d v="2024-04-03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63"/>
    <x v="1"/>
    <s v="Billable timecode"/>
    <s v="Standard Timecode"/>
    <n v="90"/>
    <n v="0.25"/>
    <d v="1899-12-30T00:15:00"/>
    <n v="22.5"/>
    <n v="30"/>
    <n v="7.5"/>
    <s v="IN08035"/>
    <s v="GBP"/>
    <s v="Reviewed"/>
    <s v="Daily standup (15 mins)"/>
    <s v="Not submitted"/>
    <n v="4"/>
    <x v="1"/>
  </r>
  <r>
    <d v="2024-04-04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62"/>
    <x v="1"/>
    <s v="Billable timecode"/>
    <s v="Standard Timecode"/>
    <n v="90"/>
    <n v="1.25"/>
    <d v="1899-12-30T01:15:00"/>
    <n v="112.5"/>
    <n v="150"/>
    <n v="37.5"/>
    <s v="IN08035"/>
    <s v="GBP"/>
    <s v="Reviewed"/>
    <s v="Refinement session (1 hour) Daily standup (15 mins)"/>
    <s v="Not submitted"/>
    <n v="4"/>
    <x v="1"/>
  </r>
  <r>
    <d v="2024-04-05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64"/>
    <x v="1"/>
    <s v="Billable timecode"/>
    <s v="Standard Timecode"/>
    <n v="90"/>
    <n v="0.25"/>
    <d v="1899-12-30T00:15:00"/>
    <n v="22.5"/>
    <n v="30"/>
    <n v="7.5"/>
    <s v="IN08035"/>
    <s v="GBP"/>
    <s v="Reviewed"/>
    <s v="Daily standup (15 mins)"/>
    <s v="Not submitted"/>
    <n v="4"/>
    <x v="1"/>
  </r>
  <r>
    <d v="2024-04-08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746"/>
    <x v="1"/>
    <s v="Billable timecode"/>
    <s v="Standard Timecode"/>
    <n v="90"/>
    <n v="0.25"/>
    <d v="1899-12-30T00:15:00"/>
    <n v="22.5"/>
    <n v="30"/>
    <n v="7.5"/>
    <s v="IN08035"/>
    <s v="GBP"/>
    <s v="Reviewed"/>
    <s v="Daily standup (15 mins)"/>
    <s v="Not submitted"/>
    <n v="4"/>
    <x v="1"/>
  </r>
  <r>
    <d v="2024-04-09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747"/>
    <x v="1"/>
    <s v="Billable timecode"/>
    <s v="Standard Timecode"/>
    <n v="90"/>
    <n v="2.25"/>
    <d v="1899-12-30T02:15:00"/>
    <n v="202.5"/>
    <n v="270"/>
    <n v="67.5"/>
    <s v="IN08035"/>
    <s v="GBP"/>
    <s v="Reviewed"/>
    <s v="Daily standup (15 mins) Refinement session (1 hour) Environment refresh planning (1 hour)"/>
    <s v="Not submitted"/>
    <n v="4"/>
    <x v="1"/>
  </r>
  <r>
    <d v="2024-04-11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828"/>
    <x v="1"/>
    <s v="Billable timecode"/>
    <s v="Standard Timecode"/>
    <n v="90"/>
    <n v="0.75"/>
    <d v="1899-12-30T00:45:00"/>
    <n v="67.5"/>
    <n v="90"/>
    <n v="22.5"/>
    <s v="IN08035"/>
    <s v="GBP"/>
    <s v="Reviewed"/>
    <s v="Daily standup (15 mins) Dev review with Anjali (30 mins)"/>
    <s v="Not submitted"/>
    <n v="4"/>
    <x v="1"/>
  </r>
  <r>
    <d v="2024-04-24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654"/>
    <x v="1"/>
    <s v="Billable timecode"/>
    <s v="Standard Timecode"/>
    <n v="90"/>
    <n v="0.5"/>
    <d v="1899-12-30T00:30:00"/>
    <n v="45"/>
    <n v="60"/>
    <n v="15"/>
    <s v="IN08035"/>
    <s v="GBP"/>
    <s v="Reviewed"/>
    <s v="Meeting with Axis to confirm report requirements"/>
    <s v="Not submitted"/>
    <n v="4"/>
    <x v="1"/>
  </r>
  <r>
    <d v="2024-04-29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2197"/>
    <x v="1"/>
    <s v="Billable timecode"/>
    <s v="Standard Timecode"/>
    <n v="90"/>
    <n v="1.25"/>
    <d v="1899-12-30T01:15:00"/>
    <n v="112.5"/>
    <n v="150"/>
    <n v="37.5"/>
    <s v="IN08035"/>
    <s v="GBP"/>
    <s v="Reviewed"/>
    <s v="Demo ( 1 hour) Standup (15 mins)"/>
    <s v="Not submitted"/>
    <n v="4"/>
    <x v="1"/>
  </r>
  <r>
    <d v="2024-04-30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2204"/>
    <x v="1"/>
    <s v="Billable timecode"/>
    <s v="Standard Timecode"/>
    <n v="90"/>
    <n v="1.25"/>
    <d v="1899-12-30T01:15:00"/>
    <n v="112.5"/>
    <n v="150"/>
    <n v="37.5"/>
    <s v="IN08035"/>
    <s v="GBP"/>
    <s v="Reviewed"/>
    <s v="Standup (15 mins) Helping Anjali with bugs (1 hour)"/>
    <s v="Not submitted"/>
    <n v="4"/>
    <x v="1"/>
  </r>
  <r>
    <d v="2024-04-30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2203"/>
    <x v="0"/>
    <s v="Non-billable timecode"/>
    <s v="Standard Timecode"/>
    <n v="0"/>
    <n v="1"/>
    <d v="1899-12-30T01:00:00"/>
    <n v="0"/>
    <m/>
    <m/>
    <m/>
    <s v="GBP"/>
    <s v="Reviewed"/>
    <s v="Retro"/>
    <s v="Not submitted"/>
    <n v="4"/>
    <x v="1"/>
  </r>
  <r>
    <d v="2024-03-27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8823"/>
    <x v="1"/>
    <s v="Billable timecode"/>
    <s v="Standard Timecode"/>
    <n v="90"/>
    <n v="0.25"/>
    <d v="1899-12-30T00:15:00"/>
    <n v="22.5"/>
    <n v="30"/>
    <n v="7.5"/>
    <s v="IN07963"/>
    <s v="GBP"/>
    <s v="Reviewed"/>
    <s v="stand up"/>
    <s v="Not submitted"/>
    <n v="3"/>
    <x v="0"/>
  </r>
  <r>
    <d v="2024-03-27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8824"/>
    <x v="0"/>
    <s v="Non-billable timecode"/>
    <s v="Standard Timecode"/>
    <n v="0"/>
    <n v="0.5"/>
    <d v="1899-12-30T00:30:00"/>
    <n v="0"/>
    <m/>
    <m/>
    <m/>
    <s v="GBP"/>
    <s v="Reviewed"/>
    <s v="project prep"/>
    <s v="Not submitted"/>
    <n v="3"/>
    <x v="0"/>
  </r>
  <r>
    <d v="2024-03-28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9552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3"/>
    <x v="0"/>
  </r>
  <r>
    <d v="2024-04-02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406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03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870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04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545"/>
    <x v="1"/>
    <s v="Billable timecode"/>
    <s v="Standard Timecode"/>
    <n v="90"/>
    <n v="0.5"/>
    <d v="1899-12-30T00:30:00"/>
    <n v="45"/>
    <n v="60"/>
    <n v="15"/>
    <s v="IN08035"/>
    <s v="GBP"/>
    <s v="Reviewed"/>
    <s v=" "/>
    <s v="Not submitted"/>
    <n v="4"/>
    <x v="1"/>
  </r>
  <r>
    <d v="2024-04-05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550"/>
    <x v="1"/>
    <s v="Billable timecode"/>
    <s v="Standard Timecode"/>
    <n v="90"/>
    <n v="0.5"/>
    <d v="1899-12-30T00:30:00"/>
    <n v="45"/>
    <n v="60"/>
    <n v="15"/>
    <s v="IN08035"/>
    <s v="GBP"/>
    <s v="Reviewed"/>
    <s v=" "/>
    <s v="Not submitted"/>
    <n v="4"/>
    <x v="1"/>
  </r>
  <r>
    <d v="2024-04-08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523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09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121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09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128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10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820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11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262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12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429"/>
    <x v="1"/>
    <s v="Billable timecode"/>
    <s v="Standard Timecode"/>
    <n v="90"/>
    <n v="0.5"/>
    <d v="1899-12-30T00:30:00"/>
    <n v="45"/>
    <n v="60"/>
    <n v="15"/>
    <s v="IN08035"/>
    <s v="GBP"/>
    <s v="Reviewed"/>
    <s v=" "/>
    <s v="Not submitted"/>
    <n v="4"/>
    <x v="1"/>
  </r>
  <r>
    <d v="2024-04-15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323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16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995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17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6706"/>
    <x v="1"/>
    <s v="Billable timecode"/>
    <s v="Standard Timecode"/>
    <n v="90"/>
    <n v="0.5"/>
    <d v="1899-12-30T00:30:00"/>
    <n v="45"/>
    <n v="60"/>
    <n v="15"/>
    <s v="IN08035"/>
    <s v="GBP"/>
    <s v="Reviewed"/>
    <s v=" "/>
    <s v="Not submitted"/>
    <n v="4"/>
    <x v="1"/>
  </r>
  <r>
    <d v="2024-04-18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124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19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710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22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8352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23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9021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24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9575"/>
    <x v="1"/>
    <s v="Billable timecode"/>
    <s v="Standard Timecode"/>
    <n v="90"/>
    <n v="2"/>
    <d v="1899-12-30T02:00:00"/>
    <n v="180"/>
    <n v="240"/>
    <n v="60"/>
    <s v="IN08035"/>
    <s v="GBP"/>
    <s v="Reviewed"/>
    <s v=" "/>
    <s v="Not submitted"/>
    <n v="4"/>
    <x v="1"/>
  </r>
  <r>
    <d v="2024-04-25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338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26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368"/>
    <x v="1"/>
    <s v="Billable timecode"/>
    <s v="Standard Timecode"/>
    <n v="90"/>
    <n v="1.5"/>
    <d v="1899-12-30T01:30:00"/>
    <n v="135"/>
    <n v="180"/>
    <n v="45"/>
    <s v="IN08035"/>
    <s v="GBP"/>
    <s v="Reviewed"/>
    <s v=" "/>
    <s v="Not submitted"/>
    <n v="4"/>
    <x v="1"/>
  </r>
  <r>
    <d v="2024-04-29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505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29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506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30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944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30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941"/>
    <x v="0"/>
    <s v="Non-billable timecode"/>
    <s v="Standard Timecode"/>
    <n v="0"/>
    <n v="2"/>
    <d v="1899-12-30T02:00:00"/>
    <n v="0"/>
    <m/>
    <m/>
    <m/>
    <s v="GBP"/>
    <s v="Reviewed"/>
    <s v=" "/>
    <s v="Not submitted"/>
    <n v="4"/>
    <x v="1"/>
  </r>
  <r>
    <d v="2024-05-02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2737"/>
    <x v="1"/>
    <s v="Billable timecode"/>
    <s v="Standard Timecode"/>
    <n v="90"/>
    <n v="2"/>
    <d v="1899-12-30T02:00:00"/>
    <n v="180"/>
    <m/>
    <m/>
    <m/>
    <s v="GBP"/>
    <s v="Reviewed"/>
    <s v=" "/>
    <s v="Not submitted"/>
    <n v="5"/>
    <x v="2"/>
  </r>
  <r>
    <d v="2024-05-03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3417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5"/>
    <x v="2"/>
  </r>
  <r>
    <d v="2024-03-27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343"/>
    <x v="0"/>
    <s v="Non-billable timecode"/>
    <s v="Standard Timecode"/>
    <n v="0"/>
    <n v="2"/>
    <d v="1899-12-30T02:00:00"/>
    <n v="0"/>
    <m/>
    <m/>
    <m/>
    <s v="GBP"/>
    <s v="Reviewed"/>
    <s v="Reviewing User Stories"/>
    <s v="Not submitted"/>
    <n v="3"/>
    <x v="0"/>
  </r>
  <r>
    <d v="2024-03-28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342"/>
    <x v="0"/>
    <s v="Non-billable timecode"/>
    <s v="Standard Timecode"/>
    <n v="0"/>
    <n v="3"/>
    <d v="1899-12-30T03:00:00"/>
    <n v="0"/>
    <m/>
    <m/>
    <m/>
    <s v="GBP"/>
    <s v="Reviewed"/>
    <s v="Axis Void Stand Up Refinement Stories Review"/>
    <s v="Not submitted"/>
    <n v="3"/>
    <x v="0"/>
  </r>
  <r>
    <d v="2024-04-02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25"/>
    <x v="1"/>
    <s v="Billable timecode"/>
    <s v="Standard Timecode"/>
    <n v="90"/>
    <n v="2.25"/>
    <d v="1899-12-30T02:15:00"/>
    <n v="202.5"/>
    <n v="270"/>
    <n v="67.5"/>
    <s v="IN08035"/>
    <s v="GBP"/>
    <s v="Reviewed"/>
    <s v="Refinement Stand Up"/>
    <s v="Not submitted"/>
    <n v="4"/>
    <x v="1"/>
  </r>
  <r>
    <d v="2024-04-03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29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04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31"/>
    <x v="1"/>
    <s v="Billable timecode"/>
    <s v="Standard Timecode"/>
    <n v="90"/>
    <n v="1.25"/>
    <d v="1899-12-30T01:15:00"/>
    <n v="112.5"/>
    <n v="150"/>
    <n v="37.5"/>
    <s v="IN08035"/>
    <s v="GBP"/>
    <s v="Reviewed"/>
    <s v="Refinement Stand Up"/>
    <s v="Not submitted"/>
    <n v="4"/>
    <x v="1"/>
  </r>
  <r>
    <d v="2024-04-05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36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08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1"/>
    <x v="0"/>
    <s v="Non-billable timecode"/>
    <s v="Standard Timecode"/>
    <n v="0"/>
    <n v="7"/>
    <d v="1899-12-30T07:00:00"/>
    <n v="0"/>
    <m/>
    <m/>
    <m/>
    <s v="GBP"/>
    <s v="Reviewed"/>
    <s v="AVM-16 Meeting with Sam Stand Up"/>
    <s v="Not submitted"/>
    <n v="4"/>
    <x v="1"/>
  </r>
  <r>
    <d v="2024-04-09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2"/>
    <x v="0"/>
    <s v="Non-billable timecode"/>
    <s v="Standard Timecode"/>
    <n v="0"/>
    <n v="6.25"/>
    <d v="1899-12-30T06:15:00"/>
    <n v="0"/>
    <m/>
    <m/>
    <m/>
    <s v="GBP"/>
    <s v="Reviewed"/>
    <s v="Refinement Catch Up with Tapiwa Standup AVM-16"/>
    <s v="Not submitted"/>
    <n v="4"/>
    <x v="1"/>
  </r>
  <r>
    <d v="2024-04-10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4"/>
    <x v="1"/>
    <s v="Billable timecode"/>
    <s v="Standard Timecode"/>
    <n v="90"/>
    <n v="5.75"/>
    <d v="1899-12-30T05:45:00"/>
    <n v="517.5"/>
    <n v="690"/>
    <n v="172.5"/>
    <s v="IN08035"/>
    <s v="GBP"/>
    <s v="Reviewed"/>
    <s v="AVM-1"/>
    <s v="Not submitted"/>
    <n v="4"/>
    <x v="1"/>
  </r>
  <r>
    <d v="2024-04-10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3"/>
    <x v="0"/>
    <s v="Non-billable timecode"/>
    <s v="Standard Timecode"/>
    <n v="0"/>
    <n v="2.25"/>
    <d v="1899-12-30T02:15:00"/>
    <n v="0"/>
    <m/>
    <m/>
    <m/>
    <s v="GBP"/>
    <s v="Reviewed"/>
    <s v="Stand Up Dynamic Label Research"/>
    <s v="Not submitted"/>
    <n v="4"/>
    <x v="1"/>
  </r>
  <r>
    <d v="2024-04-11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10"/>
    <x v="1"/>
    <s v="Billable timecode"/>
    <s v="Standard Timecode"/>
    <n v="90"/>
    <n v="3.5"/>
    <d v="1899-12-30T03:30:00"/>
    <n v="315"/>
    <n v="420"/>
    <n v="105"/>
    <s v="IN08035"/>
    <s v="GBP"/>
    <s v="Reviewed"/>
    <s v="Approach Review with Anjali Dev Review with Anjali AVM-1 &amp; AVM-8"/>
    <s v="Not submitted"/>
    <n v="4"/>
    <x v="1"/>
  </r>
  <r>
    <d v="2024-04-11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5"/>
    <x v="0"/>
    <s v="Non-billable timecode"/>
    <s v="Standard Timecode"/>
    <n v="0"/>
    <n v="3.5"/>
    <d v="1899-12-30T03:30:00"/>
    <n v="0"/>
    <m/>
    <m/>
    <m/>
    <s v="GBP"/>
    <s v="Reviewed"/>
    <s v=" "/>
    <s v="Not submitted"/>
    <n v="4"/>
    <x v="1"/>
  </r>
  <r>
    <d v="2024-04-12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940"/>
    <x v="1"/>
    <s v="Billable timecode"/>
    <s v="Standard Timecode"/>
    <n v="90"/>
    <n v="3"/>
    <d v="1899-12-30T03:00:00"/>
    <n v="270"/>
    <n v="360"/>
    <n v="90"/>
    <s v="IN08035"/>
    <s v="GBP"/>
    <s v="Reviewed"/>
    <s v="Show Me &amp; AVM-1 &amp; AVM-8"/>
    <s v="Not submitted"/>
    <n v="4"/>
    <x v="1"/>
  </r>
  <r>
    <d v="2024-04-12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930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5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542"/>
    <x v="1"/>
    <s v="Billable timecode"/>
    <s v="Standard Timecode"/>
    <n v="90"/>
    <n v="5.75"/>
    <d v="1899-12-30T05:45:00"/>
    <n v="517.5"/>
    <n v="690"/>
    <n v="172.5"/>
    <s v="IN08035"/>
    <s v="GBP"/>
    <s v="Reviewed"/>
    <s v="AVM 21"/>
    <s v="Not submitted"/>
    <n v="4"/>
    <x v="1"/>
  </r>
  <r>
    <d v="2024-04-15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359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6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538"/>
    <x v="0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7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544"/>
    <x v="1"/>
    <s v="Billable timecode"/>
    <s v="Standard Timecode"/>
    <n v="90"/>
    <n v="6"/>
    <d v="1899-12-30T06:00:00"/>
    <n v="540"/>
    <n v="720"/>
    <n v="180"/>
    <s v="IN08035"/>
    <s v="GBP"/>
    <s v="Reviewed"/>
    <s v="Fixing bug 48 &amp; 49"/>
    <s v="Not submitted"/>
    <n v="4"/>
    <x v="1"/>
  </r>
  <r>
    <d v="2024-04-17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543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8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110"/>
    <x v="1"/>
    <s v="Billable timecode"/>
    <s v="Standard Timecode"/>
    <n v="90"/>
    <n v="2"/>
    <d v="1899-12-30T02:00:00"/>
    <n v="180"/>
    <n v="240"/>
    <n v="60"/>
    <s v="IN08035"/>
    <s v="GBP"/>
    <s v="Reviewed"/>
    <s v="Debugging and reviewing bug with Anjali and Khonani"/>
    <s v="Not submitted"/>
    <n v="4"/>
    <x v="1"/>
  </r>
  <r>
    <d v="2024-04-18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109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9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927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2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8325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3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9100"/>
    <x v="0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24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066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5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069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6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824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9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1777"/>
    <x v="0"/>
    <s v="Non-billable timecode"/>
    <s v="Standard Timecode"/>
    <n v="0"/>
    <n v="1.25"/>
    <d v="1899-12-30T01:15:00"/>
    <n v="0"/>
    <m/>
    <m/>
    <m/>
    <s v="GBP"/>
    <s v="Reviewed"/>
    <s v="Void Demo Stand Up"/>
    <s v="Not submitted"/>
    <n v="4"/>
    <x v="1"/>
  </r>
  <r>
    <d v="2024-04-30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2174"/>
    <x v="0"/>
    <s v="Non-billable timecode"/>
    <s v="Standard Timecode"/>
    <n v="0"/>
    <n v="1.25"/>
    <d v="1899-12-30T01:15:00"/>
    <n v="0"/>
    <m/>
    <m/>
    <m/>
    <s v="GBP"/>
    <s v="Reviewed"/>
    <s v="Stand Up Retro"/>
    <s v="Not submitted"/>
    <n v="4"/>
    <x v="1"/>
  </r>
  <r>
    <d v="2024-05-02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2962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FBDA9-229B-4D5F-A012-7A4313E7A4FA}" name="PivotTable1" cacheId="24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6" firstHeaderRow="1" firstDataRow="2" firstDataCol="1" rowPageCount="1" colPageCount="1"/>
  <pivotFields count="32">
    <pivotField numFmtId="15" showAll="0"/>
    <pivotField axis="axisRow" showAll="0">
      <items count="12">
        <item x="6"/>
        <item x="8"/>
        <item x="9"/>
        <item x="0"/>
        <item x="3"/>
        <item x="10"/>
        <item x="1"/>
        <item x="2"/>
        <item x="4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pageFields count="1">
    <pageField fld="31" hier="-1"/>
  </pageFields>
  <dataFields count="1">
    <dataField name="Sum of Hours" fld="20" baseField="0" baseItem="0"/>
  </dataFields>
  <formats count="4">
    <format dxfId="0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">
      <pivotArea type="topRight" dataOnly="0" labelOnly="1" outline="0" fieldPosition="0"/>
    </format>
    <format dxfId="2">
      <pivotArea dataOnly="0" labelOnly="1" fieldPosition="0">
        <references count="1">
          <reference field="16" count="1">
            <x v="1"/>
          </reference>
        </references>
      </pivotArea>
    </format>
    <format dxfId="3">
      <pivotArea field="16" grandRow="1" outline="0" collapsedLevelsAreSubtotals="1" axis="axisCol" fieldPosition="0">
        <references count="1">
          <reference field="16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/>
  </sheetViews>
  <sheetFormatPr defaultRowHeight="14.45"/>
  <cols>
    <col min="1" max="1" width="16.140625" bestFit="1" customWidth="1"/>
    <col min="2" max="2" width="16" bestFit="1" customWidth="1"/>
    <col min="3" max="3" width="26.7109375" style="16" bestFit="1" customWidth="1"/>
    <col min="4" max="4" width="20.140625" bestFit="1" customWidth="1"/>
    <col min="5" max="5" width="10.5703125" bestFit="1" customWidth="1"/>
    <col min="6" max="6" width="11" customWidth="1"/>
    <col min="7" max="7" width="25.42578125" customWidth="1"/>
    <col min="8" max="8" width="12" customWidth="1"/>
    <col min="9" max="10" width="14.7109375" customWidth="1"/>
  </cols>
  <sheetData>
    <row r="1" spans="1:10">
      <c r="A1" s="4" t="s">
        <v>0</v>
      </c>
      <c r="B1" t="s">
        <v>1</v>
      </c>
      <c r="D1" s="15" t="s">
        <v>2</v>
      </c>
    </row>
    <row r="2" spans="1:10" ht="15" thickBot="1"/>
    <row r="3" spans="1:10" ht="25.9" thickBot="1">
      <c r="A3" s="4" t="s">
        <v>3</v>
      </c>
      <c r="B3" s="4" t="s">
        <v>4</v>
      </c>
      <c r="D3" s="16"/>
      <c r="E3" s="16"/>
      <c r="F3" s="16"/>
      <c r="G3" s="6" t="s">
        <v>5</v>
      </c>
      <c r="H3" s="7" t="s">
        <v>6</v>
      </c>
      <c r="I3" s="8" t="s">
        <v>7</v>
      </c>
      <c r="J3" s="8" t="s">
        <v>8</v>
      </c>
    </row>
    <row r="4" spans="1:10" ht="15" thickBot="1">
      <c r="A4" s="4" t="s">
        <v>9</v>
      </c>
      <c r="B4" t="s">
        <v>10</v>
      </c>
      <c r="C4" s="16" t="s">
        <v>11</v>
      </c>
      <c r="D4" t="s">
        <v>12</v>
      </c>
      <c r="E4" t="s">
        <v>13</v>
      </c>
      <c r="G4" s="9" t="s">
        <v>14</v>
      </c>
      <c r="H4" s="10" t="s">
        <v>15</v>
      </c>
      <c r="I4" s="11" t="s">
        <v>16</v>
      </c>
      <c r="J4" s="11" t="s">
        <v>17</v>
      </c>
    </row>
    <row r="5" spans="1:10" ht="15" thickBot="1">
      <c r="A5" s="5" t="s">
        <v>18</v>
      </c>
      <c r="B5">
        <v>51</v>
      </c>
      <c r="C5" s="16">
        <v>1.5</v>
      </c>
      <c r="E5">
        <v>52.5</v>
      </c>
      <c r="G5" s="9" t="s">
        <v>19</v>
      </c>
      <c r="H5" s="10" t="s">
        <v>20</v>
      </c>
      <c r="I5" s="11" t="s">
        <v>21</v>
      </c>
      <c r="J5" s="11" t="s">
        <v>22</v>
      </c>
    </row>
    <row r="6" spans="1:10" ht="15" thickBot="1">
      <c r="A6" s="5" t="s">
        <v>23</v>
      </c>
      <c r="B6">
        <v>12.75</v>
      </c>
      <c r="C6" s="16">
        <v>1</v>
      </c>
      <c r="E6">
        <v>13.75</v>
      </c>
      <c r="G6" s="9" t="s">
        <v>24</v>
      </c>
      <c r="H6" s="10" t="s">
        <v>25</v>
      </c>
      <c r="I6" s="11" t="s">
        <v>26</v>
      </c>
      <c r="J6" s="11" t="s">
        <v>27</v>
      </c>
    </row>
    <row r="7" spans="1:10" ht="15" thickBot="1">
      <c r="A7" s="5" t="s">
        <v>28</v>
      </c>
      <c r="B7">
        <v>16.75</v>
      </c>
      <c r="C7" s="16">
        <v>5</v>
      </c>
      <c r="E7">
        <v>21.75</v>
      </c>
      <c r="G7" s="9" t="s">
        <v>29</v>
      </c>
      <c r="H7" s="10" t="s">
        <v>30</v>
      </c>
      <c r="I7" s="11" t="s">
        <v>31</v>
      </c>
      <c r="J7" s="11" t="s">
        <v>32</v>
      </c>
    </row>
    <row r="8" spans="1:10" ht="15" thickBot="1">
      <c r="A8" s="5" t="s">
        <v>33</v>
      </c>
      <c r="B8">
        <v>161.5</v>
      </c>
      <c r="C8" s="16">
        <v>16.5</v>
      </c>
      <c r="D8">
        <v>0.5</v>
      </c>
      <c r="E8">
        <v>178.5</v>
      </c>
      <c r="G8" s="9" t="s">
        <v>34</v>
      </c>
      <c r="H8" s="10" t="s">
        <v>35</v>
      </c>
      <c r="I8" s="11" t="s">
        <v>36</v>
      </c>
      <c r="J8" s="11" t="s">
        <v>37</v>
      </c>
    </row>
    <row r="9" spans="1:10" ht="15" thickBot="1">
      <c r="A9" s="5" t="s">
        <v>38</v>
      </c>
      <c r="B9">
        <v>24.75</v>
      </c>
      <c r="C9" s="16">
        <v>7.5</v>
      </c>
      <c r="D9">
        <v>1.5</v>
      </c>
      <c r="E9">
        <v>33.75</v>
      </c>
      <c r="G9" s="12" t="s">
        <v>39</v>
      </c>
      <c r="H9" s="13" t="s">
        <v>40</v>
      </c>
      <c r="I9" s="14" t="s">
        <v>41</v>
      </c>
      <c r="J9" s="14" t="s">
        <v>42</v>
      </c>
    </row>
    <row r="10" spans="1:10" ht="15" thickTop="1">
      <c r="A10" s="5" t="s">
        <v>43</v>
      </c>
      <c r="B10">
        <v>30</v>
      </c>
      <c r="C10" s="16">
        <v>30.5</v>
      </c>
      <c r="E10">
        <v>60.5</v>
      </c>
    </row>
    <row r="11" spans="1:10">
      <c r="A11" s="5" t="s">
        <v>44</v>
      </c>
      <c r="C11" s="16">
        <v>9.25</v>
      </c>
      <c r="E11">
        <v>9.25</v>
      </c>
    </row>
    <row r="12" spans="1:10">
      <c r="A12" s="5" t="s">
        <v>45</v>
      </c>
      <c r="B12">
        <v>39</v>
      </c>
      <c r="C12" s="16">
        <v>23</v>
      </c>
      <c r="E12">
        <v>62</v>
      </c>
    </row>
    <row r="13" spans="1:10">
      <c r="A13" s="5" t="s">
        <v>46</v>
      </c>
      <c r="C13" s="16">
        <v>12.25</v>
      </c>
      <c r="E13">
        <v>12.25</v>
      </c>
    </row>
    <row r="14" spans="1:10">
      <c r="A14" s="5" t="s">
        <v>47</v>
      </c>
      <c r="C14" s="16">
        <v>3.5</v>
      </c>
      <c r="E14">
        <v>3.5</v>
      </c>
    </row>
    <row r="15" spans="1:10">
      <c r="A15" s="5" t="s">
        <v>48</v>
      </c>
      <c r="D15">
        <v>19.5</v>
      </c>
      <c r="E15">
        <v>19.5</v>
      </c>
    </row>
    <row r="16" spans="1:10">
      <c r="A16" s="5" t="s">
        <v>13</v>
      </c>
      <c r="B16">
        <v>335.75</v>
      </c>
      <c r="C16" s="16">
        <v>110</v>
      </c>
      <c r="D16">
        <v>21.5</v>
      </c>
      <c r="E16">
        <v>467.25</v>
      </c>
    </row>
    <row r="17" spans="1:3">
      <c r="C17" s="16" t="s">
        <v>49</v>
      </c>
    </row>
    <row r="19" spans="1:3">
      <c r="A19" s="17" t="s">
        <v>50</v>
      </c>
      <c r="B19" s="15">
        <f>GETPIVOTDATA("Hours",$A$3,"Timecode Name","Delivery (Billable)")+GETPIVOTDATA("Hours",$A$3,"Timecode Name","EoT Deployment to UAT")</f>
        <v>357.25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26"/>
  <sheetViews>
    <sheetView topLeftCell="J1" workbookViewId="0">
      <pane ySplit="1" topLeftCell="A201" activePane="bottomLeft" state="frozen"/>
      <selection pane="bottomLeft"/>
    </sheetView>
  </sheetViews>
  <sheetFormatPr defaultRowHeight="14.45"/>
  <sheetData>
    <row r="1" spans="1:32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6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s="3" t="s">
        <v>80</v>
      </c>
      <c r="AF1" s="3" t="s">
        <v>0</v>
      </c>
    </row>
    <row r="2" spans="1:32">
      <c r="A2" s="1">
        <v>45378</v>
      </c>
      <c r="B2" t="s">
        <v>33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82</v>
      </c>
      <c r="L2" t="s">
        <v>28</v>
      </c>
      <c r="M2" t="s">
        <v>89</v>
      </c>
      <c r="N2" t="s">
        <v>23</v>
      </c>
      <c r="O2" t="s">
        <v>90</v>
      </c>
      <c r="P2">
        <v>229578</v>
      </c>
      <c r="Q2" t="s">
        <v>11</v>
      </c>
      <c r="R2" t="s">
        <v>91</v>
      </c>
      <c r="S2" t="s">
        <v>92</v>
      </c>
      <c r="T2">
        <v>0</v>
      </c>
      <c r="U2">
        <v>4</v>
      </c>
      <c r="V2" s="2">
        <v>0.16666666666666666</v>
      </c>
      <c r="W2">
        <v>0</v>
      </c>
      <c r="AA2" t="s">
        <v>93</v>
      </c>
      <c r="AB2" t="s">
        <v>94</v>
      </c>
      <c r="AC2" t="s">
        <v>95</v>
      </c>
      <c r="AD2" t="s">
        <v>96</v>
      </c>
      <c r="AE2">
        <f>MONTH(A2)</f>
        <v>3</v>
      </c>
      <c r="AF2" t="str">
        <f>IF(AE2=1,"January",IF(AE2=2,"February",IF(AE2=3,"March",IF(AE2=4,"April",IF(AE2=5,"May")))))</f>
        <v>March</v>
      </c>
    </row>
    <row r="3" spans="1:32">
      <c r="A3" s="1">
        <v>45379</v>
      </c>
      <c r="B3" t="s">
        <v>33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82</v>
      </c>
      <c r="L3" t="s">
        <v>28</v>
      </c>
      <c r="M3" t="s">
        <v>89</v>
      </c>
      <c r="N3" t="s">
        <v>23</v>
      </c>
      <c r="O3" t="s">
        <v>90</v>
      </c>
      <c r="P3">
        <v>229577</v>
      </c>
      <c r="Q3" t="s">
        <v>11</v>
      </c>
      <c r="R3" t="s">
        <v>91</v>
      </c>
      <c r="S3" t="s">
        <v>92</v>
      </c>
      <c r="T3">
        <v>0</v>
      </c>
      <c r="U3">
        <v>6</v>
      </c>
      <c r="V3" s="2">
        <v>0.25</v>
      </c>
      <c r="W3">
        <v>0</v>
      </c>
      <c r="AA3" t="s">
        <v>93</v>
      </c>
      <c r="AB3" t="s">
        <v>94</v>
      </c>
      <c r="AC3" t="s">
        <v>97</v>
      </c>
      <c r="AD3" t="s">
        <v>96</v>
      </c>
      <c r="AE3">
        <f t="shared" ref="AE3:AE10" si="0">MONTH(A3)</f>
        <v>3</v>
      </c>
      <c r="AF3" t="str">
        <f t="shared" ref="AF3:AF10" si="1">IF(AE3=1,"January",IF(AE3=2,"February",IF(AE3=3,"March",IF(AE3=4,"April",IF(AE3=5,"May")))))</f>
        <v>March</v>
      </c>
    </row>
    <row r="4" spans="1:32">
      <c r="A4" s="1">
        <v>45383</v>
      </c>
      <c r="B4" t="s">
        <v>33</v>
      </c>
      <c r="C4" t="s">
        <v>81</v>
      </c>
      <c r="D4" t="s">
        <v>82</v>
      </c>
      <c r="E4" t="s">
        <v>83</v>
      </c>
      <c r="F4" t="s">
        <v>84</v>
      </c>
      <c r="G4" t="s">
        <v>85</v>
      </c>
      <c r="H4" t="s">
        <v>86</v>
      </c>
      <c r="I4" t="s">
        <v>87</v>
      </c>
      <c r="J4" t="s">
        <v>88</v>
      </c>
      <c r="K4" t="s">
        <v>82</v>
      </c>
      <c r="L4" t="s">
        <v>28</v>
      </c>
      <c r="M4" t="s">
        <v>89</v>
      </c>
      <c r="N4" t="s">
        <v>23</v>
      </c>
      <c r="O4" t="s">
        <v>90</v>
      </c>
      <c r="P4">
        <v>230625</v>
      </c>
      <c r="Q4" t="s">
        <v>10</v>
      </c>
      <c r="R4" t="s">
        <v>98</v>
      </c>
      <c r="S4" t="s">
        <v>92</v>
      </c>
      <c r="T4">
        <v>90</v>
      </c>
      <c r="U4">
        <v>8</v>
      </c>
      <c r="V4" s="2">
        <v>0.33333333333333331</v>
      </c>
      <c r="W4">
        <v>720</v>
      </c>
      <c r="X4">
        <v>960</v>
      </c>
      <c r="Y4">
        <v>240</v>
      </c>
      <c r="Z4" t="s">
        <v>99</v>
      </c>
      <c r="AA4" t="s">
        <v>93</v>
      </c>
      <c r="AB4" t="s">
        <v>94</v>
      </c>
      <c r="AC4" t="s">
        <v>100</v>
      </c>
      <c r="AD4" t="s">
        <v>96</v>
      </c>
      <c r="AE4">
        <f t="shared" si="0"/>
        <v>4</v>
      </c>
      <c r="AF4" t="str">
        <f t="shared" si="1"/>
        <v>April</v>
      </c>
    </row>
    <row r="5" spans="1:32">
      <c r="A5" s="1">
        <v>45384</v>
      </c>
      <c r="B5" t="s">
        <v>33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82</v>
      </c>
      <c r="L5" t="s">
        <v>28</v>
      </c>
      <c r="M5" t="s">
        <v>89</v>
      </c>
      <c r="N5" t="s">
        <v>23</v>
      </c>
      <c r="O5" t="s">
        <v>90</v>
      </c>
      <c r="P5">
        <v>230627</v>
      </c>
      <c r="Q5" t="s">
        <v>10</v>
      </c>
      <c r="R5" t="s">
        <v>98</v>
      </c>
      <c r="S5" t="s">
        <v>92</v>
      </c>
      <c r="T5">
        <v>90</v>
      </c>
      <c r="U5">
        <v>8</v>
      </c>
      <c r="V5" s="2">
        <v>0.33333333333333331</v>
      </c>
      <c r="W5">
        <v>720</v>
      </c>
      <c r="X5">
        <v>960</v>
      </c>
      <c r="Y5">
        <v>240</v>
      </c>
      <c r="Z5" t="s">
        <v>99</v>
      </c>
      <c r="AA5" t="s">
        <v>93</v>
      </c>
      <c r="AB5" t="s">
        <v>94</v>
      </c>
      <c r="AC5" t="s">
        <v>101</v>
      </c>
      <c r="AD5" t="s">
        <v>96</v>
      </c>
      <c r="AE5">
        <f t="shared" si="0"/>
        <v>4</v>
      </c>
      <c r="AF5" t="str">
        <f t="shared" si="1"/>
        <v>April</v>
      </c>
    </row>
    <row r="6" spans="1:32">
      <c r="A6" s="1">
        <v>45385</v>
      </c>
      <c r="B6" t="s">
        <v>33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82</v>
      </c>
      <c r="L6" t="s">
        <v>28</v>
      </c>
      <c r="M6" t="s">
        <v>89</v>
      </c>
      <c r="N6" t="s">
        <v>23</v>
      </c>
      <c r="O6" t="s">
        <v>90</v>
      </c>
      <c r="P6">
        <v>231180</v>
      </c>
      <c r="Q6" t="s">
        <v>10</v>
      </c>
      <c r="R6" t="s">
        <v>98</v>
      </c>
      <c r="S6" t="s">
        <v>92</v>
      </c>
      <c r="T6">
        <v>90</v>
      </c>
      <c r="U6">
        <v>8</v>
      </c>
      <c r="V6" s="2">
        <v>0.33333333333333331</v>
      </c>
      <c r="W6">
        <v>720</v>
      </c>
      <c r="X6">
        <v>960</v>
      </c>
      <c r="Y6">
        <v>240</v>
      </c>
      <c r="Z6" t="s">
        <v>99</v>
      </c>
      <c r="AA6" t="s">
        <v>93</v>
      </c>
      <c r="AB6" t="s">
        <v>94</v>
      </c>
      <c r="AC6" t="s">
        <v>102</v>
      </c>
      <c r="AD6" t="s">
        <v>96</v>
      </c>
      <c r="AE6">
        <f t="shared" si="0"/>
        <v>4</v>
      </c>
      <c r="AF6" t="str">
        <f t="shared" si="1"/>
        <v>April</v>
      </c>
    </row>
    <row r="7" spans="1:32">
      <c r="A7" s="1">
        <v>45386</v>
      </c>
      <c r="B7" t="s">
        <v>33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82</v>
      </c>
      <c r="L7" t="s">
        <v>28</v>
      </c>
      <c r="M7" t="s">
        <v>89</v>
      </c>
      <c r="N7" t="s">
        <v>23</v>
      </c>
      <c r="O7" t="s">
        <v>90</v>
      </c>
      <c r="P7">
        <v>231179</v>
      </c>
      <c r="Q7" t="s">
        <v>10</v>
      </c>
      <c r="R7" t="s">
        <v>98</v>
      </c>
      <c r="S7" t="s">
        <v>92</v>
      </c>
      <c r="T7">
        <v>90</v>
      </c>
      <c r="U7">
        <v>8</v>
      </c>
      <c r="V7" s="2">
        <v>0.33333333333333331</v>
      </c>
      <c r="W7">
        <v>720</v>
      </c>
      <c r="X7">
        <v>960</v>
      </c>
      <c r="Y7">
        <v>240</v>
      </c>
      <c r="Z7" t="s">
        <v>99</v>
      </c>
      <c r="AA7" t="s">
        <v>93</v>
      </c>
      <c r="AB7" t="s">
        <v>94</v>
      </c>
      <c r="AC7" t="s">
        <v>103</v>
      </c>
      <c r="AD7" t="s">
        <v>96</v>
      </c>
      <c r="AE7">
        <f t="shared" si="0"/>
        <v>4</v>
      </c>
      <c r="AF7" t="str">
        <f t="shared" si="1"/>
        <v>April</v>
      </c>
    </row>
    <row r="8" spans="1:32">
      <c r="A8" s="1">
        <v>45387</v>
      </c>
      <c r="B8" t="s">
        <v>33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82</v>
      </c>
      <c r="L8" t="s">
        <v>28</v>
      </c>
      <c r="M8" t="s">
        <v>89</v>
      </c>
      <c r="N8" t="s">
        <v>23</v>
      </c>
      <c r="O8" t="s">
        <v>90</v>
      </c>
      <c r="P8">
        <v>232187</v>
      </c>
      <c r="Q8" t="s">
        <v>10</v>
      </c>
      <c r="R8" t="s">
        <v>98</v>
      </c>
      <c r="S8" t="s">
        <v>92</v>
      </c>
      <c r="T8">
        <v>90</v>
      </c>
      <c r="U8">
        <v>6</v>
      </c>
      <c r="V8" s="2">
        <v>0.25</v>
      </c>
      <c r="W8">
        <v>540</v>
      </c>
      <c r="X8">
        <v>720</v>
      </c>
      <c r="Y8">
        <v>180</v>
      </c>
      <c r="Z8" t="s">
        <v>99</v>
      </c>
      <c r="AA8" t="s">
        <v>93</v>
      </c>
      <c r="AB8" t="s">
        <v>94</v>
      </c>
      <c r="AC8" t="s">
        <v>104</v>
      </c>
      <c r="AD8" t="s">
        <v>96</v>
      </c>
      <c r="AE8">
        <f t="shared" si="0"/>
        <v>4</v>
      </c>
      <c r="AF8" t="str">
        <f t="shared" si="1"/>
        <v>April</v>
      </c>
    </row>
    <row r="9" spans="1:32">
      <c r="A9" s="1">
        <v>45390</v>
      </c>
      <c r="B9" t="s">
        <v>33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82</v>
      </c>
      <c r="L9" t="s">
        <v>28</v>
      </c>
      <c r="M9" t="s">
        <v>89</v>
      </c>
      <c r="N9" t="s">
        <v>23</v>
      </c>
      <c r="O9" t="s">
        <v>90</v>
      </c>
      <c r="P9">
        <v>232810</v>
      </c>
      <c r="Q9" t="s">
        <v>10</v>
      </c>
      <c r="R9" t="s">
        <v>98</v>
      </c>
      <c r="S9" t="s">
        <v>92</v>
      </c>
      <c r="T9">
        <v>90</v>
      </c>
      <c r="U9">
        <v>7.5</v>
      </c>
      <c r="V9" s="2">
        <v>0.3125</v>
      </c>
      <c r="W9">
        <v>675</v>
      </c>
      <c r="X9">
        <v>900</v>
      </c>
      <c r="Y9">
        <v>225</v>
      </c>
      <c r="Z9" t="s">
        <v>99</v>
      </c>
      <c r="AA9" t="s">
        <v>93</v>
      </c>
      <c r="AB9" t="s">
        <v>94</v>
      </c>
      <c r="AC9" t="s">
        <v>105</v>
      </c>
      <c r="AD9" t="s">
        <v>96</v>
      </c>
      <c r="AE9">
        <f t="shared" si="0"/>
        <v>4</v>
      </c>
      <c r="AF9" t="str">
        <f t="shared" si="1"/>
        <v>April</v>
      </c>
    </row>
    <row r="10" spans="1:32">
      <c r="A10" s="1">
        <v>45391</v>
      </c>
      <c r="B10" t="s">
        <v>33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  <c r="K10" t="s">
        <v>82</v>
      </c>
      <c r="L10" t="s">
        <v>28</v>
      </c>
      <c r="M10" t="s">
        <v>89</v>
      </c>
      <c r="N10" t="s">
        <v>23</v>
      </c>
      <c r="O10" t="s">
        <v>90</v>
      </c>
      <c r="P10">
        <v>232813</v>
      </c>
      <c r="Q10" t="s">
        <v>10</v>
      </c>
      <c r="R10" t="s">
        <v>98</v>
      </c>
      <c r="S10" t="s">
        <v>92</v>
      </c>
      <c r="T10">
        <v>90</v>
      </c>
      <c r="U10">
        <v>8</v>
      </c>
      <c r="V10" s="2">
        <v>0.33333333333333331</v>
      </c>
      <c r="W10">
        <v>720</v>
      </c>
      <c r="X10">
        <v>960</v>
      </c>
      <c r="Y10">
        <v>240</v>
      </c>
      <c r="Z10" t="s">
        <v>99</v>
      </c>
      <c r="AA10" t="s">
        <v>93</v>
      </c>
      <c r="AB10" t="s">
        <v>94</v>
      </c>
      <c r="AC10" t="s">
        <v>106</v>
      </c>
      <c r="AD10" t="s">
        <v>96</v>
      </c>
      <c r="AE10">
        <f t="shared" si="0"/>
        <v>4</v>
      </c>
      <c r="AF10" t="str">
        <f t="shared" si="1"/>
        <v>April</v>
      </c>
    </row>
    <row r="11" spans="1:32">
      <c r="A11" s="1">
        <v>45392</v>
      </c>
      <c r="B11" t="s">
        <v>33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82</v>
      </c>
      <c r="L11" t="s">
        <v>28</v>
      </c>
      <c r="M11" t="s">
        <v>89</v>
      </c>
      <c r="N11" t="s">
        <v>23</v>
      </c>
      <c r="O11" t="s">
        <v>90</v>
      </c>
      <c r="P11">
        <v>233885</v>
      </c>
      <c r="Q11" t="s">
        <v>10</v>
      </c>
      <c r="R11" t="s">
        <v>98</v>
      </c>
      <c r="S11" t="s">
        <v>92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99</v>
      </c>
      <c r="AA11" t="s">
        <v>93</v>
      </c>
      <c r="AB11" t="s">
        <v>94</v>
      </c>
      <c r="AC11" t="s">
        <v>107</v>
      </c>
      <c r="AD11" t="s">
        <v>96</v>
      </c>
      <c r="AE11">
        <f t="shared" ref="AE11:AE35" si="2">MONTH(A11)</f>
        <v>4</v>
      </c>
      <c r="AF11" t="str">
        <f t="shared" ref="AF11:AF35" si="3">IF(AE11=1,"January",IF(AE11=2,"February",IF(AE11=3,"March",IF(AE11=4,"April",IF(AE11=5,"May")))))</f>
        <v>April</v>
      </c>
    </row>
    <row r="12" spans="1:32">
      <c r="A12" s="1">
        <v>45393</v>
      </c>
      <c r="B12" t="s">
        <v>33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 t="s">
        <v>88</v>
      </c>
      <c r="K12" t="s">
        <v>82</v>
      </c>
      <c r="L12" t="s">
        <v>28</v>
      </c>
      <c r="M12" t="s">
        <v>89</v>
      </c>
      <c r="N12" t="s">
        <v>23</v>
      </c>
      <c r="O12" t="s">
        <v>90</v>
      </c>
      <c r="P12">
        <v>233887</v>
      </c>
      <c r="Q12" t="s">
        <v>10</v>
      </c>
      <c r="R12" t="s">
        <v>98</v>
      </c>
      <c r="S12" t="s">
        <v>92</v>
      </c>
      <c r="T12">
        <v>90</v>
      </c>
      <c r="U12">
        <v>6</v>
      </c>
      <c r="V12" s="2">
        <v>0.25</v>
      </c>
      <c r="W12">
        <v>540</v>
      </c>
      <c r="X12">
        <v>720</v>
      </c>
      <c r="Y12">
        <v>180</v>
      </c>
      <c r="Z12" t="s">
        <v>99</v>
      </c>
      <c r="AA12" t="s">
        <v>93</v>
      </c>
      <c r="AB12" t="s">
        <v>94</v>
      </c>
      <c r="AC12" t="s">
        <v>108</v>
      </c>
      <c r="AD12" t="s">
        <v>96</v>
      </c>
      <c r="AE12">
        <f t="shared" si="2"/>
        <v>4</v>
      </c>
      <c r="AF12" t="str">
        <f t="shared" si="3"/>
        <v>April</v>
      </c>
    </row>
    <row r="13" spans="1:32">
      <c r="A13" s="1">
        <v>45394</v>
      </c>
      <c r="B13" t="s">
        <v>33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  <c r="J13" t="s">
        <v>88</v>
      </c>
      <c r="K13" t="s">
        <v>82</v>
      </c>
      <c r="L13" t="s">
        <v>28</v>
      </c>
      <c r="M13" t="s">
        <v>89</v>
      </c>
      <c r="N13" t="s">
        <v>23</v>
      </c>
      <c r="O13" t="s">
        <v>90</v>
      </c>
      <c r="P13">
        <v>234398</v>
      </c>
      <c r="Q13" t="s">
        <v>10</v>
      </c>
      <c r="R13" t="s">
        <v>98</v>
      </c>
      <c r="S13" t="s">
        <v>92</v>
      </c>
      <c r="T13">
        <v>90</v>
      </c>
      <c r="U13">
        <v>6.25</v>
      </c>
      <c r="V13" s="2">
        <v>0.26041666666666669</v>
      </c>
      <c r="W13">
        <v>562.5</v>
      </c>
      <c r="X13">
        <v>750</v>
      </c>
      <c r="Y13">
        <v>187.5</v>
      </c>
      <c r="Z13" t="s">
        <v>99</v>
      </c>
      <c r="AA13" t="s">
        <v>93</v>
      </c>
      <c r="AB13" t="s">
        <v>94</v>
      </c>
      <c r="AC13" t="s">
        <v>109</v>
      </c>
      <c r="AD13" t="s">
        <v>96</v>
      </c>
      <c r="AE13">
        <f t="shared" si="2"/>
        <v>4</v>
      </c>
      <c r="AF13" t="str">
        <f t="shared" si="3"/>
        <v>April</v>
      </c>
    </row>
    <row r="14" spans="1:32">
      <c r="A14" s="1">
        <v>45397</v>
      </c>
      <c r="B14" t="s">
        <v>33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 t="s">
        <v>87</v>
      </c>
      <c r="J14" t="s">
        <v>88</v>
      </c>
      <c r="K14" t="s">
        <v>82</v>
      </c>
      <c r="L14" t="s">
        <v>28</v>
      </c>
      <c r="M14" t="s">
        <v>89</v>
      </c>
      <c r="N14" t="s">
        <v>23</v>
      </c>
      <c r="O14" t="s">
        <v>90</v>
      </c>
      <c r="P14">
        <v>235368</v>
      </c>
      <c r="Q14" t="s">
        <v>10</v>
      </c>
      <c r="R14" t="s">
        <v>98</v>
      </c>
      <c r="S14" t="s">
        <v>92</v>
      </c>
      <c r="T14">
        <v>90</v>
      </c>
      <c r="U14">
        <v>7.5</v>
      </c>
      <c r="V14" s="2">
        <v>0.3125</v>
      </c>
      <c r="W14">
        <v>675</v>
      </c>
      <c r="X14">
        <v>900</v>
      </c>
      <c r="Y14">
        <v>225</v>
      </c>
      <c r="Z14" t="s">
        <v>99</v>
      </c>
      <c r="AA14" t="s">
        <v>93</v>
      </c>
      <c r="AB14" t="s">
        <v>94</v>
      </c>
      <c r="AC14" t="s">
        <v>110</v>
      </c>
      <c r="AD14" t="s">
        <v>96</v>
      </c>
      <c r="AE14">
        <f t="shared" si="2"/>
        <v>4</v>
      </c>
      <c r="AF14" t="str">
        <f t="shared" si="3"/>
        <v>April</v>
      </c>
    </row>
    <row r="15" spans="1:32">
      <c r="A15" s="1">
        <v>45397</v>
      </c>
      <c r="B15" t="s">
        <v>33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82</v>
      </c>
      <c r="L15" t="s">
        <v>28</v>
      </c>
      <c r="M15" t="s">
        <v>89</v>
      </c>
      <c r="N15" t="s">
        <v>23</v>
      </c>
      <c r="O15" t="s">
        <v>90</v>
      </c>
      <c r="P15">
        <v>235602</v>
      </c>
      <c r="Q15" t="s">
        <v>12</v>
      </c>
      <c r="R15" t="s">
        <v>98</v>
      </c>
      <c r="S15" t="s">
        <v>92</v>
      </c>
      <c r="T15">
        <v>90</v>
      </c>
      <c r="U15">
        <v>0.5</v>
      </c>
      <c r="V15" s="2">
        <v>2.0833333333333332E-2</v>
      </c>
      <c r="W15">
        <v>45</v>
      </c>
      <c r="X15">
        <v>60</v>
      </c>
      <c r="Y15">
        <v>15</v>
      </c>
      <c r="Z15" t="s">
        <v>99</v>
      </c>
      <c r="AA15" t="s">
        <v>93</v>
      </c>
      <c r="AB15" t="s">
        <v>94</v>
      </c>
      <c r="AC15" t="s">
        <v>111</v>
      </c>
      <c r="AD15" t="s">
        <v>96</v>
      </c>
      <c r="AE15">
        <f t="shared" si="2"/>
        <v>4</v>
      </c>
      <c r="AF15" t="str">
        <f t="shared" si="3"/>
        <v>April</v>
      </c>
    </row>
    <row r="16" spans="1:32">
      <c r="A16" s="1">
        <v>45398</v>
      </c>
      <c r="B16" t="s">
        <v>33</v>
      </c>
      <c r="C16" t="s">
        <v>81</v>
      </c>
      <c r="D16" t="s">
        <v>82</v>
      </c>
      <c r="E16" t="s">
        <v>83</v>
      </c>
      <c r="F16" t="s">
        <v>84</v>
      </c>
      <c r="G16" t="s">
        <v>85</v>
      </c>
      <c r="H16" t="s">
        <v>86</v>
      </c>
      <c r="I16" t="s">
        <v>87</v>
      </c>
      <c r="J16" t="s">
        <v>88</v>
      </c>
      <c r="K16" t="s">
        <v>82</v>
      </c>
      <c r="L16" t="s">
        <v>28</v>
      </c>
      <c r="M16" t="s">
        <v>89</v>
      </c>
      <c r="N16" t="s">
        <v>23</v>
      </c>
      <c r="O16" t="s">
        <v>90</v>
      </c>
      <c r="P16">
        <v>235711</v>
      </c>
      <c r="Q16" t="s">
        <v>10</v>
      </c>
      <c r="R16" t="s">
        <v>98</v>
      </c>
      <c r="S16" t="s">
        <v>92</v>
      </c>
      <c r="T16">
        <v>90</v>
      </c>
      <c r="U16">
        <v>6</v>
      </c>
      <c r="V16" s="2">
        <v>0.25</v>
      </c>
      <c r="W16">
        <v>540</v>
      </c>
      <c r="X16">
        <v>720</v>
      </c>
      <c r="Y16">
        <v>180</v>
      </c>
      <c r="Z16" t="s">
        <v>99</v>
      </c>
      <c r="AA16" t="s">
        <v>93</v>
      </c>
      <c r="AB16" t="s">
        <v>94</v>
      </c>
      <c r="AC16" t="s">
        <v>112</v>
      </c>
      <c r="AD16" t="s">
        <v>96</v>
      </c>
      <c r="AE16">
        <f t="shared" si="2"/>
        <v>4</v>
      </c>
      <c r="AF16" t="str">
        <f t="shared" si="3"/>
        <v>April</v>
      </c>
    </row>
    <row r="17" spans="1:32">
      <c r="A17" s="1">
        <v>45399</v>
      </c>
      <c r="B17" t="s">
        <v>33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  <c r="H17" t="s">
        <v>86</v>
      </c>
      <c r="I17" t="s">
        <v>87</v>
      </c>
      <c r="J17" t="s">
        <v>88</v>
      </c>
      <c r="K17" t="s">
        <v>82</v>
      </c>
      <c r="L17" t="s">
        <v>28</v>
      </c>
      <c r="M17" t="s">
        <v>89</v>
      </c>
      <c r="N17" t="s">
        <v>23</v>
      </c>
      <c r="O17" t="s">
        <v>90</v>
      </c>
      <c r="P17">
        <v>236326</v>
      </c>
      <c r="Q17" t="s">
        <v>10</v>
      </c>
      <c r="R17" t="s">
        <v>98</v>
      </c>
      <c r="S17" t="s">
        <v>92</v>
      </c>
      <c r="T17">
        <v>90</v>
      </c>
      <c r="U17">
        <v>8</v>
      </c>
      <c r="V17" s="2">
        <v>0.33333333333333331</v>
      </c>
      <c r="W17">
        <v>720</v>
      </c>
      <c r="X17">
        <v>960</v>
      </c>
      <c r="Y17">
        <v>240</v>
      </c>
      <c r="Z17" t="s">
        <v>99</v>
      </c>
      <c r="AA17" t="s">
        <v>93</v>
      </c>
      <c r="AB17" t="s">
        <v>94</v>
      </c>
      <c r="AC17" t="s">
        <v>113</v>
      </c>
      <c r="AD17" t="s">
        <v>96</v>
      </c>
      <c r="AE17">
        <f t="shared" si="2"/>
        <v>4</v>
      </c>
      <c r="AF17" t="str">
        <f t="shared" si="3"/>
        <v>April</v>
      </c>
    </row>
    <row r="18" spans="1:32">
      <c r="A18" s="1">
        <v>45400</v>
      </c>
      <c r="B18" t="s">
        <v>33</v>
      </c>
      <c r="C18" t="s">
        <v>81</v>
      </c>
      <c r="D18" t="s">
        <v>82</v>
      </c>
      <c r="E18" t="s">
        <v>83</v>
      </c>
      <c r="F18" t="s">
        <v>84</v>
      </c>
      <c r="G18" t="s">
        <v>85</v>
      </c>
      <c r="H18" t="s">
        <v>86</v>
      </c>
      <c r="I18" t="s">
        <v>87</v>
      </c>
      <c r="J18" t="s">
        <v>88</v>
      </c>
      <c r="K18" t="s">
        <v>82</v>
      </c>
      <c r="L18" t="s">
        <v>28</v>
      </c>
      <c r="M18" t="s">
        <v>89</v>
      </c>
      <c r="N18" t="s">
        <v>23</v>
      </c>
      <c r="O18" t="s">
        <v>90</v>
      </c>
      <c r="P18">
        <v>236894</v>
      </c>
      <c r="Q18" t="s">
        <v>10</v>
      </c>
      <c r="R18" t="s">
        <v>98</v>
      </c>
      <c r="S18" t="s">
        <v>92</v>
      </c>
      <c r="T18">
        <v>90</v>
      </c>
      <c r="U18">
        <v>7.75</v>
      </c>
      <c r="V18" s="2">
        <v>0.32291666666666669</v>
      </c>
      <c r="W18">
        <v>697.5</v>
      </c>
      <c r="X18">
        <v>930</v>
      </c>
      <c r="Y18">
        <v>232.5</v>
      </c>
      <c r="Z18" t="s">
        <v>99</v>
      </c>
      <c r="AA18" t="s">
        <v>93</v>
      </c>
      <c r="AB18" t="s">
        <v>94</v>
      </c>
      <c r="AC18" t="s">
        <v>114</v>
      </c>
      <c r="AD18" t="s">
        <v>96</v>
      </c>
      <c r="AE18">
        <f t="shared" si="2"/>
        <v>4</v>
      </c>
      <c r="AF18" t="str">
        <f t="shared" si="3"/>
        <v>April</v>
      </c>
    </row>
    <row r="19" spans="1:32">
      <c r="A19" s="1">
        <v>45401</v>
      </c>
      <c r="B19" t="s">
        <v>33</v>
      </c>
      <c r="C19" t="s">
        <v>81</v>
      </c>
      <c r="D19" t="s">
        <v>82</v>
      </c>
      <c r="E19" t="s">
        <v>83</v>
      </c>
      <c r="F19" t="s">
        <v>84</v>
      </c>
      <c r="G19" t="s">
        <v>85</v>
      </c>
      <c r="H19" t="s">
        <v>86</v>
      </c>
      <c r="I19" t="s">
        <v>87</v>
      </c>
      <c r="J19" t="s">
        <v>88</v>
      </c>
      <c r="K19" t="s">
        <v>82</v>
      </c>
      <c r="L19" t="s">
        <v>28</v>
      </c>
      <c r="M19" t="s">
        <v>89</v>
      </c>
      <c r="N19" t="s">
        <v>23</v>
      </c>
      <c r="O19" t="s">
        <v>90</v>
      </c>
      <c r="P19">
        <v>237730</v>
      </c>
      <c r="Q19" t="s">
        <v>10</v>
      </c>
      <c r="R19" t="s">
        <v>98</v>
      </c>
      <c r="S19" t="s">
        <v>92</v>
      </c>
      <c r="T19">
        <v>90</v>
      </c>
      <c r="U19">
        <v>5.75</v>
      </c>
      <c r="V19" s="2">
        <v>0.23958333333333334</v>
      </c>
      <c r="W19">
        <v>517.5</v>
      </c>
      <c r="X19">
        <v>690</v>
      </c>
      <c r="Y19">
        <v>172.5</v>
      </c>
      <c r="Z19" t="s">
        <v>99</v>
      </c>
      <c r="AA19" t="s">
        <v>93</v>
      </c>
      <c r="AB19" t="s">
        <v>94</v>
      </c>
      <c r="AC19" t="s">
        <v>115</v>
      </c>
      <c r="AD19" t="s">
        <v>96</v>
      </c>
      <c r="AE19">
        <f t="shared" si="2"/>
        <v>4</v>
      </c>
      <c r="AF19" t="str">
        <f t="shared" si="3"/>
        <v>April</v>
      </c>
    </row>
    <row r="20" spans="1:32">
      <c r="A20" s="1">
        <v>45404</v>
      </c>
      <c r="B20" t="s">
        <v>33</v>
      </c>
      <c r="C20" t="s">
        <v>81</v>
      </c>
      <c r="D20" t="s">
        <v>82</v>
      </c>
      <c r="E20" t="s">
        <v>83</v>
      </c>
      <c r="F20" t="s">
        <v>84</v>
      </c>
      <c r="G20" t="s">
        <v>85</v>
      </c>
      <c r="H20" t="s">
        <v>86</v>
      </c>
      <c r="I20" t="s">
        <v>87</v>
      </c>
      <c r="J20" t="s">
        <v>88</v>
      </c>
      <c r="K20" t="s">
        <v>82</v>
      </c>
      <c r="L20" t="s">
        <v>28</v>
      </c>
      <c r="M20" t="s">
        <v>89</v>
      </c>
      <c r="N20" t="s">
        <v>23</v>
      </c>
      <c r="O20" t="s">
        <v>90</v>
      </c>
      <c r="P20">
        <v>238037</v>
      </c>
      <c r="Q20" t="s">
        <v>11</v>
      </c>
      <c r="R20" t="s">
        <v>91</v>
      </c>
      <c r="S20" t="s">
        <v>92</v>
      </c>
      <c r="T20">
        <v>0</v>
      </c>
      <c r="U20">
        <v>5.5</v>
      </c>
      <c r="V20" s="2">
        <v>0.22916666666666666</v>
      </c>
      <c r="W20">
        <v>0</v>
      </c>
      <c r="AA20" t="s">
        <v>93</v>
      </c>
      <c r="AB20" t="s">
        <v>94</v>
      </c>
      <c r="AC20" t="s">
        <v>116</v>
      </c>
      <c r="AD20" t="s">
        <v>96</v>
      </c>
      <c r="AE20">
        <f t="shared" si="2"/>
        <v>4</v>
      </c>
      <c r="AF20" t="str">
        <f t="shared" si="3"/>
        <v>April</v>
      </c>
    </row>
    <row r="21" spans="1:32">
      <c r="A21" s="1">
        <v>45406</v>
      </c>
      <c r="B21" t="s">
        <v>33</v>
      </c>
      <c r="C21" t="s">
        <v>81</v>
      </c>
      <c r="D21" t="s">
        <v>82</v>
      </c>
      <c r="E21" t="s">
        <v>83</v>
      </c>
      <c r="F21" t="s">
        <v>84</v>
      </c>
      <c r="G21" t="s">
        <v>85</v>
      </c>
      <c r="H21" t="s">
        <v>86</v>
      </c>
      <c r="I21" t="s">
        <v>87</v>
      </c>
      <c r="J21" t="s">
        <v>88</v>
      </c>
      <c r="K21" t="s">
        <v>82</v>
      </c>
      <c r="L21" t="s">
        <v>28</v>
      </c>
      <c r="M21" t="s">
        <v>89</v>
      </c>
      <c r="N21" t="s">
        <v>23</v>
      </c>
      <c r="O21" t="s">
        <v>90</v>
      </c>
      <c r="P21">
        <v>239612</v>
      </c>
      <c r="Q21" t="s">
        <v>10</v>
      </c>
      <c r="R21" t="s">
        <v>98</v>
      </c>
      <c r="S21" t="s">
        <v>92</v>
      </c>
      <c r="T21">
        <v>90</v>
      </c>
      <c r="U21">
        <v>8</v>
      </c>
      <c r="V21" s="2">
        <v>0.33333333333333331</v>
      </c>
      <c r="W21">
        <v>720</v>
      </c>
      <c r="X21">
        <v>960</v>
      </c>
      <c r="Y21">
        <v>240</v>
      </c>
      <c r="Z21" t="s">
        <v>99</v>
      </c>
      <c r="AA21" t="s">
        <v>93</v>
      </c>
      <c r="AB21" t="s">
        <v>94</v>
      </c>
      <c r="AC21" t="s">
        <v>117</v>
      </c>
      <c r="AD21" t="s">
        <v>96</v>
      </c>
      <c r="AE21">
        <f t="shared" si="2"/>
        <v>4</v>
      </c>
      <c r="AF21" t="str">
        <f t="shared" si="3"/>
        <v>April</v>
      </c>
    </row>
    <row r="22" spans="1:32">
      <c r="A22" s="1">
        <v>45407</v>
      </c>
      <c r="B22" t="s">
        <v>33</v>
      </c>
      <c r="C22" t="s">
        <v>81</v>
      </c>
      <c r="D22" t="s">
        <v>82</v>
      </c>
      <c r="E22" t="s">
        <v>83</v>
      </c>
      <c r="F22" t="s">
        <v>84</v>
      </c>
      <c r="G22" t="s">
        <v>85</v>
      </c>
      <c r="H22" t="s">
        <v>86</v>
      </c>
      <c r="I22" t="s">
        <v>87</v>
      </c>
      <c r="J22" t="s">
        <v>88</v>
      </c>
      <c r="K22" t="s">
        <v>82</v>
      </c>
      <c r="L22" t="s">
        <v>28</v>
      </c>
      <c r="M22" t="s">
        <v>89</v>
      </c>
      <c r="N22" t="s">
        <v>23</v>
      </c>
      <c r="O22" t="s">
        <v>90</v>
      </c>
      <c r="P22">
        <v>240109</v>
      </c>
      <c r="Q22" t="s">
        <v>10</v>
      </c>
      <c r="R22" t="s">
        <v>98</v>
      </c>
      <c r="S22" t="s">
        <v>92</v>
      </c>
      <c r="T22">
        <v>90</v>
      </c>
      <c r="U22">
        <v>9</v>
      </c>
      <c r="V22" s="2">
        <v>0.375</v>
      </c>
      <c r="W22">
        <v>810</v>
      </c>
      <c r="X22">
        <v>1080</v>
      </c>
      <c r="Y22">
        <v>270</v>
      </c>
      <c r="Z22" t="s">
        <v>99</v>
      </c>
      <c r="AA22" t="s">
        <v>93</v>
      </c>
      <c r="AB22" t="s">
        <v>94</v>
      </c>
      <c r="AC22" t="s">
        <v>118</v>
      </c>
      <c r="AD22" t="s">
        <v>96</v>
      </c>
      <c r="AE22">
        <f t="shared" si="2"/>
        <v>4</v>
      </c>
      <c r="AF22" t="str">
        <f t="shared" si="3"/>
        <v>April</v>
      </c>
    </row>
    <row r="23" spans="1:32">
      <c r="A23" s="1">
        <v>45408</v>
      </c>
      <c r="B23" t="s">
        <v>33</v>
      </c>
      <c r="C23" t="s">
        <v>81</v>
      </c>
      <c r="D23" t="s">
        <v>82</v>
      </c>
      <c r="E23" t="s">
        <v>83</v>
      </c>
      <c r="F23" t="s">
        <v>84</v>
      </c>
      <c r="G23" t="s">
        <v>85</v>
      </c>
      <c r="H23" t="s">
        <v>86</v>
      </c>
      <c r="I23" t="s">
        <v>87</v>
      </c>
      <c r="J23" t="s">
        <v>88</v>
      </c>
      <c r="K23" t="s">
        <v>82</v>
      </c>
      <c r="L23" t="s">
        <v>28</v>
      </c>
      <c r="M23" t="s">
        <v>89</v>
      </c>
      <c r="N23" t="s">
        <v>23</v>
      </c>
      <c r="O23" t="s">
        <v>90</v>
      </c>
      <c r="P23">
        <v>240678</v>
      </c>
      <c r="Q23" t="s">
        <v>10</v>
      </c>
      <c r="R23" t="s">
        <v>98</v>
      </c>
      <c r="S23" t="s">
        <v>92</v>
      </c>
      <c r="T23">
        <v>90</v>
      </c>
      <c r="U23">
        <v>8.5</v>
      </c>
      <c r="V23" s="2">
        <v>0.35416666666666669</v>
      </c>
      <c r="W23">
        <v>765</v>
      </c>
      <c r="X23">
        <v>1020</v>
      </c>
      <c r="Y23">
        <v>255</v>
      </c>
      <c r="Z23" t="s">
        <v>99</v>
      </c>
      <c r="AA23" t="s">
        <v>93</v>
      </c>
      <c r="AB23" t="s">
        <v>94</v>
      </c>
      <c r="AC23" t="s">
        <v>119</v>
      </c>
      <c r="AD23" t="s">
        <v>96</v>
      </c>
      <c r="AE23">
        <f t="shared" si="2"/>
        <v>4</v>
      </c>
      <c r="AF23" t="str">
        <f t="shared" si="3"/>
        <v>April</v>
      </c>
    </row>
    <row r="24" spans="1:32">
      <c r="A24" s="1">
        <v>45411</v>
      </c>
      <c r="B24" t="s">
        <v>33</v>
      </c>
      <c r="C24" t="s">
        <v>81</v>
      </c>
      <c r="D24" t="s">
        <v>82</v>
      </c>
      <c r="E24" t="s">
        <v>83</v>
      </c>
      <c r="F24" t="s">
        <v>84</v>
      </c>
      <c r="G24" t="s">
        <v>85</v>
      </c>
      <c r="H24" t="s">
        <v>86</v>
      </c>
      <c r="I24" t="s">
        <v>87</v>
      </c>
      <c r="J24" t="s">
        <v>88</v>
      </c>
      <c r="K24" t="s">
        <v>82</v>
      </c>
      <c r="L24" t="s">
        <v>28</v>
      </c>
      <c r="M24" t="s">
        <v>89</v>
      </c>
      <c r="N24" t="s">
        <v>23</v>
      </c>
      <c r="O24" t="s">
        <v>90</v>
      </c>
      <c r="P24">
        <v>241094</v>
      </c>
      <c r="Q24" t="s">
        <v>10</v>
      </c>
      <c r="R24" t="s">
        <v>98</v>
      </c>
      <c r="S24" t="s">
        <v>92</v>
      </c>
      <c r="T24">
        <v>90</v>
      </c>
      <c r="U24">
        <v>1.75</v>
      </c>
      <c r="V24" s="2">
        <v>7.2916666666666671E-2</v>
      </c>
      <c r="W24">
        <v>157.5</v>
      </c>
      <c r="X24">
        <v>210</v>
      </c>
      <c r="Y24">
        <v>52.5</v>
      </c>
      <c r="Z24" t="s">
        <v>99</v>
      </c>
      <c r="AA24" t="s">
        <v>93</v>
      </c>
      <c r="AB24" t="s">
        <v>94</v>
      </c>
      <c r="AC24" t="s">
        <v>120</v>
      </c>
      <c r="AD24" t="s">
        <v>96</v>
      </c>
      <c r="AE24">
        <f t="shared" si="2"/>
        <v>4</v>
      </c>
      <c r="AF24" t="str">
        <f t="shared" si="3"/>
        <v>April</v>
      </c>
    </row>
    <row r="25" spans="1:32">
      <c r="A25" s="1">
        <v>45412</v>
      </c>
      <c r="B25" t="s">
        <v>33</v>
      </c>
      <c r="C25" t="s">
        <v>81</v>
      </c>
      <c r="D25" t="s">
        <v>82</v>
      </c>
      <c r="E25" t="s">
        <v>83</v>
      </c>
      <c r="F25" t="s">
        <v>84</v>
      </c>
      <c r="G25" t="s">
        <v>85</v>
      </c>
      <c r="H25" t="s">
        <v>86</v>
      </c>
      <c r="I25" t="s">
        <v>87</v>
      </c>
      <c r="J25" t="s">
        <v>88</v>
      </c>
      <c r="K25" t="s">
        <v>82</v>
      </c>
      <c r="L25" t="s">
        <v>28</v>
      </c>
      <c r="M25" t="s">
        <v>89</v>
      </c>
      <c r="N25" t="s">
        <v>23</v>
      </c>
      <c r="O25" t="s">
        <v>90</v>
      </c>
      <c r="P25">
        <v>241825</v>
      </c>
      <c r="Q25" t="s">
        <v>10</v>
      </c>
      <c r="R25" t="s">
        <v>98</v>
      </c>
      <c r="S25" t="s">
        <v>92</v>
      </c>
      <c r="T25">
        <v>90</v>
      </c>
      <c r="U25">
        <v>4</v>
      </c>
      <c r="V25" s="2">
        <v>0.16666666666666666</v>
      </c>
      <c r="W25">
        <v>360</v>
      </c>
      <c r="X25">
        <v>480</v>
      </c>
      <c r="Y25">
        <v>120</v>
      </c>
      <c r="Z25" t="s">
        <v>99</v>
      </c>
      <c r="AA25" t="s">
        <v>93</v>
      </c>
      <c r="AB25" t="s">
        <v>94</v>
      </c>
      <c r="AC25" t="s">
        <v>121</v>
      </c>
      <c r="AD25" t="s">
        <v>96</v>
      </c>
      <c r="AE25">
        <f t="shared" si="2"/>
        <v>4</v>
      </c>
      <c r="AF25" t="str">
        <f t="shared" si="3"/>
        <v>April</v>
      </c>
    </row>
    <row r="26" spans="1:32">
      <c r="A26" s="1">
        <v>45412</v>
      </c>
      <c r="B26" t="s">
        <v>33</v>
      </c>
      <c r="C26" t="s">
        <v>81</v>
      </c>
      <c r="D26" t="s">
        <v>82</v>
      </c>
      <c r="E26" t="s">
        <v>83</v>
      </c>
      <c r="F26" t="s">
        <v>84</v>
      </c>
      <c r="G26" t="s">
        <v>85</v>
      </c>
      <c r="H26" t="s">
        <v>86</v>
      </c>
      <c r="I26" t="s">
        <v>87</v>
      </c>
      <c r="J26" t="s">
        <v>88</v>
      </c>
      <c r="K26" t="s">
        <v>82</v>
      </c>
      <c r="L26" t="s">
        <v>28</v>
      </c>
      <c r="M26" t="s">
        <v>89</v>
      </c>
      <c r="N26" t="s">
        <v>23</v>
      </c>
      <c r="O26" t="s">
        <v>90</v>
      </c>
      <c r="P26">
        <v>242217</v>
      </c>
      <c r="Q26" t="s">
        <v>11</v>
      </c>
      <c r="R26" t="s">
        <v>91</v>
      </c>
      <c r="S26" t="s">
        <v>92</v>
      </c>
      <c r="T26">
        <v>0</v>
      </c>
      <c r="U26">
        <v>1</v>
      </c>
      <c r="V26" s="2">
        <v>4.1666666666666664E-2</v>
      </c>
      <c r="W26">
        <v>0</v>
      </c>
      <c r="AA26" t="s">
        <v>93</v>
      </c>
      <c r="AB26" t="s">
        <v>94</v>
      </c>
      <c r="AC26" t="s">
        <v>122</v>
      </c>
      <c r="AD26" t="s">
        <v>96</v>
      </c>
      <c r="AE26">
        <f t="shared" si="2"/>
        <v>4</v>
      </c>
      <c r="AF26" t="str">
        <f t="shared" si="3"/>
        <v>April</v>
      </c>
    </row>
    <row r="27" spans="1:32">
      <c r="A27" s="1">
        <v>45413</v>
      </c>
      <c r="B27" t="s">
        <v>33</v>
      </c>
      <c r="C27" t="s">
        <v>81</v>
      </c>
      <c r="D27" t="s">
        <v>82</v>
      </c>
      <c r="E27" t="s">
        <v>83</v>
      </c>
      <c r="F27" t="s">
        <v>84</v>
      </c>
      <c r="G27" t="s">
        <v>85</v>
      </c>
      <c r="H27" t="s">
        <v>86</v>
      </c>
      <c r="I27" t="s">
        <v>87</v>
      </c>
      <c r="J27" t="s">
        <v>88</v>
      </c>
      <c r="K27" t="s">
        <v>82</v>
      </c>
      <c r="L27" t="s">
        <v>28</v>
      </c>
      <c r="M27" t="s">
        <v>89</v>
      </c>
      <c r="N27" t="s">
        <v>23</v>
      </c>
      <c r="O27" t="s">
        <v>90</v>
      </c>
      <c r="P27">
        <v>242574</v>
      </c>
      <c r="Q27" t="s">
        <v>10</v>
      </c>
      <c r="R27" t="s">
        <v>98</v>
      </c>
      <c r="S27" t="s">
        <v>92</v>
      </c>
      <c r="T27">
        <v>90</v>
      </c>
      <c r="U27">
        <v>8.75</v>
      </c>
      <c r="V27" s="2">
        <v>0.36458333333333331</v>
      </c>
      <c r="W27">
        <v>787.5</v>
      </c>
      <c r="AA27" t="s">
        <v>93</v>
      </c>
      <c r="AB27" t="s">
        <v>94</v>
      </c>
      <c r="AC27" t="s">
        <v>123</v>
      </c>
      <c r="AD27" t="s">
        <v>96</v>
      </c>
      <c r="AE27">
        <f t="shared" si="2"/>
        <v>5</v>
      </c>
      <c r="AF27" t="str">
        <f t="shared" si="3"/>
        <v>May</v>
      </c>
    </row>
    <row r="28" spans="1:32">
      <c r="A28" s="1">
        <v>45414</v>
      </c>
      <c r="B28" t="s">
        <v>33</v>
      </c>
      <c r="C28" t="s">
        <v>81</v>
      </c>
      <c r="D28" t="s">
        <v>82</v>
      </c>
      <c r="E28" t="s">
        <v>83</v>
      </c>
      <c r="F28" t="s">
        <v>84</v>
      </c>
      <c r="G28" t="s">
        <v>85</v>
      </c>
      <c r="H28" t="s">
        <v>86</v>
      </c>
      <c r="I28" t="s">
        <v>87</v>
      </c>
      <c r="J28" t="s">
        <v>88</v>
      </c>
      <c r="K28" t="s">
        <v>82</v>
      </c>
      <c r="L28" t="s">
        <v>28</v>
      </c>
      <c r="M28" t="s">
        <v>89</v>
      </c>
      <c r="N28" t="s">
        <v>23</v>
      </c>
      <c r="O28" t="s">
        <v>90</v>
      </c>
      <c r="P28">
        <v>242860</v>
      </c>
      <c r="Q28" t="s">
        <v>10</v>
      </c>
      <c r="R28" t="s">
        <v>98</v>
      </c>
      <c r="S28" t="s">
        <v>92</v>
      </c>
      <c r="T28">
        <v>90</v>
      </c>
      <c r="U28">
        <v>8</v>
      </c>
      <c r="V28" s="2">
        <v>0.33333333333333331</v>
      </c>
      <c r="W28">
        <v>720</v>
      </c>
      <c r="AA28" t="s">
        <v>93</v>
      </c>
      <c r="AB28" t="s">
        <v>94</v>
      </c>
      <c r="AC28" t="s">
        <v>124</v>
      </c>
      <c r="AD28" t="s">
        <v>96</v>
      </c>
      <c r="AE28">
        <f t="shared" si="2"/>
        <v>5</v>
      </c>
      <c r="AF28" t="str">
        <f t="shared" si="3"/>
        <v>May</v>
      </c>
    </row>
    <row r="29" spans="1:32">
      <c r="A29" s="1">
        <v>45415</v>
      </c>
      <c r="B29" t="s">
        <v>33</v>
      </c>
      <c r="C29" t="s">
        <v>81</v>
      </c>
      <c r="D29" t="s">
        <v>82</v>
      </c>
      <c r="E29" t="s">
        <v>83</v>
      </c>
      <c r="F29" t="s">
        <v>84</v>
      </c>
      <c r="G29" t="s">
        <v>85</v>
      </c>
      <c r="H29" t="s">
        <v>86</v>
      </c>
      <c r="I29" t="s">
        <v>87</v>
      </c>
      <c r="J29" t="s">
        <v>88</v>
      </c>
      <c r="K29" t="s">
        <v>82</v>
      </c>
      <c r="L29" t="s">
        <v>28</v>
      </c>
      <c r="M29" t="s">
        <v>89</v>
      </c>
      <c r="N29" t="s">
        <v>23</v>
      </c>
      <c r="O29" t="s">
        <v>90</v>
      </c>
      <c r="P29">
        <v>243069</v>
      </c>
      <c r="Q29" t="s">
        <v>10</v>
      </c>
      <c r="R29" t="s">
        <v>98</v>
      </c>
      <c r="S29" t="s">
        <v>92</v>
      </c>
      <c r="T29">
        <v>90</v>
      </c>
      <c r="U29">
        <v>4.75</v>
      </c>
      <c r="V29" s="2">
        <v>0.19791666666666666</v>
      </c>
      <c r="W29">
        <v>427.5</v>
      </c>
      <c r="AA29" t="s">
        <v>93</v>
      </c>
      <c r="AB29" t="s">
        <v>94</v>
      </c>
      <c r="AC29" t="s">
        <v>125</v>
      </c>
      <c r="AD29" t="s">
        <v>96</v>
      </c>
      <c r="AE29">
        <f t="shared" si="2"/>
        <v>5</v>
      </c>
      <c r="AF29" t="str">
        <f t="shared" si="3"/>
        <v>May</v>
      </c>
    </row>
    <row r="30" spans="1:32">
      <c r="A30" s="1">
        <v>45384</v>
      </c>
      <c r="B30" t="s">
        <v>44</v>
      </c>
      <c r="C30" t="s">
        <v>126</v>
      </c>
      <c r="D30" t="s">
        <v>82</v>
      </c>
      <c r="E30" t="s">
        <v>127</v>
      </c>
      <c r="F30" t="s">
        <v>84</v>
      </c>
      <c r="G30" t="s">
        <v>85</v>
      </c>
      <c r="H30" t="s">
        <v>86</v>
      </c>
      <c r="I30" t="s">
        <v>87</v>
      </c>
      <c r="J30" t="s">
        <v>88</v>
      </c>
      <c r="K30" t="s">
        <v>82</v>
      </c>
      <c r="L30" t="s">
        <v>28</v>
      </c>
      <c r="M30" t="s">
        <v>89</v>
      </c>
      <c r="N30" t="s">
        <v>128</v>
      </c>
      <c r="O30" t="s">
        <v>90</v>
      </c>
      <c r="P30">
        <v>230420</v>
      </c>
      <c r="Q30" t="s">
        <v>11</v>
      </c>
      <c r="R30" t="s">
        <v>91</v>
      </c>
      <c r="S30" t="s">
        <v>92</v>
      </c>
      <c r="T30">
        <v>0</v>
      </c>
      <c r="U30">
        <v>2.5</v>
      </c>
      <c r="V30" s="2">
        <v>0.10416666666666667</v>
      </c>
      <c r="W30">
        <v>0</v>
      </c>
      <c r="AA30" t="s">
        <v>93</v>
      </c>
      <c r="AB30" t="s">
        <v>94</v>
      </c>
      <c r="AC30" t="s">
        <v>129</v>
      </c>
      <c r="AD30" t="s">
        <v>96</v>
      </c>
      <c r="AE30">
        <f t="shared" si="2"/>
        <v>4</v>
      </c>
      <c r="AF30" t="str">
        <f t="shared" si="3"/>
        <v>April</v>
      </c>
    </row>
    <row r="31" spans="1:32">
      <c r="A31" s="1">
        <v>45385</v>
      </c>
      <c r="B31" t="s">
        <v>44</v>
      </c>
      <c r="C31" t="s">
        <v>126</v>
      </c>
      <c r="D31" t="s">
        <v>82</v>
      </c>
      <c r="E31" t="s">
        <v>127</v>
      </c>
      <c r="F31" t="s">
        <v>84</v>
      </c>
      <c r="G31" t="s">
        <v>85</v>
      </c>
      <c r="H31" t="s">
        <v>86</v>
      </c>
      <c r="I31" t="s">
        <v>87</v>
      </c>
      <c r="J31" t="s">
        <v>88</v>
      </c>
      <c r="K31" t="s">
        <v>82</v>
      </c>
      <c r="L31" t="s">
        <v>28</v>
      </c>
      <c r="M31" t="s">
        <v>89</v>
      </c>
      <c r="N31" t="s">
        <v>128</v>
      </c>
      <c r="O31" t="s">
        <v>90</v>
      </c>
      <c r="P31">
        <v>230878</v>
      </c>
      <c r="Q31" t="s">
        <v>11</v>
      </c>
      <c r="R31" t="s">
        <v>91</v>
      </c>
      <c r="S31" t="s">
        <v>92</v>
      </c>
      <c r="T31">
        <v>0</v>
      </c>
      <c r="U31">
        <v>0.25</v>
      </c>
      <c r="V31" s="2">
        <v>1.0416666666666666E-2</v>
      </c>
      <c r="W31">
        <v>0</v>
      </c>
      <c r="AA31" t="s">
        <v>93</v>
      </c>
      <c r="AB31" t="s">
        <v>94</v>
      </c>
      <c r="AC31" t="s">
        <v>130</v>
      </c>
      <c r="AD31" t="s">
        <v>96</v>
      </c>
      <c r="AE31">
        <f t="shared" si="2"/>
        <v>4</v>
      </c>
      <c r="AF31" t="str">
        <f t="shared" si="3"/>
        <v>April</v>
      </c>
    </row>
    <row r="32" spans="1:32">
      <c r="A32" s="1">
        <v>45386</v>
      </c>
      <c r="B32" t="s">
        <v>44</v>
      </c>
      <c r="C32" t="s">
        <v>126</v>
      </c>
      <c r="D32" t="s">
        <v>82</v>
      </c>
      <c r="E32" t="s">
        <v>127</v>
      </c>
      <c r="F32" t="s">
        <v>84</v>
      </c>
      <c r="G32" t="s">
        <v>85</v>
      </c>
      <c r="H32" t="s">
        <v>86</v>
      </c>
      <c r="I32" t="s">
        <v>87</v>
      </c>
      <c r="J32" t="s">
        <v>88</v>
      </c>
      <c r="K32" t="s">
        <v>82</v>
      </c>
      <c r="L32" t="s">
        <v>28</v>
      </c>
      <c r="M32" t="s">
        <v>89</v>
      </c>
      <c r="N32" t="s">
        <v>128</v>
      </c>
      <c r="O32" t="s">
        <v>90</v>
      </c>
      <c r="P32">
        <v>231489</v>
      </c>
      <c r="Q32" t="s">
        <v>11</v>
      </c>
      <c r="R32" t="s">
        <v>91</v>
      </c>
      <c r="S32" t="s">
        <v>92</v>
      </c>
      <c r="T32">
        <v>0</v>
      </c>
      <c r="U32">
        <v>0.25</v>
      </c>
      <c r="V32" s="2">
        <v>1.0416666666666666E-2</v>
      </c>
      <c r="W32">
        <v>0</v>
      </c>
      <c r="AA32" t="s">
        <v>93</v>
      </c>
      <c r="AB32" t="s">
        <v>94</v>
      </c>
      <c r="AC32" t="s">
        <v>130</v>
      </c>
      <c r="AD32" t="s">
        <v>96</v>
      </c>
      <c r="AE32">
        <f t="shared" si="2"/>
        <v>4</v>
      </c>
      <c r="AF32" t="str">
        <f t="shared" si="3"/>
        <v>April</v>
      </c>
    </row>
    <row r="33" spans="1:32">
      <c r="A33" s="1">
        <v>45387</v>
      </c>
      <c r="B33" t="s">
        <v>44</v>
      </c>
      <c r="C33" t="s">
        <v>126</v>
      </c>
      <c r="D33" t="s">
        <v>82</v>
      </c>
      <c r="E33" t="s">
        <v>127</v>
      </c>
      <c r="F33" t="s">
        <v>84</v>
      </c>
      <c r="G33" t="s">
        <v>85</v>
      </c>
      <c r="H33" t="s">
        <v>86</v>
      </c>
      <c r="I33" t="s">
        <v>87</v>
      </c>
      <c r="J33" t="s">
        <v>88</v>
      </c>
      <c r="K33" t="s">
        <v>82</v>
      </c>
      <c r="L33" t="s">
        <v>28</v>
      </c>
      <c r="M33" t="s">
        <v>89</v>
      </c>
      <c r="N33" t="s">
        <v>128</v>
      </c>
      <c r="O33" t="s">
        <v>90</v>
      </c>
      <c r="P33">
        <v>231615</v>
      </c>
      <c r="Q33" t="s">
        <v>11</v>
      </c>
      <c r="R33" t="s">
        <v>91</v>
      </c>
      <c r="S33" t="s">
        <v>92</v>
      </c>
      <c r="T33">
        <v>0</v>
      </c>
      <c r="U33">
        <v>0.5</v>
      </c>
      <c r="V33" s="2">
        <v>2.0833333333333332E-2</v>
      </c>
      <c r="W33">
        <v>0</v>
      </c>
      <c r="AA33" t="s">
        <v>93</v>
      </c>
      <c r="AB33" t="s">
        <v>94</v>
      </c>
      <c r="AC33" t="s">
        <v>131</v>
      </c>
      <c r="AD33" t="s">
        <v>96</v>
      </c>
      <c r="AE33">
        <f t="shared" si="2"/>
        <v>4</v>
      </c>
      <c r="AF33" t="str">
        <f t="shared" si="3"/>
        <v>April</v>
      </c>
    </row>
    <row r="34" spans="1:32">
      <c r="A34" s="1">
        <v>45390</v>
      </c>
      <c r="B34" t="s">
        <v>44</v>
      </c>
      <c r="C34" t="s">
        <v>126</v>
      </c>
      <c r="D34" t="s">
        <v>82</v>
      </c>
      <c r="E34" t="s">
        <v>127</v>
      </c>
      <c r="F34" t="s">
        <v>84</v>
      </c>
      <c r="G34" t="s">
        <v>85</v>
      </c>
      <c r="H34" t="s">
        <v>86</v>
      </c>
      <c r="I34" t="s">
        <v>87</v>
      </c>
      <c r="J34" t="s">
        <v>88</v>
      </c>
      <c r="K34" t="s">
        <v>82</v>
      </c>
      <c r="L34" t="s">
        <v>28</v>
      </c>
      <c r="M34" t="s">
        <v>89</v>
      </c>
      <c r="N34" t="s">
        <v>128</v>
      </c>
      <c r="O34" t="s">
        <v>90</v>
      </c>
      <c r="P34">
        <v>232448</v>
      </c>
      <c r="Q34" t="s">
        <v>11</v>
      </c>
      <c r="R34" t="s">
        <v>91</v>
      </c>
      <c r="S34" t="s">
        <v>92</v>
      </c>
      <c r="T34">
        <v>0</v>
      </c>
      <c r="U34">
        <v>0.5</v>
      </c>
      <c r="V34" s="2">
        <v>2.0833333333333332E-2</v>
      </c>
      <c r="W34">
        <v>0</v>
      </c>
      <c r="AA34" t="s">
        <v>93</v>
      </c>
      <c r="AB34" t="s">
        <v>94</v>
      </c>
      <c r="AC34" t="s">
        <v>132</v>
      </c>
      <c r="AD34" t="s">
        <v>96</v>
      </c>
      <c r="AE34">
        <f t="shared" si="2"/>
        <v>4</v>
      </c>
      <c r="AF34" t="str">
        <f t="shared" si="3"/>
        <v>April</v>
      </c>
    </row>
    <row r="35" spans="1:32">
      <c r="A35" s="1">
        <v>45391</v>
      </c>
      <c r="B35" t="s">
        <v>44</v>
      </c>
      <c r="C35" t="s">
        <v>126</v>
      </c>
      <c r="D35" t="s">
        <v>82</v>
      </c>
      <c r="E35" t="s">
        <v>127</v>
      </c>
      <c r="F35" t="s">
        <v>84</v>
      </c>
      <c r="G35" t="s">
        <v>85</v>
      </c>
      <c r="H35" t="s">
        <v>86</v>
      </c>
      <c r="I35" t="s">
        <v>87</v>
      </c>
      <c r="J35" t="s">
        <v>88</v>
      </c>
      <c r="K35" t="s">
        <v>82</v>
      </c>
      <c r="L35" t="s">
        <v>28</v>
      </c>
      <c r="M35" t="s">
        <v>89</v>
      </c>
      <c r="N35" t="s">
        <v>128</v>
      </c>
      <c r="O35" t="s">
        <v>90</v>
      </c>
      <c r="P35">
        <v>232768</v>
      </c>
      <c r="Q35" t="s">
        <v>11</v>
      </c>
      <c r="R35" t="s">
        <v>91</v>
      </c>
      <c r="S35" t="s">
        <v>92</v>
      </c>
      <c r="T35">
        <v>0</v>
      </c>
      <c r="U35">
        <v>0.25</v>
      </c>
      <c r="V35" s="2">
        <v>1.0416666666666666E-2</v>
      </c>
      <c r="W35">
        <v>0</v>
      </c>
      <c r="AA35" t="s">
        <v>93</v>
      </c>
      <c r="AB35" t="s">
        <v>94</v>
      </c>
      <c r="AC35" t="s">
        <v>130</v>
      </c>
      <c r="AD35" t="s">
        <v>96</v>
      </c>
      <c r="AE35">
        <f t="shared" si="2"/>
        <v>4</v>
      </c>
      <c r="AF35" t="str">
        <f t="shared" si="3"/>
        <v>April</v>
      </c>
    </row>
    <row r="36" spans="1:32">
      <c r="A36" s="1">
        <v>45392</v>
      </c>
      <c r="B36" t="s">
        <v>44</v>
      </c>
      <c r="C36" t="s">
        <v>126</v>
      </c>
      <c r="D36" t="s">
        <v>82</v>
      </c>
      <c r="E36" t="s">
        <v>127</v>
      </c>
      <c r="F36" t="s">
        <v>84</v>
      </c>
      <c r="G36" t="s">
        <v>85</v>
      </c>
      <c r="H36" t="s">
        <v>86</v>
      </c>
      <c r="I36" t="s">
        <v>87</v>
      </c>
      <c r="J36" t="s">
        <v>88</v>
      </c>
      <c r="K36" t="s">
        <v>82</v>
      </c>
      <c r="L36" t="s">
        <v>28</v>
      </c>
      <c r="M36" t="s">
        <v>89</v>
      </c>
      <c r="N36" t="s">
        <v>128</v>
      </c>
      <c r="O36" t="s">
        <v>90</v>
      </c>
      <c r="P36">
        <v>233860</v>
      </c>
      <c r="Q36" t="s">
        <v>11</v>
      </c>
      <c r="R36" t="s">
        <v>91</v>
      </c>
      <c r="S36" t="s">
        <v>92</v>
      </c>
      <c r="T36">
        <v>0</v>
      </c>
      <c r="U36">
        <v>0.25</v>
      </c>
      <c r="V36" s="2">
        <v>1.0416666666666666E-2</v>
      </c>
      <c r="W36">
        <v>0</v>
      </c>
      <c r="AA36" t="s">
        <v>93</v>
      </c>
      <c r="AB36" t="s">
        <v>94</v>
      </c>
      <c r="AC36" t="s">
        <v>130</v>
      </c>
      <c r="AD36" t="s">
        <v>96</v>
      </c>
      <c r="AE36">
        <f t="shared" ref="AE36:AE99" si="4">MONTH(A36)</f>
        <v>4</v>
      </c>
      <c r="AF36" t="str">
        <f t="shared" ref="AF36:AF99" si="5">IF(AE36=1,"January",IF(AE36=2,"February",IF(AE36=3,"March",IF(AE36=4,"April",IF(AE36=5,"May")))))</f>
        <v>April</v>
      </c>
    </row>
    <row r="37" spans="1:32">
      <c r="A37" s="1">
        <v>45393</v>
      </c>
      <c r="B37" t="s">
        <v>44</v>
      </c>
      <c r="C37" t="s">
        <v>126</v>
      </c>
      <c r="D37" t="s">
        <v>82</v>
      </c>
      <c r="E37" t="s">
        <v>127</v>
      </c>
      <c r="F37" t="s">
        <v>84</v>
      </c>
      <c r="G37" t="s">
        <v>85</v>
      </c>
      <c r="H37" t="s">
        <v>86</v>
      </c>
      <c r="I37" t="s">
        <v>87</v>
      </c>
      <c r="J37" t="s">
        <v>88</v>
      </c>
      <c r="K37" t="s">
        <v>82</v>
      </c>
      <c r="L37" t="s">
        <v>28</v>
      </c>
      <c r="M37" t="s">
        <v>89</v>
      </c>
      <c r="N37" t="s">
        <v>128</v>
      </c>
      <c r="O37" t="s">
        <v>90</v>
      </c>
      <c r="P37">
        <v>234193</v>
      </c>
      <c r="Q37" t="s">
        <v>11</v>
      </c>
      <c r="R37" t="s">
        <v>91</v>
      </c>
      <c r="S37" t="s">
        <v>92</v>
      </c>
      <c r="T37">
        <v>0</v>
      </c>
      <c r="U37">
        <v>0.25</v>
      </c>
      <c r="V37" s="2">
        <v>1.0416666666666666E-2</v>
      </c>
      <c r="W37">
        <v>0</v>
      </c>
      <c r="AA37" t="s">
        <v>93</v>
      </c>
      <c r="AB37" t="s">
        <v>94</v>
      </c>
      <c r="AC37" t="s">
        <v>130</v>
      </c>
      <c r="AD37" t="s">
        <v>96</v>
      </c>
      <c r="AE37">
        <f t="shared" si="4"/>
        <v>4</v>
      </c>
      <c r="AF37" t="str">
        <f t="shared" si="5"/>
        <v>April</v>
      </c>
    </row>
    <row r="38" spans="1:32">
      <c r="A38" s="1">
        <v>45394</v>
      </c>
      <c r="B38" t="s">
        <v>44</v>
      </c>
      <c r="C38" t="s">
        <v>126</v>
      </c>
      <c r="D38" t="s">
        <v>82</v>
      </c>
      <c r="E38" t="s">
        <v>127</v>
      </c>
      <c r="F38" t="s">
        <v>84</v>
      </c>
      <c r="G38" t="s">
        <v>85</v>
      </c>
      <c r="H38" t="s">
        <v>86</v>
      </c>
      <c r="I38" t="s">
        <v>87</v>
      </c>
      <c r="J38" t="s">
        <v>88</v>
      </c>
      <c r="K38" t="s">
        <v>82</v>
      </c>
      <c r="L38" t="s">
        <v>28</v>
      </c>
      <c r="M38" t="s">
        <v>89</v>
      </c>
      <c r="N38" t="s">
        <v>128</v>
      </c>
      <c r="O38" t="s">
        <v>90</v>
      </c>
      <c r="P38">
        <v>234553</v>
      </c>
      <c r="Q38" t="s">
        <v>11</v>
      </c>
      <c r="R38" t="s">
        <v>91</v>
      </c>
      <c r="S38" t="s">
        <v>92</v>
      </c>
      <c r="T38">
        <v>0</v>
      </c>
      <c r="U38">
        <v>0.25</v>
      </c>
      <c r="V38" s="2">
        <v>1.0416666666666666E-2</v>
      </c>
      <c r="W38">
        <v>0</v>
      </c>
      <c r="AA38" t="s">
        <v>93</v>
      </c>
      <c r="AB38" t="s">
        <v>94</v>
      </c>
      <c r="AC38" t="s">
        <v>130</v>
      </c>
      <c r="AD38" t="s">
        <v>96</v>
      </c>
      <c r="AE38">
        <f t="shared" si="4"/>
        <v>4</v>
      </c>
      <c r="AF38" t="str">
        <f t="shared" si="5"/>
        <v>April</v>
      </c>
    </row>
    <row r="39" spans="1:32">
      <c r="A39" s="1">
        <v>45397</v>
      </c>
      <c r="B39" t="s">
        <v>44</v>
      </c>
      <c r="C39" t="s">
        <v>126</v>
      </c>
      <c r="D39" t="s">
        <v>82</v>
      </c>
      <c r="E39" t="s">
        <v>127</v>
      </c>
      <c r="F39" t="s">
        <v>84</v>
      </c>
      <c r="G39" t="s">
        <v>85</v>
      </c>
      <c r="H39" t="s">
        <v>86</v>
      </c>
      <c r="I39" t="s">
        <v>87</v>
      </c>
      <c r="J39" t="s">
        <v>88</v>
      </c>
      <c r="K39" t="s">
        <v>82</v>
      </c>
      <c r="L39" t="s">
        <v>28</v>
      </c>
      <c r="M39" t="s">
        <v>89</v>
      </c>
      <c r="N39" t="s">
        <v>128</v>
      </c>
      <c r="O39" t="s">
        <v>90</v>
      </c>
      <c r="P39">
        <v>235379</v>
      </c>
      <c r="Q39" t="s">
        <v>11</v>
      </c>
      <c r="R39" t="s">
        <v>91</v>
      </c>
      <c r="S39" t="s">
        <v>92</v>
      </c>
      <c r="T39">
        <v>0</v>
      </c>
      <c r="U39">
        <v>0.5</v>
      </c>
      <c r="V39" s="2">
        <v>2.0833333333333332E-2</v>
      </c>
      <c r="W39">
        <v>0</v>
      </c>
      <c r="AA39" t="s">
        <v>93</v>
      </c>
      <c r="AB39" t="s">
        <v>94</v>
      </c>
      <c r="AC39" t="s">
        <v>133</v>
      </c>
      <c r="AD39" t="s">
        <v>96</v>
      </c>
      <c r="AE39">
        <f t="shared" si="4"/>
        <v>4</v>
      </c>
      <c r="AF39" t="str">
        <f t="shared" si="5"/>
        <v>April</v>
      </c>
    </row>
    <row r="40" spans="1:32">
      <c r="A40" s="1">
        <v>45400</v>
      </c>
      <c r="B40" t="s">
        <v>44</v>
      </c>
      <c r="C40" t="s">
        <v>126</v>
      </c>
      <c r="D40" t="s">
        <v>82</v>
      </c>
      <c r="E40" t="s">
        <v>127</v>
      </c>
      <c r="F40" t="s">
        <v>84</v>
      </c>
      <c r="G40" t="s">
        <v>85</v>
      </c>
      <c r="H40" t="s">
        <v>86</v>
      </c>
      <c r="I40" t="s">
        <v>87</v>
      </c>
      <c r="J40" t="s">
        <v>88</v>
      </c>
      <c r="K40" t="s">
        <v>82</v>
      </c>
      <c r="L40" t="s">
        <v>28</v>
      </c>
      <c r="M40" t="s">
        <v>89</v>
      </c>
      <c r="N40" t="s">
        <v>128</v>
      </c>
      <c r="O40" t="s">
        <v>90</v>
      </c>
      <c r="P40">
        <v>237566</v>
      </c>
      <c r="Q40" t="s">
        <v>11</v>
      </c>
      <c r="R40" t="s">
        <v>91</v>
      </c>
      <c r="S40" t="s">
        <v>92</v>
      </c>
      <c r="T40">
        <v>0</v>
      </c>
      <c r="U40">
        <v>0.25</v>
      </c>
      <c r="V40" s="2">
        <v>1.0416666666666666E-2</v>
      </c>
      <c r="W40">
        <v>0</v>
      </c>
      <c r="AA40" t="s">
        <v>93</v>
      </c>
      <c r="AB40" t="s">
        <v>94</v>
      </c>
      <c r="AC40" t="s">
        <v>130</v>
      </c>
      <c r="AD40" t="s">
        <v>96</v>
      </c>
      <c r="AE40">
        <f t="shared" si="4"/>
        <v>4</v>
      </c>
      <c r="AF40" t="str">
        <f t="shared" si="5"/>
        <v>April</v>
      </c>
    </row>
    <row r="41" spans="1:32">
      <c r="A41" s="1">
        <v>45401</v>
      </c>
      <c r="B41" t="s">
        <v>44</v>
      </c>
      <c r="C41" t="s">
        <v>126</v>
      </c>
      <c r="D41" t="s">
        <v>82</v>
      </c>
      <c r="E41" t="s">
        <v>127</v>
      </c>
      <c r="F41" t="s">
        <v>84</v>
      </c>
      <c r="G41" t="s">
        <v>85</v>
      </c>
      <c r="H41" t="s">
        <v>86</v>
      </c>
      <c r="I41" t="s">
        <v>87</v>
      </c>
      <c r="J41" t="s">
        <v>88</v>
      </c>
      <c r="K41" t="s">
        <v>82</v>
      </c>
      <c r="L41" t="s">
        <v>28</v>
      </c>
      <c r="M41" t="s">
        <v>89</v>
      </c>
      <c r="N41" t="s">
        <v>128</v>
      </c>
      <c r="O41" t="s">
        <v>90</v>
      </c>
      <c r="P41">
        <v>237567</v>
      </c>
      <c r="Q41" t="s">
        <v>11</v>
      </c>
      <c r="R41" t="s">
        <v>91</v>
      </c>
      <c r="S41" t="s">
        <v>92</v>
      </c>
      <c r="T41">
        <v>0</v>
      </c>
      <c r="U41">
        <v>0.25</v>
      </c>
      <c r="V41" s="2">
        <v>1.0416666666666666E-2</v>
      </c>
      <c r="W41">
        <v>0</v>
      </c>
      <c r="AA41" t="s">
        <v>93</v>
      </c>
      <c r="AB41" t="s">
        <v>94</v>
      </c>
      <c r="AC41" t="s">
        <v>130</v>
      </c>
      <c r="AD41" t="s">
        <v>96</v>
      </c>
      <c r="AE41">
        <f t="shared" si="4"/>
        <v>4</v>
      </c>
      <c r="AF41" t="str">
        <f t="shared" si="5"/>
        <v>April</v>
      </c>
    </row>
    <row r="42" spans="1:32">
      <c r="A42" s="1">
        <v>45404</v>
      </c>
      <c r="B42" t="s">
        <v>44</v>
      </c>
      <c r="C42" t="s">
        <v>126</v>
      </c>
      <c r="D42" t="s">
        <v>82</v>
      </c>
      <c r="E42" t="s">
        <v>127</v>
      </c>
      <c r="F42" t="s">
        <v>84</v>
      </c>
      <c r="G42" t="s">
        <v>85</v>
      </c>
      <c r="H42" t="s">
        <v>86</v>
      </c>
      <c r="I42" t="s">
        <v>87</v>
      </c>
      <c r="J42" t="s">
        <v>88</v>
      </c>
      <c r="K42" t="s">
        <v>82</v>
      </c>
      <c r="L42" t="s">
        <v>28</v>
      </c>
      <c r="M42" t="s">
        <v>89</v>
      </c>
      <c r="N42" t="s">
        <v>128</v>
      </c>
      <c r="O42" t="s">
        <v>90</v>
      </c>
      <c r="P42">
        <v>238279</v>
      </c>
      <c r="Q42" t="s">
        <v>11</v>
      </c>
      <c r="R42" t="s">
        <v>91</v>
      </c>
      <c r="S42" t="s">
        <v>92</v>
      </c>
      <c r="T42">
        <v>0</v>
      </c>
      <c r="U42">
        <v>0.25</v>
      </c>
      <c r="V42" s="2">
        <v>1.0416666666666666E-2</v>
      </c>
      <c r="W42">
        <v>0</v>
      </c>
      <c r="AA42" t="s">
        <v>93</v>
      </c>
      <c r="AB42" t="s">
        <v>94</v>
      </c>
      <c r="AC42" t="s">
        <v>134</v>
      </c>
      <c r="AD42" t="s">
        <v>96</v>
      </c>
      <c r="AE42">
        <f t="shared" si="4"/>
        <v>4</v>
      </c>
      <c r="AF42" t="str">
        <f t="shared" si="5"/>
        <v>April</v>
      </c>
    </row>
    <row r="43" spans="1:32">
      <c r="A43" s="1">
        <v>45405</v>
      </c>
      <c r="B43" t="s">
        <v>44</v>
      </c>
      <c r="C43" t="s">
        <v>126</v>
      </c>
      <c r="D43" t="s">
        <v>82</v>
      </c>
      <c r="E43" t="s">
        <v>127</v>
      </c>
      <c r="F43" t="s">
        <v>84</v>
      </c>
      <c r="G43" t="s">
        <v>85</v>
      </c>
      <c r="H43" t="s">
        <v>86</v>
      </c>
      <c r="I43" t="s">
        <v>87</v>
      </c>
      <c r="J43" t="s">
        <v>88</v>
      </c>
      <c r="K43" t="s">
        <v>82</v>
      </c>
      <c r="L43" t="s">
        <v>28</v>
      </c>
      <c r="M43" t="s">
        <v>89</v>
      </c>
      <c r="N43" t="s">
        <v>128</v>
      </c>
      <c r="O43" t="s">
        <v>90</v>
      </c>
      <c r="P43">
        <v>238781</v>
      </c>
      <c r="Q43" t="s">
        <v>11</v>
      </c>
      <c r="R43" t="s">
        <v>91</v>
      </c>
      <c r="S43" t="s">
        <v>92</v>
      </c>
      <c r="T43">
        <v>0</v>
      </c>
      <c r="U43">
        <v>0.75</v>
      </c>
      <c r="V43" s="2">
        <v>3.125E-2</v>
      </c>
      <c r="W43">
        <v>0</v>
      </c>
      <c r="AA43" t="s">
        <v>93</v>
      </c>
      <c r="AB43" t="s">
        <v>94</v>
      </c>
      <c r="AC43" t="s">
        <v>135</v>
      </c>
      <c r="AD43" t="s">
        <v>96</v>
      </c>
      <c r="AE43">
        <f t="shared" si="4"/>
        <v>4</v>
      </c>
      <c r="AF43" t="str">
        <f t="shared" si="5"/>
        <v>April</v>
      </c>
    </row>
    <row r="44" spans="1:32">
      <c r="A44" s="1">
        <v>45406</v>
      </c>
      <c r="B44" t="s">
        <v>44</v>
      </c>
      <c r="C44" t="s">
        <v>126</v>
      </c>
      <c r="D44" t="s">
        <v>82</v>
      </c>
      <c r="E44" t="s">
        <v>127</v>
      </c>
      <c r="F44" t="s">
        <v>84</v>
      </c>
      <c r="G44" t="s">
        <v>85</v>
      </c>
      <c r="H44" t="s">
        <v>86</v>
      </c>
      <c r="I44" t="s">
        <v>87</v>
      </c>
      <c r="J44" t="s">
        <v>88</v>
      </c>
      <c r="K44" t="s">
        <v>82</v>
      </c>
      <c r="L44" t="s">
        <v>28</v>
      </c>
      <c r="M44" t="s">
        <v>89</v>
      </c>
      <c r="N44" t="s">
        <v>128</v>
      </c>
      <c r="O44" t="s">
        <v>90</v>
      </c>
      <c r="P44">
        <v>239451</v>
      </c>
      <c r="Q44" t="s">
        <v>11</v>
      </c>
      <c r="R44" t="s">
        <v>91</v>
      </c>
      <c r="S44" t="s">
        <v>92</v>
      </c>
      <c r="T44">
        <v>0</v>
      </c>
      <c r="U44">
        <v>0.75</v>
      </c>
      <c r="V44" s="2">
        <v>3.125E-2</v>
      </c>
      <c r="W44">
        <v>0</v>
      </c>
      <c r="AA44" t="s">
        <v>93</v>
      </c>
      <c r="AB44" t="s">
        <v>94</v>
      </c>
      <c r="AC44" t="s">
        <v>136</v>
      </c>
      <c r="AD44" t="s">
        <v>96</v>
      </c>
      <c r="AE44">
        <f t="shared" si="4"/>
        <v>4</v>
      </c>
      <c r="AF44" t="str">
        <f t="shared" si="5"/>
        <v>April</v>
      </c>
    </row>
    <row r="45" spans="1:32">
      <c r="A45" s="1">
        <v>45407</v>
      </c>
      <c r="B45" t="s">
        <v>44</v>
      </c>
      <c r="C45" t="s">
        <v>126</v>
      </c>
      <c r="D45" t="s">
        <v>82</v>
      </c>
      <c r="E45" t="s">
        <v>127</v>
      </c>
      <c r="F45" t="s">
        <v>84</v>
      </c>
      <c r="G45" t="s">
        <v>85</v>
      </c>
      <c r="H45" t="s">
        <v>86</v>
      </c>
      <c r="I45" t="s">
        <v>87</v>
      </c>
      <c r="J45" t="s">
        <v>88</v>
      </c>
      <c r="K45" t="s">
        <v>82</v>
      </c>
      <c r="L45" t="s">
        <v>28</v>
      </c>
      <c r="M45" t="s">
        <v>89</v>
      </c>
      <c r="N45" t="s">
        <v>128</v>
      </c>
      <c r="O45" t="s">
        <v>90</v>
      </c>
      <c r="P45">
        <v>240397</v>
      </c>
      <c r="Q45" t="s">
        <v>11</v>
      </c>
      <c r="R45" t="s">
        <v>91</v>
      </c>
      <c r="S45" t="s">
        <v>92</v>
      </c>
      <c r="T45">
        <v>0</v>
      </c>
      <c r="U45">
        <v>0.25</v>
      </c>
      <c r="V45" s="2">
        <v>1.0416666666666666E-2</v>
      </c>
      <c r="W45">
        <v>0</v>
      </c>
      <c r="AA45" t="s">
        <v>93</v>
      </c>
      <c r="AB45" t="s">
        <v>94</v>
      </c>
      <c r="AC45" t="s">
        <v>130</v>
      </c>
      <c r="AD45" t="s">
        <v>96</v>
      </c>
      <c r="AE45">
        <f t="shared" si="4"/>
        <v>4</v>
      </c>
      <c r="AF45" t="str">
        <f t="shared" si="5"/>
        <v>April</v>
      </c>
    </row>
    <row r="46" spans="1:32">
      <c r="A46" s="1">
        <v>45408</v>
      </c>
      <c r="B46" t="s">
        <v>44</v>
      </c>
      <c r="C46" t="s">
        <v>126</v>
      </c>
      <c r="D46" t="s">
        <v>82</v>
      </c>
      <c r="E46" t="s">
        <v>127</v>
      </c>
      <c r="F46" t="s">
        <v>84</v>
      </c>
      <c r="G46" t="s">
        <v>85</v>
      </c>
      <c r="H46" t="s">
        <v>86</v>
      </c>
      <c r="I46" t="s">
        <v>87</v>
      </c>
      <c r="J46" t="s">
        <v>88</v>
      </c>
      <c r="K46" t="s">
        <v>82</v>
      </c>
      <c r="L46" t="s">
        <v>28</v>
      </c>
      <c r="M46" t="s">
        <v>89</v>
      </c>
      <c r="N46" t="s">
        <v>128</v>
      </c>
      <c r="O46" t="s">
        <v>90</v>
      </c>
      <c r="P46">
        <v>240485</v>
      </c>
      <c r="Q46" t="s">
        <v>11</v>
      </c>
      <c r="R46" t="s">
        <v>91</v>
      </c>
      <c r="S46" t="s">
        <v>92</v>
      </c>
      <c r="T46">
        <v>0</v>
      </c>
      <c r="U46">
        <v>0.5</v>
      </c>
      <c r="V46" s="2">
        <v>2.0833333333333332E-2</v>
      </c>
      <c r="W46">
        <v>0</v>
      </c>
      <c r="AA46" t="s">
        <v>93</v>
      </c>
      <c r="AB46" t="s">
        <v>94</v>
      </c>
      <c r="AC46" t="s">
        <v>137</v>
      </c>
      <c r="AD46" t="s">
        <v>96</v>
      </c>
      <c r="AE46">
        <f t="shared" si="4"/>
        <v>4</v>
      </c>
      <c r="AF46" t="str">
        <f t="shared" si="5"/>
        <v>April</v>
      </c>
    </row>
    <row r="47" spans="1:32">
      <c r="A47" s="1">
        <v>45411</v>
      </c>
      <c r="B47" t="s">
        <v>44</v>
      </c>
      <c r="C47" t="s">
        <v>126</v>
      </c>
      <c r="D47" t="s">
        <v>82</v>
      </c>
      <c r="E47" t="s">
        <v>127</v>
      </c>
      <c r="F47" t="s">
        <v>84</v>
      </c>
      <c r="G47" t="s">
        <v>85</v>
      </c>
      <c r="H47" t="s">
        <v>86</v>
      </c>
      <c r="I47" t="s">
        <v>87</v>
      </c>
      <c r="J47" t="s">
        <v>88</v>
      </c>
      <c r="K47" t="s">
        <v>82</v>
      </c>
      <c r="L47" t="s">
        <v>28</v>
      </c>
      <c r="M47" t="s">
        <v>89</v>
      </c>
      <c r="N47" t="s">
        <v>128</v>
      </c>
      <c r="O47" t="s">
        <v>90</v>
      </c>
      <c r="P47">
        <v>241534</v>
      </c>
      <c r="Q47" t="s">
        <v>11</v>
      </c>
      <c r="R47" t="s">
        <v>91</v>
      </c>
      <c r="S47" t="s">
        <v>92</v>
      </c>
      <c r="T47">
        <v>0</v>
      </c>
      <c r="U47">
        <v>0.5</v>
      </c>
      <c r="V47" s="2">
        <v>2.0833333333333332E-2</v>
      </c>
      <c r="W47">
        <v>0</v>
      </c>
      <c r="AA47" t="s">
        <v>93</v>
      </c>
      <c r="AB47" t="s">
        <v>94</v>
      </c>
      <c r="AC47" t="s">
        <v>133</v>
      </c>
      <c r="AD47" t="s">
        <v>96</v>
      </c>
      <c r="AE47">
        <f t="shared" si="4"/>
        <v>4</v>
      </c>
      <c r="AF47" t="str">
        <f t="shared" si="5"/>
        <v>April</v>
      </c>
    </row>
    <row r="48" spans="1:32">
      <c r="A48" s="1">
        <v>45412</v>
      </c>
      <c r="B48" t="s">
        <v>44</v>
      </c>
      <c r="C48" t="s">
        <v>126</v>
      </c>
      <c r="D48" t="s">
        <v>82</v>
      </c>
      <c r="E48" t="s">
        <v>127</v>
      </c>
      <c r="F48" t="s">
        <v>84</v>
      </c>
      <c r="G48" t="s">
        <v>85</v>
      </c>
      <c r="H48" t="s">
        <v>86</v>
      </c>
      <c r="I48" t="s">
        <v>87</v>
      </c>
      <c r="J48" t="s">
        <v>88</v>
      </c>
      <c r="K48" t="s">
        <v>82</v>
      </c>
      <c r="L48" t="s">
        <v>28</v>
      </c>
      <c r="M48" t="s">
        <v>89</v>
      </c>
      <c r="N48" t="s">
        <v>128</v>
      </c>
      <c r="O48" t="s">
        <v>90</v>
      </c>
      <c r="P48">
        <v>241526</v>
      </c>
      <c r="Q48" t="s">
        <v>11</v>
      </c>
      <c r="R48" t="s">
        <v>91</v>
      </c>
      <c r="S48" t="s">
        <v>92</v>
      </c>
      <c r="T48">
        <v>0</v>
      </c>
      <c r="U48">
        <v>0.25</v>
      </c>
      <c r="V48" s="2">
        <v>1.0416666666666666E-2</v>
      </c>
      <c r="W48">
        <v>0</v>
      </c>
      <c r="AA48" t="s">
        <v>93</v>
      </c>
      <c r="AB48" t="s">
        <v>94</v>
      </c>
      <c r="AC48" t="s">
        <v>130</v>
      </c>
      <c r="AD48" t="s">
        <v>96</v>
      </c>
      <c r="AE48">
        <f t="shared" si="4"/>
        <v>4</v>
      </c>
      <c r="AF48" t="str">
        <f t="shared" si="5"/>
        <v>April</v>
      </c>
    </row>
    <row r="49" spans="1:32">
      <c r="A49" s="1">
        <v>45378</v>
      </c>
      <c r="B49" t="s">
        <v>45</v>
      </c>
      <c r="C49" t="s">
        <v>126</v>
      </c>
      <c r="D49" t="s">
        <v>82</v>
      </c>
      <c r="E49" t="s">
        <v>83</v>
      </c>
      <c r="F49" t="s">
        <v>84</v>
      </c>
      <c r="G49" t="s">
        <v>85</v>
      </c>
      <c r="H49" t="s">
        <v>86</v>
      </c>
      <c r="I49" t="s">
        <v>87</v>
      </c>
      <c r="J49" t="s">
        <v>88</v>
      </c>
      <c r="K49" t="s">
        <v>82</v>
      </c>
      <c r="L49" t="s">
        <v>28</v>
      </c>
      <c r="M49" t="s">
        <v>89</v>
      </c>
      <c r="N49" t="s">
        <v>23</v>
      </c>
      <c r="O49" t="s">
        <v>90</v>
      </c>
      <c r="P49">
        <v>228702</v>
      </c>
      <c r="Q49" t="s">
        <v>11</v>
      </c>
      <c r="R49" t="s">
        <v>91</v>
      </c>
      <c r="S49" t="s">
        <v>92</v>
      </c>
      <c r="T49">
        <v>0</v>
      </c>
      <c r="U49">
        <v>1.5</v>
      </c>
      <c r="V49" s="2">
        <v>6.25E-2</v>
      </c>
      <c r="W49">
        <v>0</v>
      </c>
      <c r="AA49" t="s">
        <v>93</v>
      </c>
      <c r="AB49" t="s">
        <v>94</v>
      </c>
      <c r="AC49" t="s">
        <v>128</v>
      </c>
      <c r="AD49" t="s">
        <v>96</v>
      </c>
      <c r="AE49">
        <f t="shared" si="4"/>
        <v>3</v>
      </c>
      <c r="AF49" t="str">
        <f t="shared" si="5"/>
        <v>March</v>
      </c>
    </row>
    <row r="50" spans="1:32">
      <c r="A50" s="1">
        <v>45379</v>
      </c>
      <c r="B50" t="s">
        <v>45</v>
      </c>
      <c r="C50" t="s">
        <v>126</v>
      </c>
      <c r="D50" t="s">
        <v>82</v>
      </c>
      <c r="E50" t="s">
        <v>83</v>
      </c>
      <c r="F50" t="s">
        <v>84</v>
      </c>
      <c r="G50" t="s">
        <v>85</v>
      </c>
      <c r="H50" t="s">
        <v>86</v>
      </c>
      <c r="I50" t="s">
        <v>87</v>
      </c>
      <c r="J50" t="s">
        <v>88</v>
      </c>
      <c r="K50" t="s">
        <v>82</v>
      </c>
      <c r="L50" t="s">
        <v>28</v>
      </c>
      <c r="M50" t="s">
        <v>89</v>
      </c>
      <c r="N50" t="s">
        <v>23</v>
      </c>
      <c r="O50" t="s">
        <v>90</v>
      </c>
      <c r="P50">
        <v>229130</v>
      </c>
      <c r="Q50" t="s">
        <v>11</v>
      </c>
      <c r="R50" t="s">
        <v>91</v>
      </c>
      <c r="S50" t="s">
        <v>92</v>
      </c>
      <c r="T50">
        <v>0</v>
      </c>
      <c r="U50">
        <v>1.25</v>
      </c>
      <c r="V50" s="2">
        <v>5.2083333333333336E-2</v>
      </c>
      <c r="W50">
        <v>0</v>
      </c>
      <c r="AA50" t="s">
        <v>93</v>
      </c>
      <c r="AB50" t="s">
        <v>94</v>
      </c>
      <c r="AC50" t="s">
        <v>128</v>
      </c>
      <c r="AD50" t="s">
        <v>96</v>
      </c>
      <c r="AE50">
        <f t="shared" si="4"/>
        <v>3</v>
      </c>
      <c r="AF50" t="str">
        <f t="shared" si="5"/>
        <v>March</v>
      </c>
    </row>
    <row r="51" spans="1:32">
      <c r="A51" s="1">
        <v>45384</v>
      </c>
      <c r="B51" t="s">
        <v>45</v>
      </c>
      <c r="C51" t="s">
        <v>126</v>
      </c>
      <c r="D51" t="s">
        <v>82</v>
      </c>
      <c r="E51" t="s">
        <v>83</v>
      </c>
      <c r="F51" t="s">
        <v>84</v>
      </c>
      <c r="G51" t="s">
        <v>85</v>
      </c>
      <c r="H51" t="s">
        <v>86</v>
      </c>
      <c r="I51" t="s">
        <v>87</v>
      </c>
      <c r="J51" t="s">
        <v>88</v>
      </c>
      <c r="K51" t="s">
        <v>82</v>
      </c>
      <c r="L51" t="s">
        <v>28</v>
      </c>
      <c r="M51" t="s">
        <v>89</v>
      </c>
      <c r="N51" t="s">
        <v>23</v>
      </c>
      <c r="O51" t="s">
        <v>90</v>
      </c>
      <c r="P51">
        <v>230277</v>
      </c>
      <c r="Q51" t="s">
        <v>11</v>
      </c>
      <c r="R51" t="s">
        <v>91</v>
      </c>
      <c r="S51" t="s">
        <v>92</v>
      </c>
      <c r="T51">
        <v>0</v>
      </c>
      <c r="U51">
        <v>2.5</v>
      </c>
      <c r="V51" s="2">
        <v>0.10416666666666667</v>
      </c>
      <c r="W51">
        <v>0</v>
      </c>
      <c r="AA51" t="s">
        <v>93</v>
      </c>
      <c r="AB51" t="s">
        <v>94</v>
      </c>
      <c r="AC51" t="s">
        <v>128</v>
      </c>
      <c r="AD51" t="s">
        <v>96</v>
      </c>
      <c r="AE51">
        <f t="shared" si="4"/>
        <v>4</v>
      </c>
      <c r="AF51" t="str">
        <f t="shared" si="5"/>
        <v>April</v>
      </c>
    </row>
    <row r="52" spans="1:32">
      <c r="A52" s="1">
        <v>45385</v>
      </c>
      <c r="B52" t="s">
        <v>45</v>
      </c>
      <c r="C52" t="s">
        <v>126</v>
      </c>
      <c r="D52" t="s">
        <v>82</v>
      </c>
      <c r="E52" t="s">
        <v>83</v>
      </c>
      <c r="F52" t="s">
        <v>84</v>
      </c>
      <c r="G52" t="s">
        <v>85</v>
      </c>
      <c r="H52" t="s">
        <v>86</v>
      </c>
      <c r="I52" t="s">
        <v>87</v>
      </c>
      <c r="J52" t="s">
        <v>88</v>
      </c>
      <c r="K52" t="s">
        <v>82</v>
      </c>
      <c r="L52" t="s">
        <v>28</v>
      </c>
      <c r="M52" t="s">
        <v>89</v>
      </c>
      <c r="N52" t="s">
        <v>23</v>
      </c>
      <c r="O52" t="s">
        <v>90</v>
      </c>
      <c r="P52">
        <v>230934</v>
      </c>
      <c r="Q52" t="s">
        <v>11</v>
      </c>
      <c r="R52" t="s">
        <v>91</v>
      </c>
      <c r="S52" t="s">
        <v>92</v>
      </c>
      <c r="T52">
        <v>0</v>
      </c>
      <c r="U52">
        <v>2.75</v>
      </c>
      <c r="V52" s="2">
        <v>0.11458333333333333</v>
      </c>
      <c r="W52">
        <v>0</v>
      </c>
      <c r="AA52" t="s">
        <v>93</v>
      </c>
      <c r="AB52" t="s">
        <v>94</v>
      </c>
      <c r="AC52" t="s">
        <v>128</v>
      </c>
      <c r="AD52" t="s">
        <v>96</v>
      </c>
      <c r="AE52">
        <f t="shared" si="4"/>
        <v>4</v>
      </c>
      <c r="AF52" t="str">
        <f t="shared" si="5"/>
        <v>April</v>
      </c>
    </row>
    <row r="53" spans="1:32">
      <c r="A53" s="1">
        <v>45386</v>
      </c>
      <c r="B53" t="s">
        <v>45</v>
      </c>
      <c r="C53" t="s">
        <v>126</v>
      </c>
      <c r="D53" t="s">
        <v>82</v>
      </c>
      <c r="E53" t="s">
        <v>83</v>
      </c>
      <c r="F53" t="s">
        <v>84</v>
      </c>
      <c r="G53" t="s">
        <v>85</v>
      </c>
      <c r="H53" t="s">
        <v>86</v>
      </c>
      <c r="I53" t="s">
        <v>87</v>
      </c>
      <c r="J53" t="s">
        <v>88</v>
      </c>
      <c r="K53" t="s">
        <v>82</v>
      </c>
      <c r="L53" t="s">
        <v>28</v>
      </c>
      <c r="M53" t="s">
        <v>89</v>
      </c>
      <c r="N53" t="s">
        <v>23</v>
      </c>
      <c r="O53" t="s">
        <v>90</v>
      </c>
      <c r="P53">
        <v>231177</v>
      </c>
      <c r="Q53" t="s">
        <v>11</v>
      </c>
      <c r="R53" t="s">
        <v>91</v>
      </c>
      <c r="S53" t="s">
        <v>92</v>
      </c>
      <c r="T53">
        <v>0</v>
      </c>
      <c r="U53">
        <v>1.25</v>
      </c>
      <c r="V53" s="2">
        <v>5.2083333333333336E-2</v>
      </c>
      <c r="W53">
        <v>0</v>
      </c>
      <c r="AA53" t="s">
        <v>93</v>
      </c>
      <c r="AB53" t="s">
        <v>94</v>
      </c>
      <c r="AC53" t="s">
        <v>128</v>
      </c>
      <c r="AD53" t="s">
        <v>96</v>
      </c>
      <c r="AE53">
        <f t="shared" si="4"/>
        <v>4</v>
      </c>
      <c r="AF53" t="str">
        <f t="shared" si="5"/>
        <v>April</v>
      </c>
    </row>
    <row r="54" spans="1:32">
      <c r="A54" s="1">
        <v>45387</v>
      </c>
      <c r="B54" t="s">
        <v>45</v>
      </c>
      <c r="C54" t="s">
        <v>126</v>
      </c>
      <c r="D54" t="s">
        <v>82</v>
      </c>
      <c r="E54" t="s">
        <v>83</v>
      </c>
      <c r="F54" t="s">
        <v>84</v>
      </c>
      <c r="G54" t="s">
        <v>85</v>
      </c>
      <c r="H54" t="s">
        <v>86</v>
      </c>
      <c r="I54" t="s">
        <v>87</v>
      </c>
      <c r="J54" t="s">
        <v>88</v>
      </c>
      <c r="K54" t="s">
        <v>82</v>
      </c>
      <c r="L54" t="s">
        <v>28</v>
      </c>
      <c r="M54" t="s">
        <v>89</v>
      </c>
      <c r="N54" t="s">
        <v>23</v>
      </c>
      <c r="O54" t="s">
        <v>90</v>
      </c>
      <c r="P54">
        <v>231785</v>
      </c>
      <c r="Q54" t="s">
        <v>11</v>
      </c>
      <c r="R54" t="s">
        <v>91</v>
      </c>
      <c r="S54" t="s">
        <v>92</v>
      </c>
      <c r="T54">
        <v>0</v>
      </c>
      <c r="U54">
        <v>0.5</v>
      </c>
      <c r="V54" s="2">
        <v>2.0833333333333332E-2</v>
      </c>
      <c r="W54">
        <v>0</v>
      </c>
      <c r="AA54" t="s">
        <v>93</v>
      </c>
      <c r="AB54" t="s">
        <v>94</v>
      </c>
      <c r="AC54" t="s">
        <v>128</v>
      </c>
      <c r="AD54" t="s">
        <v>96</v>
      </c>
      <c r="AE54">
        <f t="shared" si="4"/>
        <v>4</v>
      </c>
      <c r="AF54" t="str">
        <f t="shared" si="5"/>
        <v>April</v>
      </c>
    </row>
    <row r="55" spans="1:32">
      <c r="A55" s="1">
        <v>45390</v>
      </c>
      <c r="B55" t="s">
        <v>45</v>
      </c>
      <c r="C55" t="s">
        <v>126</v>
      </c>
      <c r="D55" t="s">
        <v>82</v>
      </c>
      <c r="E55" t="s">
        <v>83</v>
      </c>
      <c r="F55" t="s">
        <v>84</v>
      </c>
      <c r="G55" t="s">
        <v>85</v>
      </c>
      <c r="H55" t="s">
        <v>86</v>
      </c>
      <c r="I55" t="s">
        <v>87</v>
      </c>
      <c r="J55" t="s">
        <v>88</v>
      </c>
      <c r="K55" t="s">
        <v>82</v>
      </c>
      <c r="L55" t="s">
        <v>28</v>
      </c>
      <c r="M55" t="s">
        <v>89</v>
      </c>
      <c r="N55" t="s">
        <v>23</v>
      </c>
      <c r="O55" t="s">
        <v>90</v>
      </c>
      <c r="P55">
        <v>232312</v>
      </c>
      <c r="Q55" t="s">
        <v>11</v>
      </c>
      <c r="R55" t="s">
        <v>91</v>
      </c>
      <c r="S55" t="s">
        <v>92</v>
      </c>
      <c r="T55">
        <v>0</v>
      </c>
      <c r="U55">
        <v>0.5</v>
      </c>
      <c r="V55" s="2">
        <v>2.0833333333333332E-2</v>
      </c>
      <c r="W55">
        <v>0</v>
      </c>
      <c r="AA55" t="s">
        <v>93</v>
      </c>
      <c r="AB55" t="s">
        <v>94</v>
      </c>
      <c r="AC55" t="s">
        <v>138</v>
      </c>
      <c r="AD55" t="s">
        <v>96</v>
      </c>
      <c r="AE55">
        <f t="shared" si="4"/>
        <v>4</v>
      </c>
      <c r="AF55" t="str">
        <f t="shared" si="5"/>
        <v>April</v>
      </c>
    </row>
    <row r="56" spans="1:32">
      <c r="A56" s="1">
        <v>45391</v>
      </c>
      <c r="B56" t="s">
        <v>45</v>
      </c>
      <c r="C56" t="s">
        <v>126</v>
      </c>
      <c r="D56" t="s">
        <v>82</v>
      </c>
      <c r="E56" t="s">
        <v>83</v>
      </c>
      <c r="F56" t="s">
        <v>84</v>
      </c>
      <c r="G56" t="s">
        <v>85</v>
      </c>
      <c r="H56" t="s">
        <v>86</v>
      </c>
      <c r="I56" t="s">
        <v>87</v>
      </c>
      <c r="J56" t="s">
        <v>88</v>
      </c>
      <c r="K56" t="s">
        <v>82</v>
      </c>
      <c r="L56" t="s">
        <v>28</v>
      </c>
      <c r="M56" t="s">
        <v>89</v>
      </c>
      <c r="N56" t="s">
        <v>23</v>
      </c>
      <c r="O56" t="s">
        <v>90</v>
      </c>
      <c r="P56">
        <v>232947</v>
      </c>
      <c r="Q56" t="s">
        <v>10</v>
      </c>
      <c r="R56" t="s">
        <v>98</v>
      </c>
      <c r="S56" t="s">
        <v>92</v>
      </c>
      <c r="T56">
        <v>90</v>
      </c>
      <c r="U56">
        <v>0.5</v>
      </c>
      <c r="V56" s="2">
        <v>2.0833333333333332E-2</v>
      </c>
      <c r="W56">
        <v>45</v>
      </c>
      <c r="X56">
        <v>60</v>
      </c>
      <c r="Y56">
        <v>15</v>
      </c>
      <c r="Z56" t="s">
        <v>99</v>
      </c>
      <c r="AA56" t="s">
        <v>93</v>
      </c>
      <c r="AB56" t="s">
        <v>94</v>
      </c>
      <c r="AC56" t="s">
        <v>139</v>
      </c>
      <c r="AD56" t="s">
        <v>96</v>
      </c>
      <c r="AE56">
        <f t="shared" si="4"/>
        <v>4</v>
      </c>
      <c r="AF56" t="str">
        <f t="shared" si="5"/>
        <v>April</v>
      </c>
    </row>
    <row r="57" spans="1:32">
      <c r="A57" s="1">
        <v>45391</v>
      </c>
      <c r="B57" t="s">
        <v>45</v>
      </c>
      <c r="C57" t="s">
        <v>126</v>
      </c>
      <c r="D57" t="s">
        <v>82</v>
      </c>
      <c r="E57" t="s">
        <v>83</v>
      </c>
      <c r="F57" t="s">
        <v>84</v>
      </c>
      <c r="G57" t="s">
        <v>85</v>
      </c>
      <c r="H57" t="s">
        <v>86</v>
      </c>
      <c r="I57" t="s">
        <v>87</v>
      </c>
      <c r="J57" t="s">
        <v>88</v>
      </c>
      <c r="K57" t="s">
        <v>82</v>
      </c>
      <c r="L57" t="s">
        <v>28</v>
      </c>
      <c r="M57" t="s">
        <v>89</v>
      </c>
      <c r="N57" t="s">
        <v>23</v>
      </c>
      <c r="O57" t="s">
        <v>90</v>
      </c>
      <c r="P57">
        <v>232789</v>
      </c>
      <c r="Q57" t="s">
        <v>11</v>
      </c>
      <c r="R57" t="s">
        <v>91</v>
      </c>
      <c r="S57" t="s">
        <v>92</v>
      </c>
      <c r="T57">
        <v>0</v>
      </c>
      <c r="U57">
        <v>2.5</v>
      </c>
      <c r="V57" s="2">
        <v>0.10416666666666667</v>
      </c>
      <c r="W57">
        <v>0</v>
      </c>
      <c r="AA57" t="s">
        <v>93</v>
      </c>
      <c r="AB57" t="s">
        <v>94</v>
      </c>
      <c r="AC57" t="e">
        <f ca="1">- Grainger: Axis Void Management Refinement - Create test cases in Jira - Stand Up - Show me with Anjali _xludf.and Khonani</f>
        <v>#NAME?</v>
      </c>
      <c r="AD57" t="s">
        <v>96</v>
      </c>
      <c r="AE57">
        <f t="shared" si="4"/>
        <v>4</v>
      </c>
      <c r="AF57" t="str">
        <f t="shared" si="5"/>
        <v>April</v>
      </c>
    </row>
    <row r="58" spans="1:32">
      <c r="A58" s="1">
        <v>45392</v>
      </c>
      <c r="B58" t="s">
        <v>45</v>
      </c>
      <c r="C58" t="s">
        <v>126</v>
      </c>
      <c r="D58" t="s">
        <v>82</v>
      </c>
      <c r="E58" t="s">
        <v>83</v>
      </c>
      <c r="F58" t="s">
        <v>84</v>
      </c>
      <c r="G58" t="s">
        <v>85</v>
      </c>
      <c r="H58" t="s">
        <v>86</v>
      </c>
      <c r="I58" t="s">
        <v>87</v>
      </c>
      <c r="J58" t="s">
        <v>88</v>
      </c>
      <c r="K58" t="s">
        <v>82</v>
      </c>
      <c r="L58" t="s">
        <v>28</v>
      </c>
      <c r="M58" t="s">
        <v>89</v>
      </c>
      <c r="N58" t="s">
        <v>23</v>
      </c>
      <c r="O58" t="s">
        <v>90</v>
      </c>
      <c r="P58">
        <v>233842</v>
      </c>
      <c r="Q58" t="s">
        <v>10</v>
      </c>
      <c r="R58" t="s">
        <v>98</v>
      </c>
      <c r="S58" t="s">
        <v>92</v>
      </c>
      <c r="T58">
        <v>90</v>
      </c>
      <c r="U58">
        <v>1.5</v>
      </c>
      <c r="V58" s="2">
        <v>6.25E-2</v>
      </c>
      <c r="W58">
        <v>135</v>
      </c>
      <c r="X58">
        <v>180</v>
      </c>
      <c r="Y58">
        <v>45</v>
      </c>
      <c r="Z58" t="s">
        <v>99</v>
      </c>
      <c r="AA58" t="s">
        <v>93</v>
      </c>
      <c r="AB58" t="s">
        <v>94</v>
      </c>
      <c r="AC58" t="s">
        <v>128</v>
      </c>
      <c r="AD58" t="s">
        <v>96</v>
      </c>
      <c r="AE58">
        <f t="shared" si="4"/>
        <v>4</v>
      </c>
      <c r="AF58" t="str">
        <f t="shared" si="5"/>
        <v>April</v>
      </c>
    </row>
    <row r="59" spans="1:32">
      <c r="A59" s="1">
        <v>45392</v>
      </c>
      <c r="B59" t="s">
        <v>45</v>
      </c>
      <c r="C59" t="s">
        <v>126</v>
      </c>
      <c r="D59" t="s">
        <v>82</v>
      </c>
      <c r="E59" t="s">
        <v>83</v>
      </c>
      <c r="F59" t="s">
        <v>84</v>
      </c>
      <c r="G59" t="s">
        <v>85</v>
      </c>
      <c r="H59" t="s">
        <v>86</v>
      </c>
      <c r="I59" t="s">
        <v>87</v>
      </c>
      <c r="J59" t="s">
        <v>88</v>
      </c>
      <c r="K59" t="s">
        <v>82</v>
      </c>
      <c r="L59" t="s">
        <v>28</v>
      </c>
      <c r="M59" t="s">
        <v>89</v>
      </c>
      <c r="N59" t="s">
        <v>23</v>
      </c>
      <c r="O59" t="s">
        <v>90</v>
      </c>
      <c r="P59">
        <v>233410</v>
      </c>
      <c r="Q59" t="s">
        <v>11</v>
      </c>
      <c r="R59" t="s">
        <v>91</v>
      </c>
      <c r="S59" t="s">
        <v>92</v>
      </c>
      <c r="T59">
        <v>0</v>
      </c>
      <c r="U59">
        <v>2.5</v>
      </c>
      <c r="V59" s="2">
        <v>0.10416666666666667</v>
      </c>
      <c r="W59">
        <v>0</v>
      </c>
      <c r="AA59" t="s">
        <v>93</v>
      </c>
      <c r="AB59" t="s">
        <v>94</v>
      </c>
      <c r="AC59" t="s">
        <v>140</v>
      </c>
      <c r="AD59" t="s">
        <v>96</v>
      </c>
      <c r="AE59">
        <f t="shared" si="4"/>
        <v>4</v>
      </c>
      <c r="AF59" t="str">
        <f t="shared" si="5"/>
        <v>April</v>
      </c>
    </row>
    <row r="60" spans="1:32">
      <c r="A60" s="1">
        <v>45393</v>
      </c>
      <c r="B60" t="s">
        <v>45</v>
      </c>
      <c r="C60" t="s">
        <v>126</v>
      </c>
      <c r="D60" t="s">
        <v>82</v>
      </c>
      <c r="E60" t="s">
        <v>83</v>
      </c>
      <c r="F60" t="s">
        <v>84</v>
      </c>
      <c r="G60" t="s">
        <v>85</v>
      </c>
      <c r="H60" t="s">
        <v>86</v>
      </c>
      <c r="I60" t="s">
        <v>87</v>
      </c>
      <c r="J60" t="s">
        <v>88</v>
      </c>
      <c r="K60" t="s">
        <v>82</v>
      </c>
      <c r="L60" t="s">
        <v>28</v>
      </c>
      <c r="M60" t="s">
        <v>89</v>
      </c>
      <c r="N60" t="s">
        <v>23</v>
      </c>
      <c r="O60" t="s">
        <v>90</v>
      </c>
      <c r="P60">
        <v>233845</v>
      </c>
      <c r="Q60" t="s">
        <v>10</v>
      </c>
      <c r="R60" t="s">
        <v>98</v>
      </c>
      <c r="S60" t="s">
        <v>92</v>
      </c>
      <c r="T60">
        <v>90</v>
      </c>
      <c r="U60">
        <v>2</v>
      </c>
      <c r="V60" s="2">
        <v>8.3333333333333329E-2</v>
      </c>
      <c r="W60">
        <v>180</v>
      </c>
      <c r="X60">
        <v>240</v>
      </c>
      <c r="Y60">
        <v>60</v>
      </c>
      <c r="Z60" t="s">
        <v>99</v>
      </c>
      <c r="AA60" t="s">
        <v>93</v>
      </c>
      <c r="AB60" t="s">
        <v>94</v>
      </c>
      <c r="AC60" t="s">
        <v>141</v>
      </c>
      <c r="AD60" t="s">
        <v>96</v>
      </c>
      <c r="AE60">
        <f t="shared" si="4"/>
        <v>4</v>
      </c>
      <c r="AF60" t="str">
        <f t="shared" si="5"/>
        <v>April</v>
      </c>
    </row>
    <row r="61" spans="1:32">
      <c r="A61" s="1">
        <v>45393</v>
      </c>
      <c r="B61" t="s">
        <v>45</v>
      </c>
      <c r="C61" t="s">
        <v>126</v>
      </c>
      <c r="D61" t="s">
        <v>82</v>
      </c>
      <c r="E61" t="s">
        <v>83</v>
      </c>
      <c r="F61" t="s">
        <v>84</v>
      </c>
      <c r="G61" t="s">
        <v>85</v>
      </c>
      <c r="H61" t="s">
        <v>86</v>
      </c>
      <c r="I61" t="s">
        <v>87</v>
      </c>
      <c r="J61" t="s">
        <v>88</v>
      </c>
      <c r="K61" t="s">
        <v>82</v>
      </c>
      <c r="L61" t="s">
        <v>28</v>
      </c>
      <c r="M61" t="s">
        <v>89</v>
      </c>
      <c r="N61" t="s">
        <v>23</v>
      </c>
      <c r="O61" t="s">
        <v>90</v>
      </c>
      <c r="P61">
        <v>233848</v>
      </c>
      <c r="Q61" t="s">
        <v>11</v>
      </c>
      <c r="R61" t="s">
        <v>91</v>
      </c>
      <c r="S61" t="s">
        <v>92</v>
      </c>
      <c r="T61">
        <v>0</v>
      </c>
      <c r="U61">
        <v>2</v>
      </c>
      <c r="V61" s="2">
        <v>8.3333333333333329E-2</v>
      </c>
      <c r="W61">
        <v>0</v>
      </c>
      <c r="AA61" t="s">
        <v>93</v>
      </c>
      <c r="AB61" t="s">
        <v>94</v>
      </c>
      <c r="AC61" t="e">
        <f ca="1">- Stand Up - Create test cases _xludf.for refined stories</f>
        <v>#NAME?</v>
      </c>
      <c r="AD61" t="s">
        <v>96</v>
      </c>
      <c r="AE61">
        <f t="shared" si="4"/>
        <v>4</v>
      </c>
      <c r="AF61" t="str">
        <f t="shared" si="5"/>
        <v>April</v>
      </c>
    </row>
    <row r="62" spans="1:32">
      <c r="A62" s="1">
        <v>45394</v>
      </c>
      <c r="B62" t="s">
        <v>45</v>
      </c>
      <c r="C62" t="s">
        <v>126</v>
      </c>
      <c r="D62" t="s">
        <v>82</v>
      </c>
      <c r="E62" t="s">
        <v>83</v>
      </c>
      <c r="F62" t="s">
        <v>84</v>
      </c>
      <c r="G62" t="s">
        <v>85</v>
      </c>
      <c r="H62" t="s">
        <v>86</v>
      </c>
      <c r="I62" t="s">
        <v>87</v>
      </c>
      <c r="J62" t="s">
        <v>88</v>
      </c>
      <c r="K62" t="s">
        <v>82</v>
      </c>
      <c r="L62" t="s">
        <v>28</v>
      </c>
      <c r="M62" t="s">
        <v>89</v>
      </c>
      <c r="N62" t="s">
        <v>23</v>
      </c>
      <c r="O62" t="s">
        <v>90</v>
      </c>
      <c r="P62">
        <v>234451</v>
      </c>
      <c r="Q62" t="s">
        <v>10</v>
      </c>
      <c r="R62" t="s">
        <v>98</v>
      </c>
      <c r="S62" t="s">
        <v>92</v>
      </c>
      <c r="T62">
        <v>90</v>
      </c>
      <c r="U62">
        <v>2.25</v>
      </c>
      <c r="V62" s="2">
        <v>9.375E-2</v>
      </c>
      <c r="W62">
        <v>202.5</v>
      </c>
      <c r="X62">
        <v>270</v>
      </c>
      <c r="Y62">
        <v>67.5</v>
      </c>
      <c r="Z62" t="s">
        <v>99</v>
      </c>
      <c r="AA62" t="s">
        <v>93</v>
      </c>
      <c r="AB62" t="s">
        <v>94</v>
      </c>
      <c r="AC62" t="s">
        <v>128</v>
      </c>
      <c r="AD62" t="s">
        <v>96</v>
      </c>
      <c r="AE62">
        <f t="shared" si="4"/>
        <v>4</v>
      </c>
      <c r="AF62" t="str">
        <f t="shared" si="5"/>
        <v>April</v>
      </c>
    </row>
    <row r="63" spans="1:32">
      <c r="A63" s="1">
        <v>45394</v>
      </c>
      <c r="B63" t="s">
        <v>45</v>
      </c>
      <c r="C63" t="s">
        <v>126</v>
      </c>
      <c r="D63" t="s">
        <v>82</v>
      </c>
      <c r="E63" t="s">
        <v>83</v>
      </c>
      <c r="F63" t="s">
        <v>84</v>
      </c>
      <c r="G63" t="s">
        <v>85</v>
      </c>
      <c r="H63" t="s">
        <v>86</v>
      </c>
      <c r="I63" t="s">
        <v>87</v>
      </c>
      <c r="J63" t="s">
        <v>88</v>
      </c>
      <c r="K63" t="s">
        <v>82</v>
      </c>
      <c r="L63" t="s">
        <v>28</v>
      </c>
      <c r="M63" t="s">
        <v>89</v>
      </c>
      <c r="N63" t="s">
        <v>23</v>
      </c>
      <c r="O63" t="s">
        <v>90</v>
      </c>
      <c r="P63">
        <v>234335</v>
      </c>
      <c r="Q63" t="s">
        <v>11</v>
      </c>
      <c r="R63" t="s">
        <v>91</v>
      </c>
      <c r="S63" t="s">
        <v>92</v>
      </c>
      <c r="T63">
        <v>0</v>
      </c>
      <c r="U63">
        <v>3.5</v>
      </c>
      <c r="V63" s="2">
        <v>0.14583333333333334</v>
      </c>
      <c r="W63">
        <v>0</v>
      </c>
      <c r="AA63" t="s">
        <v>93</v>
      </c>
      <c r="AB63" t="s">
        <v>94</v>
      </c>
      <c r="AC63" t="e">
        <f ca="1">- Stand Up - test case creation  - Show me</f>
        <v>#NAME?</v>
      </c>
      <c r="AD63" t="s">
        <v>96</v>
      </c>
      <c r="AE63">
        <f t="shared" si="4"/>
        <v>4</v>
      </c>
      <c r="AF63" t="str">
        <f t="shared" si="5"/>
        <v>April</v>
      </c>
    </row>
    <row r="64" spans="1:32">
      <c r="A64" s="1">
        <v>45397</v>
      </c>
      <c r="B64" t="s">
        <v>45</v>
      </c>
      <c r="C64" t="s">
        <v>126</v>
      </c>
      <c r="D64" t="s">
        <v>82</v>
      </c>
      <c r="E64" t="s">
        <v>83</v>
      </c>
      <c r="F64" t="s">
        <v>84</v>
      </c>
      <c r="G64" t="s">
        <v>85</v>
      </c>
      <c r="H64" t="s">
        <v>86</v>
      </c>
      <c r="I64" t="s">
        <v>87</v>
      </c>
      <c r="J64" t="s">
        <v>88</v>
      </c>
      <c r="K64" t="s">
        <v>82</v>
      </c>
      <c r="L64" t="s">
        <v>28</v>
      </c>
      <c r="M64" t="s">
        <v>89</v>
      </c>
      <c r="N64" t="s">
        <v>23</v>
      </c>
      <c r="O64" t="s">
        <v>90</v>
      </c>
      <c r="P64">
        <v>235146</v>
      </c>
      <c r="Q64" t="s">
        <v>10</v>
      </c>
      <c r="R64" t="s">
        <v>98</v>
      </c>
      <c r="S64" t="s">
        <v>92</v>
      </c>
      <c r="T64">
        <v>90</v>
      </c>
      <c r="U64">
        <v>2.5</v>
      </c>
      <c r="V64" s="2">
        <v>0.10416666666666667</v>
      </c>
      <c r="W64">
        <v>225</v>
      </c>
      <c r="X64">
        <v>300</v>
      </c>
      <c r="Y64">
        <v>75</v>
      </c>
      <c r="Z64" t="s">
        <v>99</v>
      </c>
      <c r="AA64" t="s">
        <v>93</v>
      </c>
      <c r="AB64" t="s">
        <v>94</v>
      </c>
      <c r="AC64" t="s">
        <v>142</v>
      </c>
      <c r="AD64" t="s">
        <v>96</v>
      </c>
      <c r="AE64">
        <f t="shared" si="4"/>
        <v>4</v>
      </c>
      <c r="AF64" t="str">
        <f t="shared" si="5"/>
        <v>April</v>
      </c>
    </row>
    <row r="65" spans="1:32">
      <c r="A65" s="1">
        <v>45398</v>
      </c>
      <c r="B65" t="s">
        <v>45</v>
      </c>
      <c r="C65" t="s">
        <v>126</v>
      </c>
      <c r="D65" t="s">
        <v>82</v>
      </c>
      <c r="E65" t="s">
        <v>83</v>
      </c>
      <c r="F65" t="s">
        <v>84</v>
      </c>
      <c r="G65" t="s">
        <v>85</v>
      </c>
      <c r="H65" t="s">
        <v>86</v>
      </c>
      <c r="I65" t="s">
        <v>87</v>
      </c>
      <c r="J65" t="s">
        <v>88</v>
      </c>
      <c r="K65" t="s">
        <v>82</v>
      </c>
      <c r="L65" t="s">
        <v>28</v>
      </c>
      <c r="M65" t="s">
        <v>89</v>
      </c>
      <c r="N65" t="s">
        <v>23</v>
      </c>
      <c r="O65" t="s">
        <v>90</v>
      </c>
      <c r="P65">
        <v>235697</v>
      </c>
      <c r="Q65" t="s">
        <v>10</v>
      </c>
      <c r="R65" t="s">
        <v>98</v>
      </c>
      <c r="S65" t="s">
        <v>92</v>
      </c>
      <c r="T65">
        <v>90</v>
      </c>
      <c r="U65">
        <v>3.25</v>
      </c>
      <c r="V65" s="2">
        <v>0.13541666666666666</v>
      </c>
      <c r="W65">
        <v>292.5</v>
      </c>
      <c r="X65">
        <v>390</v>
      </c>
      <c r="Y65">
        <v>97.5</v>
      </c>
      <c r="Z65" t="s">
        <v>99</v>
      </c>
      <c r="AA65" t="s">
        <v>93</v>
      </c>
      <c r="AB65" t="s">
        <v>94</v>
      </c>
      <c r="AC65" t="s">
        <v>143</v>
      </c>
      <c r="AD65" t="s">
        <v>96</v>
      </c>
      <c r="AE65">
        <f t="shared" si="4"/>
        <v>4</v>
      </c>
      <c r="AF65" t="str">
        <f t="shared" si="5"/>
        <v>April</v>
      </c>
    </row>
    <row r="66" spans="1:32">
      <c r="A66" s="1">
        <v>45399</v>
      </c>
      <c r="B66" t="s">
        <v>45</v>
      </c>
      <c r="C66" t="s">
        <v>126</v>
      </c>
      <c r="D66" t="s">
        <v>82</v>
      </c>
      <c r="E66" t="s">
        <v>83</v>
      </c>
      <c r="F66" t="s">
        <v>84</v>
      </c>
      <c r="G66" t="s">
        <v>85</v>
      </c>
      <c r="H66" t="s">
        <v>86</v>
      </c>
      <c r="I66" t="s">
        <v>87</v>
      </c>
      <c r="J66" t="s">
        <v>88</v>
      </c>
      <c r="K66" t="s">
        <v>82</v>
      </c>
      <c r="L66" t="s">
        <v>28</v>
      </c>
      <c r="M66" t="s">
        <v>89</v>
      </c>
      <c r="N66" t="s">
        <v>23</v>
      </c>
      <c r="O66" t="s">
        <v>90</v>
      </c>
      <c r="P66">
        <v>236327</v>
      </c>
      <c r="Q66" t="s">
        <v>10</v>
      </c>
      <c r="R66" t="s">
        <v>98</v>
      </c>
      <c r="S66" t="s">
        <v>92</v>
      </c>
      <c r="T66">
        <v>90</v>
      </c>
      <c r="U66">
        <v>1.5</v>
      </c>
      <c r="V66" s="2">
        <v>6.25E-2</v>
      </c>
      <c r="W66">
        <v>135</v>
      </c>
      <c r="X66">
        <v>180</v>
      </c>
      <c r="Y66">
        <v>45</v>
      </c>
      <c r="Z66" t="s">
        <v>99</v>
      </c>
      <c r="AA66" t="s">
        <v>93</v>
      </c>
      <c r="AB66" t="s">
        <v>94</v>
      </c>
      <c r="AC66" t="s">
        <v>144</v>
      </c>
      <c r="AD66" t="s">
        <v>96</v>
      </c>
      <c r="AE66">
        <f t="shared" si="4"/>
        <v>4</v>
      </c>
      <c r="AF66" t="str">
        <f t="shared" si="5"/>
        <v>April</v>
      </c>
    </row>
    <row r="67" spans="1:32">
      <c r="A67" s="1">
        <v>45400</v>
      </c>
      <c r="B67" t="s">
        <v>45</v>
      </c>
      <c r="C67" t="s">
        <v>126</v>
      </c>
      <c r="D67" t="s">
        <v>82</v>
      </c>
      <c r="E67" t="s">
        <v>83</v>
      </c>
      <c r="F67" t="s">
        <v>84</v>
      </c>
      <c r="G67" t="s">
        <v>85</v>
      </c>
      <c r="H67" t="s">
        <v>86</v>
      </c>
      <c r="I67" t="s">
        <v>87</v>
      </c>
      <c r="J67" t="s">
        <v>88</v>
      </c>
      <c r="K67" t="s">
        <v>82</v>
      </c>
      <c r="L67" t="s">
        <v>28</v>
      </c>
      <c r="M67" t="s">
        <v>89</v>
      </c>
      <c r="N67" t="s">
        <v>23</v>
      </c>
      <c r="O67" t="s">
        <v>90</v>
      </c>
      <c r="P67">
        <v>236739</v>
      </c>
      <c r="Q67" t="s">
        <v>10</v>
      </c>
      <c r="R67" t="s">
        <v>98</v>
      </c>
      <c r="S67" t="s">
        <v>92</v>
      </c>
      <c r="T67">
        <v>90</v>
      </c>
      <c r="U67">
        <v>1.5</v>
      </c>
      <c r="V67" s="2">
        <v>6.25E-2</v>
      </c>
      <c r="W67">
        <v>135</v>
      </c>
      <c r="X67">
        <v>180</v>
      </c>
      <c r="Y67">
        <v>45</v>
      </c>
      <c r="Z67" t="s">
        <v>99</v>
      </c>
      <c r="AA67" t="s">
        <v>93</v>
      </c>
      <c r="AB67" t="s">
        <v>94</v>
      </c>
      <c r="AC67" t="s">
        <v>145</v>
      </c>
      <c r="AD67" t="s">
        <v>96</v>
      </c>
      <c r="AE67">
        <f t="shared" si="4"/>
        <v>4</v>
      </c>
      <c r="AF67" t="str">
        <f t="shared" si="5"/>
        <v>April</v>
      </c>
    </row>
    <row r="68" spans="1:32">
      <c r="A68" s="1">
        <v>45401</v>
      </c>
      <c r="B68" t="s">
        <v>45</v>
      </c>
      <c r="C68" t="s">
        <v>126</v>
      </c>
      <c r="D68" t="s">
        <v>82</v>
      </c>
      <c r="E68" t="s">
        <v>83</v>
      </c>
      <c r="F68" t="s">
        <v>84</v>
      </c>
      <c r="G68" t="s">
        <v>85</v>
      </c>
      <c r="H68" t="s">
        <v>86</v>
      </c>
      <c r="I68" t="s">
        <v>87</v>
      </c>
      <c r="J68" t="s">
        <v>88</v>
      </c>
      <c r="K68" t="s">
        <v>82</v>
      </c>
      <c r="L68" t="s">
        <v>28</v>
      </c>
      <c r="M68" t="s">
        <v>89</v>
      </c>
      <c r="N68" t="s">
        <v>23</v>
      </c>
      <c r="O68" t="s">
        <v>90</v>
      </c>
      <c r="P68">
        <v>237310</v>
      </c>
      <c r="Q68" t="s">
        <v>10</v>
      </c>
      <c r="R68" t="s">
        <v>98</v>
      </c>
      <c r="S68" t="s">
        <v>92</v>
      </c>
      <c r="T68">
        <v>90</v>
      </c>
      <c r="U68">
        <v>1.75</v>
      </c>
      <c r="V68" s="2">
        <v>7.2916666666666671E-2</v>
      </c>
      <c r="W68">
        <v>157.5</v>
      </c>
      <c r="X68">
        <v>210</v>
      </c>
      <c r="Y68">
        <v>52.5</v>
      </c>
      <c r="Z68" t="s">
        <v>99</v>
      </c>
      <c r="AA68" t="s">
        <v>93</v>
      </c>
      <c r="AB68" t="s">
        <v>94</v>
      </c>
      <c r="AC68" t="s">
        <v>146</v>
      </c>
      <c r="AD68" t="s">
        <v>96</v>
      </c>
      <c r="AE68">
        <f t="shared" si="4"/>
        <v>4</v>
      </c>
      <c r="AF68" t="str">
        <f t="shared" si="5"/>
        <v>April</v>
      </c>
    </row>
    <row r="69" spans="1:32">
      <c r="A69" s="1">
        <v>45404</v>
      </c>
      <c r="B69" t="s">
        <v>45</v>
      </c>
      <c r="C69" t="s">
        <v>126</v>
      </c>
      <c r="D69" t="s">
        <v>82</v>
      </c>
      <c r="E69" t="s">
        <v>83</v>
      </c>
      <c r="F69" t="s">
        <v>84</v>
      </c>
      <c r="G69" t="s">
        <v>85</v>
      </c>
      <c r="H69" t="s">
        <v>86</v>
      </c>
      <c r="I69" t="s">
        <v>87</v>
      </c>
      <c r="J69" t="s">
        <v>88</v>
      </c>
      <c r="K69" t="s">
        <v>82</v>
      </c>
      <c r="L69" t="s">
        <v>28</v>
      </c>
      <c r="M69" t="s">
        <v>89</v>
      </c>
      <c r="N69" t="s">
        <v>23</v>
      </c>
      <c r="O69" t="s">
        <v>90</v>
      </c>
      <c r="P69">
        <v>238053</v>
      </c>
      <c r="Q69" t="s">
        <v>10</v>
      </c>
      <c r="R69" t="s">
        <v>98</v>
      </c>
      <c r="S69" t="s">
        <v>92</v>
      </c>
      <c r="T69">
        <v>90</v>
      </c>
      <c r="U69">
        <v>4.25</v>
      </c>
      <c r="V69" s="2">
        <v>0.17708333333333334</v>
      </c>
      <c r="W69">
        <v>382.5</v>
      </c>
      <c r="X69">
        <v>510</v>
      </c>
      <c r="Y69">
        <v>127.5</v>
      </c>
      <c r="Z69" t="s">
        <v>99</v>
      </c>
      <c r="AA69" t="s">
        <v>93</v>
      </c>
      <c r="AB69" t="s">
        <v>94</v>
      </c>
      <c r="AC69" t="e">
        <f ca="1">- Stand Up - test record creation _xludf.for AVM-14  - QA AVM-14</f>
        <v>#NAME?</v>
      </c>
      <c r="AD69" t="s">
        <v>96</v>
      </c>
      <c r="AE69">
        <f t="shared" si="4"/>
        <v>4</v>
      </c>
      <c r="AF69" t="str">
        <f t="shared" si="5"/>
        <v>April</v>
      </c>
    </row>
    <row r="70" spans="1:32">
      <c r="A70" s="1">
        <v>45405</v>
      </c>
      <c r="B70" t="s">
        <v>45</v>
      </c>
      <c r="C70" t="s">
        <v>126</v>
      </c>
      <c r="D70" t="s">
        <v>82</v>
      </c>
      <c r="E70" t="s">
        <v>83</v>
      </c>
      <c r="F70" t="s">
        <v>84</v>
      </c>
      <c r="G70" t="s">
        <v>85</v>
      </c>
      <c r="H70" t="s">
        <v>86</v>
      </c>
      <c r="I70" t="s">
        <v>87</v>
      </c>
      <c r="J70" t="s">
        <v>88</v>
      </c>
      <c r="K70" t="s">
        <v>82</v>
      </c>
      <c r="L70" t="s">
        <v>28</v>
      </c>
      <c r="M70" t="s">
        <v>89</v>
      </c>
      <c r="N70" t="s">
        <v>23</v>
      </c>
      <c r="O70" t="s">
        <v>90</v>
      </c>
      <c r="P70">
        <v>238744</v>
      </c>
      <c r="Q70" t="s">
        <v>10</v>
      </c>
      <c r="R70" t="s">
        <v>98</v>
      </c>
      <c r="S70" t="s">
        <v>92</v>
      </c>
      <c r="T70">
        <v>90</v>
      </c>
      <c r="U70">
        <v>1</v>
      </c>
      <c r="V70" s="2">
        <v>4.1666666666666664E-2</v>
      </c>
      <c r="W70">
        <v>90</v>
      </c>
      <c r="X70">
        <v>120</v>
      </c>
      <c r="Y70">
        <v>30</v>
      </c>
      <c r="Z70" t="s">
        <v>99</v>
      </c>
      <c r="AA70" t="s">
        <v>93</v>
      </c>
      <c r="AB70" t="s">
        <v>94</v>
      </c>
      <c r="AC70" t="e">
        <f ca="1">- Stand Up - QA catch Up with Khonani - Axis Void Management Refinement</f>
        <v>#NAME?</v>
      </c>
      <c r="AD70" t="s">
        <v>96</v>
      </c>
      <c r="AE70">
        <f t="shared" si="4"/>
        <v>4</v>
      </c>
      <c r="AF70" t="str">
        <f t="shared" si="5"/>
        <v>April</v>
      </c>
    </row>
    <row r="71" spans="1:32">
      <c r="A71" s="1">
        <v>45406</v>
      </c>
      <c r="B71" t="s">
        <v>45</v>
      </c>
      <c r="C71" t="s">
        <v>126</v>
      </c>
      <c r="D71" t="s">
        <v>82</v>
      </c>
      <c r="E71" t="s">
        <v>83</v>
      </c>
      <c r="F71" t="s">
        <v>84</v>
      </c>
      <c r="G71" t="s">
        <v>85</v>
      </c>
      <c r="H71" t="s">
        <v>86</v>
      </c>
      <c r="I71" t="s">
        <v>87</v>
      </c>
      <c r="J71" t="s">
        <v>88</v>
      </c>
      <c r="K71" t="s">
        <v>82</v>
      </c>
      <c r="L71" t="s">
        <v>28</v>
      </c>
      <c r="M71" t="s">
        <v>89</v>
      </c>
      <c r="N71" t="s">
        <v>23</v>
      </c>
      <c r="O71" t="s">
        <v>90</v>
      </c>
      <c r="P71">
        <v>239095</v>
      </c>
      <c r="Q71" t="s">
        <v>10</v>
      </c>
      <c r="R71" t="s">
        <v>98</v>
      </c>
      <c r="S71" t="s">
        <v>92</v>
      </c>
      <c r="T71">
        <v>90</v>
      </c>
      <c r="U71">
        <v>4.75</v>
      </c>
      <c r="V71" s="2">
        <v>0.19791666666666666</v>
      </c>
      <c r="W71">
        <v>427.5</v>
      </c>
      <c r="X71">
        <v>570</v>
      </c>
      <c r="Y71">
        <v>142.5</v>
      </c>
      <c r="Z71" t="s">
        <v>99</v>
      </c>
      <c r="AA71" t="s">
        <v>93</v>
      </c>
      <c r="AB71" t="s">
        <v>94</v>
      </c>
      <c r="AC71" t="e">
        <f ca="1">- Stand Up - QA discussion with Khonani - Smoke testing - Axis Update _xludf.and Plan meeting</f>
        <v>#NAME?</v>
      </c>
      <c r="AD71" t="s">
        <v>96</v>
      </c>
      <c r="AE71">
        <f t="shared" si="4"/>
        <v>4</v>
      </c>
      <c r="AF71" t="str">
        <f t="shared" si="5"/>
        <v>April</v>
      </c>
    </row>
    <row r="72" spans="1:32">
      <c r="A72" s="1">
        <v>45407</v>
      </c>
      <c r="B72" t="s">
        <v>45</v>
      </c>
      <c r="C72" t="s">
        <v>126</v>
      </c>
      <c r="D72" t="s">
        <v>82</v>
      </c>
      <c r="E72" t="s">
        <v>83</v>
      </c>
      <c r="F72" t="s">
        <v>84</v>
      </c>
      <c r="G72" t="s">
        <v>85</v>
      </c>
      <c r="H72" t="s">
        <v>86</v>
      </c>
      <c r="I72" t="s">
        <v>87</v>
      </c>
      <c r="J72" t="s">
        <v>88</v>
      </c>
      <c r="K72" t="s">
        <v>82</v>
      </c>
      <c r="L72" t="s">
        <v>28</v>
      </c>
      <c r="M72" t="s">
        <v>89</v>
      </c>
      <c r="N72" t="s">
        <v>23</v>
      </c>
      <c r="O72" t="s">
        <v>90</v>
      </c>
      <c r="P72">
        <v>239971</v>
      </c>
      <c r="Q72" t="s">
        <v>10</v>
      </c>
      <c r="R72" t="s">
        <v>98</v>
      </c>
      <c r="S72" t="s">
        <v>92</v>
      </c>
      <c r="T72">
        <v>90</v>
      </c>
      <c r="U72">
        <v>6.25</v>
      </c>
      <c r="V72" s="2">
        <v>0.26041666666666669</v>
      </c>
      <c r="W72">
        <v>562.5</v>
      </c>
      <c r="X72">
        <v>750</v>
      </c>
      <c r="Y72">
        <v>187.5</v>
      </c>
      <c r="Z72" t="s">
        <v>99</v>
      </c>
      <c r="AA72" t="s">
        <v>93</v>
      </c>
      <c r="AB72" t="s">
        <v>94</v>
      </c>
      <c r="AC72" t="e">
        <f ca="1">- Stand Up - QA meeting &amp; Show me - UAT Smoke testing</f>
        <v>#NAME?</v>
      </c>
      <c r="AD72" t="s">
        <v>96</v>
      </c>
      <c r="AE72">
        <f t="shared" si="4"/>
        <v>4</v>
      </c>
      <c r="AF72" t="str">
        <f t="shared" si="5"/>
        <v>April</v>
      </c>
    </row>
    <row r="73" spans="1:32">
      <c r="A73" s="1">
        <v>45408</v>
      </c>
      <c r="B73" t="s">
        <v>45</v>
      </c>
      <c r="C73" t="s">
        <v>126</v>
      </c>
      <c r="D73" t="s">
        <v>82</v>
      </c>
      <c r="E73" t="s">
        <v>83</v>
      </c>
      <c r="F73" t="s">
        <v>84</v>
      </c>
      <c r="G73" t="s">
        <v>85</v>
      </c>
      <c r="H73" t="s">
        <v>86</v>
      </c>
      <c r="I73" t="s">
        <v>87</v>
      </c>
      <c r="J73" t="s">
        <v>88</v>
      </c>
      <c r="K73" t="s">
        <v>82</v>
      </c>
      <c r="L73" t="s">
        <v>28</v>
      </c>
      <c r="M73" t="s">
        <v>89</v>
      </c>
      <c r="N73" t="s">
        <v>23</v>
      </c>
      <c r="O73" t="s">
        <v>90</v>
      </c>
      <c r="P73">
        <v>240087</v>
      </c>
      <c r="Q73" t="s">
        <v>10</v>
      </c>
      <c r="R73" t="s">
        <v>98</v>
      </c>
      <c r="S73" t="s">
        <v>92</v>
      </c>
      <c r="T73">
        <v>90</v>
      </c>
      <c r="U73">
        <v>3.75</v>
      </c>
      <c r="V73" s="2">
        <v>0.15625</v>
      </c>
      <c r="W73">
        <v>337.5</v>
      </c>
      <c r="X73">
        <v>450</v>
      </c>
      <c r="Y73">
        <v>112.5</v>
      </c>
      <c r="Z73" t="s">
        <v>99</v>
      </c>
      <c r="AA73" t="s">
        <v>93</v>
      </c>
      <c r="AB73" t="s">
        <v>94</v>
      </c>
      <c r="AC73" t="e">
        <f ca="1">- Smoke testing UAT</f>
        <v>#NAME?</v>
      </c>
      <c r="AD73" t="s">
        <v>96</v>
      </c>
      <c r="AE73">
        <f t="shared" si="4"/>
        <v>4</v>
      </c>
      <c r="AF73" t="str">
        <f t="shared" si="5"/>
        <v>April</v>
      </c>
    </row>
    <row r="74" spans="1:32">
      <c r="A74" s="1">
        <v>45411</v>
      </c>
      <c r="B74" t="s">
        <v>45</v>
      </c>
      <c r="C74" t="s">
        <v>126</v>
      </c>
      <c r="D74" t="s">
        <v>82</v>
      </c>
      <c r="E74" t="s">
        <v>83</v>
      </c>
      <c r="F74" t="s">
        <v>84</v>
      </c>
      <c r="G74" t="s">
        <v>85</v>
      </c>
      <c r="H74" t="s">
        <v>86</v>
      </c>
      <c r="I74" t="s">
        <v>87</v>
      </c>
      <c r="J74" t="s">
        <v>88</v>
      </c>
      <c r="K74" t="s">
        <v>82</v>
      </c>
      <c r="L74" t="s">
        <v>28</v>
      </c>
      <c r="M74" t="s">
        <v>89</v>
      </c>
      <c r="N74" t="s">
        <v>23</v>
      </c>
      <c r="O74" t="s">
        <v>90</v>
      </c>
      <c r="P74">
        <v>240869</v>
      </c>
      <c r="Q74" t="s">
        <v>10</v>
      </c>
      <c r="R74" t="s">
        <v>98</v>
      </c>
      <c r="S74" t="s">
        <v>92</v>
      </c>
      <c r="T74">
        <v>90</v>
      </c>
      <c r="U74">
        <v>0.25</v>
      </c>
      <c r="V74" s="2">
        <v>1.0416666666666666E-2</v>
      </c>
      <c r="W74">
        <v>22.5</v>
      </c>
      <c r="X74">
        <v>30</v>
      </c>
      <c r="Y74">
        <v>7.5</v>
      </c>
      <c r="Z74" t="s">
        <v>99</v>
      </c>
      <c r="AA74" t="s">
        <v>93</v>
      </c>
      <c r="AB74" t="s">
        <v>94</v>
      </c>
      <c r="AC74" t="e">
        <f ca="1">- Stand Up</f>
        <v>#NAME?</v>
      </c>
      <c r="AD74" t="s">
        <v>96</v>
      </c>
      <c r="AE74">
        <f t="shared" si="4"/>
        <v>4</v>
      </c>
      <c r="AF74" t="str">
        <f t="shared" si="5"/>
        <v>April</v>
      </c>
    </row>
    <row r="75" spans="1:32">
      <c r="A75" s="1">
        <v>45411</v>
      </c>
      <c r="B75" t="s">
        <v>45</v>
      </c>
      <c r="C75" t="s">
        <v>126</v>
      </c>
      <c r="D75" t="s">
        <v>82</v>
      </c>
      <c r="E75" t="s">
        <v>83</v>
      </c>
      <c r="F75" t="s">
        <v>84</v>
      </c>
      <c r="G75" t="s">
        <v>85</v>
      </c>
      <c r="H75" t="s">
        <v>86</v>
      </c>
      <c r="I75" t="s">
        <v>87</v>
      </c>
      <c r="J75" t="s">
        <v>88</v>
      </c>
      <c r="K75" t="s">
        <v>82</v>
      </c>
      <c r="L75" t="s">
        <v>28</v>
      </c>
      <c r="M75" t="s">
        <v>89</v>
      </c>
      <c r="N75" t="s">
        <v>23</v>
      </c>
      <c r="O75" t="s">
        <v>90</v>
      </c>
      <c r="P75">
        <v>241627</v>
      </c>
      <c r="Q75" t="s">
        <v>11</v>
      </c>
      <c r="R75" t="s">
        <v>91</v>
      </c>
      <c r="S75" t="s">
        <v>92</v>
      </c>
      <c r="T75">
        <v>0</v>
      </c>
      <c r="U75">
        <v>0.75</v>
      </c>
      <c r="V75" s="2">
        <v>3.125E-2</v>
      </c>
      <c r="W75">
        <v>0</v>
      </c>
      <c r="AA75" t="s">
        <v>93</v>
      </c>
      <c r="AB75" t="s">
        <v>94</v>
      </c>
      <c r="AC75" t="e">
        <f ca="1">- Void Management (Axis) - Demo</f>
        <v>#NAME?</v>
      </c>
      <c r="AD75" t="s">
        <v>96</v>
      </c>
      <c r="AE75">
        <f t="shared" si="4"/>
        <v>4</v>
      </c>
      <c r="AF75" t="str">
        <f t="shared" si="5"/>
        <v>April</v>
      </c>
    </row>
    <row r="76" spans="1:32">
      <c r="A76" s="1">
        <v>45412</v>
      </c>
      <c r="B76" t="s">
        <v>45</v>
      </c>
      <c r="C76" t="s">
        <v>126</v>
      </c>
      <c r="D76" t="s">
        <v>82</v>
      </c>
      <c r="E76" t="s">
        <v>83</v>
      </c>
      <c r="F76" t="s">
        <v>84</v>
      </c>
      <c r="G76" t="s">
        <v>85</v>
      </c>
      <c r="H76" t="s">
        <v>86</v>
      </c>
      <c r="I76" t="s">
        <v>87</v>
      </c>
      <c r="J76" t="s">
        <v>88</v>
      </c>
      <c r="K76" t="s">
        <v>82</v>
      </c>
      <c r="L76" t="s">
        <v>28</v>
      </c>
      <c r="M76" t="s">
        <v>89</v>
      </c>
      <c r="N76" t="s">
        <v>23</v>
      </c>
      <c r="O76" t="s">
        <v>90</v>
      </c>
      <c r="P76">
        <v>241887</v>
      </c>
      <c r="Q76" t="s">
        <v>10</v>
      </c>
      <c r="R76" t="s">
        <v>98</v>
      </c>
      <c r="S76" t="s">
        <v>92</v>
      </c>
      <c r="T76">
        <v>90</v>
      </c>
      <c r="U76">
        <v>0.75</v>
      </c>
      <c r="V76" s="2">
        <v>3.125E-2</v>
      </c>
      <c r="W76">
        <v>67.5</v>
      </c>
      <c r="X76">
        <v>90</v>
      </c>
      <c r="Y76">
        <v>22.5</v>
      </c>
      <c r="Z76" t="s">
        <v>99</v>
      </c>
      <c r="AA76" t="s">
        <v>93</v>
      </c>
      <c r="AB76" t="s">
        <v>94</v>
      </c>
      <c r="AC76" t="e">
        <f ca="1">- Stand Up - Smoke test process review</f>
        <v>#NAME?</v>
      </c>
      <c r="AD76" t="s">
        <v>96</v>
      </c>
      <c r="AE76">
        <f t="shared" si="4"/>
        <v>4</v>
      </c>
      <c r="AF76" t="str">
        <f t="shared" si="5"/>
        <v>April</v>
      </c>
    </row>
    <row r="77" spans="1:32">
      <c r="A77" s="1">
        <v>45412</v>
      </c>
      <c r="B77" t="s">
        <v>45</v>
      </c>
      <c r="C77" t="s">
        <v>126</v>
      </c>
      <c r="D77" t="s">
        <v>82</v>
      </c>
      <c r="E77" t="s">
        <v>83</v>
      </c>
      <c r="F77" t="s">
        <v>84</v>
      </c>
      <c r="G77" t="s">
        <v>85</v>
      </c>
      <c r="H77" t="s">
        <v>86</v>
      </c>
      <c r="I77" t="s">
        <v>87</v>
      </c>
      <c r="J77" t="s">
        <v>88</v>
      </c>
      <c r="K77" t="s">
        <v>82</v>
      </c>
      <c r="L77" t="s">
        <v>28</v>
      </c>
      <c r="M77" t="s">
        <v>89</v>
      </c>
      <c r="N77" t="s">
        <v>23</v>
      </c>
      <c r="O77" t="s">
        <v>90</v>
      </c>
      <c r="P77">
        <v>241888</v>
      </c>
      <c r="Q77" t="s">
        <v>11</v>
      </c>
      <c r="R77" t="s">
        <v>91</v>
      </c>
      <c r="S77" t="s">
        <v>92</v>
      </c>
      <c r="T77">
        <v>0</v>
      </c>
      <c r="U77">
        <v>1</v>
      </c>
      <c r="V77" s="2">
        <v>4.1666666666666664E-2</v>
      </c>
      <c r="W77">
        <v>0</v>
      </c>
      <c r="AA77" t="s">
        <v>93</v>
      </c>
      <c r="AB77" t="s">
        <v>94</v>
      </c>
      <c r="AC77" t="s">
        <v>147</v>
      </c>
      <c r="AD77" t="s">
        <v>96</v>
      </c>
      <c r="AE77">
        <f t="shared" si="4"/>
        <v>4</v>
      </c>
      <c r="AF77" t="str">
        <f t="shared" si="5"/>
        <v>April</v>
      </c>
    </row>
    <row r="78" spans="1:32">
      <c r="A78" s="1">
        <v>45414</v>
      </c>
      <c r="B78" t="s">
        <v>45</v>
      </c>
      <c r="C78" t="s">
        <v>126</v>
      </c>
      <c r="D78" t="s">
        <v>82</v>
      </c>
      <c r="E78" t="s">
        <v>83</v>
      </c>
      <c r="F78" t="s">
        <v>84</v>
      </c>
      <c r="G78" t="s">
        <v>85</v>
      </c>
      <c r="H78" t="s">
        <v>86</v>
      </c>
      <c r="I78" t="s">
        <v>87</v>
      </c>
      <c r="J78" t="s">
        <v>88</v>
      </c>
      <c r="K78" t="s">
        <v>82</v>
      </c>
      <c r="L78" t="s">
        <v>28</v>
      </c>
      <c r="M78" t="s">
        <v>89</v>
      </c>
      <c r="N78" t="s">
        <v>23</v>
      </c>
      <c r="O78" t="s">
        <v>90</v>
      </c>
      <c r="P78">
        <v>242592</v>
      </c>
      <c r="Q78" t="s">
        <v>10</v>
      </c>
      <c r="R78" t="s">
        <v>98</v>
      </c>
      <c r="S78" t="s">
        <v>92</v>
      </c>
      <c r="T78">
        <v>90</v>
      </c>
      <c r="U78">
        <v>1.25</v>
      </c>
      <c r="V78" s="2">
        <v>5.2083333333333336E-2</v>
      </c>
      <c r="W78">
        <v>112.5</v>
      </c>
      <c r="AA78" t="s">
        <v>93</v>
      </c>
      <c r="AB78" t="s">
        <v>94</v>
      </c>
      <c r="AC78" t="e">
        <f ca="1">- Stand Up - UAT feedback -QA</f>
        <v>#NAME?</v>
      </c>
      <c r="AD78" t="s">
        <v>96</v>
      </c>
      <c r="AE78">
        <f t="shared" si="4"/>
        <v>5</v>
      </c>
      <c r="AF78" t="str">
        <f t="shared" si="5"/>
        <v>May</v>
      </c>
    </row>
    <row r="79" spans="1:32">
      <c r="A79" s="1">
        <v>45415</v>
      </c>
      <c r="B79" t="s">
        <v>45</v>
      </c>
      <c r="C79" t="s">
        <v>126</v>
      </c>
      <c r="D79" t="s">
        <v>82</v>
      </c>
      <c r="E79" t="s">
        <v>83</v>
      </c>
      <c r="F79" t="s">
        <v>84</v>
      </c>
      <c r="G79" t="s">
        <v>85</v>
      </c>
      <c r="H79" t="s">
        <v>86</v>
      </c>
      <c r="I79" t="s">
        <v>87</v>
      </c>
      <c r="J79" t="s">
        <v>88</v>
      </c>
      <c r="K79" t="s">
        <v>82</v>
      </c>
      <c r="L79" t="s">
        <v>28</v>
      </c>
      <c r="M79" t="s">
        <v>89</v>
      </c>
      <c r="N79" t="s">
        <v>23</v>
      </c>
      <c r="O79" t="s">
        <v>90</v>
      </c>
      <c r="P79">
        <v>243048</v>
      </c>
      <c r="Q79" t="s">
        <v>11</v>
      </c>
      <c r="R79" t="s">
        <v>91</v>
      </c>
      <c r="S79" t="s">
        <v>92</v>
      </c>
      <c r="T79">
        <v>0</v>
      </c>
      <c r="U79">
        <v>0.5</v>
      </c>
      <c r="V79" s="2">
        <v>2.0833333333333332E-2</v>
      </c>
      <c r="W79">
        <v>0</v>
      </c>
      <c r="AA79" t="s">
        <v>93</v>
      </c>
      <c r="AB79" t="s">
        <v>94</v>
      </c>
      <c r="AC79" t="e">
        <f ca="1">- Stand Up - UAT feedback - QA</f>
        <v>#NAME?</v>
      </c>
      <c r="AD79" t="s">
        <v>96</v>
      </c>
      <c r="AE79">
        <f t="shared" si="4"/>
        <v>5</v>
      </c>
      <c r="AF79" t="str">
        <f t="shared" si="5"/>
        <v>May</v>
      </c>
    </row>
    <row r="80" spans="1:32">
      <c r="A80" s="1">
        <v>45378</v>
      </c>
      <c r="B80" t="s">
        <v>38</v>
      </c>
      <c r="C80" t="s">
        <v>126</v>
      </c>
      <c r="D80" t="s">
        <v>82</v>
      </c>
      <c r="E80" t="s">
        <v>83</v>
      </c>
      <c r="F80" t="s">
        <v>84</v>
      </c>
      <c r="G80" t="s">
        <v>85</v>
      </c>
      <c r="H80" t="s">
        <v>86</v>
      </c>
      <c r="I80" t="s">
        <v>87</v>
      </c>
      <c r="J80" t="s">
        <v>88</v>
      </c>
      <c r="K80" t="s">
        <v>82</v>
      </c>
      <c r="L80" t="s">
        <v>28</v>
      </c>
      <c r="M80" t="s">
        <v>89</v>
      </c>
      <c r="N80" t="s">
        <v>128</v>
      </c>
      <c r="O80" t="s">
        <v>90</v>
      </c>
      <c r="P80">
        <v>228847</v>
      </c>
      <c r="Q80" t="s">
        <v>11</v>
      </c>
      <c r="R80" t="s">
        <v>91</v>
      </c>
      <c r="S80" t="s">
        <v>92</v>
      </c>
      <c r="T80">
        <v>0</v>
      </c>
      <c r="U80">
        <v>0.75</v>
      </c>
      <c r="V80" s="2">
        <v>3.125E-2</v>
      </c>
      <c r="W80">
        <v>0</v>
      </c>
      <c r="AA80" t="s">
        <v>93</v>
      </c>
      <c r="AB80" t="s">
        <v>94</v>
      </c>
      <c r="AC80" t="s">
        <v>128</v>
      </c>
      <c r="AD80" t="s">
        <v>96</v>
      </c>
      <c r="AE80">
        <f t="shared" si="4"/>
        <v>3</v>
      </c>
      <c r="AF80" t="str">
        <f t="shared" si="5"/>
        <v>March</v>
      </c>
    </row>
    <row r="81" spans="1:32">
      <c r="A81" s="1">
        <v>45379</v>
      </c>
      <c r="B81" t="s">
        <v>38</v>
      </c>
      <c r="C81" t="s">
        <v>126</v>
      </c>
      <c r="D81" t="s">
        <v>82</v>
      </c>
      <c r="E81" t="s">
        <v>83</v>
      </c>
      <c r="F81" t="s">
        <v>84</v>
      </c>
      <c r="G81" t="s">
        <v>85</v>
      </c>
      <c r="H81" t="s">
        <v>86</v>
      </c>
      <c r="I81" t="s">
        <v>87</v>
      </c>
      <c r="J81" t="s">
        <v>88</v>
      </c>
      <c r="K81" t="s">
        <v>82</v>
      </c>
      <c r="L81" t="s">
        <v>28</v>
      </c>
      <c r="M81" t="s">
        <v>89</v>
      </c>
      <c r="N81" t="s">
        <v>128</v>
      </c>
      <c r="O81" t="s">
        <v>90</v>
      </c>
      <c r="P81">
        <v>229506</v>
      </c>
      <c r="Q81" t="s">
        <v>11</v>
      </c>
      <c r="R81" t="s">
        <v>91</v>
      </c>
      <c r="S81" t="s">
        <v>92</v>
      </c>
      <c r="T81">
        <v>0</v>
      </c>
      <c r="U81">
        <v>0.25</v>
      </c>
      <c r="V81" s="2">
        <v>1.0416666666666666E-2</v>
      </c>
      <c r="W81">
        <v>0</v>
      </c>
      <c r="AA81" t="s">
        <v>93</v>
      </c>
      <c r="AB81" t="s">
        <v>94</v>
      </c>
      <c r="AC81" t="s">
        <v>128</v>
      </c>
      <c r="AD81" t="s">
        <v>96</v>
      </c>
      <c r="AE81">
        <f t="shared" si="4"/>
        <v>3</v>
      </c>
      <c r="AF81" t="str">
        <f t="shared" si="5"/>
        <v>March</v>
      </c>
    </row>
    <row r="82" spans="1:32">
      <c r="A82" s="1">
        <v>45384</v>
      </c>
      <c r="B82" t="s">
        <v>38</v>
      </c>
      <c r="C82" t="s">
        <v>126</v>
      </c>
      <c r="D82" t="s">
        <v>82</v>
      </c>
      <c r="E82" t="s">
        <v>83</v>
      </c>
      <c r="F82" t="s">
        <v>84</v>
      </c>
      <c r="G82" t="s">
        <v>85</v>
      </c>
      <c r="H82" t="s">
        <v>86</v>
      </c>
      <c r="I82" t="s">
        <v>87</v>
      </c>
      <c r="J82" t="s">
        <v>88</v>
      </c>
      <c r="K82" t="s">
        <v>82</v>
      </c>
      <c r="L82" t="s">
        <v>28</v>
      </c>
      <c r="M82" t="s">
        <v>89</v>
      </c>
      <c r="N82" t="s">
        <v>128</v>
      </c>
      <c r="O82" t="s">
        <v>90</v>
      </c>
      <c r="P82">
        <v>230154</v>
      </c>
      <c r="Q82" t="s">
        <v>11</v>
      </c>
      <c r="R82" t="s">
        <v>91</v>
      </c>
      <c r="S82" t="s">
        <v>92</v>
      </c>
      <c r="T82">
        <v>0</v>
      </c>
      <c r="U82">
        <v>1.75</v>
      </c>
      <c r="V82" s="2">
        <v>7.2916666666666671E-2</v>
      </c>
      <c r="W82">
        <v>0</v>
      </c>
      <c r="AA82" t="s">
        <v>93</v>
      </c>
      <c r="AB82" t="s">
        <v>94</v>
      </c>
      <c r="AC82" t="s">
        <v>128</v>
      </c>
      <c r="AD82" t="s">
        <v>96</v>
      </c>
      <c r="AE82">
        <f t="shared" si="4"/>
        <v>4</v>
      </c>
      <c r="AF82" t="str">
        <f t="shared" si="5"/>
        <v>April</v>
      </c>
    </row>
    <row r="83" spans="1:32">
      <c r="A83" s="1">
        <v>45385</v>
      </c>
      <c r="B83" t="s">
        <v>38</v>
      </c>
      <c r="C83" t="s">
        <v>126</v>
      </c>
      <c r="D83" t="s">
        <v>82</v>
      </c>
      <c r="E83" t="s">
        <v>83</v>
      </c>
      <c r="F83" t="s">
        <v>84</v>
      </c>
      <c r="G83" t="s">
        <v>85</v>
      </c>
      <c r="H83" t="s">
        <v>86</v>
      </c>
      <c r="I83" t="s">
        <v>87</v>
      </c>
      <c r="J83" t="s">
        <v>88</v>
      </c>
      <c r="K83" t="s">
        <v>82</v>
      </c>
      <c r="L83" t="s">
        <v>28</v>
      </c>
      <c r="M83" t="s">
        <v>89</v>
      </c>
      <c r="N83" t="s">
        <v>128</v>
      </c>
      <c r="O83" t="s">
        <v>90</v>
      </c>
      <c r="P83">
        <v>231087</v>
      </c>
      <c r="Q83" t="s">
        <v>10</v>
      </c>
      <c r="R83" t="s">
        <v>98</v>
      </c>
      <c r="S83" t="s">
        <v>92</v>
      </c>
      <c r="T83">
        <v>90</v>
      </c>
      <c r="U83">
        <v>1</v>
      </c>
      <c r="V83" s="2">
        <v>4.1666666666666664E-2</v>
      </c>
      <c r="W83">
        <v>90</v>
      </c>
      <c r="X83">
        <v>120</v>
      </c>
      <c r="Y83">
        <v>30</v>
      </c>
      <c r="Z83" t="s">
        <v>99</v>
      </c>
      <c r="AA83" t="s">
        <v>93</v>
      </c>
      <c r="AB83" t="s">
        <v>94</v>
      </c>
      <c r="AC83" t="s">
        <v>128</v>
      </c>
      <c r="AD83" t="s">
        <v>96</v>
      </c>
      <c r="AE83">
        <f t="shared" si="4"/>
        <v>4</v>
      </c>
      <c r="AF83" t="str">
        <f t="shared" si="5"/>
        <v>April</v>
      </c>
    </row>
    <row r="84" spans="1:32">
      <c r="A84" s="1">
        <v>45385</v>
      </c>
      <c r="B84" t="s">
        <v>38</v>
      </c>
      <c r="C84" t="s">
        <v>126</v>
      </c>
      <c r="D84" t="s">
        <v>82</v>
      </c>
      <c r="E84" t="s">
        <v>83</v>
      </c>
      <c r="F84" t="s">
        <v>84</v>
      </c>
      <c r="G84" t="s">
        <v>85</v>
      </c>
      <c r="H84" t="s">
        <v>86</v>
      </c>
      <c r="I84" t="s">
        <v>87</v>
      </c>
      <c r="J84" t="s">
        <v>88</v>
      </c>
      <c r="K84" t="s">
        <v>82</v>
      </c>
      <c r="L84" t="s">
        <v>28</v>
      </c>
      <c r="M84" t="s">
        <v>89</v>
      </c>
      <c r="N84" t="s">
        <v>128</v>
      </c>
      <c r="O84" t="s">
        <v>90</v>
      </c>
      <c r="P84">
        <v>231085</v>
      </c>
      <c r="Q84" t="s">
        <v>11</v>
      </c>
      <c r="R84" t="s">
        <v>91</v>
      </c>
      <c r="S84" t="s">
        <v>92</v>
      </c>
      <c r="T84">
        <v>0</v>
      </c>
      <c r="U84">
        <v>0.75</v>
      </c>
      <c r="V84" s="2">
        <v>3.125E-2</v>
      </c>
      <c r="W84">
        <v>0</v>
      </c>
      <c r="AA84" t="s">
        <v>93</v>
      </c>
      <c r="AB84" t="s">
        <v>94</v>
      </c>
      <c r="AC84" t="s">
        <v>128</v>
      </c>
      <c r="AD84" t="s">
        <v>96</v>
      </c>
      <c r="AE84">
        <f t="shared" si="4"/>
        <v>4</v>
      </c>
      <c r="AF84" t="str">
        <f t="shared" si="5"/>
        <v>April</v>
      </c>
    </row>
    <row r="85" spans="1:32">
      <c r="A85" s="1">
        <v>45386</v>
      </c>
      <c r="B85" t="s">
        <v>38</v>
      </c>
      <c r="C85" t="s">
        <v>126</v>
      </c>
      <c r="D85" t="s">
        <v>82</v>
      </c>
      <c r="E85" t="s">
        <v>83</v>
      </c>
      <c r="F85" t="s">
        <v>84</v>
      </c>
      <c r="G85" t="s">
        <v>85</v>
      </c>
      <c r="H85" t="s">
        <v>86</v>
      </c>
      <c r="I85" t="s">
        <v>87</v>
      </c>
      <c r="J85" t="s">
        <v>88</v>
      </c>
      <c r="K85" t="s">
        <v>82</v>
      </c>
      <c r="L85" t="s">
        <v>28</v>
      </c>
      <c r="M85" t="s">
        <v>89</v>
      </c>
      <c r="N85" t="s">
        <v>128</v>
      </c>
      <c r="O85" t="s">
        <v>90</v>
      </c>
      <c r="P85">
        <v>231086</v>
      </c>
      <c r="Q85" t="s">
        <v>10</v>
      </c>
      <c r="R85" t="s">
        <v>98</v>
      </c>
      <c r="S85" t="s">
        <v>92</v>
      </c>
      <c r="T85">
        <v>90</v>
      </c>
      <c r="U85">
        <v>0.25</v>
      </c>
      <c r="V85" s="2">
        <v>1.0416666666666666E-2</v>
      </c>
      <c r="W85">
        <v>22.5</v>
      </c>
      <c r="X85">
        <v>30</v>
      </c>
      <c r="Y85">
        <v>7.5</v>
      </c>
      <c r="Z85" t="s">
        <v>99</v>
      </c>
      <c r="AA85" t="s">
        <v>93</v>
      </c>
      <c r="AB85" t="s">
        <v>94</v>
      </c>
      <c r="AC85" t="s">
        <v>128</v>
      </c>
      <c r="AD85" t="s">
        <v>96</v>
      </c>
      <c r="AE85">
        <f t="shared" si="4"/>
        <v>4</v>
      </c>
      <c r="AF85" t="str">
        <f t="shared" si="5"/>
        <v>April</v>
      </c>
    </row>
    <row r="86" spans="1:32">
      <c r="A86" s="1">
        <v>45386</v>
      </c>
      <c r="B86" t="s">
        <v>38</v>
      </c>
      <c r="C86" t="s">
        <v>126</v>
      </c>
      <c r="D86" t="s">
        <v>82</v>
      </c>
      <c r="E86" t="s">
        <v>83</v>
      </c>
      <c r="F86" t="s">
        <v>84</v>
      </c>
      <c r="G86" t="s">
        <v>85</v>
      </c>
      <c r="H86" t="s">
        <v>86</v>
      </c>
      <c r="I86" t="s">
        <v>87</v>
      </c>
      <c r="J86" t="s">
        <v>88</v>
      </c>
      <c r="K86" t="s">
        <v>82</v>
      </c>
      <c r="L86" t="s">
        <v>28</v>
      </c>
      <c r="M86" t="s">
        <v>89</v>
      </c>
      <c r="N86" t="s">
        <v>128</v>
      </c>
      <c r="O86" t="s">
        <v>90</v>
      </c>
      <c r="P86">
        <v>231764</v>
      </c>
      <c r="Q86" t="s">
        <v>11</v>
      </c>
      <c r="R86" t="s">
        <v>91</v>
      </c>
      <c r="S86" t="s">
        <v>92</v>
      </c>
      <c r="T86">
        <v>0</v>
      </c>
      <c r="U86">
        <v>1</v>
      </c>
      <c r="V86" s="2">
        <v>4.1666666666666664E-2</v>
      </c>
      <c r="W86">
        <v>0</v>
      </c>
      <c r="AA86" t="s">
        <v>93</v>
      </c>
      <c r="AB86" t="s">
        <v>94</v>
      </c>
      <c r="AC86" t="s">
        <v>128</v>
      </c>
      <c r="AD86" t="s">
        <v>96</v>
      </c>
      <c r="AE86">
        <f t="shared" si="4"/>
        <v>4</v>
      </c>
      <c r="AF86" t="str">
        <f t="shared" si="5"/>
        <v>April</v>
      </c>
    </row>
    <row r="87" spans="1:32">
      <c r="A87" s="1">
        <v>45387</v>
      </c>
      <c r="B87" t="s">
        <v>38</v>
      </c>
      <c r="C87" t="s">
        <v>126</v>
      </c>
      <c r="D87" t="s">
        <v>82</v>
      </c>
      <c r="E87" t="s">
        <v>83</v>
      </c>
      <c r="F87" t="s">
        <v>84</v>
      </c>
      <c r="G87" t="s">
        <v>85</v>
      </c>
      <c r="H87" t="s">
        <v>86</v>
      </c>
      <c r="I87" t="s">
        <v>87</v>
      </c>
      <c r="J87" t="s">
        <v>88</v>
      </c>
      <c r="K87" t="s">
        <v>82</v>
      </c>
      <c r="L87" t="s">
        <v>28</v>
      </c>
      <c r="M87" t="s">
        <v>89</v>
      </c>
      <c r="N87" t="s">
        <v>128</v>
      </c>
      <c r="O87" t="s">
        <v>90</v>
      </c>
      <c r="P87">
        <v>231762</v>
      </c>
      <c r="Q87" t="s">
        <v>10</v>
      </c>
      <c r="R87" t="s">
        <v>98</v>
      </c>
      <c r="S87" t="s">
        <v>92</v>
      </c>
      <c r="T87">
        <v>90</v>
      </c>
      <c r="U87">
        <v>0.5</v>
      </c>
      <c r="V87" s="2">
        <v>2.0833333333333332E-2</v>
      </c>
      <c r="W87">
        <v>45</v>
      </c>
      <c r="X87">
        <v>60</v>
      </c>
      <c r="Y87">
        <v>15</v>
      </c>
      <c r="Z87" t="s">
        <v>99</v>
      </c>
      <c r="AA87" t="s">
        <v>93</v>
      </c>
      <c r="AB87" t="s">
        <v>94</v>
      </c>
      <c r="AC87" t="s">
        <v>128</v>
      </c>
      <c r="AD87" t="s">
        <v>96</v>
      </c>
      <c r="AE87">
        <f t="shared" si="4"/>
        <v>4</v>
      </c>
      <c r="AF87" t="str">
        <f t="shared" si="5"/>
        <v>April</v>
      </c>
    </row>
    <row r="88" spans="1:32">
      <c r="A88" s="1">
        <v>45390</v>
      </c>
      <c r="B88" t="s">
        <v>38</v>
      </c>
      <c r="C88" t="s">
        <v>126</v>
      </c>
      <c r="D88" t="s">
        <v>82</v>
      </c>
      <c r="E88" t="s">
        <v>83</v>
      </c>
      <c r="F88" t="s">
        <v>84</v>
      </c>
      <c r="G88" t="s">
        <v>85</v>
      </c>
      <c r="H88" t="s">
        <v>86</v>
      </c>
      <c r="I88" t="s">
        <v>87</v>
      </c>
      <c r="J88" t="s">
        <v>88</v>
      </c>
      <c r="K88" t="s">
        <v>82</v>
      </c>
      <c r="L88" t="s">
        <v>28</v>
      </c>
      <c r="M88" t="s">
        <v>89</v>
      </c>
      <c r="N88" t="s">
        <v>128</v>
      </c>
      <c r="O88" t="s">
        <v>90</v>
      </c>
      <c r="P88">
        <v>233022</v>
      </c>
      <c r="Q88" t="s">
        <v>10</v>
      </c>
      <c r="R88" t="s">
        <v>98</v>
      </c>
      <c r="S88" t="s">
        <v>92</v>
      </c>
      <c r="T88">
        <v>90</v>
      </c>
      <c r="U88">
        <v>0.25</v>
      </c>
      <c r="V88" s="2">
        <v>1.0416666666666666E-2</v>
      </c>
      <c r="W88">
        <v>22.5</v>
      </c>
      <c r="X88">
        <v>30</v>
      </c>
      <c r="Y88">
        <v>7.5</v>
      </c>
      <c r="Z88" t="s">
        <v>99</v>
      </c>
      <c r="AA88" t="s">
        <v>93</v>
      </c>
      <c r="AB88" t="s">
        <v>94</v>
      </c>
      <c r="AC88" t="s">
        <v>128</v>
      </c>
      <c r="AD88" t="s">
        <v>96</v>
      </c>
      <c r="AE88">
        <f t="shared" si="4"/>
        <v>4</v>
      </c>
      <c r="AF88" t="str">
        <f t="shared" si="5"/>
        <v>April</v>
      </c>
    </row>
    <row r="89" spans="1:32">
      <c r="A89" s="1">
        <v>45390</v>
      </c>
      <c r="B89" t="s">
        <v>38</v>
      </c>
      <c r="C89" t="s">
        <v>126</v>
      </c>
      <c r="D89" t="s">
        <v>82</v>
      </c>
      <c r="E89" t="s">
        <v>83</v>
      </c>
      <c r="F89" t="s">
        <v>84</v>
      </c>
      <c r="G89" t="s">
        <v>85</v>
      </c>
      <c r="H89" t="s">
        <v>86</v>
      </c>
      <c r="I89" t="s">
        <v>87</v>
      </c>
      <c r="J89" t="s">
        <v>88</v>
      </c>
      <c r="K89" t="s">
        <v>82</v>
      </c>
      <c r="L89" t="s">
        <v>28</v>
      </c>
      <c r="M89" t="s">
        <v>89</v>
      </c>
      <c r="N89" t="s">
        <v>128</v>
      </c>
      <c r="O89" t="s">
        <v>90</v>
      </c>
      <c r="P89">
        <v>233021</v>
      </c>
      <c r="Q89" t="s">
        <v>11</v>
      </c>
      <c r="R89" t="s">
        <v>91</v>
      </c>
      <c r="S89" t="s">
        <v>92</v>
      </c>
      <c r="T89">
        <v>0</v>
      </c>
      <c r="U89">
        <v>0.5</v>
      </c>
      <c r="V89" s="2">
        <v>2.0833333333333332E-2</v>
      </c>
      <c r="W89">
        <v>0</v>
      </c>
      <c r="AA89" t="s">
        <v>93</v>
      </c>
      <c r="AB89" t="s">
        <v>94</v>
      </c>
      <c r="AC89" t="s">
        <v>128</v>
      </c>
      <c r="AD89" t="s">
        <v>96</v>
      </c>
      <c r="AE89">
        <f t="shared" si="4"/>
        <v>4</v>
      </c>
      <c r="AF89" t="str">
        <f t="shared" si="5"/>
        <v>April</v>
      </c>
    </row>
    <row r="90" spans="1:32">
      <c r="A90" s="1">
        <v>45391</v>
      </c>
      <c r="B90" t="s">
        <v>38</v>
      </c>
      <c r="C90" t="s">
        <v>126</v>
      </c>
      <c r="D90" t="s">
        <v>82</v>
      </c>
      <c r="E90" t="s">
        <v>83</v>
      </c>
      <c r="F90" t="s">
        <v>84</v>
      </c>
      <c r="G90" t="s">
        <v>85</v>
      </c>
      <c r="H90" t="s">
        <v>86</v>
      </c>
      <c r="I90" t="s">
        <v>87</v>
      </c>
      <c r="J90" t="s">
        <v>88</v>
      </c>
      <c r="K90" t="s">
        <v>82</v>
      </c>
      <c r="L90" t="s">
        <v>28</v>
      </c>
      <c r="M90" t="s">
        <v>89</v>
      </c>
      <c r="N90" t="s">
        <v>128</v>
      </c>
      <c r="O90" t="s">
        <v>90</v>
      </c>
      <c r="P90">
        <v>233010</v>
      </c>
      <c r="Q90" t="s">
        <v>10</v>
      </c>
      <c r="R90" t="s">
        <v>98</v>
      </c>
      <c r="S90" t="s">
        <v>92</v>
      </c>
      <c r="T90">
        <v>90</v>
      </c>
      <c r="U90">
        <v>1</v>
      </c>
      <c r="V90" s="2">
        <v>4.1666666666666664E-2</v>
      </c>
      <c r="W90">
        <v>90</v>
      </c>
      <c r="X90">
        <v>120</v>
      </c>
      <c r="Y90">
        <v>30</v>
      </c>
      <c r="Z90" t="s">
        <v>99</v>
      </c>
      <c r="AA90" t="s">
        <v>93</v>
      </c>
      <c r="AB90" t="s">
        <v>94</v>
      </c>
      <c r="AC90" t="s">
        <v>128</v>
      </c>
      <c r="AD90" t="s">
        <v>96</v>
      </c>
      <c r="AE90">
        <f t="shared" si="4"/>
        <v>4</v>
      </c>
      <c r="AF90" t="str">
        <f t="shared" si="5"/>
        <v>April</v>
      </c>
    </row>
    <row r="91" spans="1:32">
      <c r="A91" s="1">
        <v>45391</v>
      </c>
      <c r="B91" t="s">
        <v>38</v>
      </c>
      <c r="C91" t="s">
        <v>126</v>
      </c>
      <c r="D91" t="s">
        <v>82</v>
      </c>
      <c r="E91" t="s">
        <v>83</v>
      </c>
      <c r="F91" t="s">
        <v>84</v>
      </c>
      <c r="G91" t="s">
        <v>85</v>
      </c>
      <c r="H91" t="s">
        <v>86</v>
      </c>
      <c r="I91" t="s">
        <v>87</v>
      </c>
      <c r="J91" t="s">
        <v>88</v>
      </c>
      <c r="K91" t="s">
        <v>82</v>
      </c>
      <c r="L91" t="s">
        <v>28</v>
      </c>
      <c r="M91" t="s">
        <v>89</v>
      </c>
      <c r="N91" t="s">
        <v>128</v>
      </c>
      <c r="O91" t="s">
        <v>90</v>
      </c>
      <c r="P91">
        <v>233011</v>
      </c>
      <c r="Q91" t="s">
        <v>11</v>
      </c>
      <c r="R91" t="s">
        <v>91</v>
      </c>
      <c r="S91" t="s">
        <v>92</v>
      </c>
      <c r="T91">
        <v>0</v>
      </c>
      <c r="U91">
        <v>0.5</v>
      </c>
      <c r="V91" s="2">
        <v>2.0833333333333332E-2</v>
      </c>
      <c r="W91">
        <v>0</v>
      </c>
      <c r="AA91" t="s">
        <v>93</v>
      </c>
      <c r="AB91" t="s">
        <v>94</v>
      </c>
      <c r="AC91" t="s">
        <v>128</v>
      </c>
      <c r="AD91" t="s">
        <v>96</v>
      </c>
      <c r="AE91">
        <f t="shared" si="4"/>
        <v>4</v>
      </c>
      <c r="AF91" t="str">
        <f t="shared" si="5"/>
        <v>April</v>
      </c>
    </row>
    <row r="92" spans="1:32">
      <c r="A92" s="1">
        <v>45392</v>
      </c>
      <c r="B92" t="s">
        <v>38</v>
      </c>
      <c r="C92" t="s">
        <v>126</v>
      </c>
      <c r="D92" t="s">
        <v>82</v>
      </c>
      <c r="E92" t="s">
        <v>83</v>
      </c>
      <c r="F92" t="s">
        <v>84</v>
      </c>
      <c r="G92" t="s">
        <v>85</v>
      </c>
      <c r="H92" t="s">
        <v>86</v>
      </c>
      <c r="I92" t="s">
        <v>87</v>
      </c>
      <c r="J92" t="s">
        <v>88</v>
      </c>
      <c r="K92" t="s">
        <v>82</v>
      </c>
      <c r="L92" t="s">
        <v>28</v>
      </c>
      <c r="M92" t="s">
        <v>89</v>
      </c>
      <c r="N92" t="s">
        <v>128</v>
      </c>
      <c r="O92" t="s">
        <v>90</v>
      </c>
      <c r="P92">
        <v>233987</v>
      </c>
      <c r="Q92" t="s">
        <v>10</v>
      </c>
      <c r="R92" t="s">
        <v>98</v>
      </c>
      <c r="S92" t="s">
        <v>92</v>
      </c>
      <c r="T92">
        <v>90</v>
      </c>
      <c r="U92">
        <v>1</v>
      </c>
      <c r="V92" s="2">
        <v>4.1666666666666664E-2</v>
      </c>
      <c r="W92">
        <v>90</v>
      </c>
      <c r="X92">
        <v>120</v>
      </c>
      <c r="Y92">
        <v>30</v>
      </c>
      <c r="Z92" t="s">
        <v>99</v>
      </c>
      <c r="AA92" t="s">
        <v>93</v>
      </c>
      <c r="AB92" t="s">
        <v>94</v>
      </c>
      <c r="AC92" t="s">
        <v>128</v>
      </c>
      <c r="AD92" t="s">
        <v>96</v>
      </c>
      <c r="AE92">
        <f t="shared" si="4"/>
        <v>4</v>
      </c>
      <c r="AF92" t="str">
        <f t="shared" si="5"/>
        <v>April</v>
      </c>
    </row>
    <row r="93" spans="1:32">
      <c r="A93" s="1">
        <v>45393</v>
      </c>
      <c r="B93" t="s">
        <v>38</v>
      </c>
      <c r="C93" t="s">
        <v>126</v>
      </c>
      <c r="D93" t="s">
        <v>82</v>
      </c>
      <c r="E93" t="s">
        <v>83</v>
      </c>
      <c r="F93" t="s">
        <v>84</v>
      </c>
      <c r="G93" t="s">
        <v>85</v>
      </c>
      <c r="H93" t="s">
        <v>86</v>
      </c>
      <c r="I93" t="s">
        <v>87</v>
      </c>
      <c r="J93" t="s">
        <v>88</v>
      </c>
      <c r="K93" t="s">
        <v>82</v>
      </c>
      <c r="L93" t="s">
        <v>28</v>
      </c>
      <c r="M93" t="s">
        <v>89</v>
      </c>
      <c r="N93" t="s">
        <v>128</v>
      </c>
      <c r="O93" t="s">
        <v>90</v>
      </c>
      <c r="P93">
        <v>233993</v>
      </c>
      <c r="Q93" t="s">
        <v>10</v>
      </c>
      <c r="R93" t="s">
        <v>98</v>
      </c>
      <c r="S93" t="s">
        <v>92</v>
      </c>
      <c r="T93">
        <v>90</v>
      </c>
      <c r="U93">
        <v>1</v>
      </c>
      <c r="V93" s="2">
        <v>4.1666666666666664E-2</v>
      </c>
      <c r="W93">
        <v>90</v>
      </c>
      <c r="X93">
        <v>120</v>
      </c>
      <c r="Y93">
        <v>30</v>
      </c>
      <c r="Z93" t="s">
        <v>99</v>
      </c>
      <c r="AA93" t="s">
        <v>93</v>
      </c>
      <c r="AB93" t="s">
        <v>94</v>
      </c>
      <c r="AC93" t="s">
        <v>128</v>
      </c>
      <c r="AD93" t="s">
        <v>96</v>
      </c>
      <c r="AE93">
        <f t="shared" si="4"/>
        <v>4</v>
      </c>
      <c r="AF93" t="str">
        <f t="shared" si="5"/>
        <v>April</v>
      </c>
    </row>
    <row r="94" spans="1:32">
      <c r="A94" s="1">
        <v>45394</v>
      </c>
      <c r="B94" t="s">
        <v>38</v>
      </c>
      <c r="C94" t="s">
        <v>126</v>
      </c>
      <c r="D94" t="s">
        <v>82</v>
      </c>
      <c r="E94" t="s">
        <v>83</v>
      </c>
      <c r="F94" t="s">
        <v>84</v>
      </c>
      <c r="G94" t="s">
        <v>85</v>
      </c>
      <c r="H94" t="s">
        <v>86</v>
      </c>
      <c r="I94" t="s">
        <v>87</v>
      </c>
      <c r="J94" t="s">
        <v>88</v>
      </c>
      <c r="K94" t="s">
        <v>82</v>
      </c>
      <c r="L94" t="s">
        <v>28</v>
      </c>
      <c r="M94" t="s">
        <v>89</v>
      </c>
      <c r="N94" t="s">
        <v>128</v>
      </c>
      <c r="O94" t="s">
        <v>90</v>
      </c>
      <c r="P94">
        <v>235011</v>
      </c>
      <c r="Q94" t="s">
        <v>10</v>
      </c>
      <c r="R94" t="s">
        <v>98</v>
      </c>
      <c r="S94" t="s">
        <v>92</v>
      </c>
      <c r="T94">
        <v>90</v>
      </c>
      <c r="U94">
        <v>0.75</v>
      </c>
      <c r="V94" s="2">
        <v>3.125E-2</v>
      </c>
      <c r="W94">
        <v>67.5</v>
      </c>
      <c r="X94">
        <v>90</v>
      </c>
      <c r="Y94">
        <v>22.5</v>
      </c>
      <c r="Z94" t="s">
        <v>99</v>
      </c>
      <c r="AA94" t="s">
        <v>93</v>
      </c>
      <c r="AB94" t="s">
        <v>94</v>
      </c>
      <c r="AC94" t="s">
        <v>128</v>
      </c>
      <c r="AD94" t="s">
        <v>96</v>
      </c>
      <c r="AE94">
        <f t="shared" si="4"/>
        <v>4</v>
      </c>
      <c r="AF94" t="str">
        <f t="shared" si="5"/>
        <v>April</v>
      </c>
    </row>
    <row r="95" spans="1:32">
      <c r="A95" s="1">
        <v>45397</v>
      </c>
      <c r="B95" t="s">
        <v>38</v>
      </c>
      <c r="C95" t="s">
        <v>126</v>
      </c>
      <c r="D95" t="s">
        <v>82</v>
      </c>
      <c r="E95" t="s">
        <v>83</v>
      </c>
      <c r="F95" t="s">
        <v>84</v>
      </c>
      <c r="G95" t="s">
        <v>85</v>
      </c>
      <c r="H95" t="s">
        <v>86</v>
      </c>
      <c r="I95" t="s">
        <v>87</v>
      </c>
      <c r="J95" t="s">
        <v>88</v>
      </c>
      <c r="K95" t="s">
        <v>82</v>
      </c>
      <c r="L95" t="s">
        <v>28</v>
      </c>
      <c r="M95" t="s">
        <v>89</v>
      </c>
      <c r="N95" t="s">
        <v>128</v>
      </c>
      <c r="O95" t="s">
        <v>90</v>
      </c>
      <c r="P95">
        <v>235137</v>
      </c>
      <c r="Q95" t="s">
        <v>10</v>
      </c>
      <c r="R95" t="s">
        <v>98</v>
      </c>
      <c r="S95" t="s">
        <v>92</v>
      </c>
      <c r="T95">
        <v>90</v>
      </c>
      <c r="U95">
        <v>1</v>
      </c>
      <c r="V95" s="2">
        <v>4.1666666666666664E-2</v>
      </c>
      <c r="W95">
        <v>90</v>
      </c>
      <c r="X95">
        <v>120</v>
      </c>
      <c r="Y95">
        <v>30</v>
      </c>
      <c r="Z95" t="s">
        <v>99</v>
      </c>
      <c r="AA95" t="s">
        <v>93</v>
      </c>
      <c r="AB95" t="s">
        <v>94</v>
      </c>
      <c r="AC95" t="s">
        <v>128</v>
      </c>
      <c r="AD95" t="s">
        <v>96</v>
      </c>
      <c r="AE95">
        <f t="shared" si="4"/>
        <v>4</v>
      </c>
      <c r="AF95" t="str">
        <f t="shared" si="5"/>
        <v>April</v>
      </c>
    </row>
    <row r="96" spans="1:32">
      <c r="A96" s="1">
        <v>45398</v>
      </c>
      <c r="B96" t="s">
        <v>38</v>
      </c>
      <c r="C96" t="s">
        <v>126</v>
      </c>
      <c r="D96" t="s">
        <v>82</v>
      </c>
      <c r="E96" t="s">
        <v>83</v>
      </c>
      <c r="F96" t="s">
        <v>84</v>
      </c>
      <c r="G96" t="s">
        <v>85</v>
      </c>
      <c r="H96" t="s">
        <v>86</v>
      </c>
      <c r="I96" t="s">
        <v>87</v>
      </c>
      <c r="J96" t="s">
        <v>88</v>
      </c>
      <c r="K96" t="s">
        <v>82</v>
      </c>
      <c r="L96" t="s">
        <v>28</v>
      </c>
      <c r="M96" t="s">
        <v>89</v>
      </c>
      <c r="N96" t="s">
        <v>128</v>
      </c>
      <c r="O96" t="s">
        <v>90</v>
      </c>
      <c r="P96">
        <v>235799</v>
      </c>
      <c r="Q96" t="s">
        <v>10</v>
      </c>
      <c r="R96" t="s">
        <v>98</v>
      </c>
      <c r="S96" t="s">
        <v>92</v>
      </c>
      <c r="T96">
        <v>90</v>
      </c>
      <c r="U96">
        <v>0.5</v>
      </c>
      <c r="V96" s="2">
        <v>2.0833333333333332E-2</v>
      </c>
      <c r="W96">
        <v>45</v>
      </c>
      <c r="X96">
        <v>60</v>
      </c>
      <c r="Y96">
        <v>15</v>
      </c>
      <c r="Z96" t="s">
        <v>99</v>
      </c>
      <c r="AA96" t="s">
        <v>93</v>
      </c>
      <c r="AB96" t="s">
        <v>94</v>
      </c>
      <c r="AC96" t="s">
        <v>128</v>
      </c>
      <c r="AD96" t="s">
        <v>96</v>
      </c>
      <c r="AE96">
        <f t="shared" si="4"/>
        <v>4</v>
      </c>
      <c r="AF96" t="str">
        <f t="shared" si="5"/>
        <v>April</v>
      </c>
    </row>
    <row r="97" spans="1:32">
      <c r="A97" s="1">
        <v>45399</v>
      </c>
      <c r="B97" t="s">
        <v>38</v>
      </c>
      <c r="C97" t="s">
        <v>126</v>
      </c>
      <c r="D97" t="s">
        <v>82</v>
      </c>
      <c r="E97" t="s">
        <v>83</v>
      </c>
      <c r="F97" t="s">
        <v>84</v>
      </c>
      <c r="G97" t="s">
        <v>85</v>
      </c>
      <c r="H97" t="s">
        <v>86</v>
      </c>
      <c r="I97" t="s">
        <v>87</v>
      </c>
      <c r="J97" t="s">
        <v>88</v>
      </c>
      <c r="K97" t="s">
        <v>82</v>
      </c>
      <c r="L97" t="s">
        <v>28</v>
      </c>
      <c r="M97" t="s">
        <v>89</v>
      </c>
      <c r="N97" t="s">
        <v>128</v>
      </c>
      <c r="O97" t="s">
        <v>90</v>
      </c>
      <c r="P97">
        <v>236433</v>
      </c>
      <c r="Q97" t="s">
        <v>10</v>
      </c>
      <c r="R97" t="s">
        <v>98</v>
      </c>
      <c r="S97" t="s">
        <v>92</v>
      </c>
      <c r="T97">
        <v>90</v>
      </c>
      <c r="U97">
        <v>2</v>
      </c>
      <c r="V97" s="2">
        <v>8.3333333333333329E-2</v>
      </c>
      <c r="W97">
        <v>180</v>
      </c>
      <c r="X97">
        <v>240</v>
      </c>
      <c r="Y97">
        <v>60</v>
      </c>
      <c r="Z97" t="s">
        <v>99</v>
      </c>
      <c r="AA97" t="s">
        <v>93</v>
      </c>
      <c r="AB97" t="s">
        <v>94</v>
      </c>
      <c r="AC97" t="s">
        <v>128</v>
      </c>
      <c r="AD97" t="s">
        <v>96</v>
      </c>
      <c r="AE97">
        <f t="shared" si="4"/>
        <v>4</v>
      </c>
      <c r="AF97" t="str">
        <f t="shared" si="5"/>
        <v>April</v>
      </c>
    </row>
    <row r="98" spans="1:32">
      <c r="A98" s="1">
        <v>45400</v>
      </c>
      <c r="B98" t="s">
        <v>38</v>
      </c>
      <c r="C98" t="s">
        <v>126</v>
      </c>
      <c r="D98" t="s">
        <v>82</v>
      </c>
      <c r="E98" t="s">
        <v>83</v>
      </c>
      <c r="F98" t="s">
        <v>84</v>
      </c>
      <c r="G98" t="s">
        <v>85</v>
      </c>
      <c r="H98" t="s">
        <v>86</v>
      </c>
      <c r="I98" t="s">
        <v>87</v>
      </c>
      <c r="J98" t="s">
        <v>88</v>
      </c>
      <c r="K98" t="s">
        <v>82</v>
      </c>
      <c r="L98" t="s">
        <v>28</v>
      </c>
      <c r="M98" t="s">
        <v>89</v>
      </c>
      <c r="N98" t="s">
        <v>128</v>
      </c>
      <c r="O98" t="s">
        <v>90</v>
      </c>
      <c r="P98">
        <v>236964</v>
      </c>
      <c r="Q98" t="s">
        <v>10</v>
      </c>
      <c r="R98" t="s">
        <v>98</v>
      </c>
      <c r="S98" t="s">
        <v>92</v>
      </c>
      <c r="T98">
        <v>90</v>
      </c>
      <c r="U98">
        <v>0.75</v>
      </c>
      <c r="V98" s="2">
        <v>3.125E-2</v>
      </c>
      <c r="W98">
        <v>67.5</v>
      </c>
      <c r="X98">
        <v>90</v>
      </c>
      <c r="Y98">
        <v>22.5</v>
      </c>
      <c r="Z98" t="s">
        <v>99</v>
      </c>
      <c r="AA98" t="s">
        <v>93</v>
      </c>
      <c r="AB98" t="s">
        <v>94</v>
      </c>
      <c r="AC98" t="s">
        <v>128</v>
      </c>
      <c r="AD98" t="s">
        <v>96</v>
      </c>
      <c r="AE98">
        <f t="shared" si="4"/>
        <v>4</v>
      </c>
      <c r="AF98" t="str">
        <f t="shared" si="5"/>
        <v>April</v>
      </c>
    </row>
    <row r="99" spans="1:32">
      <c r="A99" s="1">
        <v>45401</v>
      </c>
      <c r="B99" t="s">
        <v>38</v>
      </c>
      <c r="C99" t="s">
        <v>126</v>
      </c>
      <c r="D99" t="s">
        <v>82</v>
      </c>
      <c r="E99" t="s">
        <v>83</v>
      </c>
      <c r="F99" t="s">
        <v>84</v>
      </c>
      <c r="G99" t="s">
        <v>85</v>
      </c>
      <c r="H99" t="s">
        <v>86</v>
      </c>
      <c r="I99" t="s">
        <v>87</v>
      </c>
      <c r="J99" t="s">
        <v>88</v>
      </c>
      <c r="K99" t="s">
        <v>82</v>
      </c>
      <c r="L99" t="s">
        <v>28</v>
      </c>
      <c r="M99" t="s">
        <v>89</v>
      </c>
      <c r="N99" t="s">
        <v>128</v>
      </c>
      <c r="O99" t="s">
        <v>90</v>
      </c>
      <c r="P99">
        <v>237773</v>
      </c>
      <c r="Q99" t="s">
        <v>10</v>
      </c>
      <c r="R99" t="s">
        <v>98</v>
      </c>
      <c r="S99" t="s">
        <v>92</v>
      </c>
      <c r="T99">
        <v>90</v>
      </c>
      <c r="U99">
        <v>0.75</v>
      </c>
      <c r="V99" s="2">
        <v>3.125E-2</v>
      </c>
      <c r="W99">
        <v>67.5</v>
      </c>
      <c r="X99">
        <v>90</v>
      </c>
      <c r="Y99">
        <v>22.5</v>
      </c>
      <c r="Z99" t="s">
        <v>99</v>
      </c>
      <c r="AA99" t="s">
        <v>93</v>
      </c>
      <c r="AB99" t="s">
        <v>94</v>
      </c>
      <c r="AC99" t="s">
        <v>128</v>
      </c>
      <c r="AD99" t="s">
        <v>96</v>
      </c>
      <c r="AE99">
        <f t="shared" si="4"/>
        <v>4</v>
      </c>
      <c r="AF99" t="str">
        <f t="shared" si="5"/>
        <v>April</v>
      </c>
    </row>
    <row r="100" spans="1:32">
      <c r="A100" s="1">
        <v>45401</v>
      </c>
      <c r="B100" t="s">
        <v>38</v>
      </c>
      <c r="C100" t="s">
        <v>126</v>
      </c>
      <c r="D100" t="s">
        <v>82</v>
      </c>
      <c r="E100" t="s">
        <v>83</v>
      </c>
      <c r="F100" t="s">
        <v>84</v>
      </c>
      <c r="G100" t="s">
        <v>85</v>
      </c>
      <c r="H100" t="s">
        <v>86</v>
      </c>
      <c r="I100" t="s">
        <v>87</v>
      </c>
      <c r="J100" t="s">
        <v>88</v>
      </c>
      <c r="K100" t="s">
        <v>82</v>
      </c>
      <c r="L100" t="s">
        <v>28</v>
      </c>
      <c r="M100" t="s">
        <v>89</v>
      </c>
      <c r="N100" t="s">
        <v>128</v>
      </c>
      <c r="O100" t="s">
        <v>90</v>
      </c>
      <c r="P100">
        <v>237557</v>
      </c>
      <c r="Q100" t="s">
        <v>12</v>
      </c>
      <c r="R100" t="s">
        <v>98</v>
      </c>
      <c r="S100" t="s">
        <v>92</v>
      </c>
      <c r="T100">
        <v>90</v>
      </c>
      <c r="U100">
        <v>1.5</v>
      </c>
      <c r="V100" s="2">
        <v>6.25E-2</v>
      </c>
      <c r="W100">
        <v>135</v>
      </c>
      <c r="X100">
        <v>180</v>
      </c>
      <c r="Y100">
        <v>45</v>
      </c>
      <c r="Z100" t="s">
        <v>99</v>
      </c>
      <c r="AA100" t="s">
        <v>93</v>
      </c>
      <c r="AB100" t="s">
        <v>94</v>
      </c>
      <c r="AC100" t="s">
        <v>128</v>
      </c>
      <c r="AD100" t="s">
        <v>96</v>
      </c>
      <c r="AE100">
        <f t="shared" ref="AE100:AE112" si="6">MONTH(A100)</f>
        <v>4</v>
      </c>
      <c r="AF100" t="str">
        <f t="shared" ref="AF100:AF112" si="7">IF(AE100=1,"January",IF(AE100=2,"February",IF(AE100=3,"March",IF(AE100=4,"April",IF(AE100=5,"May")))))</f>
        <v>April</v>
      </c>
    </row>
    <row r="101" spans="1:32">
      <c r="A101" s="1">
        <v>45404</v>
      </c>
      <c r="B101" t="s">
        <v>38</v>
      </c>
      <c r="C101" t="s">
        <v>126</v>
      </c>
      <c r="D101" t="s">
        <v>82</v>
      </c>
      <c r="E101" t="s">
        <v>83</v>
      </c>
      <c r="F101" t="s">
        <v>84</v>
      </c>
      <c r="G101" t="s">
        <v>85</v>
      </c>
      <c r="H101" t="s">
        <v>86</v>
      </c>
      <c r="I101" t="s">
        <v>87</v>
      </c>
      <c r="J101" t="s">
        <v>88</v>
      </c>
      <c r="K101" t="s">
        <v>82</v>
      </c>
      <c r="L101" t="s">
        <v>28</v>
      </c>
      <c r="M101" t="s">
        <v>89</v>
      </c>
      <c r="N101" t="s">
        <v>128</v>
      </c>
      <c r="O101" t="s">
        <v>90</v>
      </c>
      <c r="P101">
        <v>238218</v>
      </c>
      <c r="Q101" t="s">
        <v>10</v>
      </c>
      <c r="R101" t="s">
        <v>98</v>
      </c>
      <c r="S101" t="s">
        <v>92</v>
      </c>
      <c r="T101">
        <v>90</v>
      </c>
      <c r="U101">
        <v>0.25</v>
      </c>
      <c r="V101" s="2">
        <v>1.0416666666666666E-2</v>
      </c>
      <c r="W101">
        <v>22.5</v>
      </c>
      <c r="X101">
        <v>30</v>
      </c>
      <c r="Y101">
        <v>7.5</v>
      </c>
      <c r="Z101" t="s">
        <v>99</v>
      </c>
      <c r="AA101" t="s">
        <v>93</v>
      </c>
      <c r="AB101" t="s">
        <v>94</v>
      </c>
      <c r="AC101" t="s">
        <v>128</v>
      </c>
      <c r="AD101" t="s">
        <v>96</v>
      </c>
      <c r="AE101">
        <f t="shared" si="6"/>
        <v>4</v>
      </c>
      <c r="AF101" t="str">
        <f t="shared" si="7"/>
        <v>April</v>
      </c>
    </row>
    <row r="102" spans="1:32">
      <c r="A102" s="1">
        <v>45405</v>
      </c>
      <c r="B102" t="s">
        <v>38</v>
      </c>
      <c r="C102" t="s">
        <v>126</v>
      </c>
      <c r="D102" t="s">
        <v>82</v>
      </c>
      <c r="E102" t="s">
        <v>83</v>
      </c>
      <c r="F102" t="s">
        <v>84</v>
      </c>
      <c r="G102" t="s">
        <v>85</v>
      </c>
      <c r="H102" t="s">
        <v>86</v>
      </c>
      <c r="I102" t="s">
        <v>87</v>
      </c>
      <c r="J102" t="s">
        <v>88</v>
      </c>
      <c r="K102" t="s">
        <v>82</v>
      </c>
      <c r="L102" t="s">
        <v>28</v>
      </c>
      <c r="M102" t="s">
        <v>89</v>
      </c>
      <c r="N102" t="s">
        <v>128</v>
      </c>
      <c r="O102" t="s">
        <v>90</v>
      </c>
      <c r="P102">
        <v>238763</v>
      </c>
      <c r="Q102" t="s">
        <v>10</v>
      </c>
      <c r="R102" t="s">
        <v>98</v>
      </c>
      <c r="S102" t="s">
        <v>92</v>
      </c>
      <c r="T102">
        <v>90</v>
      </c>
      <c r="U102">
        <v>0.25</v>
      </c>
      <c r="V102" s="2">
        <v>1.0416666666666666E-2</v>
      </c>
      <c r="W102">
        <v>22.5</v>
      </c>
      <c r="X102">
        <v>30</v>
      </c>
      <c r="Y102">
        <v>7.5</v>
      </c>
      <c r="Z102" t="s">
        <v>99</v>
      </c>
      <c r="AA102" t="s">
        <v>93</v>
      </c>
      <c r="AB102" t="s">
        <v>94</v>
      </c>
      <c r="AC102" t="s">
        <v>128</v>
      </c>
      <c r="AD102" t="s">
        <v>96</v>
      </c>
      <c r="AE102">
        <f t="shared" si="6"/>
        <v>4</v>
      </c>
      <c r="AF102" t="str">
        <f t="shared" si="7"/>
        <v>April</v>
      </c>
    </row>
    <row r="103" spans="1:32">
      <c r="A103" s="1">
        <v>45406</v>
      </c>
      <c r="B103" t="s">
        <v>38</v>
      </c>
      <c r="C103" t="s">
        <v>126</v>
      </c>
      <c r="D103" t="s">
        <v>82</v>
      </c>
      <c r="E103" t="s">
        <v>83</v>
      </c>
      <c r="F103" t="s">
        <v>84</v>
      </c>
      <c r="G103" t="s">
        <v>85</v>
      </c>
      <c r="H103" t="s">
        <v>86</v>
      </c>
      <c r="I103" t="s">
        <v>87</v>
      </c>
      <c r="J103" t="s">
        <v>88</v>
      </c>
      <c r="K103" t="s">
        <v>82</v>
      </c>
      <c r="L103" t="s">
        <v>28</v>
      </c>
      <c r="M103" t="s">
        <v>89</v>
      </c>
      <c r="N103" t="s">
        <v>128</v>
      </c>
      <c r="O103" t="s">
        <v>90</v>
      </c>
      <c r="P103">
        <v>239311</v>
      </c>
      <c r="Q103" t="s">
        <v>10</v>
      </c>
      <c r="R103" t="s">
        <v>98</v>
      </c>
      <c r="S103" t="s">
        <v>92</v>
      </c>
      <c r="T103">
        <v>90</v>
      </c>
      <c r="U103">
        <v>1</v>
      </c>
      <c r="V103" s="2">
        <v>4.1666666666666664E-2</v>
      </c>
      <c r="W103">
        <v>90</v>
      </c>
      <c r="X103">
        <v>120</v>
      </c>
      <c r="Y103">
        <v>30</v>
      </c>
      <c r="Z103" t="s">
        <v>99</v>
      </c>
      <c r="AA103" t="s">
        <v>93</v>
      </c>
      <c r="AB103" t="s">
        <v>94</v>
      </c>
      <c r="AC103" t="s">
        <v>128</v>
      </c>
      <c r="AD103" t="s">
        <v>96</v>
      </c>
      <c r="AE103">
        <f t="shared" si="6"/>
        <v>4</v>
      </c>
      <c r="AF103" t="str">
        <f t="shared" si="7"/>
        <v>April</v>
      </c>
    </row>
    <row r="104" spans="1:32">
      <c r="A104" s="1">
        <v>45407</v>
      </c>
      <c r="B104" t="s">
        <v>38</v>
      </c>
      <c r="C104" t="s">
        <v>126</v>
      </c>
      <c r="D104" t="s">
        <v>82</v>
      </c>
      <c r="E104" t="s">
        <v>83</v>
      </c>
      <c r="F104" t="s">
        <v>84</v>
      </c>
      <c r="G104" t="s">
        <v>85</v>
      </c>
      <c r="H104" t="s">
        <v>86</v>
      </c>
      <c r="I104" t="s">
        <v>87</v>
      </c>
      <c r="J104" t="s">
        <v>88</v>
      </c>
      <c r="K104" t="s">
        <v>82</v>
      </c>
      <c r="L104" t="s">
        <v>28</v>
      </c>
      <c r="M104" t="s">
        <v>89</v>
      </c>
      <c r="N104" t="s">
        <v>128</v>
      </c>
      <c r="O104" t="s">
        <v>90</v>
      </c>
      <c r="P104">
        <v>240058</v>
      </c>
      <c r="Q104" t="s">
        <v>10</v>
      </c>
      <c r="R104" t="s">
        <v>98</v>
      </c>
      <c r="S104" t="s">
        <v>92</v>
      </c>
      <c r="T104">
        <v>90</v>
      </c>
      <c r="U104">
        <v>4.25</v>
      </c>
      <c r="V104" s="2">
        <v>0.17708333333333334</v>
      </c>
      <c r="W104">
        <v>382.5</v>
      </c>
      <c r="X104">
        <v>510</v>
      </c>
      <c r="Y104">
        <v>127.5</v>
      </c>
      <c r="Z104" t="s">
        <v>99</v>
      </c>
      <c r="AA104" t="s">
        <v>93</v>
      </c>
      <c r="AB104" t="s">
        <v>94</v>
      </c>
      <c r="AC104" t="s">
        <v>128</v>
      </c>
      <c r="AD104" t="s">
        <v>96</v>
      </c>
      <c r="AE104">
        <f t="shared" si="6"/>
        <v>4</v>
      </c>
      <c r="AF104" t="str">
        <f t="shared" si="7"/>
        <v>April</v>
      </c>
    </row>
    <row r="105" spans="1:32">
      <c r="A105" s="1">
        <v>45408</v>
      </c>
      <c r="B105" t="s">
        <v>38</v>
      </c>
      <c r="C105" t="s">
        <v>126</v>
      </c>
      <c r="D105" t="s">
        <v>82</v>
      </c>
      <c r="E105" t="s">
        <v>83</v>
      </c>
      <c r="F105" t="s">
        <v>84</v>
      </c>
      <c r="G105" t="s">
        <v>85</v>
      </c>
      <c r="H105" t="s">
        <v>86</v>
      </c>
      <c r="I105" t="s">
        <v>87</v>
      </c>
      <c r="J105" t="s">
        <v>88</v>
      </c>
      <c r="K105" t="s">
        <v>82</v>
      </c>
      <c r="L105" t="s">
        <v>28</v>
      </c>
      <c r="M105" t="s">
        <v>89</v>
      </c>
      <c r="N105" t="s">
        <v>128</v>
      </c>
      <c r="O105" t="s">
        <v>90</v>
      </c>
      <c r="P105">
        <v>240400</v>
      </c>
      <c r="Q105" t="s">
        <v>10</v>
      </c>
      <c r="R105" t="s">
        <v>98</v>
      </c>
      <c r="S105" t="s">
        <v>92</v>
      </c>
      <c r="T105">
        <v>90</v>
      </c>
      <c r="U105">
        <v>3</v>
      </c>
      <c r="V105" s="2">
        <v>0.125</v>
      </c>
      <c r="W105">
        <v>270</v>
      </c>
      <c r="X105">
        <v>360</v>
      </c>
      <c r="Y105">
        <v>90</v>
      </c>
      <c r="Z105" t="s">
        <v>99</v>
      </c>
      <c r="AA105" t="s">
        <v>93</v>
      </c>
      <c r="AB105" t="s">
        <v>94</v>
      </c>
      <c r="AC105" t="s">
        <v>128</v>
      </c>
      <c r="AD105" t="s">
        <v>96</v>
      </c>
      <c r="AE105">
        <f t="shared" si="6"/>
        <v>4</v>
      </c>
      <c r="AF105" t="str">
        <f t="shared" si="7"/>
        <v>April</v>
      </c>
    </row>
    <row r="106" spans="1:32">
      <c r="A106" s="1">
        <v>45411</v>
      </c>
      <c r="B106" t="s">
        <v>38</v>
      </c>
      <c r="C106" t="s">
        <v>126</v>
      </c>
      <c r="D106" t="s">
        <v>82</v>
      </c>
      <c r="E106" t="s">
        <v>83</v>
      </c>
      <c r="F106" t="s">
        <v>84</v>
      </c>
      <c r="G106" t="s">
        <v>85</v>
      </c>
      <c r="H106" t="s">
        <v>86</v>
      </c>
      <c r="I106" t="s">
        <v>87</v>
      </c>
      <c r="J106" t="s">
        <v>88</v>
      </c>
      <c r="K106" t="s">
        <v>82</v>
      </c>
      <c r="L106" t="s">
        <v>28</v>
      </c>
      <c r="M106" t="s">
        <v>89</v>
      </c>
      <c r="N106" t="s">
        <v>128</v>
      </c>
      <c r="O106" t="s">
        <v>90</v>
      </c>
      <c r="P106">
        <v>241488</v>
      </c>
      <c r="Q106" t="s">
        <v>10</v>
      </c>
      <c r="R106" t="s">
        <v>98</v>
      </c>
      <c r="S106" t="s">
        <v>92</v>
      </c>
      <c r="T106">
        <v>90</v>
      </c>
      <c r="U106">
        <v>0.25</v>
      </c>
      <c r="V106" s="2">
        <v>1.0416666666666666E-2</v>
      </c>
      <c r="W106">
        <v>22.5</v>
      </c>
      <c r="X106">
        <v>30</v>
      </c>
      <c r="Y106">
        <v>7.5</v>
      </c>
      <c r="Z106" t="s">
        <v>99</v>
      </c>
      <c r="AA106" t="s">
        <v>93</v>
      </c>
      <c r="AB106" t="s">
        <v>94</v>
      </c>
      <c r="AC106" t="s">
        <v>128</v>
      </c>
      <c r="AD106" t="s">
        <v>96</v>
      </c>
      <c r="AE106">
        <f t="shared" si="6"/>
        <v>4</v>
      </c>
      <c r="AF106" t="str">
        <f t="shared" si="7"/>
        <v>April</v>
      </c>
    </row>
    <row r="107" spans="1:32">
      <c r="A107" s="1">
        <v>45411</v>
      </c>
      <c r="B107" t="s">
        <v>38</v>
      </c>
      <c r="C107" t="s">
        <v>126</v>
      </c>
      <c r="D107" t="s">
        <v>82</v>
      </c>
      <c r="E107" t="s">
        <v>83</v>
      </c>
      <c r="F107" t="s">
        <v>84</v>
      </c>
      <c r="G107" t="s">
        <v>85</v>
      </c>
      <c r="H107" t="s">
        <v>86</v>
      </c>
      <c r="I107" t="s">
        <v>87</v>
      </c>
      <c r="J107" t="s">
        <v>88</v>
      </c>
      <c r="K107" t="s">
        <v>82</v>
      </c>
      <c r="L107" t="s">
        <v>28</v>
      </c>
      <c r="M107" t="s">
        <v>89</v>
      </c>
      <c r="N107" t="s">
        <v>128</v>
      </c>
      <c r="O107" t="s">
        <v>90</v>
      </c>
      <c r="P107">
        <v>241629</v>
      </c>
      <c r="Q107" t="s">
        <v>11</v>
      </c>
      <c r="R107" t="s">
        <v>91</v>
      </c>
      <c r="S107" t="s">
        <v>92</v>
      </c>
      <c r="T107">
        <v>0</v>
      </c>
      <c r="U107">
        <v>1</v>
      </c>
      <c r="V107" s="2">
        <v>4.1666666666666664E-2</v>
      </c>
      <c r="W107">
        <v>0</v>
      </c>
      <c r="AA107" t="s">
        <v>93</v>
      </c>
      <c r="AB107" t="s">
        <v>94</v>
      </c>
      <c r="AC107" t="s">
        <v>128</v>
      </c>
      <c r="AD107" t="s">
        <v>96</v>
      </c>
      <c r="AE107">
        <f t="shared" si="6"/>
        <v>4</v>
      </c>
      <c r="AF107" t="str">
        <f t="shared" si="7"/>
        <v>April</v>
      </c>
    </row>
    <row r="108" spans="1:32">
      <c r="A108" s="1">
        <v>45412</v>
      </c>
      <c r="B108" t="s">
        <v>38</v>
      </c>
      <c r="C108" t="s">
        <v>126</v>
      </c>
      <c r="D108" t="s">
        <v>82</v>
      </c>
      <c r="E108" t="s">
        <v>83</v>
      </c>
      <c r="F108" t="s">
        <v>84</v>
      </c>
      <c r="G108" t="s">
        <v>85</v>
      </c>
      <c r="H108" t="s">
        <v>86</v>
      </c>
      <c r="I108" t="s">
        <v>87</v>
      </c>
      <c r="J108" t="s">
        <v>88</v>
      </c>
      <c r="K108" t="s">
        <v>82</v>
      </c>
      <c r="L108" t="s">
        <v>28</v>
      </c>
      <c r="M108" t="s">
        <v>89</v>
      </c>
      <c r="N108" t="s">
        <v>128</v>
      </c>
      <c r="O108" t="s">
        <v>90</v>
      </c>
      <c r="P108">
        <v>241915</v>
      </c>
      <c r="Q108" t="s">
        <v>10</v>
      </c>
      <c r="R108" t="s">
        <v>98</v>
      </c>
      <c r="S108" t="s">
        <v>92</v>
      </c>
      <c r="T108">
        <v>90</v>
      </c>
      <c r="U108">
        <v>0.25</v>
      </c>
      <c r="V108" s="2">
        <v>1.0416666666666666E-2</v>
      </c>
      <c r="W108">
        <v>22.5</v>
      </c>
      <c r="X108">
        <v>30</v>
      </c>
      <c r="Y108">
        <v>7.5</v>
      </c>
      <c r="Z108" t="s">
        <v>99</v>
      </c>
      <c r="AA108" t="s">
        <v>93</v>
      </c>
      <c r="AB108" t="s">
        <v>94</v>
      </c>
      <c r="AC108" t="s">
        <v>128</v>
      </c>
      <c r="AD108" t="s">
        <v>96</v>
      </c>
      <c r="AE108">
        <f t="shared" si="6"/>
        <v>4</v>
      </c>
      <c r="AF108" t="str">
        <f t="shared" si="7"/>
        <v>April</v>
      </c>
    </row>
    <row r="109" spans="1:32">
      <c r="A109" s="1">
        <v>45412</v>
      </c>
      <c r="B109" t="s">
        <v>38</v>
      </c>
      <c r="C109" t="s">
        <v>126</v>
      </c>
      <c r="D109" t="s">
        <v>82</v>
      </c>
      <c r="E109" t="s">
        <v>83</v>
      </c>
      <c r="F109" t="s">
        <v>84</v>
      </c>
      <c r="G109" t="s">
        <v>85</v>
      </c>
      <c r="H109" t="s">
        <v>86</v>
      </c>
      <c r="I109" t="s">
        <v>87</v>
      </c>
      <c r="J109" t="s">
        <v>88</v>
      </c>
      <c r="K109" t="s">
        <v>82</v>
      </c>
      <c r="L109" t="s">
        <v>28</v>
      </c>
      <c r="M109" t="s">
        <v>89</v>
      </c>
      <c r="N109" t="s">
        <v>128</v>
      </c>
      <c r="O109" t="s">
        <v>90</v>
      </c>
      <c r="P109">
        <v>241908</v>
      </c>
      <c r="Q109" t="s">
        <v>11</v>
      </c>
      <c r="R109" t="s">
        <v>91</v>
      </c>
      <c r="S109" t="s">
        <v>92</v>
      </c>
      <c r="T109">
        <v>0</v>
      </c>
      <c r="U109">
        <v>1</v>
      </c>
      <c r="V109" s="2">
        <v>4.1666666666666664E-2</v>
      </c>
      <c r="W109">
        <v>0</v>
      </c>
      <c r="AA109" t="s">
        <v>93</v>
      </c>
      <c r="AB109" t="s">
        <v>94</v>
      </c>
      <c r="AC109" t="s">
        <v>128</v>
      </c>
      <c r="AD109" t="s">
        <v>96</v>
      </c>
      <c r="AE109">
        <f t="shared" si="6"/>
        <v>4</v>
      </c>
      <c r="AF109" t="str">
        <f t="shared" si="7"/>
        <v>April</v>
      </c>
    </row>
    <row r="110" spans="1:32">
      <c r="A110" s="1">
        <v>45413</v>
      </c>
      <c r="B110" t="s">
        <v>38</v>
      </c>
      <c r="C110" t="s">
        <v>126</v>
      </c>
      <c r="D110" t="s">
        <v>82</v>
      </c>
      <c r="E110" t="s">
        <v>83</v>
      </c>
      <c r="F110" t="s">
        <v>84</v>
      </c>
      <c r="G110" t="s">
        <v>85</v>
      </c>
      <c r="H110" t="s">
        <v>86</v>
      </c>
      <c r="I110" t="s">
        <v>87</v>
      </c>
      <c r="J110" t="s">
        <v>88</v>
      </c>
      <c r="K110" t="s">
        <v>82</v>
      </c>
      <c r="L110" t="s">
        <v>28</v>
      </c>
      <c r="M110" t="s">
        <v>89</v>
      </c>
      <c r="N110" t="s">
        <v>128</v>
      </c>
      <c r="O110" t="s">
        <v>90</v>
      </c>
      <c r="P110">
        <v>242747</v>
      </c>
      <c r="Q110" t="s">
        <v>10</v>
      </c>
      <c r="R110" t="s">
        <v>98</v>
      </c>
      <c r="S110" t="s">
        <v>92</v>
      </c>
      <c r="T110">
        <v>90</v>
      </c>
      <c r="U110">
        <v>0.25</v>
      </c>
      <c r="V110" s="2">
        <v>1.0416666666666666E-2</v>
      </c>
      <c r="W110">
        <v>22.5</v>
      </c>
      <c r="AA110" t="s">
        <v>93</v>
      </c>
      <c r="AB110" t="s">
        <v>94</v>
      </c>
      <c r="AC110" t="s">
        <v>128</v>
      </c>
      <c r="AD110" t="s">
        <v>96</v>
      </c>
      <c r="AE110">
        <f t="shared" si="6"/>
        <v>5</v>
      </c>
      <c r="AF110" t="str">
        <f t="shared" si="7"/>
        <v>May</v>
      </c>
    </row>
    <row r="111" spans="1:32">
      <c r="A111" s="1">
        <v>45414</v>
      </c>
      <c r="B111" t="s">
        <v>38</v>
      </c>
      <c r="C111" t="s">
        <v>126</v>
      </c>
      <c r="D111" t="s">
        <v>82</v>
      </c>
      <c r="E111" t="s">
        <v>83</v>
      </c>
      <c r="F111" t="s">
        <v>84</v>
      </c>
      <c r="G111" t="s">
        <v>85</v>
      </c>
      <c r="H111" t="s">
        <v>86</v>
      </c>
      <c r="I111" t="s">
        <v>87</v>
      </c>
      <c r="J111" t="s">
        <v>88</v>
      </c>
      <c r="K111" t="s">
        <v>82</v>
      </c>
      <c r="L111" t="s">
        <v>28</v>
      </c>
      <c r="M111" t="s">
        <v>89</v>
      </c>
      <c r="N111" t="s">
        <v>128</v>
      </c>
      <c r="O111" t="s">
        <v>90</v>
      </c>
      <c r="P111">
        <v>242757</v>
      </c>
      <c r="Q111" t="s">
        <v>10</v>
      </c>
      <c r="R111" t="s">
        <v>98</v>
      </c>
      <c r="S111" t="s">
        <v>92</v>
      </c>
      <c r="T111">
        <v>90</v>
      </c>
      <c r="U111">
        <v>2.75</v>
      </c>
      <c r="V111" s="2">
        <v>0.11458333333333333</v>
      </c>
      <c r="W111">
        <v>247.5</v>
      </c>
      <c r="AA111" t="s">
        <v>93</v>
      </c>
      <c r="AB111" t="s">
        <v>94</v>
      </c>
      <c r="AC111" t="s">
        <v>128</v>
      </c>
      <c r="AD111" t="s">
        <v>96</v>
      </c>
      <c r="AE111">
        <f t="shared" si="6"/>
        <v>5</v>
      </c>
      <c r="AF111" t="str">
        <f t="shared" si="7"/>
        <v>May</v>
      </c>
    </row>
    <row r="112" spans="1:32">
      <c r="A112" s="1">
        <v>45415</v>
      </c>
      <c r="B112" t="s">
        <v>38</v>
      </c>
      <c r="C112" t="s">
        <v>126</v>
      </c>
      <c r="D112" t="s">
        <v>82</v>
      </c>
      <c r="E112" t="s">
        <v>83</v>
      </c>
      <c r="F112" t="s">
        <v>84</v>
      </c>
      <c r="G112" t="s">
        <v>85</v>
      </c>
      <c r="H112" t="s">
        <v>86</v>
      </c>
      <c r="I112" t="s">
        <v>87</v>
      </c>
      <c r="J112" t="s">
        <v>88</v>
      </c>
      <c r="K112" t="s">
        <v>82</v>
      </c>
      <c r="L112" t="s">
        <v>28</v>
      </c>
      <c r="M112" t="s">
        <v>89</v>
      </c>
      <c r="N112" t="s">
        <v>128</v>
      </c>
      <c r="O112" t="s">
        <v>90</v>
      </c>
      <c r="P112">
        <v>243230</v>
      </c>
      <c r="Q112" t="s">
        <v>10</v>
      </c>
      <c r="R112" t="s">
        <v>98</v>
      </c>
      <c r="S112" t="s">
        <v>92</v>
      </c>
      <c r="T112">
        <v>90</v>
      </c>
      <c r="U112">
        <v>1.75</v>
      </c>
      <c r="V112" s="2">
        <v>7.2916666666666671E-2</v>
      </c>
      <c r="W112">
        <v>157.5</v>
      </c>
      <c r="AA112" t="s">
        <v>93</v>
      </c>
      <c r="AB112" t="s">
        <v>94</v>
      </c>
      <c r="AC112" t="s">
        <v>128</v>
      </c>
      <c r="AD112" t="s">
        <v>96</v>
      </c>
      <c r="AE112">
        <f t="shared" si="6"/>
        <v>5</v>
      </c>
      <c r="AF112" t="str">
        <f t="shared" si="7"/>
        <v>May</v>
      </c>
    </row>
    <row r="113" spans="1:32">
      <c r="A113" s="1">
        <v>45379</v>
      </c>
      <c r="B113" t="s">
        <v>46</v>
      </c>
      <c r="C113" t="s">
        <v>126</v>
      </c>
      <c r="D113" t="s">
        <v>82</v>
      </c>
      <c r="E113" t="s">
        <v>83</v>
      </c>
      <c r="F113" t="s">
        <v>84</v>
      </c>
      <c r="G113" t="s">
        <v>85</v>
      </c>
      <c r="H113" t="s">
        <v>86</v>
      </c>
      <c r="I113" t="s">
        <v>87</v>
      </c>
      <c r="J113" t="s">
        <v>88</v>
      </c>
      <c r="K113" t="s">
        <v>82</v>
      </c>
      <c r="L113" t="s">
        <v>28</v>
      </c>
      <c r="M113" t="s">
        <v>89</v>
      </c>
      <c r="N113" t="s">
        <v>128</v>
      </c>
      <c r="O113" t="s">
        <v>90</v>
      </c>
      <c r="P113">
        <v>230109</v>
      </c>
      <c r="Q113" t="s">
        <v>11</v>
      </c>
      <c r="R113" t="s">
        <v>91</v>
      </c>
      <c r="S113" t="s">
        <v>92</v>
      </c>
      <c r="T113">
        <v>0</v>
      </c>
      <c r="U113">
        <v>3.75</v>
      </c>
      <c r="V113" s="2">
        <v>0.15625</v>
      </c>
      <c r="W113">
        <v>0</v>
      </c>
      <c r="AA113" t="s">
        <v>93</v>
      </c>
      <c r="AB113" t="s">
        <v>94</v>
      </c>
      <c r="AC113" t="s">
        <v>148</v>
      </c>
      <c r="AD113" t="s">
        <v>96</v>
      </c>
      <c r="AE113">
        <f t="shared" ref="AE113:AE153" si="8">MONTH(A113)</f>
        <v>3</v>
      </c>
      <c r="AF113" t="str">
        <f t="shared" ref="AF113:AF153" si="9">IF(AE113=1,"January",IF(AE113=2,"February",IF(AE113=3,"March",IF(AE113=4,"April",IF(AE113=5,"May")))))</f>
        <v>March</v>
      </c>
    </row>
    <row r="114" spans="1:32">
      <c r="A114" s="1">
        <v>45384</v>
      </c>
      <c r="B114" t="s">
        <v>46</v>
      </c>
      <c r="C114" t="s">
        <v>126</v>
      </c>
      <c r="D114" t="s">
        <v>82</v>
      </c>
      <c r="E114" t="s">
        <v>83</v>
      </c>
      <c r="F114" t="s">
        <v>84</v>
      </c>
      <c r="G114" t="s">
        <v>85</v>
      </c>
      <c r="H114" t="s">
        <v>86</v>
      </c>
      <c r="I114" t="s">
        <v>87</v>
      </c>
      <c r="J114" t="s">
        <v>88</v>
      </c>
      <c r="K114" t="s">
        <v>82</v>
      </c>
      <c r="L114" t="s">
        <v>28</v>
      </c>
      <c r="M114" t="s">
        <v>89</v>
      </c>
      <c r="N114" t="s">
        <v>128</v>
      </c>
      <c r="O114" t="s">
        <v>90</v>
      </c>
      <c r="P114">
        <v>230092</v>
      </c>
      <c r="Q114" t="s">
        <v>11</v>
      </c>
      <c r="R114" t="s">
        <v>91</v>
      </c>
      <c r="S114" t="s">
        <v>92</v>
      </c>
      <c r="T114">
        <v>0</v>
      </c>
      <c r="U114">
        <v>2.75</v>
      </c>
      <c r="V114" s="2">
        <v>0.11458333333333333</v>
      </c>
      <c r="W114">
        <v>0</v>
      </c>
      <c r="AA114" t="s">
        <v>93</v>
      </c>
      <c r="AB114" t="s">
        <v>94</v>
      </c>
      <c r="AC114" t="s">
        <v>149</v>
      </c>
      <c r="AD114" t="s">
        <v>96</v>
      </c>
      <c r="AE114">
        <f t="shared" si="8"/>
        <v>4</v>
      </c>
      <c r="AF114" t="str">
        <f t="shared" si="9"/>
        <v>April</v>
      </c>
    </row>
    <row r="115" spans="1:32">
      <c r="A115" s="1">
        <v>45385</v>
      </c>
      <c r="B115" t="s">
        <v>46</v>
      </c>
      <c r="C115" t="s">
        <v>126</v>
      </c>
      <c r="D115" t="s">
        <v>82</v>
      </c>
      <c r="E115" t="s">
        <v>83</v>
      </c>
      <c r="F115" t="s">
        <v>84</v>
      </c>
      <c r="G115" t="s">
        <v>85</v>
      </c>
      <c r="H115" t="s">
        <v>86</v>
      </c>
      <c r="I115" t="s">
        <v>87</v>
      </c>
      <c r="J115" t="s">
        <v>88</v>
      </c>
      <c r="K115" t="s">
        <v>82</v>
      </c>
      <c r="L115" t="s">
        <v>28</v>
      </c>
      <c r="M115" t="s">
        <v>89</v>
      </c>
      <c r="N115" t="s">
        <v>128</v>
      </c>
      <c r="O115" t="s">
        <v>90</v>
      </c>
      <c r="P115">
        <v>230731</v>
      </c>
      <c r="Q115" t="s">
        <v>11</v>
      </c>
      <c r="R115" t="s">
        <v>91</v>
      </c>
      <c r="S115" t="s">
        <v>92</v>
      </c>
      <c r="T115">
        <v>0</v>
      </c>
      <c r="U115">
        <v>3</v>
      </c>
      <c r="V115" s="2">
        <v>0.125</v>
      </c>
      <c r="W115">
        <v>0</v>
      </c>
      <c r="AA115" t="s">
        <v>93</v>
      </c>
      <c r="AB115" t="s">
        <v>94</v>
      </c>
      <c r="AC115" t="s">
        <v>150</v>
      </c>
      <c r="AD115" t="s">
        <v>96</v>
      </c>
      <c r="AE115">
        <f t="shared" si="8"/>
        <v>4</v>
      </c>
      <c r="AF115" t="str">
        <f t="shared" si="9"/>
        <v>April</v>
      </c>
    </row>
    <row r="116" spans="1:32">
      <c r="A116" s="1">
        <v>45390</v>
      </c>
      <c r="B116" t="s">
        <v>46</v>
      </c>
      <c r="C116" t="s">
        <v>126</v>
      </c>
      <c r="D116" t="s">
        <v>82</v>
      </c>
      <c r="E116" t="s">
        <v>83</v>
      </c>
      <c r="F116" t="s">
        <v>84</v>
      </c>
      <c r="G116" t="s">
        <v>85</v>
      </c>
      <c r="H116" t="s">
        <v>86</v>
      </c>
      <c r="I116" t="s">
        <v>87</v>
      </c>
      <c r="J116" t="s">
        <v>88</v>
      </c>
      <c r="K116" t="s">
        <v>82</v>
      </c>
      <c r="L116" t="s">
        <v>28</v>
      </c>
      <c r="M116" t="s">
        <v>89</v>
      </c>
      <c r="N116" t="s">
        <v>128</v>
      </c>
      <c r="O116" t="s">
        <v>90</v>
      </c>
      <c r="P116">
        <v>232585</v>
      </c>
      <c r="Q116" t="s">
        <v>11</v>
      </c>
      <c r="R116" t="s">
        <v>91</v>
      </c>
      <c r="S116" t="s">
        <v>92</v>
      </c>
      <c r="T116">
        <v>0</v>
      </c>
      <c r="U116">
        <v>2.75</v>
      </c>
      <c r="V116" s="2">
        <v>0.11458333333333333</v>
      </c>
      <c r="W116">
        <v>0</v>
      </c>
      <c r="AA116" t="s">
        <v>93</v>
      </c>
      <c r="AB116" t="s">
        <v>94</v>
      </c>
      <c r="AC116" t="s">
        <v>128</v>
      </c>
      <c r="AD116" t="s">
        <v>96</v>
      </c>
      <c r="AE116">
        <f t="shared" si="8"/>
        <v>4</v>
      </c>
      <c r="AF116" t="str">
        <f t="shared" si="9"/>
        <v>April</v>
      </c>
    </row>
    <row r="117" spans="1:32">
      <c r="A117" s="1">
        <v>45357</v>
      </c>
      <c r="B117" t="s">
        <v>47</v>
      </c>
      <c r="C117" t="s">
        <v>126</v>
      </c>
      <c r="D117" t="s">
        <v>82</v>
      </c>
      <c r="E117" t="s">
        <v>83</v>
      </c>
      <c r="F117" t="s">
        <v>84</v>
      </c>
      <c r="G117" t="s">
        <v>85</v>
      </c>
      <c r="H117" t="s">
        <v>86</v>
      </c>
      <c r="I117" t="s">
        <v>87</v>
      </c>
      <c r="J117" t="s">
        <v>88</v>
      </c>
      <c r="K117" t="s">
        <v>82</v>
      </c>
      <c r="L117" t="s">
        <v>28</v>
      </c>
      <c r="M117" t="s">
        <v>89</v>
      </c>
      <c r="N117" t="s">
        <v>128</v>
      </c>
      <c r="O117" t="s">
        <v>90</v>
      </c>
      <c r="P117">
        <v>220375</v>
      </c>
      <c r="Q117" t="s">
        <v>11</v>
      </c>
      <c r="R117" t="s">
        <v>91</v>
      </c>
      <c r="S117" t="s">
        <v>92</v>
      </c>
      <c r="T117">
        <v>0</v>
      </c>
      <c r="U117">
        <v>1.5</v>
      </c>
      <c r="V117" s="2">
        <v>6.25E-2</v>
      </c>
      <c r="W117">
        <v>0</v>
      </c>
      <c r="AA117" t="s">
        <v>93</v>
      </c>
      <c r="AB117" t="s">
        <v>94</v>
      </c>
      <c r="AC117" t="s">
        <v>151</v>
      </c>
      <c r="AD117" t="s">
        <v>96</v>
      </c>
      <c r="AE117">
        <f t="shared" si="8"/>
        <v>3</v>
      </c>
      <c r="AF117" t="str">
        <f t="shared" si="9"/>
        <v>March</v>
      </c>
    </row>
    <row r="118" spans="1:32">
      <c r="A118" s="1">
        <v>45362</v>
      </c>
      <c r="B118" t="s">
        <v>47</v>
      </c>
      <c r="C118" t="s">
        <v>126</v>
      </c>
      <c r="D118" t="s">
        <v>82</v>
      </c>
      <c r="E118" t="s">
        <v>83</v>
      </c>
      <c r="F118" t="s">
        <v>84</v>
      </c>
      <c r="G118" t="s">
        <v>85</v>
      </c>
      <c r="H118" t="s">
        <v>86</v>
      </c>
      <c r="I118" t="s">
        <v>87</v>
      </c>
      <c r="J118" t="s">
        <v>88</v>
      </c>
      <c r="K118" t="s">
        <v>82</v>
      </c>
      <c r="L118" t="s">
        <v>28</v>
      </c>
      <c r="M118" t="s">
        <v>89</v>
      </c>
      <c r="N118" t="s">
        <v>128</v>
      </c>
      <c r="O118" t="s">
        <v>90</v>
      </c>
      <c r="P118">
        <v>222297</v>
      </c>
      <c r="Q118" t="s">
        <v>11</v>
      </c>
      <c r="R118" t="s">
        <v>91</v>
      </c>
      <c r="S118" t="s">
        <v>92</v>
      </c>
      <c r="T118">
        <v>0</v>
      </c>
      <c r="U118">
        <v>1</v>
      </c>
      <c r="V118" s="2">
        <v>4.1666666666666664E-2</v>
      </c>
      <c r="W118">
        <v>0</v>
      </c>
      <c r="AA118" t="s">
        <v>93</v>
      </c>
      <c r="AB118" t="s">
        <v>94</v>
      </c>
      <c r="AC118" t="s">
        <v>152</v>
      </c>
      <c r="AD118" t="s">
        <v>96</v>
      </c>
      <c r="AE118">
        <f t="shared" si="8"/>
        <v>3</v>
      </c>
      <c r="AF118" t="str">
        <f t="shared" si="9"/>
        <v>March</v>
      </c>
    </row>
    <row r="119" spans="1:32">
      <c r="A119" s="1">
        <v>45364</v>
      </c>
      <c r="B119" t="s">
        <v>47</v>
      </c>
      <c r="C119" t="s">
        <v>126</v>
      </c>
      <c r="D119" t="s">
        <v>82</v>
      </c>
      <c r="E119" t="s">
        <v>83</v>
      </c>
      <c r="F119" t="s">
        <v>84</v>
      </c>
      <c r="G119" t="s">
        <v>85</v>
      </c>
      <c r="H119" t="s">
        <v>86</v>
      </c>
      <c r="I119" t="s">
        <v>87</v>
      </c>
      <c r="J119" t="s">
        <v>88</v>
      </c>
      <c r="K119" t="s">
        <v>82</v>
      </c>
      <c r="L119" t="s">
        <v>28</v>
      </c>
      <c r="M119" t="s">
        <v>89</v>
      </c>
      <c r="N119" t="s">
        <v>128</v>
      </c>
      <c r="O119" t="s">
        <v>90</v>
      </c>
      <c r="P119">
        <v>223525</v>
      </c>
      <c r="Q119" t="s">
        <v>11</v>
      </c>
      <c r="R119" t="s">
        <v>91</v>
      </c>
      <c r="S119" t="s">
        <v>92</v>
      </c>
      <c r="T119">
        <v>0</v>
      </c>
      <c r="U119">
        <v>1</v>
      </c>
      <c r="V119" s="2">
        <v>4.1666666666666664E-2</v>
      </c>
      <c r="W119">
        <v>0</v>
      </c>
      <c r="AA119" t="s">
        <v>93</v>
      </c>
      <c r="AB119" t="s">
        <v>94</v>
      </c>
      <c r="AC119" t="s">
        <v>128</v>
      </c>
      <c r="AD119" t="s">
        <v>96</v>
      </c>
      <c r="AE119">
        <f t="shared" si="8"/>
        <v>3</v>
      </c>
      <c r="AF119" t="str">
        <f t="shared" si="9"/>
        <v>March</v>
      </c>
    </row>
    <row r="120" spans="1:32">
      <c r="A120" s="1">
        <v>45356</v>
      </c>
      <c r="B120" t="s">
        <v>18</v>
      </c>
      <c r="C120" t="s">
        <v>126</v>
      </c>
      <c r="D120" t="s">
        <v>82</v>
      </c>
      <c r="E120" t="s">
        <v>127</v>
      </c>
      <c r="F120" t="s">
        <v>84</v>
      </c>
      <c r="G120" t="s">
        <v>85</v>
      </c>
      <c r="H120" t="s">
        <v>86</v>
      </c>
      <c r="I120" t="s">
        <v>87</v>
      </c>
      <c r="J120" t="s">
        <v>88</v>
      </c>
      <c r="K120" t="s">
        <v>82</v>
      </c>
      <c r="L120" t="s">
        <v>28</v>
      </c>
      <c r="M120" t="s">
        <v>89</v>
      </c>
      <c r="N120" t="s">
        <v>153</v>
      </c>
      <c r="O120" t="s">
        <v>90</v>
      </c>
      <c r="P120">
        <v>220379</v>
      </c>
      <c r="Q120" t="s">
        <v>11</v>
      </c>
      <c r="R120" t="s">
        <v>91</v>
      </c>
      <c r="S120" t="s">
        <v>92</v>
      </c>
      <c r="T120">
        <v>0</v>
      </c>
      <c r="U120">
        <v>0.25</v>
      </c>
      <c r="V120" s="2">
        <v>1.0416666666666666E-2</v>
      </c>
      <c r="W120">
        <v>0</v>
      </c>
      <c r="AA120" t="s">
        <v>93</v>
      </c>
      <c r="AB120" t="s">
        <v>94</v>
      </c>
      <c r="AC120" t="s">
        <v>128</v>
      </c>
      <c r="AD120" t="s">
        <v>96</v>
      </c>
      <c r="AE120">
        <f t="shared" si="8"/>
        <v>3</v>
      </c>
      <c r="AF120" t="str">
        <f t="shared" si="9"/>
        <v>March</v>
      </c>
    </row>
    <row r="121" spans="1:32">
      <c r="A121" s="1">
        <v>45357</v>
      </c>
      <c r="B121" t="s">
        <v>18</v>
      </c>
      <c r="C121" t="s">
        <v>126</v>
      </c>
      <c r="D121" t="s">
        <v>82</v>
      </c>
      <c r="E121" t="s">
        <v>127</v>
      </c>
      <c r="F121" t="s">
        <v>84</v>
      </c>
      <c r="G121" t="s">
        <v>85</v>
      </c>
      <c r="H121" t="s">
        <v>86</v>
      </c>
      <c r="I121" t="s">
        <v>87</v>
      </c>
      <c r="J121" t="s">
        <v>88</v>
      </c>
      <c r="K121" t="s">
        <v>82</v>
      </c>
      <c r="L121" t="s">
        <v>28</v>
      </c>
      <c r="M121" t="s">
        <v>89</v>
      </c>
      <c r="N121" t="s">
        <v>153</v>
      </c>
      <c r="O121" t="s">
        <v>90</v>
      </c>
      <c r="P121">
        <v>220377</v>
      </c>
      <c r="Q121" t="s">
        <v>10</v>
      </c>
      <c r="R121" t="s">
        <v>98</v>
      </c>
      <c r="S121" t="s">
        <v>92</v>
      </c>
      <c r="T121">
        <v>90</v>
      </c>
      <c r="U121">
        <v>1.75</v>
      </c>
      <c r="V121" s="2">
        <v>7.2916666666666671E-2</v>
      </c>
      <c r="W121">
        <v>157.5</v>
      </c>
      <c r="X121">
        <v>210</v>
      </c>
      <c r="Y121">
        <v>52.5</v>
      </c>
      <c r="Z121" t="s">
        <v>154</v>
      </c>
      <c r="AA121" t="s">
        <v>93</v>
      </c>
      <c r="AB121" t="s">
        <v>94</v>
      </c>
      <c r="AC121" t="s">
        <v>128</v>
      </c>
      <c r="AD121" t="s">
        <v>96</v>
      </c>
      <c r="AE121">
        <f t="shared" si="8"/>
        <v>3</v>
      </c>
      <c r="AF121" t="str">
        <f t="shared" si="9"/>
        <v>March</v>
      </c>
    </row>
    <row r="122" spans="1:32">
      <c r="A122" s="1">
        <v>45362</v>
      </c>
      <c r="B122" t="s">
        <v>18</v>
      </c>
      <c r="C122" t="s">
        <v>126</v>
      </c>
      <c r="D122" t="s">
        <v>82</v>
      </c>
      <c r="E122" t="s">
        <v>127</v>
      </c>
      <c r="F122" t="s">
        <v>84</v>
      </c>
      <c r="G122" t="s">
        <v>85</v>
      </c>
      <c r="H122" t="s">
        <v>86</v>
      </c>
      <c r="I122" t="s">
        <v>87</v>
      </c>
      <c r="J122" t="s">
        <v>88</v>
      </c>
      <c r="K122" t="s">
        <v>82</v>
      </c>
      <c r="L122" t="s">
        <v>28</v>
      </c>
      <c r="M122" t="s">
        <v>89</v>
      </c>
      <c r="N122" t="s">
        <v>153</v>
      </c>
      <c r="O122" t="s">
        <v>90</v>
      </c>
      <c r="P122">
        <v>222480</v>
      </c>
      <c r="Q122" t="s">
        <v>10</v>
      </c>
      <c r="R122" t="s">
        <v>98</v>
      </c>
      <c r="S122" t="s">
        <v>92</v>
      </c>
      <c r="T122">
        <v>90</v>
      </c>
      <c r="U122">
        <v>1</v>
      </c>
      <c r="V122" s="2">
        <v>4.1666666666666664E-2</v>
      </c>
      <c r="W122">
        <v>90</v>
      </c>
      <c r="X122">
        <v>120</v>
      </c>
      <c r="Y122">
        <v>30</v>
      </c>
      <c r="Z122" t="s">
        <v>154</v>
      </c>
      <c r="AA122" t="s">
        <v>93</v>
      </c>
      <c r="AB122" t="s">
        <v>94</v>
      </c>
      <c r="AC122" t="s">
        <v>128</v>
      </c>
      <c r="AD122" t="s">
        <v>96</v>
      </c>
      <c r="AE122">
        <f t="shared" si="8"/>
        <v>3</v>
      </c>
      <c r="AF122" t="str">
        <f t="shared" si="9"/>
        <v>March</v>
      </c>
    </row>
    <row r="123" spans="1:32">
      <c r="A123" s="1">
        <v>45364</v>
      </c>
      <c r="B123" t="s">
        <v>18</v>
      </c>
      <c r="C123" t="s">
        <v>126</v>
      </c>
      <c r="D123" t="s">
        <v>82</v>
      </c>
      <c r="E123" t="s">
        <v>127</v>
      </c>
      <c r="F123" t="s">
        <v>84</v>
      </c>
      <c r="G123" t="s">
        <v>85</v>
      </c>
      <c r="H123" t="s">
        <v>86</v>
      </c>
      <c r="I123" t="s">
        <v>87</v>
      </c>
      <c r="J123" t="s">
        <v>88</v>
      </c>
      <c r="K123" t="s">
        <v>82</v>
      </c>
      <c r="L123" t="s">
        <v>28</v>
      </c>
      <c r="M123" t="s">
        <v>89</v>
      </c>
      <c r="N123" t="s">
        <v>153</v>
      </c>
      <c r="O123" t="s">
        <v>90</v>
      </c>
      <c r="P123">
        <v>223599</v>
      </c>
      <c r="Q123" t="s">
        <v>10</v>
      </c>
      <c r="R123" t="s">
        <v>98</v>
      </c>
      <c r="S123" t="s">
        <v>92</v>
      </c>
      <c r="T123">
        <v>90</v>
      </c>
      <c r="U123">
        <v>1</v>
      </c>
      <c r="V123" s="2">
        <v>4.1666666666666664E-2</v>
      </c>
      <c r="W123">
        <v>90</v>
      </c>
      <c r="X123">
        <v>120</v>
      </c>
      <c r="Y123">
        <v>30</v>
      </c>
      <c r="Z123" t="s">
        <v>154</v>
      </c>
      <c r="AA123" t="s">
        <v>93</v>
      </c>
      <c r="AB123" t="s">
        <v>94</v>
      </c>
      <c r="AC123" t="s">
        <v>128</v>
      </c>
      <c r="AD123" t="s">
        <v>96</v>
      </c>
      <c r="AE123">
        <f t="shared" si="8"/>
        <v>3</v>
      </c>
      <c r="AF123" t="str">
        <f t="shared" si="9"/>
        <v>March</v>
      </c>
    </row>
    <row r="124" spans="1:32">
      <c r="A124" s="1">
        <v>45376</v>
      </c>
      <c r="B124" t="s">
        <v>18</v>
      </c>
      <c r="C124" t="s">
        <v>126</v>
      </c>
      <c r="D124" t="s">
        <v>82</v>
      </c>
      <c r="E124" t="s">
        <v>127</v>
      </c>
      <c r="F124" t="s">
        <v>84</v>
      </c>
      <c r="G124" t="s">
        <v>85</v>
      </c>
      <c r="H124" t="s">
        <v>86</v>
      </c>
      <c r="I124" t="s">
        <v>87</v>
      </c>
      <c r="J124" t="s">
        <v>88</v>
      </c>
      <c r="K124" t="s">
        <v>82</v>
      </c>
      <c r="L124" t="s">
        <v>28</v>
      </c>
      <c r="M124" t="s">
        <v>89</v>
      </c>
      <c r="N124" t="s">
        <v>153</v>
      </c>
      <c r="O124" t="s">
        <v>90</v>
      </c>
      <c r="P124">
        <v>227600</v>
      </c>
      <c r="Q124" t="s">
        <v>10</v>
      </c>
      <c r="R124" t="s">
        <v>98</v>
      </c>
      <c r="S124" t="s">
        <v>92</v>
      </c>
      <c r="T124">
        <v>90</v>
      </c>
      <c r="U124">
        <v>0.25</v>
      </c>
      <c r="V124" s="2">
        <v>1.0416666666666666E-2</v>
      </c>
      <c r="W124">
        <v>22.5</v>
      </c>
      <c r="X124">
        <v>30</v>
      </c>
      <c r="Y124">
        <v>7.5</v>
      </c>
      <c r="Z124" t="s">
        <v>154</v>
      </c>
      <c r="AA124" t="s">
        <v>93</v>
      </c>
      <c r="AB124" t="s">
        <v>94</v>
      </c>
      <c r="AC124" t="s">
        <v>128</v>
      </c>
      <c r="AD124" t="s">
        <v>96</v>
      </c>
      <c r="AE124">
        <f t="shared" si="8"/>
        <v>3</v>
      </c>
      <c r="AF124" t="str">
        <f t="shared" si="9"/>
        <v>March</v>
      </c>
    </row>
    <row r="125" spans="1:32">
      <c r="A125" s="1">
        <v>45378</v>
      </c>
      <c r="B125" t="s">
        <v>18</v>
      </c>
      <c r="C125" t="s">
        <v>126</v>
      </c>
      <c r="D125" t="s">
        <v>82</v>
      </c>
      <c r="E125" t="s">
        <v>127</v>
      </c>
      <c r="F125" t="s">
        <v>84</v>
      </c>
      <c r="G125" t="s">
        <v>85</v>
      </c>
      <c r="H125" t="s">
        <v>86</v>
      </c>
      <c r="I125" t="s">
        <v>87</v>
      </c>
      <c r="J125" t="s">
        <v>88</v>
      </c>
      <c r="K125" t="s">
        <v>82</v>
      </c>
      <c r="L125" t="s">
        <v>28</v>
      </c>
      <c r="M125" t="s">
        <v>89</v>
      </c>
      <c r="N125" t="s">
        <v>153</v>
      </c>
      <c r="O125" t="s">
        <v>90</v>
      </c>
      <c r="P125">
        <v>228789</v>
      </c>
      <c r="Q125" t="s">
        <v>10</v>
      </c>
      <c r="R125" t="s">
        <v>98</v>
      </c>
      <c r="S125" t="s">
        <v>92</v>
      </c>
      <c r="T125">
        <v>90</v>
      </c>
      <c r="U125">
        <v>4.5</v>
      </c>
      <c r="V125" s="2">
        <v>0.1875</v>
      </c>
      <c r="W125">
        <v>405</v>
      </c>
      <c r="X125">
        <v>540</v>
      </c>
      <c r="Y125">
        <v>135</v>
      </c>
      <c r="Z125" t="s">
        <v>154</v>
      </c>
      <c r="AA125" t="s">
        <v>93</v>
      </c>
      <c r="AB125" t="s">
        <v>94</v>
      </c>
      <c r="AC125" t="s">
        <v>155</v>
      </c>
      <c r="AD125" t="s">
        <v>96</v>
      </c>
      <c r="AE125">
        <f t="shared" si="8"/>
        <v>3</v>
      </c>
      <c r="AF125" t="str">
        <f t="shared" si="9"/>
        <v>March</v>
      </c>
    </row>
    <row r="126" spans="1:32">
      <c r="A126" s="1">
        <v>45379</v>
      </c>
      <c r="B126" t="s">
        <v>18</v>
      </c>
      <c r="C126" t="s">
        <v>126</v>
      </c>
      <c r="D126" t="s">
        <v>82</v>
      </c>
      <c r="E126" t="s">
        <v>127</v>
      </c>
      <c r="F126" t="s">
        <v>84</v>
      </c>
      <c r="G126" t="s">
        <v>85</v>
      </c>
      <c r="H126" t="s">
        <v>86</v>
      </c>
      <c r="I126" t="s">
        <v>87</v>
      </c>
      <c r="J126" t="s">
        <v>88</v>
      </c>
      <c r="K126" t="s">
        <v>82</v>
      </c>
      <c r="L126" t="s">
        <v>28</v>
      </c>
      <c r="M126" t="s">
        <v>89</v>
      </c>
      <c r="N126" t="s">
        <v>153</v>
      </c>
      <c r="O126" t="s">
        <v>90</v>
      </c>
      <c r="P126">
        <v>229677</v>
      </c>
      <c r="Q126" t="s">
        <v>10</v>
      </c>
      <c r="R126" t="s">
        <v>98</v>
      </c>
      <c r="S126" t="s">
        <v>92</v>
      </c>
      <c r="T126">
        <v>90</v>
      </c>
      <c r="U126">
        <v>2.5</v>
      </c>
      <c r="V126" s="2">
        <v>0.10416666666666667</v>
      </c>
      <c r="W126">
        <v>225</v>
      </c>
      <c r="X126">
        <v>300</v>
      </c>
      <c r="Y126">
        <v>75</v>
      </c>
      <c r="Z126" t="s">
        <v>154</v>
      </c>
      <c r="AA126" t="s">
        <v>93</v>
      </c>
      <c r="AB126" t="s">
        <v>94</v>
      </c>
      <c r="AC126" t="s">
        <v>128</v>
      </c>
      <c r="AD126" t="s">
        <v>96</v>
      </c>
      <c r="AE126">
        <f t="shared" si="8"/>
        <v>3</v>
      </c>
      <c r="AF126" t="str">
        <f t="shared" si="9"/>
        <v>March</v>
      </c>
    </row>
    <row r="127" spans="1:32">
      <c r="A127" s="1">
        <v>45383</v>
      </c>
      <c r="B127" t="s">
        <v>18</v>
      </c>
      <c r="C127" t="s">
        <v>126</v>
      </c>
      <c r="D127" t="s">
        <v>82</v>
      </c>
      <c r="E127" t="s">
        <v>127</v>
      </c>
      <c r="F127" t="s">
        <v>84</v>
      </c>
      <c r="G127" t="s">
        <v>85</v>
      </c>
      <c r="H127" t="s">
        <v>86</v>
      </c>
      <c r="I127" t="s">
        <v>87</v>
      </c>
      <c r="J127" t="s">
        <v>88</v>
      </c>
      <c r="K127" t="s">
        <v>82</v>
      </c>
      <c r="L127" t="s">
        <v>28</v>
      </c>
      <c r="M127" t="s">
        <v>89</v>
      </c>
      <c r="N127" t="s">
        <v>153</v>
      </c>
      <c r="O127" t="s">
        <v>90</v>
      </c>
      <c r="P127">
        <v>230320</v>
      </c>
      <c r="Q127" t="s">
        <v>10</v>
      </c>
      <c r="R127" t="s">
        <v>98</v>
      </c>
      <c r="S127" t="s">
        <v>92</v>
      </c>
      <c r="T127">
        <v>90</v>
      </c>
      <c r="U127">
        <v>5</v>
      </c>
      <c r="V127" s="2">
        <v>0.20833333333333334</v>
      </c>
      <c r="W127">
        <v>450</v>
      </c>
      <c r="X127">
        <v>600</v>
      </c>
      <c r="Y127">
        <v>150</v>
      </c>
      <c r="Z127" t="s">
        <v>99</v>
      </c>
      <c r="AA127" t="s">
        <v>93</v>
      </c>
      <c r="AB127" t="s">
        <v>94</v>
      </c>
      <c r="AC127" t="s">
        <v>128</v>
      </c>
      <c r="AD127" t="s">
        <v>96</v>
      </c>
      <c r="AE127">
        <f t="shared" si="8"/>
        <v>4</v>
      </c>
      <c r="AF127" t="str">
        <f t="shared" si="9"/>
        <v>April</v>
      </c>
    </row>
    <row r="128" spans="1:32">
      <c r="A128" s="1">
        <v>45384</v>
      </c>
      <c r="B128" t="s">
        <v>18</v>
      </c>
      <c r="C128" t="s">
        <v>126</v>
      </c>
      <c r="D128" t="s">
        <v>82</v>
      </c>
      <c r="E128" t="s">
        <v>127</v>
      </c>
      <c r="F128" t="s">
        <v>84</v>
      </c>
      <c r="G128" t="s">
        <v>85</v>
      </c>
      <c r="H128" t="s">
        <v>86</v>
      </c>
      <c r="I128" t="s">
        <v>87</v>
      </c>
      <c r="J128" t="s">
        <v>88</v>
      </c>
      <c r="K128" t="s">
        <v>82</v>
      </c>
      <c r="L128" t="s">
        <v>28</v>
      </c>
      <c r="M128" t="s">
        <v>89</v>
      </c>
      <c r="N128" t="s">
        <v>153</v>
      </c>
      <c r="O128" t="s">
        <v>90</v>
      </c>
      <c r="P128">
        <v>230323</v>
      </c>
      <c r="Q128" t="s">
        <v>10</v>
      </c>
      <c r="R128" t="s">
        <v>98</v>
      </c>
      <c r="S128" t="s">
        <v>92</v>
      </c>
      <c r="T128">
        <v>90</v>
      </c>
      <c r="U128">
        <v>3.75</v>
      </c>
      <c r="V128" s="2">
        <v>0.15625</v>
      </c>
      <c r="W128">
        <v>337.5</v>
      </c>
      <c r="X128">
        <v>450</v>
      </c>
      <c r="Y128">
        <v>112.5</v>
      </c>
      <c r="Z128" t="s">
        <v>99</v>
      </c>
      <c r="AA128" t="s">
        <v>93</v>
      </c>
      <c r="AB128" t="s">
        <v>94</v>
      </c>
      <c r="AC128" t="s">
        <v>128</v>
      </c>
      <c r="AD128" t="s">
        <v>96</v>
      </c>
      <c r="AE128">
        <f t="shared" si="8"/>
        <v>4</v>
      </c>
      <c r="AF128" t="str">
        <f t="shared" si="9"/>
        <v>April</v>
      </c>
    </row>
    <row r="129" spans="1:32">
      <c r="A129" s="1">
        <v>45385</v>
      </c>
      <c r="B129" t="s">
        <v>18</v>
      </c>
      <c r="C129" t="s">
        <v>126</v>
      </c>
      <c r="D129" t="s">
        <v>82</v>
      </c>
      <c r="E129" t="s">
        <v>127</v>
      </c>
      <c r="F129" t="s">
        <v>84</v>
      </c>
      <c r="G129" t="s">
        <v>85</v>
      </c>
      <c r="H129" t="s">
        <v>86</v>
      </c>
      <c r="I129" t="s">
        <v>87</v>
      </c>
      <c r="J129" t="s">
        <v>88</v>
      </c>
      <c r="K129" t="s">
        <v>82</v>
      </c>
      <c r="L129" t="s">
        <v>28</v>
      </c>
      <c r="M129" t="s">
        <v>89</v>
      </c>
      <c r="N129" t="s">
        <v>153</v>
      </c>
      <c r="O129" t="s">
        <v>90</v>
      </c>
      <c r="P129">
        <v>230327</v>
      </c>
      <c r="Q129" t="s">
        <v>10</v>
      </c>
      <c r="R129" t="s">
        <v>98</v>
      </c>
      <c r="S129" t="s">
        <v>92</v>
      </c>
      <c r="T129">
        <v>90</v>
      </c>
      <c r="U129">
        <v>3.5</v>
      </c>
      <c r="V129" s="2">
        <v>0.14583333333333334</v>
      </c>
      <c r="W129">
        <v>315</v>
      </c>
      <c r="X129">
        <v>420</v>
      </c>
      <c r="Y129">
        <v>105</v>
      </c>
      <c r="Z129" t="s">
        <v>99</v>
      </c>
      <c r="AA129" t="s">
        <v>93</v>
      </c>
      <c r="AB129" t="s">
        <v>94</v>
      </c>
      <c r="AC129" t="s">
        <v>128</v>
      </c>
      <c r="AD129" t="s">
        <v>96</v>
      </c>
      <c r="AE129">
        <f t="shared" si="8"/>
        <v>4</v>
      </c>
      <c r="AF129" t="str">
        <f t="shared" si="9"/>
        <v>April</v>
      </c>
    </row>
    <row r="130" spans="1:32">
      <c r="A130" s="1">
        <v>45386</v>
      </c>
      <c r="B130" t="s">
        <v>18</v>
      </c>
      <c r="C130" t="s">
        <v>126</v>
      </c>
      <c r="D130" t="s">
        <v>82</v>
      </c>
      <c r="E130" t="s">
        <v>127</v>
      </c>
      <c r="F130" t="s">
        <v>84</v>
      </c>
      <c r="G130" t="s">
        <v>85</v>
      </c>
      <c r="H130" t="s">
        <v>86</v>
      </c>
      <c r="I130" t="s">
        <v>87</v>
      </c>
      <c r="J130" t="s">
        <v>88</v>
      </c>
      <c r="K130" t="s">
        <v>82</v>
      </c>
      <c r="L130" t="s">
        <v>28</v>
      </c>
      <c r="M130" t="s">
        <v>89</v>
      </c>
      <c r="N130" t="s">
        <v>153</v>
      </c>
      <c r="O130" t="s">
        <v>90</v>
      </c>
      <c r="P130">
        <v>231189</v>
      </c>
      <c r="Q130" t="s">
        <v>10</v>
      </c>
      <c r="R130" t="s">
        <v>98</v>
      </c>
      <c r="S130" t="s">
        <v>92</v>
      </c>
      <c r="T130">
        <v>90</v>
      </c>
      <c r="U130">
        <v>3.5</v>
      </c>
      <c r="V130" s="2">
        <v>0.14583333333333334</v>
      </c>
      <c r="W130">
        <v>315</v>
      </c>
      <c r="X130">
        <v>420</v>
      </c>
      <c r="Y130">
        <v>105</v>
      </c>
      <c r="Z130" t="s">
        <v>99</v>
      </c>
      <c r="AA130" t="s">
        <v>93</v>
      </c>
      <c r="AB130" t="s">
        <v>94</v>
      </c>
      <c r="AC130" t="s">
        <v>128</v>
      </c>
      <c r="AD130" t="s">
        <v>96</v>
      </c>
      <c r="AE130">
        <f t="shared" si="8"/>
        <v>4</v>
      </c>
      <c r="AF130" t="str">
        <f t="shared" si="9"/>
        <v>April</v>
      </c>
    </row>
    <row r="131" spans="1:32">
      <c r="A131" s="1">
        <v>45387</v>
      </c>
      <c r="B131" t="s">
        <v>18</v>
      </c>
      <c r="C131" t="s">
        <v>126</v>
      </c>
      <c r="D131" t="s">
        <v>82</v>
      </c>
      <c r="E131" t="s">
        <v>127</v>
      </c>
      <c r="F131" t="s">
        <v>84</v>
      </c>
      <c r="G131" t="s">
        <v>85</v>
      </c>
      <c r="H131" t="s">
        <v>86</v>
      </c>
      <c r="I131" t="s">
        <v>87</v>
      </c>
      <c r="J131" t="s">
        <v>88</v>
      </c>
      <c r="K131" t="s">
        <v>82</v>
      </c>
      <c r="L131" t="s">
        <v>28</v>
      </c>
      <c r="M131" t="s">
        <v>89</v>
      </c>
      <c r="N131" t="s">
        <v>153</v>
      </c>
      <c r="O131" t="s">
        <v>90</v>
      </c>
      <c r="P131">
        <v>231856</v>
      </c>
      <c r="Q131" t="s">
        <v>10</v>
      </c>
      <c r="R131" t="s">
        <v>98</v>
      </c>
      <c r="S131" t="s">
        <v>92</v>
      </c>
      <c r="T131">
        <v>90</v>
      </c>
      <c r="U131">
        <v>4.5</v>
      </c>
      <c r="V131" s="2">
        <v>0.1875</v>
      </c>
      <c r="W131">
        <v>405</v>
      </c>
      <c r="X131">
        <v>540</v>
      </c>
      <c r="Y131">
        <v>135</v>
      </c>
      <c r="Z131" t="s">
        <v>99</v>
      </c>
      <c r="AA131" t="s">
        <v>93</v>
      </c>
      <c r="AB131" t="s">
        <v>94</v>
      </c>
      <c r="AC131" t="s">
        <v>128</v>
      </c>
      <c r="AD131" t="s">
        <v>96</v>
      </c>
      <c r="AE131">
        <f t="shared" si="8"/>
        <v>4</v>
      </c>
      <c r="AF131" t="str">
        <f t="shared" si="9"/>
        <v>April</v>
      </c>
    </row>
    <row r="132" spans="1:32">
      <c r="A132" s="1">
        <v>45391</v>
      </c>
      <c r="B132" t="s">
        <v>18</v>
      </c>
      <c r="C132" t="s">
        <v>126</v>
      </c>
      <c r="D132" t="s">
        <v>82</v>
      </c>
      <c r="E132" t="s">
        <v>127</v>
      </c>
      <c r="F132" t="s">
        <v>84</v>
      </c>
      <c r="G132" t="s">
        <v>85</v>
      </c>
      <c r="H132" t="s">
        <v>86</v>
      </c>
      <c r="I132" t="s">
        <v>87</v>
      </c>
      <c r="J132" t="s">
        <v>88</v>
      </c>
      <c r="K132" t="s">
        <v>82</v>
      </c>
      <c r="L132" t="s">
        <v>28</v>
      </c>
      <c r="M132" t="s">
        <v>89</v>
      </c>
      <c r="N132" t="s">
        <v>153</v>
      </c>
      <c r="O132" t="s">
        <v>90</v>
      </c>
      <c r="P132">
        <v>233018</v>
      </c>
      <c r="Q132" t="s">
        <v>10</v>
      </c>
      <c r="R132" t="s">
        <v>98</v>
      </c>
      <c r="S132" t="s">
        <v>92</v>
      </c>
      <c r="T132">
        <v>90</v>
      </c>
      <c r="U132">
        <v>1.25</v>
      </c>
      <c r="V132" s="2">
        <v>5.2083333333333336E-2</v>
      </c>
      <c r="W132">
        <v>112.5</v>
      </c>
      <c r="X132">
        <v>150</v>
      </c>
      <c r="Y132">
        <v>37.5</v>
      </c>
      <c r="Z132" t="s">
        <v>99</v>
      </c>
      <c r="AA132" t="s">
        <v>93</v>
      </c>
      <c r="AB132" t="s">
        <v>94</v>
      </c>
      <c r="AC132" t="s">
        <v>128</v>
      </c>
      <c r="AD132" t="s">
        <v>96</v>
      </c>
      <c r="AE132">
        <f t="shared" si="8"/>
        <v>4</v>
      </c>
      <c r="AF132" t="str">
        <f t="shared" si="9"/>
        <v>April</v>
      </c>
    </row>
    <row r="133" spans="1:32">
      <c r="A133" s="1">
        <v>45392</v>
      </c>
      <c r="B133" t="s">
        <v>18</v>
      </c>
      <c r="C133" t="s">
        <v>126</v>
      </c>
      <c r="D133" t="s">
        <v>82</v>
      </c>
      <c r="E133" t="s">
        <v>127</v>
      </c>
      <c r="F133" t="s">
        <v>84</v>
      </c>
      <c r="G133" t="s">
        <v>85</v>
      </c>
      <c r="H133" t="s">
        <v>86</v>
      </c>
      <c r="I133" t="s">
        <v>87</v>
      </c>
      <c r="J133" t="s">
        <v>88</v>
      </c>
      <c r="K133" t="s">
        <v>82</v>
      </c>
      <c r="L133" t="s">
        <v>28</v>
      </c>
      <c r="M133" t="s">
        <v>89</v>
      </c>
      <c r="N133" t="s">
        <v>153</v>
      </c>
      <c r="O133" t="s">
        <v>90</v>
      </c>
      <c r="P133">
        <v>233629</v>
      </c>
      <c r="Q133" t="s">
        <v>10</v>
      </c>
      <c r="R133" t="s">
        <v>98</v>
      </c>
      <c r="S133" t="s">
        <v>92</v>
      </c>
      <c r="T133">
        <v>90</v>
      </c>
      <c r="U133">
        <v>0.25</v>
      </c>
      <c r="V133" s="2">
        <v>1.0416666666666666E-2</v>
      </c>
      <c r="W133">
        <v>22.5</v>
      </c>
      <c r="X133">
        <v>30</v>
      </c>
      <c r="Y133">
        <v>7.5</v>
      </c>
      <c r="Z133" t="s">
        <v>99</v>
      </c>
      <c r="AA133" t="s">
        <v>93</v>
      </c>
      <c r="AB133" t="s">
        <v>94</v>
      </c>
      <c r="AC133" t="s">
        <v>128</v>
      </c>
      <c r="AD133" t="s">
        <v>96</v>
      </c>
      <c r="AE133">
        <f t="shared" si="8"/>
        <v>4</v>
      </c>
      <c r="AF133" t="str">
        <f t="shared" si="9"/>
        <v>April</v>
      </c>
    </row>
    <row r="134" spans="1:32">
      <c r="A134" s="1">
        <v>45393</v>
      </c>
      <c r="B134" t="s">
        <v>18</v>
      </c>
      <c r="C134" t="s">
        <v>126</v>
      </c>
      <c r="D134" t="s">
        <v>82</v>
      </c>
      <c r="E134" t="s">
        <v>127</v>
      </c>
      <c r="F134" t="s">
        <v>84</v>
      </c>
      <c r="G134" t="s">
        <v>85</v>
      </c>
      <c r="H134" t="s">
        <v>86</v>
      </c>
      <c r="I134" t="s">
        <v>87</v>
      </c>
      <c r="J134" t="s">
        <v>88</v>
      </c>
      <c r="K134" t="s">
        <v>82</v>
      </c>
      <c r="L134" t="s">
        <v>28</v>
      </c>
      <c r="M134" t="s">
        <v>89</v>
      </c>
      <c r="N134" t="s">
        <v>153</v>
      </c>
      <c r="O134" t="s">
        <v>90</v>
      </c>
      <c r="P134">
        <v>234324</v>
      </c>
      <c r="Q134" t="s">
        <v>10</v>
      </c>
      <c r="R134" t="s">
        <v>98</v>
      </c>
      <c r="S134" t="s">
        <v>92</v>
      </c>
      <c r="T134">
        <v>90</v>
      </c>
      <c r="U134">
        <v>0.5</v>
      </c>
      <c r="V134" s="2">
        <v>2.0833333333333332E-2</v>
      </c>
      <c r="W134">
        <v>45</v>
      </c>
      <c r="X134">
        <v>60</v>
      </c>
      <c r="Y134">
        <v>15</v>
      </c>
      <c r="Z134" t="s">
        <v>99</v>
      </c>
      <c r="AA134" t="s">
        <v>93</v>
      </c>
      <c r="AB134" t="s">
        <v>94</v>
      </c>
      <c r="AC134" t="s">
        <v>128</v>
      </c>
      <c r="AD134" t="s">
        <v>96</v>
      </c>
      <c r="AE134">
        <f t="shared" si="8"/>
        <v>4</v>
      </c>
      <c r="AF134" t="str">
        <f t="shared" si="9"/>
        <v>April</v>
      </c>
    </row>
    <row r="135" spans="1:32">
      <c r="A135" s="1">
        <v>45394</v>
      </c>
      <c r="B135" t="s">
        <v>18</v>
      </c>
      <c r="C135" t="s">
        <v>126</v>
      </c>
      <c r="D135" t="s">
        <v>82</v>
      </c>
      <c r="E135" t="s">
        <v>127</v>
      </c>
      <c r="F135" t="s">
        <v>84</v>
      </c>
      <c r="G135" t="s">
        <v>85</v>
      </c>
      <c r="H135" t="s">
        <v>86</v>
      </c>
      <c r="I135" t="s">
        <v>87</v>
      </c>
      <c r="J135" t="s">
        <v>88</v>
      </c>
      <c r="K135" t="s">
        <v>82</v>
      </c>
      <c r="L135" t="s">
        <v>28</v>
      </c>
      <c r="M135" t="s">
        <v>89</v>
      </c>
      <c r="N135" t="s">
        <v>153</v>
      </c>
      <c r="O135" t="s">
        <v>90</v>
      </c>
      <c r="P135">
        <v>234504</v>
      </c>
      <c r="Q135" t="s">
        <v>10</v>
      </c>
      <c r="R135" t="s">
        <v>98</v>
      </c>
      <c r="S135" t="s">
        <v>92</v>
      </c>
      <c r="T135">
        <v>90</v>
      </c>
      <c r="U135">
        <v>0.25</v>
      </c>
      <c r="V135" s="2">
        <v>1.0416666666666666E-2</v>
      </c>
      <c r="W135">
        <v>22.5</v>
      </c>
      <c r="X135">
        <v>30</v>
      </c>
      <c r="Y135">
        <v>7.5</v>
      </c>
      <c r="Z135" t="s">
        <v>99</v>
      </c>
      <c r="AA135" t="s">
        <v>93</v>
      </c>
      <c r="AB135" t="s">
        <v>94</v>
      </c>
      <c r="AC135" t="s">
        <v>128</v>
      </c>
      <c r="AD135" t="s">
        <v>96</v>
      </c>
      <c r="AE135">
        <f t="shared" si="8"/>
        <v>4</v>
      </c>
      <c r="AF135" t="str">
        <f t="shared" si="9"/>
        <v>April</v>
      </c>
    </row>
    <row r="136" spans="1:32">
      <c r="A136" s="1">
        <v>45397</v>
      </c>
      <c r="B136" t="s">
        <v>18</v>
      </c>
      <c r="C136" t="s">
        <v>126</v>
      </c>
      <c r="D136" t="s">
        <v>82</v>
      </c>
      <c r="E136" t="s">
        <v>127</v>
      </c>
      <c r="F136" t="s">
        <v>84</v>
      </c>
      <c r="G136" t="s">
        <v>85</v>
      </c>
      <c r="H136" t="s">
        <v>86</v>
      </c>
      <c r="I136" t="s">
        <v>87</v>
      </c>
      <c r="J136" t="s">
        <v>88</v>
      </c>
      <c r="K136" t="s">
        <v>82</v>
      </c>
      <c r="L136" t="s">
        <v>28</v>
      </c>
      <c r="M136" t="s">
        <v>89</v>
      </c>
      <c r="N136" t="s">
        <v>153</v>
      </c>
      <c r="O136" t="s">
        <v>90</v>
      </c>
      <c r="P136">
        <v>235220</v>
      </c>
      <c r="Q136" t="s">
        <v>10</v>
      </c>
      <c r="R136" t="s">
        <v>98</v>
      </c>
      <c r="S136" t="s">
        <v>92</v>
      </c>
      <c r="T136">
        <v>90</v>
      </c>
      <c r="U136">
        <v>0.75</v>
      </c>
      <c r="V136" s="2">
        <v>3.125E-2</v>
      </c>
      <c r="W136">
        <v>67.5</v>
      </c>
      <c r="X136">
        <v>90</v>
      </c>
      <c r="Y136">
        <v>22.5</v>
      </c>
      <c r="Z136" t="s">
        <v>99</v>
      </c>
      <c r="AA136" t="s">
        <v>93</v>
      </c>
      <c r="AB136" t="s">
        <v>94</v>
      </c>
      <c r="AC136" t="s">
        <v>128</v>
      </c>
      <c r="AD136" t="s">
        <v>96</v>
      </c>
      <c r="AE136">
        <f t="shared" si="8"/>
        <v>4</v>
      </c>
      <c r="AF136" t="str">
        <f t="shared" si="9"/>
        <v>April</v>
      </c>
    </row>
    <row r="137" spans="1:32">
      <c r="A137" s="1">
        <v>45398</v>
      </c>
      <c r="B137" t="s">
        <v>18</v>
      </c>
      <c r="C137" t="s">
        <v>126</v>
      </c>
      <c r="D137" t="s">
        <v>82</v>
      </c>
      <c r="E137" t="s">
        <v>127</v>
      </c>
      <c r="F137" t="s">
        <v>84</v>
      </c>
      <c r="G137" t="s">
        <v>85</v>
      </c>
      <c r="H137" t="s">
        <v>86</v>
      </c>
      <c r="I137" t="s">
        <v>87</v>
      </c>
      <c r="J137" t="s">
        <v>88</v>
      </c>
      <c r="K137" t="s">
        <v>82</v>
      </c>
      <c r="L137" t="s">
        <v>28</v>
      </c>
      <c r="M137" t="s">
        <v>89</v>
      </c>
      <c r="N137" t="s">
        <v>153</v>
      </c>
      <c r="O137" t="s">
        <v>90</v>
      </c>
      <c r="P137">
        <v>235869</v>
      </c>
      <c r="Q137" t="s">
        <v>10</v>
      </c>
      <c r="R137" t="s">
        <v>98</v>
      </c>
      <c r="S137" t="s">
        <v>92</v>
      </c>
      <c r="T137">
        <v>90</v>
      </c>
      <c r="U137">
        <v>0.5</v>
      </c>
      <c r="V137" s="2">
        <v>2.0833333333333332E-2</v>
      </c>
      <c r="W137">
        <v>45</v>
      </c>
      <c r="X137">
        <v>60</v>
      </c>
      <c r="Y137">
        <v>15</v>
      </c>
      <c r="Z137" t="s">
        <v>99</v>
      </c>
      <c r="AA137" t="s">
        <v>93</v>
      </c>
      <c r="AB137" t="s">
        <v>94</v>
      </c>
      <c r="AC137" t="s">
        <v>128</v>
      </c>
      <c r="AD137" t="s">
        <v>96</v>
      </c>
      <c r="AE137">
        <f t="shared" si="8"/>
        <v>4</v>
      </c>
      <c r="AF137" t="str">
        <f t="shared" si="9"/>
        <v>April</v>
      </c>
    </row>
    <row r="138" spans="1:32">
      <c r="A138" s="1">
        <v>45399</v>
      </c>
      <c r="B138" t="s">
        <v>18</v>
      </c>
      <c r="C138" t="s">
        <v>126</v>
      </c>
      <c r="D138" t="s">
        <v>82</v>
      </c>
      <c r="E138" t="s">
        <v>127</v>
      </c>
      <c r="F138" t="s">
        <v>84</v>
      </c>
      <c r="G138" t="s">
        <v>85</v>
      </c>
      <c r="H138" t="s">
        <v>86</v>
      </c>
      <c r="I138" t="s">
        <v>87</v>
      </c>
      <c r="J138" t="s">
        <v>88</v>
      </c>
      <c r="K138" t="s">
        <v>82</v>
      </c>
      <c r="L138" t="s">
        <v>28</v>
      </c>
      <c r="M138" t="s">
        <v>89</v>
      </c>
      <c r="N138" t="s">
        <v>153</v>
      </c>
      <c r="O138" t="s">
        <v>90</v>
      </c>
      <c r="P138">
        <v>236458</v>
      </c>
      <c r="Q138" t="s">
        <v>10</v>
      </c>
      <c r="R138" t="s">
        <v>98</v>
      </c>
      <c r="S138" t="s">
        <v>92</v>
      </c>
      <c r="T138">
        <v>90</v>
      </c>
      <c r="U138">
        <v>0.5</v>
      </c>
      <c r="V138" s="2">
        <v>2.0833333333333332E-2</v>
      </c>
      <c r="W138">
        <v>45</v>
      </c>
      <c r="X138">
        <v>60</v>
      </c>
      <c r="Y138">
        <v>15</v>
      </c>
      <c r="Z138" t="s">
        <v>99</v>
      </c>
      <c r="AA138" t="s">
        <v>93</v>
      </c>
      <c r="AB138" t="s">
        <v>94</v>
      </c>
      <c r="AC138" t="s">
        <v>128</v>
      </c>
      <c r="AD138" t="s">
        <v>96</v>
      </c>
      <c r="AE138">
        <f t="shared" si="8"/>
        <v>4</v>
      </c>
      <c r="AF138" t="str">
        <f t="shared" si="9"/>
        <v>April</v>
      </c>
    </row>
    <row r="139" spans="1:32">
      <c r="A139" s="1">
        <v>45401</v>
      </c>
      <c r="B139" t="s">
        <v>18</v>
      </c>
      <c r="C139" t="s">
        <v>126</v>
      </c>
      <c r="D139" t="s">
        <v>82</v>
      </c>
      <c r="E139" t="s">
        <v>127</v>
      </c>
      <c r="F139" t="s">
        <v>84</v>
      </c>
      <c r="G139" t="s">
        <v>85</v>
      </c>
      <c r="H139" t="s">
        <v>86</v>
      </c>
      <c r="I139" t="s">
        <v>87</v>
      </c>
      <c r="J139" t="s">
        <v>88</v>
      </c>
      <c r="K139" t="s">
        <v>82</v>
      </c>
      <c r="L139" t="s">
        <v>28</v>
      </c>
      <c r="M139" t="s">
        <v>89</v>
      </c>
      <c r="N139" t="s">
        <v>153</v>
      </c>
      <c r="O139" t="s">
        <v>90</v>
      </c>
      <c r="P139">
        <v>237421</v>
      </c>
      <c r="Q139" t="s">
        <v>10</v>
      </c>
      <c r="R139" t="s">
        <v>98</v>
      </c>
      <c r="S139" t="s">
        <v>92</v>
      </c>
      <c r="T139">
        <v>90</v>
      </c>
      <c r="U139">
        <v>1.5</v>
      </c>
      <c r="V139" s="2">
        <v>6.25E-2</v>
      </c>
      <c r="W139">
        <v>135</v>
      </c>
      <c r="X139">
        <v>180</v>
      </c>
      <c r="Y139">
        <v>45</v>
      </c>
      <c r="Z139" t="s">
        <v>99</v>
      </c>
      <c r="AA139" t="s">
        <v>93</v>
      </c>
      <c r="AB139" t="s">
        <v>94</v>
      </c>
      <c r="AC139" t="s">
        <v>128</v>
      </c>
      <c r="AD139" t="s">
        <v>96</v>
      </c>
      <c r="AE139">
        <f t="shared" si="8"/>
        <v>4</v>
      </c>
      <c r="AF139" t="str">
        <f t="shared" si="9"/>
        <v>April</v>
      </c>
    </row>
    <row r="140" spans="1:32">
      <c r="A140" s="1">
        <v>45404</v>
      </c>
      <c r="B140" t="s">
        <v>18</v>
      </c>
      <c r="C140" t="s">
        <v>126</v>
      </c>
      <c r="D140" t="s">
        <v>82</v>
      </c>
      <c r="E140" t="s">
        <v>127</v>
      </c>
      <c r="F140" t="s">
        <v>84</v>
      </c>
      <c r="G140" t="s">
        <v>85</v>
      </c>
      <c r="H140" t="s">
        <v>86</v>
      </c>
      <c r="I140" t="s">
        <v>87</v>
      </c>
      <c r="J140" t="s">
        <v>88</v>
      </c>
      <c r="K140" t="s">
        <v>82</v>
      </c>
      <c r="L140" t="s">
        <v>28</v>
      </c>
      <c r="M140" t="s">
        <v>89</v>
      </c>
      <c r="N140" t="s">
        <v>153</v>
      </c>
      <c r="O140" t="s">
        <v>90</v>
      </c>
      <c r="P140">
        <v>238268</v>
      </c>
      <c r="Q140" t="s">
        <v>10</v>
      </c>
      <c r="R140" t="s">
        <v>98</v>
      </c>
      <c r="S140" t="s">
        <v>92</v>
      </c>
      <c r="T140">
        <v>90</v>
      </c>
      <c r="U140">
        <v>0.25</v>
      </c>
      <c r="V140" s="2">
        <v>1.0416666666666666E-2</v>
      </c>
      <c r="W140">
        <v>22.5</v>
      </c>
      <c r="X140">
        <v>30</v>
      </c>
      <c r="Y140">
        <v>7.5</v>
      </c>
      <c r="Z140" t="s">
        <v>99</v>
      </c>
      <c r="AA140" t="s">
        <v>93</v>
      </c>
      <c r="AB140" t="s">
        <v>94</v>
      </c>
      <c r="AC140" t="s">
        <v>128</v>
      </c>
      <c r="AD140" t="s">
        <v>96</v>
      </c>
      <c r="AE140">
        <f t="shared" si="8"/>
        <v>4</v>
      </c>
      <c r="AF140" t="str">
        <f t="shared" si="9"/>
        <v>April</v>
      </c>
    </row>
    <row r="141" spans="1:32">
      <c r="A141" s="1">
        <v>45405</v>
      </c>
      <c r="B141" t="s">
        <v>18</v>
      </c>
      <c r="C141" t="s">
        <v>126</v>
      </c>
      <c r="D141" t="s">
        <v>82</v>
      </c>
      <c r="E141" t="s">
        <v>127</v>
      </c>
      <c r="F141" t="s">
        <v>84</v>
      </c>
      <c r="G141" t="s">
        <v>85</v>
      </c>
      <c r="H141" t="s">
        <v>86</v>
      </c>
      <c r="I141" t="s">
        <v>87</v>
      </c>
      <c r="J141" t="s">
        <v>88</v>
      </c>
      <c r="K141" t="s">
        <v>82</v>
      </c>
      <c r="L141" t="s">
        <v>28</v>
      </c>
      <c r="M141" t="s">
        <v>89</v>
      </c>
      <c r="N141" t="s">
        <v>153</v>
      </c>
      <c r="O141" t="s">
        <v>90</v>
      </c>
      <c r="P141">
        <v>238842</v>
      </c>
      <c r="Q141" t="s">
        <v>10</v>
      </c>
      <c r="R141" t="s">
        <v>98</v>
      </c>
      <c r="S141" t="s">
        <v>92</v>
      </c>
      <c r="T141">
        <v>90</v>
      </c>
      <c r="U141">
        <v>1</v>
      </c>
      <c r="V141" s="2">
        <v>4.1666666666666664E-2</v>
      </c>
      <c r="W141">
        <v>90</v>
      </c>
      <c r="X141">
        <v>120</v>
      </c>
      <c r="Y141">
        <v>30</v>
      </c>
      <c r="Z141" t="s">
        <v>99</v>
      </c>
      <c r="AA141" t="s">
        <v>93</v>
      </c>
      <c r="AB141" t="s">
        <v>94</v>
      </c>
      <c r="AC141" t="s">
        <v>128</v>
      </c>
      <c r="AD141" t="s">
        <v>96</v>
      </c>
      <c r="AE141">
        <f t="shared" si="8"/>
        <v>4</v>
      </c>
      <c r="AF141" t="str">
        <f t="shared" si="9"/>
        <v>April</v>
      </c>
    </row>
    <row r="142" spans="1:32">
      <c r="A142" s="1">
        <v>45406</v>
      </c>
      <c r="B142" t="s">
        <v>18</v>
      </c>
      <c r="C142" t="s">
        <v>126</v>
      </c>
      <c r="D142" t="s">
        <v>82</v>
      </c>
      <c r="E142" t="s">
        <v>127</v>
      </c>
      <c r="F142" t="s">
        <v>84</v>
      </c>
      <c r="G142" t="s">
        <v>85</v>
      </c>
      <c r="H142" t="s">
        <v>86</v>
      </c>
      <c r="I142" t="s">
        <v>87</v>
      </c>
      <c r="J142" t="s">
        <v>88</v>
      </c>
      <c r="K142" t="s">
        <v>82</v>
      </c>
      <c r="L142" t="s">
        <v>28</v>
      </c>
      <c r="M142" t="s">
        <v>89</v>
      </c>
      <c r="N142" t="s">
        <v>153</v>
      </c>
      <c r="O142" t="s">
        <v>90</v>
      </c>
      <c r="P142">
        <v>239304</v>
      </c>
      <c r="Q142" t="s">
        <v>10</v>
      </c>
      <c r="R142" t="s">
        <v>98</v>
      </c>
      <c r="S142" t="s">
        <v>92</v>
      </c>
      <c r="T142">
        <v>90</v>
      </c>
      <c r="U142">
        <v>1.5</v>
      </c>
      <c r="V142" s="2">
        <v>6.25E-2</v>
      </c>
      <c r="W142">
        <v>135</v>
      </c>
      <c r="X142">
        <v>180</v>
      </c>
      <c r="Y142">
        <v>45</v>
      </c>
      <c r="Z142" t="s">
        <v>99</v>
      </c>
      <c r="AA142" t="s">
        <v>93</v>
      </c>
      <c r="AB142" t="s">
        <v>94</v>
      </c>
      <c r="AC142" t="s">
        <v>128</v>
      </c>
      <c r="AD142" t="s">
        <v>96</v>
      </c>
      <c r="AE142">
        <f t="shared" si="8"/>
        <v>4</v>
      </c>
      <c r="AF142" t="str">
        <f t="shared" si="9"/>
        <v>April</v>
      </c>
    </row>
    <row r="143" spans="1:32">
      <c r="A143" s="1">
        <v>45407</v>
      </c>
      <c r="B143" t="s">
        <v>18</v>
      </c>
      <c r="C143" t="s">
        <v>126</v>
      </c>
      <c r="D143" t="s">
        <v>82</v>
      </c>
      <c r="E143" t="s">
        <v>127</v>
      </c>
      <c r="F143" t="s">
        <v>84</v>
      </c>
      <c r="G143" t="s">
        <v>85</v>
      </c>
      <c r="H143" t="s">
        <v>86</v>
      </c>
      <c r="I143" t="s">
        <v>87</v>
      </c>
      <c r="J143" t="s">
        <v>88</v>
      </c>
      <c r="K143" t="s">
        <v>82</v>
      </c>
      <c r="L143" t="s">
        <v>28</v>
      </c>
      <c r="M143" t="s">
        <v>89</v>
      </c>
      <c r="N143" t="s">
        <v>153</v>
      </c>
      <c r="O143" t="s">
        <v>90</v>
      </c>
      <c r="P143">
        <v>239301</v>
      </c>
      <c r="Q143" t="s">
        <v>10</v>
      </c>
      <c r="R143" t="s">
        <v>98</v>
      </c>
      <c r="S143" t="s">
        <v>92</v>
      </c>
      <c r="T143">
        <v>90</v>
      </c>
      <c r="U143">
        <v>1</v>
      </c>
      <c r="V143" s="2">
        <v>4.1666666666666664E-2</v>
      </c>
      <c r="W143">
        <v>90</v>
      </c>
      <c r="X143">
        <v>120</v>
      </c>
      <c r="Y143">
        <v>30</v>
      </c>
      <c r="Z143" t="s">
        <v>99</v>
      </c>
      <c r="AA143" t="s">
        <v>93</v>
      </c>
      <c r="AB143" t="s">
        <v>94</v>
      </c>
      <c r="AC143" t="s">
        <v>128</v>
      </c>
      <c r="AD143" t="s">
        <v>96</v>
      </c>
      <c r="AE143">
        <f t="shared" si="8"/>
        <v>4</v>
      </c>
      <c r="AF143" t="str">
        <f t="shared" si="9"/>
        <v>April</v>
      </c>
    </row>
    <row r="144" spans="1:32">
      <c r="A144" s="1">
        <v>45408</v>
      </c>
      <c r="B144" t="s">
        <v>18</v>
      </c>
      <c r="C144" t="s">
        <v>126</v>
      </c>
      <c r="D144" t="s">
        <v>82</v>
      </c>
      <c r="E144" t="s">
        <v>127</v>
      </c>
      <c r="F144" t="s">
        <v>84</v>
      </c>
      <c r="G144" t="s">
        <v>85</v>
      </c>
      <c r="H144" t="s">
        <v>86</v>
      </c>
      <c r="I144" t="s">
        <v>87</v>
      </c>
      <c r="J144" t="s">
        <v>88</v>
      </c>
      <c r="K144" t="s">
        <v>82</v>
      </c>
      <c r="L144" t="s">
        <v>28</v>
      </c>
      <c r="M144" t="s">
        <v>89</v>
      </c>
      <c r="N144" t="s">
        <v>153</v>
      </c>
      <c r="O144" t="s">
        <v>90</v>
      </c>
      <c r="P144">
        <v>240487</v>
      </c>
      <c r="Q144" t="s">
        <v>10</v>
      </c>
      <c r="R144" t="s">
        <v>98</v>
      </c>
      <c r="S144" t="s">
        <v>92</v>
      </c>
      <c r="T144">
        <v>90</v>
      </c>
      <c r="U144">
        <v>1.5</v>
      </c>
      <c r="V144" s="2">
        <v>6.25E-2</v>
      </c>
      <c r="W144">
        <v>135</v>
      </c>
      <c r="X144">
        <v>180</v>
      </c>
      <c r="Y144">
        <v>45</v>
      </c>
      <c r="Z144" t="s">
        <v>99</v>
      </c>
      <c r="AA144" t="s">
        <v>93</v>
      </c>
      <c r="AB144" t="s">
        <v>94</v>
      </c>
      <c r="AC144" t="s">
        <v>128</v>
      </c>
      <c r="AD144" t="s">
        <v>96</v>
      </c>
      <c r="AE144">
        <f t="shared" si="8"/>
        <v>4</v>
      </c>
      <c r="AF144" t="str">
        <f t="shared" si="9"/>
        <v>April</v>
      </c>
    </row>
    <row r="145" spans="1:32">
      <c r="A145" s="1">
        <v>45411</v>
      </c>
      <c r="B145" t="s">
        <v>18</v>
      </c>
      <c r="C145" t="s">
        <v>126</v>
      </c>
      <c r="D145" t="s">
        <v>82</v>
      </c>
      <c r="E145" t="s">
        <v>127</v>
      </c>
      <c r="F145" t="s">
        <v>84</v>
      </c>
      <c r="G145" t="s">
        <v>85</v>
      </c>
      <c r="H145" t="s">
        <v>86</v>
      </c>
      <c r="I145" t="s">
        <v>87</v>
      </c>
      <c r="J145" t="s">
        <v>88</v>
      </c>
      <c r="K145" t="s">
        <v>82</v>
      </c>
      <c r="L145" t="s">
        <v>28</v>
      </c>
      <c r="M145" t="s">
        <v>89</v>
      </c>
      <c r="N145" t="s">
        <v>153</v>
      </c>
      <c r="O145" t="s">
        <v>90</v>
      </c>
      <c r="P145">
        <v>241174</v>
      </c>
      <c r="Q145" t="s">
        <v>10</v>
      </c>
      <c r="R145" t="s">
        <v>98</v>
      </c>
      <c r="S145" t="s">
        <v>92</v>
      </c>
      <c r="T145">
        <v>90</v>
      </c>
      <c r="U145">
        <v>7.25</v>
      </c>
      <c r="V145" s="2">
        <v>0.30208333333333331</v>
      </c>
      <c r="W145">
        <v>652.5</v>
      </c>
      <c r="X145">
        <v>870</v>
      </c>
      <c r="Y145">
        <v>217.5</v>
      </c>
      <c r="Z145" t="s">
        <v>99</v>
      </c>
      <c r="AA145" t="s">
        <v>93</v>
      </c>
      <c r="AB145" t="s">
        <v>94</v>
      </c>
      <c r="AC145" t="s">
        <v>128</v>
      </c>
      <c r="AD145" t="s">
        <v>96</v>
      </c>
      <c r="AE145">
        <f t="shared" si="8"/>
        <v>4</v>
      </c>
      <c r="AF145" t="str">
        <f t="shared" si="9"/>
        <v>April</v>
      </c>
    </row>
    <row r="146" spans="1:32">
      <c r="A146" s="1">
        <v>45412</v>
      </c>
      <c r="B146" t="s">
        <v>18</v>
      </c>
      <c r="C146" t="s">
        <v>126</v>
      </c>
      <c r="D146" t="s">
        <v>82</v>
      </c>
      <c r="E146" t="s">
        <v>127</v>
      </c>
      <c r="F146" t="s">
        <v>84</v>
      </c>
      <c r="G146" t="s">
        <v>85</v>
      </c>
      <c r="H146" t="s">
        <v>86</v>
      </c>
      <c r="I146" t="s">
        <v>87</v>
      </c>
      <c r="J146" t="s">
        <v>88</v>
      </c>
      <c r="K146" t="s">
        <v>82</v>
      </c>
      <c r="L146" t="s">
        <v>28</v>
      </c>
      <c r="M146" t="s">
        <v>89</v>
      </c>
      <c r="N146" t="s">
        <v>153</v>
      </c>
      <c r="O146" t="s">
        <v>90</v>
      </c>
      <c r="P146">
        <v>241178</v>
      </c>
      <c r="Q146" t="s">
        <v>10</v>
      </c>
      <c r="R146" t="s">
        <v>98</v>
      </c>
      <c r="S146" t="s">
        <v>92</v>
      </c>
      <c r="T146">
        <v>90</v>
      </c>
      <c r="U146">
        <v>0.25</v>
      </c>
      <c r="V146" s="2">
        <v>1.0416666666666666E-2</v>
      </c>
      <c r="W146">
        <v>22.5</v>
      </c>
      <c r="X146">
        <v>30</v>
      </c>
      <c r="Y146">
        <v>7.5</v>
      </c>
      <c r="Z146" t="s">
        <v>99</v>
      </c>
      <c r="AA146" t="s">
        <v>93</v>
      </c>
      <c r="AB146" t="s">
        <v>94</v>
      </c>
      <c r="AC146" t="s">
        <v>128</v>
      </c>
      <c r="AD146" t="s">
        <v>96</v>
      </c>
      <c r="AE146">
        <f t="shared" si="8"/>
        <v>4</v>
      </c>
      <c r="AF146" t="str">
        <f t="shared" si="9"/>
        <v>April</v>
      </c>
    </row>
    <row r="147" spans="1:32">
      <c r="A147" s="1">
        <v>45412</v>
      </c>
      <c r="B147" t="s">
        <v>18</v>
      </c>
      <c r="C147" t="s">
        <v>126</v>
      </c>
      <c r="D147" t="s">
        <v>82</v>
      </c>
      <c r="E147" t="s">
        <v>127</v>
      </c>
      <c r="F147" t="s">
        <v>84</v>
      </c>
      <c r="G147" t="s">
        <v>85</v>
      </c>
      <c r="H147" t="s">
        <v>86</v>
      </c>
      <c r="I147" t="s">
        <v>87</v>
      </c>
      <c r="J147" t="s">
        <v>88</v>
      </c>
      <c r="K147" t="s">
        <v>82</v>
      </c>
      <c r="L147" t="s">
        <v>28</v>
      </c>
      <c r="M147" t="s">
        <v>89</v>
      </c>
      <c r="N147" t="s">
        <v>153</v>
      </c>
      <c r="O147" t="s">
        <v>90</v>
      </c>
      <c r="P147">
        <v>242031</v>
      </c>
      <c r="Q147" t="s">
        <v>11</v>
      </c>
      <c r="R147" t="s">
        <v>91</v>
      </c>
      <c r="S147" t="s">
        <v>92</v>
      </c>
      <c r="T147">
        <v>0</v>
      </c>
      <c r="U147">
        <v>1.25</v>
      </c>
      <c r="V147" s="2">
        <v>5.2083333333333336E-2</v>
      </c>
      <c r="W147">
        <v>0</v>
      </c>
      <c r="AA147" t="s">
        <v>93</v>
      </c>
      <c r="AB147" t="s">
        <v>94</v>
      </c>
      <c r="AC147" t="s">
        <v>128</v>
      </c>
      <c r="AD147" t="s">
        <v>96</v>
      </c>
      <c r="AE147">
        <f t="shared" si="8"/>
        <v>4</v>
      </c>
      <c r="AF147" t="str">
        <f t="shared" si="9"/>
        <v>April</v>
      </c>
    </row>
    <row r="148" spans="1:32">
      <c r="A148" s="1">
        <v>45413</v>
      </c>
      <c r="B148" t="s">
        <v>18</v>
      </c>
      <c r="C148" t="s">
        <v>126</v>
      </c>
      <c r="D148" t="s">
        <v>82</v>
      </c>
      <c r="E148" t="s">
        <v>127</v>
      </c>
      <c r="F148" t="s">
        <v>84</v>
      </c>
      <c r="G148" t="s">
        <v>85</v>
      </c>
      <c r="H148" t="s">
        <v>86</v>
      </c>
      <c r="I148" t="s">
        <v>87</v>
      </c>
      <c r="J148" t="s">
        <v>88</v>
      </c>
      <c r="K148" t="s">
        <v>82</v>
      </c>
      <c r="L148" t="s">
        <v>28</v>
      </c>
      <c r="M148" t="s">
        <v>89</v>
      </c>
      <c r="N148" t="s">
        <v>153</v>
      </c>
      <c r="O148" t="s">
        <v>90</v>
      </c>
      <c r="P148">
        <v>242525</v>
      </c>
      <c r="Q148" t="s">
        <v>10</v>
      </c>
      <c r="R148" t="s">
        <v>98</v>
      </c>
      <c r="S148" t="s">
        <v>92</v>
      </c>
      <c r="T148">
        <v>90</v>
      </c>
      <c r="U148">
        <v>0.25</v>
      </c>
      <c r="V148" s="2">
        <v>1.0416666666666666E-2</v>
      </c>
      <c r="W148">
        <v>22.5</v>
      </c>
      <c r="AA148" t="s">
        <v>93</v>
      </c>
      <c r="AB148" t="s">
        <v>94</v>
      </c>
      <c r="AC148" t="s">
        <v>128</v>
      </c>
      <c r="AD148" t="s">
        <v>96</v>
      </c>
      <c r="AE148">
        <f t="shared" si="8"/>
        <v>5</v>
      </c>
      <c r="AF148" t="str">
        <f t="shared" si="9"/>
        <v>May</v>
      </c>
    </row>
    <row r="149" spans="1:32">
      <c r="A149" s="1">
        <v>45414</v>
      </c>
      <c r="B149" t="s">
        <v>18</v>
      </c>
      <c r="C149" t="s">
        <v>126</v>
      </c>
      <c r="D149" t="s">
        <v>82</v>
      </c>
      <c r="E149" t="s">
        <v>127</v>
      </c>
      <c r="F149" t="s">
        <v>84</v>
      </c>
      <c r="G149" t="s">
        <v>85</v>
      </c>
      <c r="H149" t="s">
        <v>86</v>
      </c>
      <c r="I149" t="s">
        <v>87</v>
      </c>
      <c r="J149" t="s">
        <v>88</v>
      </c>
      <c r="K149" t="s">
        <v>82</v>
      </c>
      <c r="L149" t="s">
        <v>28</v>
      </c>
      <c r="M149" t="s">
        <v>89</v>
      </c>
      <c r="N149" t="s">
        <v>153</v>
      </c>
      <c r="O149" t="s">
        <v>90</v>
      </c>
      <c r="P149">
        <v>242765</v>
      </c>
      <c r="Q149" t="s">
        <v>10</v>
      </c>
      <c r="R149" t="s">
        <v>98</v>
      </c>
      <c r="S149" t="s">
        <v>92</v>
      </c>
      <c r="T149">
        <v>90</v>
      </c>
      <c r="U149">
        <v>0.75</v>
      </c>
      <c r="V149" s="2">
        <v>3.125E-2</v>
      </c>
      <c r="W149">
        <v>67.5</v>
      </c>
      <c r="AA149" t="s">
        <v>93</v>
      </c>
      <c r="AB149" t="s">
        <v>94</v>
      </c>
      <c r="AC149" t="s">
        <v>128</v>
      </c>
      <c r="AD149" t="s">
        <v>96</v>
      </c>
      <c r="AE149">
        <f t="shared" si="8"/>
        <v>5</v>
      </c>
      <c r="AF149" t="str">
        <f t="shared" si="9"/>
        <v>May</v>
      </c>
    </row>
    <row r="150" spans="1:32">
      <c r="A150" s="1">
        <v>45415</v>
      </c>
      <c r="B150" t="s">
        <v>18</v>
      </c>
      <c r="C150" t="s">
        <v>126</v>
      </c>
      <c r="D150" t="s">
        <v>82</v>
      </c>
      <c r="E150" t="s">
        <v>127</v>
      </c>
      <c r="F150" t="s">
        <v>84</v>
      </c>
      <c r="G150" t="s">
        <v>85</v>
      </c>
      <c r="H150" t="s">
        <v>86</v>
      </c>
      <c r="I150" t="s">
        <v>87</v>
      </c>
      <c r="J150" t="s">
        <v>88</v>
      </c>
      <c r="K150" t="s">
        <v>82</v>
      </c>
      <c r="L150" t="s">
        <v>28</v>
      </c>
      <c r="M150" t="s">
        <v>89</v>
      </c>
      <c r="N150" t="s">
        <v>153</v>
      </c>
      <c r="O150" t="s">
        <v>90</v>
      </c>
      <c r="P150">
        <v>243266</v>
      </c>
      <c r="Q150" t="s">
        <v>10</v>
      </c>
      <c r="R150" t="s">
        <v>98</v>
      </c>
      <c r="S150" t="s">
        <v>92</v>
      </c>
      <c r="T150">
        <v>90</v>
      </c>
      <c r="U150">
        <v>0.5</v>
      </c>
      <c r="V150" s="2">
        <v>2.0833333333333332E-2</v>
      </c>
      <c r="W150">
        <v>45</v>
      </c>
      <c r="AA150" t="s">
        <v>93</v>
      </c>
      <c r="AB150" t="s">
        <v>94</v>
      </c>
      <c r="AC150" t="s">
        <v>128</v>
      </c>
      <c r="AD150" t="s">
        <v>96</v>
      </c>
      <c r="AE150">
        <f t="shared" si="8"/>
        <v>5</v>
      </c>
      <c r="AF150" t="str">
        <f t="shared" si="9"/>
        <v>May</v>
      </c>
    </row>
    <row r="151" spans="1:32">
      <c r="A151" s="1">
        <v>45397</v>
      </c>
      <c r="B151" t="s">
        <v>48</v>
      </c>
      <c r="C151" t="s">
        <v>81</v>
      </c>
      <c r="D151" t="s">
        <v>82</v>
      </c>
      <c r="E151" t="s">
        <v>83</v>
      </c>
      <c r="F151" t="s">
        <v>84</v>
      </c>
      <c r="G151" t="s">
        <v>85</v>
      </c>
      <c r="H151" t="s">
        <v>86</v>
      </c>
      <c r="I151" t="s">
        <v>87</v>
      </c>
      <c r="J151" t="s">
        <v>88</v>
      </c>
      <c r="K151" t="s">
        <v>82</v>
      </c>
      <c r="L151" t="s">
        <v>28</v>
      </c>
      <c r="M151" t="s">
        <v>89</v>
      </c>
      <c r="N151" t="s">
        <v>23</v>
      </c>
      <c r="O151" t="s">
        <v>90</v>
      </c>
      <c r="P151">
        <v>235369</v>
      </c>
      <c r="Q151" t="s">
        <v>12</v>
      </c>
      <c r="R151" t="s">
        <v>98</v>
      </c>
      <c r="S151" t="s">
        <v>92</v>
      </c>
      <c r="T151">
        <v>90</v>
      </c>
      <c r="U151">
        <v>5</v>
      </c>
      <c r="V151" s="2">
        <v>0.20833333333333334</v>
      </c>
      <c r="W151">
        <v>450</v>
      </c>
      <c r="X151">
        <v>600</v>
      </c>
      <c r="Y151">
        <v>150</v>
      </c>
      <c r="Z151" t="s">
        <v>99</v>
      </c>
      <c r="AA151" t="s">
        <v>93</v>
      </c>
      <c r="AB151" t="s">
        <v>94</v>
      </c>
      <c r="AC151" t="e">
        <f ca="1">-- Grainger Axis Void standup -- Package retrieval _xludf.for PROD to UAT deployment resolving the deployment errors -- Connected with Anjali _xludf.for PROD to UAT deployment</f>
        <v>#NAME?</v>
      </c>
      <c r="AD151" t="s">
        <v>96</v>
      </c>
      <c r="AE151">
        <f t="shared" si="8"/>
        <v>4</v>
      </c>
      <c r="AF151" t="str">
        <f t="shared" si="9"/>
        <v>April</v>
      </c>
    </row>
    <row r="152" spans="1:32">
      <c r="A152" s="1">
        <v>45398</v>
      </c>
      <c r="B152" t="s">
        <v>48</v>
      </c>
      <c r="C152" t="s">
        <v>81</v>
      </c>
      <c r="D152" t="s">
        <v>82</v>
      </c>
      <c r="E152" t="s">
        <v>83</v>
      </c>
      <c r="F152" t="s">
        <v>84</v>
      </c>
      <c r="G152" t="s">
        <v>85</v>
      </c>
      <c r="H152" t="s">
        <v>86</v>
      </c>
      <c r="I152" t="s">
        <v>87</v>
      </c>
      <c r="J152" t="s">
        <v>88</v>
      </c>
      <c r="K152" t="s">
        <v>82</v>
      </c>
      <c r="L152" t="s">
        <v>28</v>
      </c>
      <c r="M152" t="s">
        <v>89</v>
      </c>
      <c r="N152" t="s">
        <v>23</v>
      </c>
      <c r="O152" t="s">
        <v>90</v>
      </c>
      <c r="P152">
        <v>235701</v>
      </c>
      <c r="Q152" t="s">
        <v>12</v>
      </c>
      <c r="R152" t="s">
        <v>98</v>
      </c>
      <c r="S152" t="s">
        <v>92</v>
      </c>
      <c r="T152">
        <v>90</v>
      </c>
      <c r="U152">
        <v>8.5</v>
      </c>
      <c r="V152" s="2">
        <v>0.35416666666666669</v>
      </c>
      <c r="W152">
        <v>765</v>
      </c>
      <c r="X152">
        <v>1020</v>
      </c>
      <c r="Y152">
        <v>255</v>
      </c>
      <c r="Z152" t="s">
        <v>99</v>
      </c>
      <c r="AA152" t="s">
        <v>93</v>
      </c>
      <c r="AB152" t="s">
        <v>94</v>
      </c>
      <c r="AC152" t="e">
        <f ca="1">-- Grainger Axis standup -- Connected with Dillan to investigate close task errors (PROD bug) -- deployment resolved _xludf.for PROD to UAT deployment</f>
        <v>#NAME?</v>
      </c>
      <c r="AD152" t="s">
        <v>96</v>
      </c>
      <c r="AE152">
        <f t="shared" si="8"/>
        <v>4</v>
      </c>
      <c r="AF152" t="str">
        <f t="shared" si="9"/>
        <v>April</v>
      </c>
    </row>
    <row r="153" spans="1:32">
      <c r="A153" s="1">
        <v>45400</v>
      </c>
      <c r="B153" t="s">
        <v>48</v>
      </c>
      <c r="C153" t="s">
        <v>81</v>
      </c>
      <c r="D153" t="s">
        <v>82</v>
      </c>
      <c r="E153" t="s">
        <v>83</v>
      </c>
      <c r="F153" t="s">
        <v>84</v>
      </c>
      <c r="G153" t="s">
        <v>85</v>
      </c>
      <c r="H153" t="s">
        <v>86</v>
      </c>
      <c r="I153" t="s">
        <v>87</v>
      </c>
      <c r="J153" t="s">
        <v>88</v>
      </c>
      <c r="K153" t="s">
        <v>82</v>
      </c>
      <c r="L153" t="s">
        <v>28</v>
      </c>
      <c r="M153" t="s">
        <v>89</v>
      </c>
      <c r="N153" t="s">
        <v>23</v>
      </c>
      <c r="O153" t="s">
        <v>90</v>
      </c>
      <c r="P153">
        <v>236839</v>
      </c>
      <c r="Q153" t="s">
        <v>12</v>
      </c>
      <c r="R153" t="s">
        <v>98</v>
      </c>
      <c r="S153" t="s">
        <v>92</v>
      </c>
      <c r="T153">
        <v>90</v>
      </c>
      <c r="U153">
        <v>5</v>
      </c>
      <c r="V153" s="2">
        <v>0.20833333333333334</v>
      </c>
      <c r="W153">
        <v>450</v>
      </c>
      <c r="X153">
        <v>600</v>
      </c>
      <c r="Y153">
        <v>150</v>
      </c>
      <c r="Z153" t="s">
        <v>99</v>
      </c>
      <c r="AA153" t="s">
        <v>93</v>
      </c>
      <c r="AB153" t="s">
        <v>94</v>
      </c>
      <c r="AC153" t="e">
        <f ca="1">-- Pre/Post deployment steps -- Data migration</f>
        <v>#NAME?</v>
      </c>
      <c r="AD153" t="s">
        <v>96</v>
      </c>
      <c r="AE153">
        <f t="shared" si="8"/>
        <v>4</v>
      </c>
      <c r="AF153" t="str">
        <f t="shared" si="9"/>
        <v>April</v>
      </c>
    </row>
    <row r="154" spans="1:32">
      <c r="A154" s="1">
        <v>45401</v>
      </c>
      <c r="B154" t="s">
        <v>48</v>
      </c>
      <c r="C154" t="s">
        <v>81</v>
      </c>
      <c r="D154" t="s">
        <v>82</v>
      </c>
      <c r="E154" t="s">
        <v>83</v>
      </c>
      <c r="F154" t="s">
        <v>84</v>
      </c>
      <c r="G154" t="s">
        <v>85</v>
      </c>
      <c r="H154" t="s">
        <v>86</v>
      </c>
      <c r="I154" t="s">
        <v>87</v>
      </c>
      <c r="J154" t="s">
        <v>88</v>
      </c>
      <c r="K154" t="s">
        <v>82</v>
      </c>
      <c r="L154" t="s">
        <v>28</v>
      </c>
      <c r="M154" t="s">
        <v>89</v>
      </c>
      <c r="N154" t="s">
        <v>23</v>
      </c>
      <c r="O154" t="s">
        <v>90</v>
      </c>
      <c r="P154">
        <v>237358</v>
      </c>
      <c r="Q154" t="s">
        <v>12</v>
      </c>
      <c r="R154" t="s">
        <v>98</v>
      </c>
      <c r="S154" t="s">
        <v>92</v>
      </c>
      <c r="T154">
        <v>90</v>
      </c>
      <c r="U154">
        <v>1</v>
      </c>
      <c r="V154" s="2">
        <v>4.1666666666666664E-2</v>
      </c>
      <c r="W154">
        <v>90</v>
      </c>
      <c r="X154">
        <v>120</v>
      </c>
      <c r="Y154">
        <v>30</v>
      </c>
      <c r="Z154" t="s">
        <v>99</v>
      </c>
      <c r="AA154" t="s">
        <v>93</v>
      </c>
      <c r="AB154" t="s">
        <v>94</v>
      </c>
      <c r="AC154" t="e">
        <f ca="1">-- resolved UAT deployment issues after QA feedback</f>
        <v>#NAME?</v>
      </c>
      <c r="AD154" t="s">
        <v>96</v>
      </c>
      <c r="AE154">
        <f t="shared" ref="AE154:AE188" si="10">MONTH(A154)</f>
        <v>4</v>
      </c>
      <c r="AF154" t="str">
        <f t="shared" ref="AF154:AF188" si="11">IF(AE154=1,"January",IF(AE154=2,"February",IF(AE154=3,"March",IF(AE154=4,"April",IF(AE154=5,"May")))))</f>
        <v>April</v>
      </c>
    </row>
    <row r="155" spans="1:32">
      <c r="A155" s="1">
        <v>45357</v>
      </c>
      <c r="B155" t="s">
        <v>23</v>
      </c>
      <c r="C155" t="s">
        <v>126</v>
      </c>
      <c r="D155" t="s">
        <v>82</v>
      </c>
      <c r="E155" t="s">
        <v>83</v>
      </c>
      <c r="F155" t="s">
        <v>84</v>
      </c>
      <c r="G155" t="s">
        <v>85</v>
      </c>
      <c r="H155" t="s">
        <v>86</v>
      </c>
      <c r="I155" t="s">
        <v>87</v>
      </c>
      <c r="J155" t="s">
        <v>88</v>
      </c>
      <c r="K155" t="s">
        <v>82</v>
      </c>
      <c r="L155" t="s">
        <v>28</v>
      </c>
      <c r="M155" t="s">
        <v>89</v>
      </c>
      <c r="N155" t="s">
        <v>128</v>
      </c>
      <c r="O155" t="s">
        <v>90</v>
      </c>
      <c r="P155">
        <v>222230</v>
      </c>
      <c r="Q155" t="s">
        <v>10</v>
      </c>
      <c r="R155" t="s">
        <v>98</v>
      </c>
      <c r="S155" t="s">
        <v>92</v>
      </c>
      <c r="T155">
        <v>90</v>
      </c>
      <c r="U155">
        <v>1.5</v>
      </c>
      <c r="V155" s="2">
        <v>6.25E-2</v>
      </c>
      <c r="W155">
        <v>135</v>
      </c>
      <c r="X155">
        <v>180</v>
      </c>
      <c r="Y155">
        <v>45</v>
      </c>
      <c r="Z155" t="s">
        <v>154</v>
      </c>
      <c r="AA155" t="s">
        <v>93</v>
      </c>
      <c r="AB155" t="s">
        <v>94</v>
      </c>
      <c r="AC155" t="s">
        <v>156</v>
      </c>
      <c r="AD155" t="s">
        <v>96</v>
      </c>
      <c r="AE155">
        <f t="shared" si="10"/>
        <v>3</v>
      </c>
      <c r="AF155" t="str">
        <f t="shared" si="11"/>
        <v>March</v>
      </c>
    </row>
    <row r="156" spans="1:32">
      <c r="A156" s="1">
        <v>45362</v>
      </c>
      <c r="B156" t="s">
        <v>23</v>
      </c>
      <c r="C156" t="s">
        <v>126</v>
      </c>
      <c r="D156" t="s">
        <v>82</v>
      </c>
      <c r="E156" t="s">
        <v>83</v>
      </c>
      <c r="F156" t="s">
        <v>84</v>
      </c>
      <c r="G156" t="s">
        <v>85</v>
      </c>
      <c r="H156" t="s">
        <v>86</v>
      </c>
      <c r="I156" t="s">
        <v>87</v>
      </c>
      <c r="J156" t="s">
        <v>88</v>
      </c>
      <c r="K156" t="s">
        <v>82</v>
      </c>
      <c r="L156" t="s">
        <v>28</v>
      </c>
      <c r="M156" t="s">
        <v>89</v>
      </c>
      <c r="N156" t="s">
        <v>128</v>
      </c>
      <c r="O156" t="s">
        <v>90</v>
      </c>
      <c r="P156">
        <v>223051</v>
      </c>
      <c r="Q156" t="s">
        <v>10</v>
      </c>
      <c r="R156" t="s">
        <v>98</v>
      </c>
      <c r="S156" t="s">
        <v>92</v>
      </c>
      <c r="T156">
        <v>90</v>
      </c>
      <c r="U156">
        <v>1</v>
      </c>
      <c r="V156" s="2">
        <v>4.1666666666666664E-2</v>
      </c>
      <c r="W156">
        <v>90</v>
      </c>
      <c r="X156">
        <v>120</v>
      </c>
      <c r="Y156">
        <v>30</v>
      </c>
      <c r="Z156" t="s">
        <v>154</v>
      </c>
      <c r="AA156" t="s">
        <v>93</v>
      </c>
      <c r="AB156" t="s">
        <v>94</v>
      </c>
      <c r="AC156" t="s">
        <v>157</v>
      </c>
      <c r="AD156" t="s">
        <v>96</v>
      </c>
      <c r="AE156">
        <f t="shared" si="10"/>
        <v>3</v>
      </c>
      <c r="AF156" t="str">
        <f t="shared" si="11"/>
        <v>March</v>
      </c>
    </row>
    <row r="157" spans="1:32">
      <c r="A157" s="1">
        <v>45384</v>
      </c>
      <c r="B157" t="s">
        <v>23</v>
      </c>
      <c r="C157" t="s">
        <v>126</v>
      </c>
      <c r="D157" t="s">
        <v>82</v>
      </c>
      <c r="E157" t="s">
        <v>83</v>
      </c>
      <c r="F157" t="s">
        <v>84</v>
      </c>
      <c r="G157" t="s">
        <v>85</v>
      </c>
      <c r="H157" t="s">
        <v>86</v>
      </c>
      <c r="I157" t="s">
        <v>87</v>
      </c>
      <c r="J157" t="s">
        <v>88</v>
      </c>
      <c r="K157" t="s">
        <v>82</v>
      </c>
      <c r="L157" t="s">
        <v>28</v>
      </c>
      <c r="M157" t="s">
        <v>89</v>
      </c>
      <c r="N157" t="s">
        <v>128</v>
      </c>
      <c r="O157" t="s">
        <v>90</v>
      </c>
      <c r="P157">
        <v>231445</v>
      </c>
      <c r="Q157" t="s">
        <v>10</v>
      </c>
      <c r="R157" t="s">
        <v>98</v>
      </c>
      <c r="S157" t="s">
        <v>92</v>
      </c>
      <c r="T157">
        <v>90</v>
      </c>
      <c r="U157">
        <v>2.25</v>
      </c>
      <c r="V157" s="2">
        <v>9.375E-2</v>
      </c>
      <c r="W157">
        <v>202.5</v>
      </c>
      <c r="X157">
        <v>270</v>
      </c>
      <c r="Y157">
        <v>67.5</v>
      </c>
      <c r="Z157" t="s">
        <v>99</v>
      </c>
      <c r="AA157" t="s">
        <v>93</v>
      </c>
      <c r="AB157" t="s">
        <v>94</v>
      </c>
      <c r="AC157" t="s">
        <v>158</v>
      </c>
      <c r="AD157" t="s">
        <v>96</v>
      </c>
      <c r="AE157">
        <f t="shared" si="10"/>
        <v>4</v>
      </c>
      <c r="AF157" t="str">
        <f t="shared" si="11"/>
        <v>April</v>
      </c>
    </row>
    <row r="158" spans="1:32">
      <c r="A158" s="1">
        <v>45385</v>
      </c>
      <c r="B158" t="s">
        <v>23</v>
      </c>
      <c r="C158" t="s">
        <v>126</v>
      </c>
      <c r="D158" t="s">
        <v>82</v>
      </c>
      <c r="E158" t="s">
        <v>83</v>
      </c>
      <c r="F158" t="s">
        <v>84</v>
      </c>
      <c r="G158" t="s">
        <v>85</v>
      </c>
      <c r="H158" t="s">
        <v>86</v>
      </c>
      <c r="I158" t="s">
        <v>87</v>
      </c>
      <c r="J158" t="s">
        <v>88</v>
      </c>
      <c r="K158" t="s">
        <v>82</v>
      </c>
      <c r="L158" t="s">
        <v>28</v>
      </c>
      <c r="M158" t="s">
        <v>89</v>
      </c>
      <c r="N158" t="s">
        <v>128</v>
      </c>
      <c r="O158" t="s">
        <v>90</v>
      </c>
      <c r="P158">
        <v>231463</v>
      </c>
      <c r="Q158" t="s">
        <v>10</v>
      </c>
      <c r="R158" t="s">
        <v>98</v>
      </c>
      <c r="S158" t="s">
        <v>92</v>
      </c>
      <c r="T158">
        <v>90</v>
      </c>
      <c r="U158">
        <v>0.25</v>
      </c>
      <c r="V158" s="2">
        <v>1.0416666666666666E-2</v>
      </c>
      <c r="W158">
        <v>22.5</v>
      </c>
      <c r="X158">
        <v>30</v>
      </c>
      <c r="Y158">
        <v>7.5</v>
      </c>
      <c r="Z158" t="s">
        <v>99</v>
      </c>
      <c r="AA158" t="s">
        <v>93</v>
      </c>
      <c r="AB158" t="s">
        <v>94</v>
      </c>
      <c r="AC158" t="s">
        <v>159</v>
      </c>
      <c r="AD158" t="s">
        <v>96</v>
      </c>
      <c r="AE158">
        <f t="shared" si="10"/>
        <v>4</v>
      </c>
      <c r="AF158" t="str">
        <f t="shared" si="11"/>
        <v>April</v>
      </c>
    </row>
    <row r="159" spans="1:32">
      <c r="A159" s="1">
        <v>45386</v>
      </c>
      <c r="B159" t="s">
        <v>23</v>
      </c>
      <c r="C159" t="s">
        <v>126</v>
      </c>
      <c r="D159" t="s">
        <v>82</v>
      </c>
      <c r="E159" t="s">
        <v>83</v>
      </c>
      <c r="F159" t="s">
        <v>84</v>
      </c>
      <c r="G159" t="s">
        <v>85</v>
      </c>
      <c r="H159" t="s">
        <v>86</v>
      </c>
      <c r="I159" t="s">
        <v>87</v>
      </c>
      <c r="J159" t="s">
        <v>88</v>
      </c>
      <c r="K159" t="s">
        <v>82</v>
      </c>
      <c r="L159" t="s">
        <v>28</v>
      </c>
      <c r="M159" t="s">
        <v>89</v>
      </c>
      <c r="N159" t="s">
        <v>128</v>
      </c>
      <c r="O159" t="s">
        <v>90</v>
      </c>
      <c r="P159">
        <v>231462</v>
      </c>
      <c r="Q159" t="s">
        <v>10</v>
      </c>
      <c r="R159" t="s">
        <v>98</v>
      </c>
      <c r="S159" t="s">
        <v>92</v>
      </c>
      <c r="T159">
        <v>90</v>
      </c>
      <c r="U159">
        <v>1.25</v>
      </c>
      <c r="V159" s="2">
        <v>5.2083333333333336E-2</v>
      </c>
      <c r="W159">
        <v>112.5</v>
      </c>
      <c r="X159">
        <v>150</v>
      </c>
      <c r="Y159">
        <v>37.5</v>
      </c>
      <c r="Z159" t="s">
        <v>99</v>
      </c>
      <c r="AA159" t="s">
        <v>93</v>
      </c>
      <c r="AB159" t="s">
        <v>94</v>
      </c>
      <c r="AC159" t="s">
        <v>160</v>
      </c>
      <c r="AD159" t="s">
        <v>96</v>
      </c>
      <c r="AE159">
        <f t="shared" si="10"/>
        <v>4</v>
      </c>
      <c r="AF159" t="str">
        <f t="shared" si="11"/>
        <v>April</v>
      </c>
    </row>
    <row r="160" spans="1:32">
      <c r="A160" s="1">
        <v>45387</v>
      </c>
      <c r="B160" t="s">
        <v>23</v>
      </c>
      <c r="C160" t="s">
        <v>126</v>
      </c>
      <c r="D160" t="s">
        <v>82</v>
      </c>
      <c r="E160" t="s">
        <v>83</v>
      </c>
      <c r="F160" t="s">
        <v>84</v>
      </c>
      <c r="G160" t="s">
        <v>85</v>
      </c>
      <c r="H160" t="s">
        <v>86</v>
      </c>
      <c r="I160" t="s">
        <v>87</v>
      </c>
      <c r="J160" t="s">
        <v>88</v>
      </c>
      <c r="K160" t="s">
        <v>82</v>
      </c>
      <c r="L160" t="s">
        <v>28</v>
      </c>
      <c r="M160" t="s">
        <v>89</v>
      </c>
      <c r="N160" t="s">
        <v>128</v>
      </c>
      <c r="O160" t="s">
        <v>90</v>
      </c>
      <c r="P160">
        <v>231464</v>
      </c>
      <c r="Q160" t="s">
        <v>10</v>
      </c>
      <c r="R160" t="s">
        <v>98</v>
      </c>
      <c r="S160" t="s">
        <v>92</v>
      </c>
      <c r="T160">
        <v>90</v>
      </c>
      <c r="U160">
        <v>0.25</v>
      </c>
      <c r="V160" s="2">
        <v>1.0416666666666666E-2</v>
      </c>
      <c r="W160">
        <v>22.5</v>
      </c>
      <c r="X160">
        <v>30</v>
      </c>
      <c r="Y160">
        <v>7.5</v>
      </c>
      <c r="Z160" t="s">
        <v>99</v>
      </c>
      <c r="AA160" t="s">
        <v>93</v>
      </c>
      <c r="AB160" t="s">
        <v>94</v>
      </c>
      <c r="AC160" t="s">
        <v>159</v>
      </c>
      <c r="AD160" t="s">
        <v>96</v>
      </c>
      <c r="AE160">
        <f t="shared" si="10"/>
        <v>4</v>
      </c>
      <c r="AF160" t="str">
        <f t="shared" si="11"/>
        <v>April</v>
      </c>
    </row>
    <row r="161" spans="1:32">
      <c r="A161" s="1">
        <v>45390</v>
      </c>
      <c r="B161" t="s">
        <v>23</v>
      </c>
      <c r="C161" t="s">
        <v>126</v>
      </c>
      <c r="D161" t="s">
        <v>82</v>
      </c>
      <c r="E161" t="s">
        <v>83</v>
      </c>
      <c r="F161" t="s">
        <v>84</v>
      </c>
      <c r="G161" t="s">
        <v>85</v>
      </c>
      <c r="H161" t="s">
        <v>86</v>
      </c>
      <c r="I161" t="s">
        <v>87</v>
      </c>
      <c r="J161" t="s">
        <v>88</v>
      </c>
      <c r="K161" t="s">
        <v>82</v>
      </c>
      <c r="L161" t="s">
        <v>28</v>
      </c>
      <c r="M161" t="s">
        <v>89</v>
      </c>
      <c r="N161" t="s">
        <v>128</v>
      </c>
      <c r="O161" t="s">
        <v>90</v>
      </c>
      <c r="P161">
        <v>233746</v>
      </c>
      <c r="Q161" t="s">
        <v>10</v>
      </c>
      <c r="R161" t="s">
        <v>98</v>
      </c>
      <c r="S161" t="s">
        <v>92</v>
      </c>
      <c r="T161">
        <v>90</v>
      </c>
      <c r="U161">
        <v>0.25</v>
      </c>
      <c r="V161" s="2">
        <v>1.0416666666666666E-2</v>
      </c>
      <c r="W161">
        <v>22.5</v>
      </c>
      <c r="X161">
        <v>30</v>
      </c>
      <c r="Y161">
        <v>7.5</v>
      </c>
      <c r="Z161" t="s">
        <v>99</v>
      </c>
      <c r="AA161" t="s">
        <v>93</v>
      </c>
      <c r="AB161" t="s">
        <v>94</v>
      </c>
      <c r="AC161" t="s">
        <v>159</v>
      </c>
      <c r="AD161" t="s">
        <v>96</v>
      </c>
      <c r="AE161">
        <f t="shared" si="10"/>
        <v>4</v>
      </c>
      <c r="AF161" t="str">
        <f t="shared" si="11"/>
        <v>April</v>
      </c>
    </row>
    <row r="162" spans="1:32">
      <c r="A162" s="1">
        <v>45391</v>
      </c>
      <c r="B162" t="s">
        <v>23</v>
      </c>
      <c r="C162" t="s">
        <v>126</v>
      </c>
      <c r="D162" t="s">
        <v>82</v>
      </c>
      <c r="E162" t="s">
        <v>83</v>
      </c>
      <c r="F162" t="s">
        <v>84</v>
      </c>
      <c r="G162" t="s">
        <v>85</v>
      </c>
      <c r="H162" t="s">
        <v>86</v>
      </c>
      <c r="I162" t="s">
        <v>87</v>
      </c>
      <c r="J162" t="s">
        <v>88</v>
      </c>
      <c r="K162" t="s">
        <v>82</v>
      </c>
      <c r="L162" t="s">
        <v>28</v>
      </c>
      <c r="M162" t="s">
        <v>89</v>
      </c>
      <c r="N162" t="s">
        <v>128</v>
      </c>
      <c r="O162" t="s">
        <v>90</v>
      </c>
      <c r="P162">
        <v>233747</v>
      </c>
      <c r="Q162" t="s">
        <v>10</v>
      </c>
      <c r="R162" t="s">
        <v>98</v>
      </c>
      <c r="S162" t="s">
        <v>92</v>
      </c>
      <c r="T162">
        <v>90</v>
      </c>
      <c r="U162">
        <v>2.25</v>
      </c>
      <c r="V162" s="2">
        <v>9.375E-2</v>
      </c>
      <c r="W162">
        <v>202.5</v>
      </c>
      <c r="X162">
        <v>270</v>
      </c>
      <c r="Y162">
        <v>67.5</v>
      </c>
      <c r="Z162" t="s">
        <v>99</v>
      </c>
      <c r="AA162" t="s">
        <v>93</v>
      </c>
      <c r="AB162" t="s">
        <v>94</v>
      </c>
      <c r="AC162" t="s">
        <v>161</v>
      </c>
      <c r="AD162" t="s">
        <v>96</v>
      </c>
      <c r="AE162">
        <f t="shared" si="10"/>
        <v>4</v>
      </c>
      <c r="AF162" t="str">
        <f t="shared" si="11"/>
        <v>April</v>
      </c>
    </row>
    <row r="163" spans="1:32">
      <c r="A163" s="1">
        <v>45393</v>
      </c>
      <c r="B163" t="s">
        <v>23</v>
      </c>
      <c r="C163" t="s">
        <v>126</v>
      </c>
      <c r="D163" t="s">
        <v>82</v>
      </c>
      <c r="E163" t="s">
        <v>83</v>
      </c>
      <c r="F163" t="s">
        <v>84</v>
      </c>
      <c r="G163" t="s">
        <v>85</v>
      </c>
      <c r="H163" t="s">
        <v>86</v>
      </c>
      <c r="I163" t="s">
        <v>87</v>
      </c>
      <c r="J163" t="s">
        <v>88</v>
      </c>
      <c r="K163" t="s">
        <v>82</v>
      </c>
      <c r="L163" t="s">
        <v>28</v>
      </c>
      <c r="M163" t="s">
        <v>89</v>
      </c>
      <c r="N163" t="s">
        <v>128</v>
      </c>
      <c r="O163" t="s">
        <v>90</v>
      </c>
      <c r="P163">
        <v>234828</v>
      </c>
      <c r="Q163" t="s">
        <v>10</v>
      </c>
      <c r="R163" t="s">
        <v>98</v>
      </c>
      <c r="S163" t="s">
        <v>92</v>
      </c>
      <c r="T163">
        <v>90</v>
      </c>
      <c r="U163">
        <v>0.75</v>
      </c>
      <c r="V163" s="2">
        <v>3.125E-2</v>
      </c>
      <c r="W163">
        <v>67.5</v>
      </c>
      <c r="X163">
        <v>90</v>
      </c>
      <c r="Y163">
        <v>22.5</v>
      </c>
      <c r="Z163" t="s">
        <v>99</v>
      </c>
      <c r="AA163" t="s">
        <v>93</v>
      </c>
      <c r="AB163" t="s">
        <v>94</v>
      </c>
      <c r="AC163" t="s">
        <v>162</v>
      </c>
      <c r="AD163" t="s">
        <v>96</v>
      </c>
      <c r="AE163">
        <f t="shared" si="10"/>
        <v>4</v>
      </c>
      <c r="AF163" t="str">
        <f t="shared" si="11"/>
        <v>April</v>
      </c>
    </row>
    <row r="164" spans="1:32">
      <c r="A164" s="1">
        <v>45406</v>
      </c>
      <c r="B164" t="s">
        <v>23</v>
      </c>
      <c r="C164" t="s">
        <v>126</v>
      </c>
      <c r="D164" t="s">
        <v>82</v>
      </c>
      <c r="E164" t="s">
        <v>83</v>
      </c>
      <c r="F164" t="s">
        <v>84</v>
      </c>
      <c r="G164" t="s">
        <v>85</v>
      </c>
      <c r="H164" t="s">
        <v>86</v>
      </c>
      <c r="I164" t="s">
        <v>87</v>
      </c>
      <c r="J164" t="s">
        <v>88</v>
      </c>
      <c r="K164" t="s">
        <v>82</v>
      </c>
      <c r="L164" t="s">
        <v>28</v>
      </c>
      <c r="M164" t="s">
        <v>89</v>
      </c>
      <c r="N164" t="s">
        <v>128</v>
      </c>
      <c r="O164" t="s">
        <v>90</v>
      </c>
      <c r="P164">
        <v>240654</v>
      </c>
      <c r="Q164" t="s">
        <v>10</v>
      </c>
      <c r="R164" t="s">
        <v>98</v>
      </c>
      <c r="S164" t="s">
        <v>92</v>
      </c>
      <c r="T164">
        <v>90</v>
      </c>
      <c r="U164">
        <v>0.5</v>
      </c>
      <c r="V164" s="2">
        <v>2.0833333333333332E-2</v>
      </c>
      <c r="W164">
        <v>45</v>
      </c>
      <c r="X164">
        <v>60</v>
      </c>
      <c r="Y164">
        <v>15</v>
      </c>
      <c r="Z164" t="s">
        <v>99</v>
      </c>
      <c r="AA164" t="s">
        <v>93</v>
      </c>
      <c r="AB164" t="s">
        <v>94</v>
      </c>
      <c r="AC164" t="s">
        <v>163</v>
      </c>
      <c r="AD164" t="s">
        <v>96</v>
      </c>
      <c r="AE164">
        <f t="shared" si="10"/>
        <v>4</v>
      </c>
      <c r="AF164" t="str">
        <f t="shared" si="11"/>
        <v>April</v>
      </c>
    </row>
    <row r="165" spans="1:32">
      <c r="A165" s="1">
        <v>45411</v>
      </c>
      <c r="B165" t="s">
        <v>23</v>
      </c>
      <c r="C165" t="s">
        <v>126</v>
      </c>
      <c r="D165" t="s">
        <v>82</v>
      </c>
      <c r="E165" t="s">
        <v>83</v>
      </c>
      <c r="F165" t="s">
        <v>84</v>
      </c>
      <c r="G165" t="s">
        <v>85</v>
      </c>
      <c r="H165" t="s">
        <v>86</v>
      </c>
      <c r="I165" t="s">
        <v>87</v>
      </c>
      <c r="J165" t="s">
        <v>88</v>
      </c>
      <c r="K165" t="s">
        <v>82</v>
      </c>
      <c r="L165" t="s">
        <v>28</v>
      </c>
      <c r="M165" t="s">
        <v>89</v>
      </c>
      <c r="N165" t="s">
        <v>128</v>
      </c>
      <c r="O165" t="s">
        <v>90</v>
      </c>
      <c r="P165">
        <v>242197</v>
      </c>
      <c r="Q165" t="s">
        <v>10</v>
      </c>
      <c r="R165" t="s">
        <v>98</v>
      </c>
      <c r="S165" t="s">
        <v>92</v>
      </c>
      <c r="T165">
        <v>90</v>
      </c>
      <c r="U165">
        <v>1.25</v>
      </c>
      <c r="V165" s="2">
        <v>5.2083333333333336E-2</v>
      </c>
      <c r="W165">
        <v>112.5</v>
      </c>
      <c r="X165">
        <v>150</v>
      </c>
      <c r="Y165">
        <v>37.5</v>
      </c>
      <c r="Z165" t="s">
        <v>99</v>
      </c>
      <c r="AA165" t="s">
        <v>93</v>
      </c>
      <c r="AB165" t="s">
        <v>94</v>
      </c>
      <c r="AC165" t="s">
        <v>164</v>
      </c>
      <c r="AD165" t="s">
        <v>96</v>
      </c>
      <c r="AE165">
        <f t="shared" si="10"/>
        <v>4</v>
      </c>
      <c r="AF165" t="str">
        <f t="shared" si="11"/>
        <v>April</v>
      </c>
    </row>
    <row r="166" spans="1:32">
      <c r="A166" s="1">
        <v>45412</v>
      </c>
      <c r="B166" t="s">
        <v>23</v>
      </c>
      <c r="C166" t="s">
        <v>126</v>
      </c>
      <c r="D166" t="s">
        <v>82</v>
      </c>
      <c r="E166" t="s">
        <v>83</v>
      </c>
      <c r="F166" t="s">
        <v>84</v>
      </c>
      <c r="G166" t="s">
        <v>85</v>
      </c>
      <c r="H166" t="s">
        <v>86</v>
      </c>
      <c r="I166" t="s">
        <v>87</v>
      </c>
      <c r="J166" t="s">
        <v>88</v>
      </c>
      <c r="K166" t="s">
        <v>82</v>
      </c>
      <c r="L166" t="s">
        <v>28</v>
      </c>
      <c r="M166" t="s">
        <v>89</v>
      </c>
      <c r="N166" t="s">
        <v>128</v>
      </c>
      <c r="O166" t="s">
        <v>90</v>
      </c>
      <c r="P166">
        <v>242204</v>
      </c>
      <c r="Q166" t="s">
        <v>10</v>
      </c>
      <c r="R166" t="s">
        <v>98</v>
      </c>
      <c r="S166" t="s">
        <v>92</v>
      </c>
      <c r="T166">
        <v>90</v>
      </c>
      <c r="U166">
        <v>1.25</v>
      </c>
      <c r="V166" s="2">
        <v>5.2083333333333336E-2</v>
      </c>
      <c r="W166">
        <v>112.5</v>
      </c>
      <c r="X166">
        <v>150</v>
      </c>
      <c r="Y166">
        <v>37.5</v>
      </c>
      <c r="Z166" t="s">
        <v>99</v>
      </c>
      <c r="AA166" t="s">
        <v>93</v>
      </c>
      <c r="AB166" t="s">
        <v>94</v>
      </c>
      <c r="AC166" t="s">
        <v>165</v>
      </c>
      <c r="AD166" t="s">
        <v>96</v>
      </c>
      <c r="AE166">
        <f t="shared" si="10"/>
        <v>4</v>
      </c>
      <c r="AF166" t="str">
        <f t="shared" si="11"/>
        <v>April</v>
      </c>
    </row>
    <row r="167" spans="1:32">
      <c r="A167" s="1">
        <v>45412</v>
      </c>
      <c r="B167" t="s">
        <v>23</v>
      </c>
      <c r="C167" t="s">
        <v>126</v>
      </c>
      <c r="D167" t="s">
        <v>82</v>
      </c>
      <c r="E167" t="s">
        <v>83</v>
      </c>
      <c r="F167" t="s">
        <v>84</v>
      </c>
      <c r="G167" t="s">
        <v>85</v>
      </c>
      <c r="H167" t="s">
        <v>86</v>
      </c>
      <c r="I167" t="s">
        <v>87</v>
      </c>
      <c r="J167" t="s">
        <v>88</v>
      </c>
      <c r="K167" t="s">
        <v>82</v>
      </c>
      <c r="L167" t="s">
        <v>28</v>
      </c>
      <c r="M167" t="s">
        <v>89</v>
      </c>
      <c r="N167" t="s">
        <v>128</v>
      </c>
      <c r="O167" t="s">
        <v>90</v>
      </c>
      <c r="P167">
        <v>242203</v>
      </c>
      <c r="Q167" t="s">
        <v>11</v>
      </c>
      <c r="R167" t="s">
        <v>91</v>
      </c>
      <c r="S167" t="s">
        <v>92</v>
      </c>
      <c r="T167">
        <v>0</v>
      </c>
      <c r="U167">
        <v>1</v>
      </c>
      <c r="V167" s="2">
        <v>4.1666666666666664E-2</v>
      </c>
      <c r="W167">
        <v>0</v>
      </c>
      <c r="AA167" t="s">
        <v>93</v>
      </c>
      <c r="AB167" t="s">
        <v>94</v>
      </c>
      <c r="AC167" t="s">
        <v>166</v>
      </c>
      <c r="AD167" t="s">
        <v>96</v>
      </c>
      <c r="AE167">
        <f t="shared" si="10"/>
        <v>4</v>
      </c>
      <c r="AF167" t="str">
        <f t="shared" si="11"/>
        <v>April</v>
      </c>
    </row>
    <row r="168" spans="1:32">
      <c r="A168" s="1">
        <v>45378</v>
      </c>
      <c r="B168" t="s">
        <v>28</v>
      </c>
      <c r="C168" t="s">
        <v>126</v>
      </c>
      <c r="D168" t="s">
        <v>82</v>
      </c>
      <c r="E168" t="s">
        <v>127</v>
      </c>
      <c r="F168" t="s">
        <v>84</v>
      </c>
      <c r="G168" t="s">
        <v>85</v>
      </c>
      <c r="H168" t="s">
        <v>86</v>
      </c>
      <c r="I168" t="s">
        <v>87</v>
      </c>
      <c r="J168" t="s">
        <v>88</v>
      </c>
      <c r="K168" t="s">
        <v>82</v>
      </c>
      <c r="L168" t="s">
        <v>28</v>
      </c>
      <c r="M168" t="s">
        <v>89</v>
      </c>
      <c r="N168" t="s">
        <v>128</v>
      </c>
      <c r="O168" t="s">
        <v>90</v>
      </c>
      <c r="P168">
        <v>228823</v>
      </c>
      <c r="Q168" t="s">
        <v>10</v>
      </c>
      <c r="R168" t="s">
        <v>98</v>
      </c>
      <c r="S168" t="s">
        <v>92</v>
      </c>
      <c r="T168">
        <v>90</v>
      </c>
      <c r="U168">
        <v>0.25</v>
      </c>
      <c r="V168" s="2">
        <v>1.0416666666666666E-2</v>
      </c>
      <c r="W168">
        <v>22.5</v>
      </c>
      <c r="X168">
        <v>30</v>
      </c>
      <c r="Y168">
        <v>7.5</v>
      </c>
      <c r="Z168" t="s">
        <v>154</v>
      </c>
      <c r="AA168" t="s">
        <v>93</v>
      </c>
      <c r="AB168" t="s">
        <v>94</v>
      </c>
      <c r="AC168" t="s">
        <v>167</v>
      </c>
      <c r="AD168" t="s">
        <v>96</v>
      </c>
      <c r="AE168">
        <f t="shared" si="10"/>
        <v>3</v>
      </c>
      <c r="AF168" t="str">
        <f t="shared" si="11"/>
        <v>March</v>
      </c>
    </row>
    <row r="169" spans="1:32">
      <c r="A169" s="1">
        <v>45378</v>
      </c>
      <c r="B169" t="s">
        <v>28</v>
      </c>
      <c r="C169" t="s">
        <v>126</v>
      </c>
      <c r="D169" t="s">
        <v>82</v>
      </c>
      <c r="E169" t="s">
        <v>127</v>
      </c>
      <c r="F169" t="s">
        <v>84</v>
      </c>
      <c r="G169" t="s">
        <v>85</v>
      </c>
      <c r="H169" t="s">
        <v>86</v>
      </c>
      <c r="I169" t="s">
        <v>87</v>
      </c>
      <c r="J169" t="s">
        <v>88</v>
      </c>
      <c r="K169" t="s">
        <v>82</v>
      </c>
      <c r="L169" t="s">
        <v>28</v>
      </c>
      <c r="M169" t="s">
        <v>89</v>
      </c>
      <c r="N169" t="s">
        <v>128</v>
      </c>
      <c r="O169" t="s">
        <v>90</v>
      </c>
      <c r="P169">
        <v>228824</v>
      </c>
      <c r="Q169" t="s">
        <v>11</v>
      </c>
      <c r="R169" t="s">
        <v>91</v>
      </c>
      <c r="S169" t="s">
        <v>92</v>
      </c>
      <c r="T169">
        <v>0</v>
      </c>
      <c r="U169">
        <v>0.5</v>
      </c>
      <c r="V169" s="2">
        <v>2.0833333333333332E-2</v>
      </c>
      <c r="W169">
        <v>0</v>
      </c>
      <c r="AA169" t="s">
        <v>93</v>
      </c>
      <c r="AB169" t="s">
        <v>94</v>
      </c>
      <c r="AC169" t="s">
        <v>168</v>
      </c>
      <c r="AD169" t="s">
        <v>96</v>
      </c>
      <c r="AE169">
        <f t="shared" si="10"/>
        <v>3</v>
      </c>
      <c r="AF169" t="str">
        <f t="shared" si="11"/>
        <v>March</v>
      </c>
    </row>
    <row r="170" spans="1:32">
      <c r="A170" s="1">
        <v>45379</v>
      </c>
      <c r="B170" t="s">
        <v>28</v>
      </c>
      <c r="C170" t="s">
        <v>126</v>
      </c>
      <c r="D170" t="s">
        <v>82</v>
      </c>
      <c r="E170" t="s">
        <v>127</v>
      </c>
      <c r="F170" t="s">
        <v>84</v>
      </c>
      <c r="G170" t="s">
        <v>85</v>
      </c>
      <c r="H170" t="s">
        <v>86</v>
      </c>
      <c r="I170" t="s">
        <v>87</v>
      </c>
      <c r="J170" t="s">
        <v>88</v>
      </c>
      <c r="K170" t="s">
        <v>82</v>
      </c>
      <c r="L170" t="s">
        <v>28</v>
      </c>
      <c r="M170" t="s">
        <v>89</v>
      </c>
      <c r="N170" t="s">
        <v>128</v>
      </c>
      <c r="O170" t="s">
        <v>90</v>
      </c>
      <c r="P170">
        <v>229552</v>
      </c>
      <c r="Q170" t="s">
        <v>11</v>
      </c>
      <c r="R170" t="s">
        <v>91</v>
      </c>
      <c r="S170" t="s">
        <v>92</v>
      </c>
      <c r="T170">
        <v>0</v>
      </c>
      <c r="U170">
        <v>1</v>
      </c>
      <c r="V170" s="2">
        <v>4.1666666666666664E-2</v>
      </c>
      <c r="W170">
        <v>0</v>
      </c>
      <c r="AA170" t="s">
        <v>93</v>
      </c>
      <c r="AB170" t="s">
        <v>94</v>
      </c>
      <c r="AC170" t="s">
        <v>128</v>
      </c>
      <c r="AD170" t="s">
        <v>96</v>
      </c>
      <c r="AE170">
        <f t="shared" si="10"/>
        <v>3</v>
      </c>
      <c r="AF170" t="str">
        <f t="shared" si="11"/>
        <v>March</v>
      </c>
    </row>
    <row r="171" spans="1:32">
      <c r="A171" s="1">
        <v>45384</v>
      </c>
      <c r="B171" t="s">
        <v>28</v>
      </c>
      <c r="C171" t="s">
        <v>126</v>
      </c>
      <c r="D171" t="s">
        <v>82</v>
      </c>
      <c r="E171" t="s">
        <v>127</v>
      </c>
      <c r="F171" t="s">
        <v>84</v>
      </c>
      <c r="G171" t="s">
        <v>85</v>
      </c>
      <c r="H171" t="s">
        <v>86</v>
      </c>
      <c r="I171" t="s">
        <v>87</v>
      </c>
      <c r="J171" t="s">
        <v>88</v>
      </c>
      <c r="K171" t="s">
        <v>82</v>
      </c>
      <c r="L171" t="s">
        <v>28</v>
      </c>
      <c r="M171" t="s">
        <v>89</v>
      </c>
      <c r="N171" t="s">
        <v>128</v>
      </c>
      <c r="O171" t="s">
        <v>90</v>
      </c>
      <c r="P171">
        <v>230406</v>
      </c>
      <c r="Q171" t="s">
        <v>10</v>
      </c>
      <c r="R171" t="s">
        <v>98</v>
      </c>
      <c r="S171" t="s">
        <v>92</v>
      </c>
      <c r="T171">
        <v>90</v>
      </c>
      <c r="U171">
        <v>0.25</v>
      </c>
      <c r="V171" s="2">
        <v>1.0416666666666666E-2</v>
      </c>
      <c r="W171">
        <v>22.5</v>
      </c>
      <c r="X171">
        <v>30</v>
      </c>
      <c r="Y171">
        <v>7.5</v>
      </c>
      <c r="Z171" t="s">
        <v>99</v>
      </c>
      <c r="AA171" t="s">
        <v>93</v>
      </c>
      <c r="AB171" t="s">
        <v>94</v>
      </c>
      <c r="AC171" t="s">
        <v>128</v>
      </c>
      <c r="AD171" t="s">
        <v>96</v>
      </c>
      <c r="AE171">
        <f t="shared" si="10"/>
        <v>4</v>
      </c>
      <c r="AF171" t="str">
        <f t="shared" si="11"/>
        <v>April</v>
      </c>
    </row>
    <row r="172" spans="1:32">
      <c r="A172" s="1">
        <v>45385</v>
      </c>
      <c r="B172" t="s">
        <v>28</v>
      </c>
      <c r="C172" t="s">
        <v>126</v>
      </c>
      <c r="D172" t="s">
        <v>82</v>
      </c>
      <c r="E172" t="s">
        <v>127</v>
      </c>
      <c r="F172" t="s">
        <v>84</v>
      </c>
      <c r="G172" t="s">
        <v>85</v>
      </c>
      <c r="H172" t="s">
        <v>86</v>
      </c>
      <c r="I172" t="s">
        <v>87</v>
      </c>
      <c r="J172" t="s">
        <v>88</v>
      </c>
      <c r="K172" t="s">
        <v>82</v>
      </c>
      <c r="L172" t="s">
        <v>28</v>
      </c>
      <c r="M172" t="s">
        <v>89</v>
      </c>
      <c r="N172" t="s">
        <v>128</v>
      </c>
      <c r="O172" t="s">
        <v>90</v>
      </c>
      <c r="P172">
        <v>230870</v>
      </c>
      <c r="Q172" t="s">
        <v>10</v>
      </c>
      <c r="R172" t="s">
        <v>98</v>
      </c>
      <c r="S172" t="s">
        <v>92</v>
      </c>
      <c r="T172">
        <v>90</v>
      </c>
      <c r="U172">
        <v>0.25</v>
      </c>
      <c r="V172" s="2">
        <v>1.0416666666666666E-2</v>
      </c>
      <c r="W172">
        <v>22.5</v>
      </c>
      <c r="X172">
        <v>30</v>
      </c>
      <c r="Y172">
        <v>7.5</v>
      </c>
      <c r="Z172" t="s">
        <v>99</v>
      </c>
      <c r="AA172" t="s">
        <v>93</v>
      </c>
      <c r="AB172" t="s">
        <v>94</v>
      </c>
      <c r="AC172" t="s">
        <v>128</v>
      </c>
      <c r="AD172" t="s">
        <v>96</v>
      </c>
      <c r="AE172">
        <f t="shared" si="10"/>
        <v>4</v>
      </c>
      <c r="AF172" t="str">
        <f t="shared" si="11"/>
        <v>April</v>
      </c>
    </row>
    <row r="173" spans="1:32">
      <c r="A173" s="1">
        <v>45386</v>
      </c>
      <c r="B173" t="s">
        <v>28</v>
      </c>
      <c r="C173" t="s">
        <v>126</v>
      </c>
      <c r="D173" t="s">
        <v>82</v>
      </c>
      <c r="E173" t="s">
        <v>127</v>
      </c>
      <c r="F173" t="s">
        <v>84</v>
      </c>
      <c r="G173" t="s">
        <v>85</v>
      </c>
      <c r="H173" t="s">
        <v>86</v>
      </c>
      <c r="I173" t="s">
        <v>87</v>
      </c>
      <c r="J173" t="s">
        <v>88</v>
      </c>
      <c r="K173" t="s">
        <v>82</v>
      </c>
      <c r="L173" t="s">
        <v>28</v>
      </c>
      <c r="M173" t="s">
        <v>89</v>
      </c>
      <c r="N173" t="s">
        <v>128</v>
      </c>
      <c r="O173" t="s">
        <v>90</v>
      </c>
      <c r="P173">
        <v>231545</v>
      </c>
      <c r="Q173" t="s">
        <v>10</v>
      </c>
      <c r="R173" t="s">
        <v>98</v>
      </c>
      <c r="S173" t="s">
        <v>92</v>
      </c>
      <c r="T173">
        <v>90</v>
      </c>
      <c r="U173">
        <v>0.5</v>
      </c>
      <c r="V173" s="2">
        <v>2.0833333333333332E-2</v>
      </c>
      <c r="W173">
        <v>45</v>
      </c>
      <c r="X173">
        <v>60</v>
      </c>
      <c r="Y173">
        <v>15</v>
      </c>
      <c r="Z173" t="s">
        <v>99</v>
      </c>
      <c r="AA173" t="s">
        <v>93</v>
      </c>
      <c r="AB173" t="s">
        <v>94</v>
      </c>
      <c r="AC173" t="s">
        <v>128</v>
      </c>
      <c r="AD173" t="s">
        <v>96</v>
      </c>
      <c r="AE173">
        <f t="shared" si="10"/>
        <v>4</v>
      </c>
      <c r="AF173" t="str">
        <f t="shared" si="11"/>
        <v>April</v>
      </c>
    </row>
    <row r="174" spans="1:32">
      <c r="A174" s="1">
        <v>45387</v>
      </c>
      <c r="B174" t="s">
        <v>28</v>
      </c>
      <c r="C174" t="s">
        <v>126</v>
      </c>
      <c r="D174" t="s">
        <v>82</v>
      </c>
      <c r="E174" t="s">
        <v>127</v>
      </c>
      <c r="F174" t="s">
        <v>84</v>
      </c>
      <c r="G174" t="s">
        <v>85</v>
      </c>
      <c r="H174" t="s">
        <v>86</v>
      </c>
      <c r="I174" t="s">
        <v>87</v>
      </c>
      <c r="J174" t="s">
        <v>88</v>
      </c>
      <c r="K174" t="s">
        <v>82</v>
      </c>
      <c r="L174" t="s">
        <v>28</v>
      </c>
      <c r="M174" t="s">
        <v>89</v>
      </c>
      <c r="N174" t="s">
        <v>128</v>
      </c>
      <c r="O174" t="s">
        <v>90</v>
      </c>
      <c r="P174">
        <v>231550</v>
      </c>
      <c r="Q174" t="s">
        <v>10</v>
      </c>
      <c r="R174" t="s">
        <v>98</v>
      </c>
      <c r="S174" t="s">
        <v>92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99</v>
      </c>
      <c r="AA174" t="s">
        <v>93</v>
      </c>
      <c r="AB174" t="s">
        <v>94</v>
      </c>
      <c r="AC174" t="s">
        <v>128</v>
      </c>
      <c r="AD174" t="s">
        <v>96</v>
      </c>
      <c r="AE174">
        <f t="shared" si="10"/>
        <v>4</v>
      </c>
      <c r="AF174" t="str">
        <f t="shared" si="11"/>
        <v>April</v>
      </c>
    </row>
    <row r="175" spans="1:32">
      <c r="A175" s="1">
        <v>45390</v>
      </c>
      <c r="B175" t="s">
        <v>28</v>
      </c>
      <c r="C175" t="s">
        <v>126</v>
      </c>
      <c r="D175" t="s">
        <v>82</v>
      </c>
      <c r="E175" t="s">
        <v>127</v>
      </c>
      <c r="F175" t="s">
        <v>84</v>
      </c>
      <c r="G175" t="s">
        <v>85</v>
      </c>
      <c r="H175" t="s">
        <v>86</v>
      </c>
      <c r="I175" t="s">
        <v>87</v>
      </c>
      <c r="J175" t="s">
        <v>88</v>
      </c>
      <c r="K175" t="s">
        <v>82</v>
      </c>
      <c r="L175" t="s">
        <v>28</v>
      </c>
      <c r="M175" t="s">
        <v>89</v>
      </c>
      <c r="N175" t="s">
        <v>128</v>
      </c>
      <c r="O175" t="s">
        <v>90</v>
      </c>
      <c r="P175">
        <v>232523</v>
      </c>
      <c r="Q175" t="s">
        <v>10</v>
      </c>
      <c r="R175" t="s">
        <v>98</v>
      </c>
      <c r="S175" t="s">
        <v>92</v>
      </c>
      <c r="T175">
        <v>90</v>
      </c>
      <c r="U175">
        <v>0.25</v>
      </c>
      <c r="V175" s="2">
        <v>1.0416666666666666E-2</v>
      </c>
      <c r="W175">
        <v>22.5</v>
      </c>
      <c r="X175">
        <v>30</v>
      </c>
      <c r="Y175">
        <v>7.5</v>
      </c>
      <c r="Z175" t="s">
        <v>99</v>
      </c>
      <c r="AA175" t="s">
        <v>93</v>
      </c>
      <c r="AB175" t="s">
        <v>94</v>
      </c>
      <c r="AC175" t="s">
        <v>128</v>
      </c>
      <c r="AD175" t="s">
        <v>96</v>
      </c>
      <c r="AE175">
        <f t="shared" si="10"/>
        <v>4</v>
      </c>
      <c r="AF175" t="str">
        <f t="shared" si="11"/>
        <v>April</v>
      </c>
    </row>
    <row r="176" spans="1:32">
      <c r="A176" s="1">
        <v>45391</v>
      </c>
      <c r="B176" t="s">
        <v>28</v>
      </c>
      <c r="C176" t="s">
        <v>126</v>
      </c>
      <c r="D176" t="s">
        <v>82</v>
      </c>
      <c r="E176" t="s">
        <v>127</v>
      </c>
      <c r="F176" t="s">
        <v>84</v>
      </c>
      <c r="G176" t="s">
        <v>85</v>
      </c>
      <c r="H176" t="s">
        <v>86</v>
      </c>
      <c r="I176" t="s">
        <v>87</v>
      </c>
      <c r="J176" t="s">
        <v>88</v>
      </c>
      <c r="K176" t="s">
        <v>82</v>
      </c>
      <c r="L176" t="s">
        <v>28</v>
      </c>
      <c r="M176" t="s">
        <v>89</v>
      </c>
      <c r="N176" t="s">
        <v>128</v>
      </c>
      <c r="O176" t="s">
        <v>90</v>
      </c>
      <c r="P176">
        <v>233121</v>
      </c>
      <c r="Q176" t="s">
        <v>10</v>
      </c>
      <c r="R176" t="s">
        <v>98</v>
      </c>
      <c r="S176" t="s">
        <v>92</v>
      </c>
      <c r="T176">
        <v>90</v>
      </c>
      <c r="U176">
        <v>0.25</v>
      </c>
      <c r="V176" s="2">
        <v>1.0416666666666666E-2</v>
      </c>
      <c r="W176">
        <v>22.5</v>
      </c>
      <c r="X176">
        <v>30</v>
      </c>
      <c r="Y176">
        <v>7.5</v>
      </c>
      <c r="Z176" t="s">
        <v>99</v>
      </c>
      <c r="AA176" t="s">
        <v>93</v>
      </c>
      <c r="AB176" t="s">
        <v>94</v>
      </c>
      <c r="AC176" t="s">
        <v>128</v>
      </c>
      <c r="AD176" t="s">
        <v>96</v>
      </c>
      <c r="AE176">
        <f t="shared" si="10"/>
        <v>4</v>
      </c>
      <c r="AF176" t="str">
        <f t="shared" si="11"/>
        <v>April</v>
      </c>
    </row>
    <row r="177" spans="1:32">
      <c r="A177" s="1">
        <v>45391</v>
      </c>
      <c r="B177" t="s">
        <v>28</v>
      </c>
      <c r="C177" t="s">
        <v>126</v>
      </c>
      <c r="D177" t="s">
        <v>82</v>
      </c>
      <c r="E177" t="s">
        <v>127</v>
      </c>
      <c r="F177" t="s">
        <v>84</v>
      </c>
      <c r="G177" t="s">
        <v>85</v>
      </c>
      <c r="H177" t="s">
        <v>86</v>
      </c>
      <c r="I177" t="s">
        <v>87</v>
      </c>
      <c r="J177" t="s">
        <v>88</v>
      </c>
      <c r="K177" t="s">
        <v>82</v>
      </c>
      <c r="L177" t="s">
        <v>28</v>
      </c>
      <c r="M177" t="s">
        <v>89</v>
      </c>
      <c r="N177" t="s">
        <v>128</v>
      </c>
      <c r="O177" t="s">
        <v>90</v>
      </c>
      <c r="P177">
        <v>233128</v>
      </c>
      <c r="Q177" t="s">
        <v>11</v>
      </c>
      <c r="R177" t="s">
        <v>91</v>
      </c>
      <c r="S177" t="s">
        <v>92</v>
      </c>
      <c r="T177">
        <v>0</v>
      </c>
      <c r="U177">
        <v>0.5</v>
      </c>
      <c r="V177" s="2">
        <v>2.0833333333333332E-2</v>
      </c>
      <c r="W177">
        <v>0</v>
      </c>
      <c r="AA177" t="s">
        <v>93</v>
      </c>
      <c r="AB177" t="s">
        <v>94</v>
      </c>
      <c r="AC177" t="s">
        <v>128</v>
      </c>
      <c r="AD177" t="s">
        <v>96</v>
      </c>
      <c r="AE177">
        <f t="shared" si="10"/>
        <v>4</v>
      </c>
      <c r="AF177" t="str">
        <f t="shared" si="11"/>
        <v>April</v>
      </c>
    </row>
    <row r="178" spans="1:32">
      <c r="A178" s="1">
        <v>45392</v>
      </c>
      <c r="B178" t="s">
        <v>28</v>
      </c>
      <c r="C178" t="s">
        <v>126</v>
      </c>
      <c r="D178" t="s">
        <v>82</v>
      </c>
      <c r="E178" t="s">
        <v>127</v>
      </c>
      <c r="F178" t="s">
        <v>84</v>
      </c>
      <c r="G178" t="s">
        <v>85</v>
      </c>
      <c r="H178" t="s">
        <v>86</v>
      </c>
      <c r="I178" t="s">
        <v>87</v>
      </c>
      <c r="J178" t="s">
        <v>88</v>
      </c>
      <c r="K178" t="s">
        <v>82</v>
      </c>
      <c r="L178" t="s">
        <v>28</v>
      </c>
      <c r="M178" t="s">
        <v>89</v>
      </c>
      <c r="N178" t="s">
        <v>128</v>
      </c>
      <c r="O178" t="s">
        <v>90</v>
      </c>
      <c r="P178">
        <v>233820</v>
      </c>
      <c r="Q178" t="s">
        <v>10</v>
      </c>
      <c r="R178" t="s">
        <v>98</v>
      </c>
      <c r="S178" t="s">
        <v>92</v>
      </c>
      <c r="T178">
        <v>90</v>
      </c>
      <c r="U178">
        <v>0.25</v>
      </c>
      <c r="V178" s="2">
        <v>1.0416666666666666E-2</v>
      </c>
      <c r="W178">
        <v>22.5</v>
      </c>
      <c r="X178">
        <v>30</v>
      </c>
      <c r="Y178">
        <v>7.5</v>
      </c>
      <c r="Z178" t="s">
        <v>99</v>
      </c>
      <c r="AA178" t="s">
        <v>93</v>
      </c>
      <c r="AB178" t="s">
        <v>94</v>
      </c>
      <c r="AC178" t="s">
        <v>128</v>
      </c>
      <c r="AD178" t="s">
        <v>96</v>
      </c>
      <c r="AE178">
        <f t="shared" si="10"/>
        <v>4</v>
      </c>
      <c r="AF178" t="str">
        <f t="shared" si="11"/>
        <v>April</v>
      </c>
    </row>
    <row r="179" spans="1:32">
      <c r="A179" s="1">
        <v>45393</v>
      </c>
      <c r="B179" t="s">
        <v>28</v>
      </c>
      <c r="C179" t="s">
        <v>126</v>
      </c>
      <c r="D179" t="s">
        <v>82</v>
      </c>
      <c r="E179" t="s">
        <v>127</v>
      </c>
      <c r="F179" t="s">
        <v>84</v>
      </c>
      <c r="G179" t="s">
        <v>85</v>
      </c>
      <c r="H179" t="s">
        <v>86</v>
      </c>
      <c r="I179" t="s">
        <v>87</v>
      </c>
      <c r="J179" t="s">
        <v>88</v>
      </c>
      <c r="K179" t="s">
        <v>82</v>
      </c>
      <c r="L179" t="s">
        <v>28</v>
      </c>
      <c r="M179" t="s">
        <v>89</v>
      </c>
      <c r="N179" t="s">
        <v>128</v>
      </c>
      <c r="O179" t="s">
        <v>90</v>
      </c>
      <c r="P179">
        <v>234262</v>
      </c>
      <c r="Q179" t="s">
        <v>10</v>
      </c>
      <c r="R179" t="s">
        <v>98</v>
      </c>
      <c r="S179" t="s">
        <v>92</v>
      </c>
      <c r="T179">
        <v>90</v>
      </c>
      <c r="U179">
        <v>0.75</v>
      </c>
      <c r="V179" s="2">
        <v>3.125E-2</v>
      </c>
      <c r="W179">
        <v>67.5</v>
      </c>
      <c r="X179">
        <v>90</v>
      </c>
      <c r="Y179">
        <v>22.5</v>
      </c>
      <c r="Z179" t="s">
        <v>99</v>
      </c>
      <c r="AA179" t="s">
        <v>93</v>
      </c>
      <c r="AB179" t="s">
        <v>94</v>
      </c>
      <c r="AC179" t="s">
        <v>128</v>
      </c>
      <c r="AD179" t="s">
        <v>96</v>
      </c>
      <c r="AE179">
        <f t="shared" si="10"/>
        <v>4</v>
      </c>
      <c r="AF179" t="str">
        <f t="shared" si="11"/>
        <v>April</v>
      </c>
    </row>
    <row r="180" spans="1:32">
      <c r="A180" s="1">
        <v>45394</v>
      </c>
      <c r="B180" t="s">
        <v>28</v>
      </c>
      <c r="C180" t="s">
        <v>126</v>
      </c>
      <c r="D180" t="s">
        <v>82</v>
      </c>
      <c r="E180" t="s">
        <v>127</v>
      </c>
      <c r="F180" t="s">
        <v>84</v>
      </c>
      <c r="G180" t="s">
        <v>85</v>
      </c>
      <c r="H180" t="s">
        <v>86</v>
      </c>
      <c r="I180" t="s">
        <v>87</v>
      </c>
      <c r="J180" t="s">
        <v>88</v>
      </c>
      <c r="K180" t="s">
        <v>82</v>
      </c>
      <c r="L180" t="s">
        <v>28</v>
      </c>
      <c r="M180" t="s">
        <v>89</v>
      </c>
      <c r="N180" t="s">
        <v>128</v>
      </c>
      <c r="O180" t="s">
        <v>90</v>
      </c>
      <c r="P180">
        <v>234429</v>
      </c>
      <c r="Q180" t="s">
        <v>10</v>
      </c>
      <c r="R180" t="s">
        <v>98</v>
      </c>
      <c r="S180" t="s">
        <v>92</v>
      </c>
      <c r="T180">
        <v>90</v>
      </c>
      <c r="U180">
        <v>0.5</v>
      </c>
      <c r="V180" s="2">
        <v>2.0833333333333332E-2</v>
      </c>
      <c r="W180">
        <v>45</v>
      </c>
      <c r="X180">
        <v>60</v>
      </c>
      <c r="Y180">
        <v>15</v>
      </c>
      <c r="Z180" t="s">
        <v>99</v>
      </c>
      <c r="AA180" t="s">
        <v>93</v>
      </c>
      <c r="AB180" t="s">
        <v>94</v>
      </c>
      <c r="AC180" t="s">
        <v>128</v>
      </c>
      <c r="AD180" t="s">
        <v>96</v>
      </c>
      <c r="AE180">
        <f t="shared" si="10"/>
        <v>4</v>
      </c>
      <c r="AF180" t="str">
        <f t="shared" si="11"/>
        <v>April</v>
      </c>
    </row>
    <row r="181" spans="1:32">
      <c r="A181" s="1">
        <v>45397</v>
      </c>
      <c r="B181" t="s">
        <v>28</v>
      </c>
      <c r="C181" t="s">
        <v>126</v>
      </c>
      <c r="D181" t="s">
        <v>82</v>
      </c>
      <c r="E181" t="s">
        <v>127</v>
      </c>
      <c r="F181" t="s">
        <v>84</v>
      </c>
      <c r="G181" t="s">
        <v>85</v>
      </c>
      <c r="H181" t="s">
        <v>86</v>
      </c>
      <c r="I181" t="s">
        <v>87</v>
      </c>
      <c r="J181" t="s">
        <v>88</v>
      </c>
      <c r="K181" t="s">
        <v>82</v>
      </c>
      <c r="L181" t="s">
        <v>28</v>
      </c>
      <c r="M181" t="s">
        <v>89</v>
      </c>
      <c r="N181" t="s">
        <v>128</v>
      </c>
      <c r="O181" t="s">
        <v>90</v>
      </c>
      <c r="P181">
        <v>235323</v>
      </c>
      <c r="Q181" t="s">
        <v>10</v>
      </c>
      <c r="R181" t="s">
        <v>98</v>
      </c>
      <c r="S181" t="s">
        <v>92</v>
      </c>
      <c r="T181">
        <v>90</v>
      </c>
      <c r="U181">
        <v>0.25</v>
      </c>
      <c r="V181" s="2">
        <v>1.0416666666666666E-2</v>
      </c>
      <c r="W181">
        <v>22.5</v>
      </c>
      <c r="X181">
        <v>30</v>
      </c>
      <c r="Y181">
        <v>7.5</v>
      </c>
      <c r="Z181" t="s">
        <v>99</v>
      </c>
      <c r="AA181" t="s">
        <v>93</v>
      </c>
      <c r="AB181" t="s">
        <v>94</v>
      </c>
      <c r="AC181" t="s">
        <v>128</v>
      </c>
      <c r="AD181" t="s">
        <v>96</v>
      </c>
      <c r="AE181">
        <f t="shared" si="10"/>
        <v>4</v>
      </c>
      <c r="AF181" t="str">
        <f t="shared" si="11"/>
        <v>April</v>
      </c>
    </row>
    <row r="182" spans="1:32">
      <c r="A182" s="1">
        <v>45398</v>
      </c>
      <c r="B182" t="s">
        <v>28</v>
      </c>
      <c r="C182" t="s">
        <v>126</v>
      </c>
      <c r="D182" t="s">
        <v>82</v>
      </c>
      <c r="E182" t="s">
        <v>127</v>
      </c>
      <c r="F182" t="s">
        <v>84</v>
      </c>
      <c r="G182" t="s">
        <v>85</v>
      </c>
      <c r="H182" t="s">
        <v>86</v>
      </c>
      <c r="I182" t="s">
        <v>87</v>
      </c>
      <c r="J182" t="s">
        <v>88</v>
      </c>
      <c r="K182" t="s">
        <v>82</v>
      </c>
      <c r="L182" t="s">
        <v>28</v>
      </c>
      <c r="M182" t="s">
        <v>89</v>
      </c>
      <c r="N182" t="s">
        <v>128</v>
      </c>
      <c r="O182" t="s">
        <v>90</v>
      </c>
      <c r="P182">
        <v>235995</v>
      </c>
      <c r="Q182" t="s">
        <v>10</v>
      </c>
      <c r="R182" t="s">
        <v>98</v>
      </c>
      <c r="S182" t="s">
        <v>92</v>
      </c>
      <c r="T182">
        <v>90</v>
      </c>
      <c r="U182">
        <v>0.75</v>
      </c>
      <c r="V182" s="2">
        <v>3.125E-2</v>
      </c>
      <c r="W182">
        <v>67.5</v>
      </c>
      <c r="X182">
        <v>90</v>
      </c>
      <c r="Y182">
        <v>22.5</v>
      </c>
      <c r="Z182" t="s">
        <v>99</v>
      </c>
      <c r="AA182" t="s">
        <v>93</v>
      </c>
      <c r="AB182" t="s">
        <v>94</v>
      </c>
      <c r="AC182" t="s">
        <v>128</v>
      </c>
      <c r="AD182" t="s">
        <v>96</v>
      </c>
      <c r="AE182">
        <f t="shared" si="10"/>
        <v>4</v>
      </c>
      <c r="AF182" t="str">
        <f t="shared" si="11"/>
        <v>April</v>
      </c>
    </row>
    <row r="183" spans="1:32">
      <c r="A183" s="1">
        <v>45399</v>
      </c>
      <c r="B183" t="s">
        <v>28</v>
      </c>
      <c r="C183" t="s">
        <v>126</v>
      </c>
      <c r="D183" t="s">
        <v>82</v>
      </c>
      <c r="E183" t="s">
        <v>127</v>
      </c>
      <c r="F183" t="s">
        <v>84</v>
      </c>
      <c r="G183" t="s">
        <v>85</v>
      </c>
      <c r="H183" t="s">
        <v>86</v>
      </c>
      <c r="I183" t="s">
        <v>87</v>
      </c>
      <c r="J183" t="s">
        <v>88</v>
      </c>
      <c r="K183" t="s">
        <v>82</v>
      </c>
      <c r="L183" t="s">
        <v>28</v>
      </c>
      <c r="M183" t="s">
        <v>89</v>
      </c>
      <c r="N183" t="s">
        <v>128</v>
      </c>
      <c r="O183" t="s">
        <v>90</v>
      </c>
      <c r="P183">
        <v>236706</v>
      </c>
      <c r="Q183" t="s">
        <v>10</v>
      </c>
      <c r="R183" t="s">
        <v>98</v>
      </c>
      <c r="S183" t="s">
        <v>92</v>
      </c>
      <c r="T183">
        <v>90</v>
      </c>
      <c r="U183">
        <v>0.5</v>
      </c>
      <c r="V183" s="2">
        <v>2.0833333333333332E-2</v>
      </c>
      <c r="W183">
        <v>45</v>
      </c>
      <c r="X183">
        <v>60</v>
      </c>
      <c r="Y183">
        <v>15</v>
      </c>
      <c r="Z183" t="s">
        <v>99</v>
      </c>
      <c r="AA183" t="s">
        <v>93</v>
      </c>
      <c r="AB183" t="s">
        <v>94</v>
      </c>
      <c r="AC183" t="s">
        <v>128</v>
      </c>
      <c r="AD183" t="s">
        <v>96</v>
      </c>
      <c r="AE183">
        <f t="shared" si="10"/>
        <v>4</v>
      </c>
      <c r="AF183" t="str">
        <f t="shared" si="11"/>
        <v>April</v>
      </c>
    </row>
    <row r="184" spans="1:32">
      <c r="A184" s="1">
        <v>45400</v>
      </c>
      <c r="B184" t="s">
        <v>28</v>
      </c>
      <c r="C184" t="s">
        <v>126</v>
      </c>
      <c r="D184" t="s">
        <v>82</v>
      </c>
      <c r="E184" t="s">
        <v>127</v>
      </c>
      <c r="F184" t="s">
        <v>84</v>
      </c>
      <c r="G184" t="s">
        <v>85</v>
      </c>
      <c r="H184" t="s">
        <v>86</v>
      </c>
      <c r="I184" t="s">
        <v>87</v>
      </c>
      <c r="J184" t="s">
        <v>88</v>
      </c>
      <c r="K184" t="s">
        <v>82</v>
      </c>
      <c r="L184" t="s">
        <v>28</v>
      </c>
      <c r="M184" t="s">
        <v>89</v>
      </c>
      <c r="N184" t="s">
        <v>128</v>
      </c>
      <c r="O184" t="s">
        <v>90</v>
      </c>
      <c r="P184">
        <v>237124</v>
      </c>
      <c r="Q184" t="s">
        <v>10</v>
      </c>
      <c r="R184" t="s">
        <v>98</v>
      </c>
      <c r="S184" t="s">
        <v>92</v>
      </c>
      <c r="T184">
        <v>90</v>
      </c>
      <c r="U184">
        <v>0.75</v>
      </c>
      <c r="V184" s="2">
        <v>3.125E-2</v>
      </c>
      <c r="W184">
        <v>67.5</v>
      </c>
      <c r="X184">
        <v>90</v>
      </c>
      <c r="Y184">
        <v>22.5</v>
      </c>
      <c r="Z184" t="s">
        <v>99</v>
      </c>
      <c r="AA184" t="s">
        <v>93</v>
      </c>
      <c r="AB184" t="s">
        <v>94</v>
      </c>
      <c r="AC184" t="s">
        <v>128</v>
      </c>
      <c r="AD184" t="s">
        <v>96</v>
      </c>
      <c r="AE184">
        <f t="shared" si="10"/>
        <v>4</v>
      </c>
      <c r="AF184" t="str">
        <f t="shared" si="11"/>
        <v>April</v>
      </c>
    </row>
    <row r="185" spans="1:32">
      <c r="A185" s="1">
        <v>45401</v>
      </c>
      <c r="B185" t="s">
        <v>28</v>
      </c>
      <c r="C185" t="s">
        <v>126</v>
      </c>
      <c r="D185" t="s">
        <v>82</v>
      </c>
      <c r="E185" t="s">
        <v>127</v>
      </c>
      <c r="F185" t="s">
        <v>84</v>
      </c>
      <c r="G185" t="s">
        <v>85</v>
      </c>
      <c r="H185" t="s">
        <v>86</v>
      </c>
      <c r="I185" t="s">
        <v>87</v>
      </c>
      <c r="J185" t="s">
        <v>88</v>
      </c>
      <c r="K185" t="s">
        <v>82</v>
      </c>
      <c r="L185" t="s">
        <v>28</v>
      </c>
      <c r="M185" t="s">
        <v>89</v>
      </c>
      <c r="N185" t="s">
        <v>128</v>
      </c>
      <c r="O185" t="s">
        <v>90</v>
      </c>
      <c r="P185">
        <v>237710</v>
      </c>
      <c r="Q185" t="s">
        <v>10</v>
      </c>
      <c r="R185" t="s">
        <v>98</v>
      </c>
      <c r="S185" t="s">
        <v>92</v>
      </c>
      <c r="T185">
        <v>90</v>
      </c>
      <c r="U185">
        <v>0.75</v>
      </c>
      <c r="V185" s="2">
        <v>3.125E-2</v>
      </c>
      <c r="W185">
        <v>67.5</v>
      </c>
      <c r="X185">
        <v>90</v>
      </c>
      <c r="Y185">
        <v>22.5</v>
      </c>
      <c r="Z185" t="s">
        <v>99</v>
      </c>
      <c r="AA185" t="s">
        <v>93</v>
      </c>
      <c r="AB185" t="s">
        <v>94</v>
      </c>
      <c r="AC185" t="s">
        <v>128</v>
      </c>
      <c r="AD185" t="s">
        <v>96</v>
      </c>
      <c r="AE185">
        <f t="shared" si="10"/>
        <v>4</v>
      </c>
      <c r="AF185" t="str">
        <f t="shared" si="11"/>
        <v>April</v>
      </c>
    </row>
    <row r="186" spans="1:32">
      <c r="A186" s="1">
        <v>45404</v>
      </c>
      <c r="B186" t="s">
        <v>28</v>
      </c>
      <c r="C186" t="s">
        <v>126</v>
      </c>
      <c r="D186" t="s">
        <v>82</v>
      </c>
      <c r="E186" t="s">
        <v>127</v>
      </c>
      <c r="F186" t="s">
        <v>84</v>
      </c>
      <c r="G186" t="s">
        <v>85</v>
      </c>
      <c r="H186" t="s">
        <v>86</v>
      </c>
      <c r="I186" t="s">
        <v>87</v>
      </c>
      <c r="J186" t="s">
        <v>88</v>
      </c>
      <c r="K186" t="s">
        <v>82</v>
      </c>
      <c r="L186" t="s">
        <v>28</v>
      </c>
      <c r="M186" t="s">
        <v>89</v>
      </c>
      <c r="N186" t="s">
        <v>128</v>
      </c>
      <c r="O186" t="s">
        <v>90</v>
      </c>
      <c r="P186">
        <v>238352</v>
      </c>
      <c r="Q186" t="s">
        <v>10</v>
      </c>
      <c r="R186" t="s">
        <v>98</v>
      </c>
      <c r="S186" t="s">
        <v>92</v>
      </c>
      <c r="T186">
        <v>90</v>
      </c>
      <c r="U186">
        <v>0.75</v>
      </c>
      <c r="V186" s="2">
        <v>3.125E-2</v>
      </c>
      <c r="W186">
        <v>67.5</v>
      </c>
      <c r="X186">
        <v>90</v>
      </c>
      <c r="Y186">
        <v>22.5</v>
      </c>
      <c r="Z186" t="s">
        <v>99</v>
      </c>
      <c r="AA186" t="s">
        <v>93</v>
      </c>
      <c r="AB186" t="s">
        <v>94</v>
      </c>
      <c r="AC186" t="s">
        <v>128</v>
      </c>
      <c r="AD186" t="s">
        <v>96</v>
      </c>
      <c r="AE186">
        <f t="shared" si="10"/>
        <v>4</v>
      </c>
      <c r="AF186" t="str">
        <f t="shared" si="11"/>
        <v>April</v>
      </c>
    </row>
    <row r="187" spans="1:32">
      <c r="A187" s="1">
        <v>45405</v>
      </c>
      <c r="B187" t="s">
        <v>28</v>
      </c>
      <c r="C187" t="s">
        <v>126</v>
      </c>
      <c r="D187" t="s">
        <v>82</v>
      </c>
      <c r="E187" t="s">
        <v>127</v>
      </c>
      <c r="F187" t="s">
        <v>84</v>
      </c>
      <c r="G187" t="s">
        <v>85</v>
      </c>
      <c r="H187" t="s">
        <v>86</v>
      </c>
      <c r="I187" t="s">
        <v>87</v>
      </c>
      <c r="J187" t="s">
        <v>88</v>
      </c>
      <c r="K187" t="s">
        <v>82</v>
      </c>
      <c r="L187" t="s">
        <v>28</v>
      </c>
      <c r="M187" t="s">
        <v>89</v>
      </c>
      <c r="N187" t="s">
        <v>128</v>
      </c>
      <c r="O187" t="s">
        <v>90</v>
      </c>
      <c r="P187">
        <v>239021</v>
      </c>
      <c r="Q187" t="s">
        <v>10</v>
      </c>
      <c r="R187" t="s">
        <v>98</v>
      </c>
      <c r="S187" t="s">
        <v>92</v>
      </c>
      <c r="T187">
        <v>90</v>
      </c>
      <c r="U187">
        <v>1</v>
      </c>
      <c r="V187" s="2">
        <v>4.1666666666666664E-2</v>
      </c>
      <c r="W187">
        <v>90</v>
      </c>
      <c r="X187">
        <v>120</v>
      </c>
      <c r="Y187">
        <v>30</v>
      </c>
      <c r="Z187" t="s">
        <v>99</v>
      </c>
      <c r="AA187" t="s">
        <v>93</v>
      </c>
      <c r="AB187" t="s">
        <v>94</v>
      </c>
      <c r="AC187" t="s">
        <v>128</v>
      </c>
      <c r="AD187" t="s">
        <v>96</v>
      </c>
      <c r="AE187">
        <f t="shared" si="10"/>
        <v>4</v>
      </c>
      <c r="AF187" t="str">
        <f t="shared" si="11"/>
        <v>April</v>
      </c>
    </row>
    <row r="188" spans="1:32">
      <c r="A188" s="1">
        <v>45406</v>
      </c>
      <c r="B188" t="s">
        <v>28</v>
      </c>
      <c r="C188" t="s">
        <v>126</v>
      </c>
      <c r="D188" t="s">
        <v>82</v>
      </c>
      <c r="E188" t="s">
        <v>127</v>
      </c>
      <c r="F188" t="s">
        <v>84</v>
      </c>
      <c r="G188" t="s">
        <v>85</v>
      </c>
      <c r="H188" t="s">
        <v>86</v>
      </c>
      <c r="I188" t="s">
        <v>87</v>
      </c>
      <c r="J188" t="s">
        <v>88</v>
      </c>
      <c r="K188" t="s">
        <v>82</v>
      </c>
      <c r="L188" t="s">
        <v>28</v>
      </c>
      <c r="M188" t="s">
        <v>89</v>
      </c>
      <c r="N188" t="s">
        <v>128</v>
      </c>
      <c r="O188" t="s">
        <v>90</v>
      </c>
      <c r="P188">
        <v>239575</v>
      </c>
      <c r="Q188" t="s">
        <v>10</v>
      </c>
      <c r="R188" t="s">
        <v>98</v>
      </c>
      <c r="S188" t="s">
        <v>92</v>
      </c>
      <c r="T188">
        <v>90</v>
      </c>
      <c r="U188">
        <v>2</v>
      </c>
      <c r="V188" s="2">
        <v>8.3333333333333329E-2</v>
      </c>
      <c r="W188">
        <v>180</v>
      </c>
      <c r="X188">
        <v>240</v>
      </c>
      <c r="Y188">
        <v>60</v>
      </c>
      <c r="Z188" t="s">
        <v>99</v>
      </c>
      <c r="AA188" t="s">
        <v>93</v>
      </c>
      <c r="AB188" t="s">
        <v>94</v>
      </c>
      <c r="AC188" t="s">
        <v>128</v>
      </c>
      <c r="AD188" t="s">
        <v>96</v>
      </c>
      <c r="AE188">
        <f t="shared" si="10"/>
        <v>4</v>
      </c>
      <c r="AF188" t="str">
        <f t="shared" si="11"/>
        <v>April</v>
      </c>
    </row>
    <row r="189" spans="1:32">
      <c r="A189" s="1">
        <v>45407</v>
      </c>
      <c r="B189" t="s">
        <v>28</v>
      </c>
      <c r="C189" t="s">
        <v>126</v>
      </c>
      <c r="D189" t="s">
        <v>82</v>
      </c>
      <c r="E189" t="s">
        <v>127</v>
      </c>
      <c r="F189" t="s">
        <v>84</v>
      </c>
      <c r="G189" t="s">
        <v>85</v>
      </c>
      <c r="H189" t="s">
        <v>86</v>
      </c>
      <c r="I189" t="s">
        <v>87</v>
      </c>
      <c r="J189" t="s">
        <v>88</v>
      </c>
      <c r="K189" t="s">
        <v>82</v>
      </c>
      <c r="L189" t="s">
        <v>28</v>
      </c>
      <c r="M189" t="s">
        <v>89</v>
      </c>
      <c r="N189" t="s">
        <v>128</v>
      </c>
      <c r="O189" t="s">
        <v>90</v>
      </c>
      <c r="P189">
        <v>240338</v>
      </c>
      <c r="Q189" t="s">
        <v>10</v>
      </c>
      <c r="R189" t="s">
        <v>98</v>
      </c>
      <c r="S189" t="s">
        <v>92</v>
      </c>
      <c r="T189">
        <v>90</v>
      </c>
      <c r="U189">
        <v>0.75</v>
      </c>
      <c r="V189" s="2">
        <v>3.125E-2</v>
      </c>
      <c r="W189">
        <v>67.5</v>
      </c>
      <c r="X189">
        <v>90</v>
      </c>
      <c r="Y189">
        <v>22.5</v>
      </c>
      <c r="Z189" t="s">
        <v>99</v>
      </c>
      <c r="AA189" t="s">
        <v>93</v>
      </c>
      <c r="AB189" t="s">
        <v>94</v>
      </c>
      <c r="AC189" t="s">
        <v>128</v>
      </c>
      <c r="AD189" t="s">
        <v>96</v>
      </c>
      <c r="AE189">
        <f t="shared" ref="AE189:AE226" si="12">MONTH(A189)</f>
        <v>4</v>
      </c>
      <c r="AF189" t="str">
        <f t="shared" ref="AF189:AF226" si="13">IF(AE189=1,"January",IF(AE189=2,"February",IF(AE189=3,"March",IF(AE189=4,"April",IF(AE189=5,"May")))))</f>
        <v>April</v>
      </c>
    </row>
    <row r="190" spans="1:32">
      <c r="A190" s="1">
        <v>45408</v>
      </c>
      <c r="B190" t="s">
        <v>28</v>
      </c>
      <c r="C190" t="s">
        <v>126</v>
      </c>
      <c r="D190" t="s">
        <v>82</v>
      </c>
      <c r="E190" t="s">
        <v>127</v>
      </c>
      <c r="F190" t="s">
        <v>84</v>
      </c>
      <c r="G190" t="s">
        <v>85</v>
      </c>
      <c r="H190" t="s">
        <v>86</v>
      </c>
      <c r="I190" t="s">
        <v>87</v>
      </c>
      <c r="J190" t="s">
        <v>88</v>
      </c>
      <c r="K190" t="s">
        <v>82</v>
      </c>
      <c r="L190" t="s">
        <v>28</v>
      </c>
      <c r="M190" t="s">
        <v>89</v>
      </c>
      <c r="N190" t="s">
        <v>128</v>
      </c>
      <c r="O190" t="s">
        <v>90</v>
      </c>
      <c r="P190">
        <v>240368</v>
      </c>
      <c r="Q190" t="s">
        <v>10</v>
      </c>
      <c r="R190" t="s">
        <v>98</v>
      </c>
      <c r="S190" t="s">
        <v>92</v>
      </c>
      <c r="T190">
        <v>90</v>
      </c>
      <c r="U190">
        <v>1.5</v>
      </c>
      <c r="V190" s="2">
        <v>6.25E-2</v>
      </c>
      <c r="W190">
        <v>135</v>
      </c>
      <c r="X190">
        <v>180</v>
      </c>
      <c r="Y190">
        <v>45</v>
      </c>
      <c r="Z190" t="s">
        <v>99</v>
      </c>
      <c r="AA190" t="s">
        <v>93</v>
      </c>
      <c r="AB190" t="s">
        <v>94</v>
      </c>
      <c r="AC190" t="s">
        <v>128</v>
      </c>
      <c r="AD190" t="s">
        <v>96</v>
      </c>
      <c r="AE190">
        <f t="shared" si="12"/>
        <v>4</v>
      </c>
      <c r="AF190" t="str">
        <f t="shared" si="13"/>
        <v>April</v>
      </c>
    </row>
    <row r="191" spans="1:32">
      <c r="A191" s="1">
        <v>45411</v>
      </c>
      <c r="B191" t="s">
        <v>28</v>
      </c>
      <c r="C191" t="s">
        <v>126</v>
      </c>
      <c r="D191" t="s">
        <v>82</v>
      </c>
      <c r="E191" t="s">
        <v>127</v>
      </c>
      <c r="F191" t="s">
        <v>84</v>
      </c>
      <c r="G191" t="s">
        <v>85</v>
      </c>
      <c r="H191" t="s">
        <v>86</v>
      </c>
      <c r="I191" t="s">
        <v>87</v>
      </c>
      <c r="J191" t="s">
        <v>88</v>
      </c>
      <c r="K191" t="s">
        <v>82</v>
      </c>
      <c r="L191" t="s">
        <v>28</v>
      </c>
      <c r="M191" t="s">
        <v>89</v>
      </c>
      <c r="N191" t="s">
        <v>128</v>
      </c>
      <c r="O191" t="s">
        <v>90</v>
      </c>
      <c r="P191">
        <v>241505</v>
      </c>
      <c r="Q191" t="s">
        <v>10</v>
      </c>
      <c r="R191" t="s">
        <v>98</v>
      </c>
      <c r="S191" t="s">
        <v>92</v>
      </c>
      <c r="T191">
        <v>90</v>
      </c>
      <c r="U191">
        <v>1</v>
      </c>
      <c r="V191" s="2">
        <v>4.1666666666666664E-2</v>
      </c>
      <c r="W191">
        <v>90</v>
      </c>
      <c r="X191">
        <v>120</v>
      </c>
      <c r="Y191">
        <v>30</v>
      </c>
      <c r="Z191" t="s">
        <v>99</v>
      </c>
      <c r="AA191" t="s">
        <v>93</v>
      </c>
      <c r="AB191" t="s">
        <v>94</v>
      </c>
      <c r="AC191" t="s">
        <v>128</v>
      </c>
      <c r="AD191" t="s">
        <v>96</v>
      </c>
      <c r="AE191">
        <f t="shared" si="12"/>
        <v>4</v>
      </c>
      <c r="AF191" t="str">
        <f t="shared" si="13"/>
        <v>April</v>
      </c>
    </row>
    <row r="192" spans="1:32">
      <c r="A192" s="1">
        <v>45411</v>
      </c>
      <c r="B192" t="s">
        <v>28</v>
      </c>
      <c r="C192" t="s">
        <v>126</v>
      </c>
      <c r="D192" t="s">
        <v>82</v>
      </c>
      <c r="E192" t="s">
        <v>127</v>
      </c>
      <c r="F192" t="s">
        <v>84</v>
      </c>
      <c r="G192" t="s">
        <v>85</v>
      </c>
      <c r="H192" t="s">
        <v>86</v>
      </c>
      <c r="I192" t="s">
        <v>87</v>
      </c>
      <c r="J192" t="s">
        <v>88</v>
      </c>
      <c r="K192" t="s">
        <v>82</v>
      </c>
      <c r="L192" t="s">
        <v>28</v>
      </c>
      <c r="M192" t="s">
        <v>89</v>
      </c>
      <c r="N192" t="s">
        <v>128</v>
      </c>
      <c r="O192" t="s">
        <v>90</v>
      </c>
      <c r="P192">
        <v>241506</v>
      </c>
      <c r="Q192" t="s">
        <v>11</v>
      </c>
      <c r="R192" t="s">
        <v>91</v>
      </c>
      <c r="S192" t="s">
        <v>92</v>
      </c>
      <c r="T192">
        <v>0</v>
      </c>
      <c r="U192">
        <v>1</v>
      </c>
      <c r="V192" s="2">
        <v>4.1666666666666664E-2</v>
      </c>
      <c r="W192">
        <v>0</v>
      </c>
      <c r="AA192" t="s">
        <v>93</v>
      </c>
      <c r="AB192" t="s">
        <v>94</v>
      </c>
      <c r="AC192" t="s">
        <v>128</v>
      </c>
      <c r="AD192" t="s">
        <v>96</v>
      </c>
      <c r="AE192">
        <f t="shared" si="12"/>
        <v>4</v>
      </c>
      <c r="AF192" t="str">
        <f t="shared" si="13"/>
        <v>April</v>
      </c>
    </row>
    <row r="193" spans="1:32">
      <c r="A193" s="1">
        <v>45412</v>
      </c>
      <c r="B193" t="s">
        <v>28</v>
      </c>
      <c r="C193" t="s">
        <v>126</v>
      </c>
      <c r="D193" t="s">
        <v>82</v>
      </c>
      <c r="E193" t="s">
        <v>127</v>
      </c>
      <c r="F193" t="s">
        <v>84</v>
      </c>
      <c r="G193" t="s">
        <v>85</v>
      </c>
      <c r="H193" t="s">
        <v>86</v>
      </c>
      <c r="I193" t="s">
        <v>87</v>
      </c>
      <c r="J193" t="s">
        <v>88</v>
      </c>
      <c r="K193" t="s">
        <v>82</v>
      </c>
      <c r="L193" t="s">
        <v>28</v>
      </c>
      <c r="M193" t="s">
        <v>89</v>
      </c>
      <c r="N193" t="s">
        <v>128</v>
      </c>
      <c r="O193" t="s">
        <v>90</v>
      </c>
      <c r="P193">
        <v>241944</v>
      </c>
      <c r="Q193" t="s">
        <v>10</v>
      </c>
      <c r="R193" t="s">
        <v>98</v>
      </c>
      <c r="S193" t="s">
        <v>92</v>
      </c>
      <c r="T193">
        <v>90</v>
      </c>
      <c r="U193">
        <v>0.25</v>
      </c>
      <c r="V193" s="2">
        <v>1.0416666666666666E-2</v>
      </c>
      <c r="W193">
        <v>22.5</v>
      </c>
      <c r="X193">
        <v>30</v>
      </c>
      <c r="Y193">
        <v>7.5</v>
      </c>
      <c r="Z193" t="s">
        <v>99</v>
      </c>
      <c r="AA193" t="s">
        <v>93</v>
      </c>
      <c r="AB193" t="s">
        <v>94</v>
      </c>
      <c r="AC193" t="s">
        <v>128</v>
      </c>
      <c r="AD193" t="s">
        <v>96</v>
      </c>
      <c r="AE193">
        <f t="shared" si="12"/>
        <v>4</v>
      </c>
      <c r="AF193" t="str">
        <f t="shared" si="13"/>
        <v>April</v>
      </c>
    </row>
    <row r="194" spans="1:32">
      <c r="A194" s="1">
        <v>45412</v>
      </c>
      <c r="B194" t="s">
        <v>28</v>
      </c>
      <c r="C194" t="s">
        <v>126</v>
      </c>
      <c r="D194" t="s">
        <v>82</v>
      </c>
      <c r="E194" t="s">
        <v>127</v>
      </c>
      <c r="F194" t="s">
        <v>84</v>
      </c>
      <c r="G194" t="s">
        <v>85</v>
      </c>
      <c r="H194" t="s">
        <v>86</v>
      </c>
      <c r="I194" t="s">
        <v>87</v>
      </c>
      <c r="J194" t="s">
        <v>88</v>
      </c>
      <c r="K194" t="s">
        <v>82</v>
      </c>
      <c r="L194" t="s">
        <v>28</v>
      </c>
      <c r="M194" t="s">
        <v>89</v>
      </c>
      <c r="N194" t="s">
        <v>128</v>
      </c>
      <c r="O194" t="s">
        <v>90</v>
      </c>
      <c r="P194">
        <v>241941</v>
      </c>
      <c r="Q194" t="s">
        <v>11</v>
      </c>
      <c r="R194" t="s">
        <v>91</v>
      </c>
      <c r="S194" t="s">
        <v>92</v>
      </c>
      <c r="T194">
        <v>0</v>
      </c>
      <c r="U194">
        <v>2</v>
      </c>
      <c r="V194" s="2">
        <v>8.3333333333333329E-2</v>
      </c>
      <c r="W194">
        <v>0</v>
      </c>
      <c r="AA194" t="s">
        <v>93</v>
      </c>
      <c r="AB194" t="s">
        <v>94</v>
      </c>
      <c r="AC194" t="s">
        <v>128</v>
      </c>
      <c r="AD194" t="s">
        <v>96</v>
      </c>
      <c r="AE194">
        <f t="shared" si="12"/>
        <v>4</v>
      </c>
      <c r="AF194" t="str">
        <f t="shared" si="13"/>
        <v>April</v>
      </c>
    </row>
    <row r="195" spans="1:32">
      <c r="A195" s="1">
        <v>45414</v>
      </c>
      <c r="B195" t="s">
        <v>28</v>
      </c>
      <c r="C195" t="s">
        <v>126</v>
      </c>
      <c r="D195" t="s">
        <v>82</v>
      </c>
      <c r="E195" t="s">
        <v>127</v>
      </c>
      <c r="F195" t="s">
        <v>84</v>
      </c>
      <c r="G195" t="s">
        <v>85</v>
      </c>
      <c r="H195" t="s">
        <v>86</v>
      </c>
      <c r="I195" t="s">
        <v>87</v>
      </c>
      <c r="J195" t="s">
        <v>88</v>
      </c>
      <c r="K195" t="s">
        <v>82</v>
      </c>
      <c r="L195" t="s">
        <v>28</v>
      </c>
      <c r="M195" t="s">
        <v>89</v>
      </c>
      <c r="N195" t="s">
        <v>128</v>
      </c>
      <c r="O195" t="s">
        <v>90</v>
      </c>
      <c r="P195">
        <v>242737</v>
      </c>
      <c r="Q195" t="s">
        <v>10</v>
      </c>
      <c r="R195" t="s">
        <v>98</v>
      </c>
      <c r="S195" t="s">
        <v>92</v>
      </c>
      <c r="T195">
        <v>90</v>
      </c>
      <c r="U195">
        <v>2</v>
      </c>
      <c r="V195" s="2">
        <v>8.3333333333333329E-2</v>
      </c>
      <c r="W195">
        <v>180</v>
      </c>
      <c r="AA195" t="s">
        <v>93</v>
      </c>
      <c r="AB195" t="s">
        <v>94</v>
      </c>
      <c r="AC195" t="s">
        <v>128</v>
      </c>
      <c r="AD195" t="s">
        <v>96</v>
      </c>
      <c r="AE195">
        <f t="shared" si="12"/>
        <v>5</v>
      </c>
      <c r="AF195" t="str">
        <f t="shared" si="13"/>
        <v>May</v>
      </c>
    </row>
    <row r="196" spans="1:32">
      <c r="A196" s="1">
        <v>45415</v>
      </c>
      <c r="B196" t="s">
        <v>28</v>
      </c>
      <c r="C196" t="s">
        <v>126</v>
      </c>
      <c r="D196" t="s">
        <v>82</v>
      </c>
      <c r="E196" t="s">
        <v>127</v>
      </c>
      <c r="F196" t="s">
        <v>84</v>
      </c>
      <c r="G196" t="s">
        <v>85</v>
      </c>
      <c r="H196" t="s">
        <v>86</v>
      </c>
      <c r="I196" t="s">
        <v>87</v>
      </c>
      <c r="J196" t="s">
        <v>88</v>
      </c>
      <c r="K196" t="s">
        <v>82</v>
      </c>
      <c r="L196" t="s">
        <v>28</v>
      </c>
      <c r="M196" t="s">
        <v>89</v>
      </c>
      <c r="N196" t="s">
        <v>128</v>
      </c>
      <c r="O196" t="s">
        <v>90</v>
      </c>
      <c r="P196">
        <v>243417</v>
      </c>
      <c r="Q196" t="s">
        <v>10</v>
      </c>
      <c r="R196" t="s">
        <v>98</v>
      </c>
      <c r="S196" t="s">
        <v>92</v>
      </c>
      <c r="T196">
        <v>90</v>
      </c>
      <c r="U196">
        <v>0.75</v>
      </c>
      <c r="V196" s="2">
        <v>3.125E-2</v>
      </c>
      <c r="W196">
        <v>67.5</v>
      </c>
      <c r="AA196" t="s">
        <v>93</v>
      </c>
      <c r="AB196" t="s">
        <v>94</v>
      </c>
      <c r="AC196" t="s">
        <v>128</v>
      </c>
      <c r="AD196" t="s">
        <v>96</v>
      </c>
      <c r="AE196">
        <f t="shared" si="12"/>
        <v>5</v>
      </c>
      <c r="AF196" t="str">
        <f t="shared" si="13"/>
        <v>May</v>
      </c>
    </row>
    <row r="197" spans="1:32">
      <c r="A197" s="1">
        <v>45378</v>
      </c>
      <c r="B197" t="s">
        <v>43</v>
      </c>
      <c r="C197" t="s">
        <v>126</v>
      </c>
      <c r="D197" t="s">
        <v>82</v>
      </c>
      <c r="E197" t="s">
        <v>83</v>
      </c>
      <c r="F197" t="s">
        <v>84</v>
      </c>
      <c r="G197" t="s">
        <v>85</v>
      </c>
      <c r="H197" t="s">
        <v>86</v>
      </c>
      <c r="I197" t="s">
        <v>87</v>
      </c>
      <c r="J197" t="s">
        <v>88</v>
      </c>
      <c r="K197" t="s">
        <v>82</v>
      </c>
      <c r="L197" t="s">
        <v>28</v>
      </c>
      <c r="M197" t="s">
        <v>89</v>
      </c>
      <c r="N197" t="s">
        <v>23</v>
      </c>
      <c r="O197" t="s">
        <v>90</v>
      </c>
      <c r="P197">
        <v>229343</v>
      </c>
      <c r="Q197" t="s">
        <v>11</v>
      </c>
      <c r="R197" t="s">
        <v>91</v>
      </c>
      <c r="S197" t="s">
        <v>92</v>
      </c>
      <c r="T197">
        <v>0</v>
      </c>
      <c r="U197">
        <v>2</v>
      </c>
      <c r="V197" s="2">
        <v>8.3333333333333329E-2</v>
      </c>
      <c r="W197">
        <v>0</v>
      </c>
      <c r="AA197" t="s">
        <v>93</v>
      </c>
      <c r="AB197" t="s">
        <v>94</v>
      </c>
      <c r="AC197" t="s">
        <v>169</v>
      </c>
      <c r="AD197" t="s">
        <v>96</v>
      </c>
      <c r="AE197">
        <f t="shared" si="12"/>
        <v>3</v>
      </c>
      <c r="AF197" t="str">
        <f t="shared" si="13"/>
        <v>March</v>
      </c>
    </row>
    <row r="198" spans="1:32">
      <c r="A198" s="1">
        <v>45379</v>
      </c>
      <c r="B198" t="s">
        <v>43</v>
      </c>
      <c r="C198" t="s">
        <v>126</v>
      </c>
      <c r="D198" t="s">
        <v>82</v>
      </c>
      <c r="E198" t="s">
        <v>83</v>
      </c>
      <c r="F198" t="s">
        <v>84</v>
      </c>
      <c r="G198" t="s">
        <v>85</v>
      </c>
      <c r="H198" t="s">
        <v>86</v>
      </c>
      <c r="I198" t="s">
        <v>87</v>
      </c>
      <c r="J198" t="s">
        <v>88</v>
      </c>
      <c r="K198" t="s">
        <v>82</v>
      </c>
      <c r="L198" t="s">
        <v>28</v>
      </c>
      <c r="M198" t="s">
        <v>89</v>
      </c>
      <c r="N198" t="s">
        <v>23</v>
      </c>
      <c r="O198" t="s">
        <v>90</v>
      </c>
      <c r="P198">
        <v>229342</v>
      </c>
      <c r="Q198" t="s">
        <v>11</v>
      </c>
      <c r="R198" t="s">
        <v>91</v>
      </c>
      <c r="S198" t="s">
        <v>92</v>
      </c>
      <c r="T198">
        <v>0</v>
      </c>
      <c r="U198">
        <v>3</v>
      </c>
      <c r="V198" s="2">
        <v>0.125</v>
      </c>
      <c r="W198">
        <v>0</v>
      </c>
      <c r="AA198" t="s">
        <v>93</v>
      </c>
      <c r="AB198" t="s">
        <v>94</v>
      </c>
      <c r="AC198" t="s">
        <v>170</v>
      </c>
      <c r="AD198" t="s">
        <v>96</v>
      </c>
      <c r="AE198">
        <f t="shared" si="12"/>
        <v>3</v>
      </c>
      <c r="AF198" t="str">
        <f t="shared" si="13"/>
        <v>March</v>
      </c>
    </row>
    <row r="199" spans="1:32">
      <c r="A199" s="1">
        <v>45384</v>
      </c>
      <c r="B199" t="s">
        <v>43</v>
      </c>
      <c r="C199" t="s">
        <v>126</v>
      </c>
      <c r="D199" t="s">
        <v>82</v>
      </c>
      <c r="E199" t="s">
        <v>83</v>
      </c>
      <c r="F199" t="s">
        <v>84</v>
      </c>
      <c r="G199" t="s">
        <v>85</v>
      </c>
      <c r="H199" t="s">
        <v>86</v>
      </c>
      <c r="I199" t="s">
        <v>87</v>
      </c>
      <c r="J199" t="s">
        <v>88</v>
      </c>
      <c r="K199" t="s">
        <v>82</v>
      </c>
      <c r="L199" t="s">
        <v>28</v>
      </c>
      <c r="M199" t="s">
        <v>89</v>
      </c>
      <c r="N199" t="s">
        <v>23</v>
      </c>
      <c r="O199" t="s">
        <v>90</v>
      </c>
      <c r="P199">
        <v>232225</v>
      </c>
      <c r="Q199" t="s">
        <v>10</v>
      </c>
      <c r="R199" t="s">
        <v>98</v>
      </c>
      <c r="S199" t="s">
        <v>92</v>
      </c>
      <c r="T199">
        <v>90</v>
      </c>
      <c r="U199">
        <v>2.25</v>
      </c>
      <c r="V199" s="2">
        <v>9.375E-2</v>
      </c>
      <c r="W199">
        <v>202.5</v>
      </c>
      <c r="X199">
        <v>270</v>
      </c>
      <c r="Y199">
        <v>67.5</v>
      </c>
      <c r="Z199" t="s">
        <v>99</v>
      </c>
      <c r="AA199" t="s">
        <v>93</v>
      </c>
      <c r="AB199" t="s">
        <v>94</v>
      </c>
      <c r="AC199" t="s">
        <v>171</v>
      </c>
      <c r="AD199" t="s">
        <v>96</v>
      </c>
      <c r="AE199">
        <f t="shared" si="12"/>
        <v>4</v>
      </c>
      <c r="AF199" t="str">
        <f t="shared" si="13"/>
        <v>April</v>
      </c>
    </row>
    <row r="200" spans="1:32">
      <c r="A200" s="1">
        <v>45385</v>
      </c>
      <c r="B200" t="s">
        <v>43</v>
      </c>
      <c r="C200" t="s">
        <v>126</v>
      </c>
      <c r="D200" t="s">
        <v>82</v>
      </c>
      <c r="E200" t="s">
        <v>83</v>
      </c>
      <c r="F200" t="s">
        <v>84</v>
      </c>
      <c r="G200" t="s">
        <v>85</v>
      </c>
      <c r="H200" t="s">
        <v>86</v>
      </c>
      <c r="I200" t="s">
        <v>87</v>
      </c>
      <c r="J200" t="s">
        <v>88</v>
      </c>
      <c r="K200" t="s">
        <v>82</v>
      </c>
      <c r="L200" t="s">
        <v>28</v>
      </c>
      <c r="M200" t="s">
        <v>89</v>
      </c>
      <c r="N200" t="s">
        <v>23</v>
      </c>
      <c r="O200" t="s">
        <v>90</v>
      </c>
      <c r="P200">
        <v>232229</v>
      </c>
      <c r="Q200" t="s">
        <v>10</v>
      </c>
      <c r="R200" t="s">
        <v>98</v>
      </c>
      <c r="S200" t="s">
        <v>92</v>
      </c>
      <c r="T200">
        <v>90</v>
      </c>
      <c r="U200">
        <v>0.25</v>
      </c>
      <c r="V200" s="2">
        <v>1.0416666666666666E-2</v>
      </c>
      <c r="W200">
        <v>22.5</v>
      </c>
      <c r="X200">
        <v>30</v>
      </c>
      <c r="Y200">
        <v>7.5</v>
      </c>
      <c r="Z200" t="s">
        <v>99</v>
      </c>
      <c r="AA200" t="s">
        <v>93</v>
      </c>
      <c r="AB200" t="s">
        <v>94</v>
      </c>
      <c r="AC200" t="s">
        <v>128</v>
      </c>
      <c r="AD200" t="s">
        <v>96</v>
      </c>
      <c r="AE200">
        <f t="shared" si="12"/>
        <v>4</v>
      </c>
      <c r="AF200" t="str">
        <f t="shared" si="13"/>
        <v>April</v>
      </c>
    </row>
    <row r="201" spans="1:32">
      <c r="A201" s="1">
        <v>45386</v>
      </c>
      <c r="B201" t="s">
        <v>43</v>
      </c>
      <c r="C201" t="s">
        <v>126</v>
      </c>
      <c r="D201" t="s">
        <v>82</v>
      </c>
      <c r="E201" t="s">
        <v>83</v>
      </c>
      <c r="F201" t="s">
        <v>84</v>
      </c>
      <c r="G201" t="s">
        <v>85</v>
      </c>
      <c r="H201" t="s">
        <v>86</v>
      </c>
      <c r="I201" t="s">
        <v>87</v>
      </c>
      <c r="J201" t="s">
        <v>88</v>
      </c>
      <c r="K201" t="s">
        <v>82</v>
      </c>
      <c r="L201" t="s">
        <v>28</v>
      </c>
      <c r="M201" t="s">
        <v>89</v>
      </c>
      <c r="N201" t="s">
        <v>23</v>
      </c>
      <c r="O201" t="s">
        <v>90</v>
      </c>
      <c r="P201">
        <v>232231</v>
      </c>
      <c r="Q201" t="s">
        <v>10</v>
      </c>
      <c r="R201" t="s">
        <v>98</v>
      </c>
      <c r="S201" t="s">
        <v>92</v>
      </c>
      <c r="T201">
        <v>90</v>
      </c>
      <c r="U201">
        <v>1.25</v>
      </c>
      <c r="V201" s="2">
        <v>5.2083333333333336E-2</v>
      </c>
      <c r="W201">
        <v>112.5</v>
      </c>
      <c r="X201">
        <v>150</v>
      </c>
      <c r="Y201">
        <v>37.5</v>
      </c>
      <c r="Z201" t="s">
        <v>99</v>
      </c>
      <c r="AA201" t="s">
        <v>93</v>
      </c>
      <c r="AB201" t="s">
        <v>94</v>
      </c>
      <c r="AC201" t="s">
        <v>171</v>
      </c>
      <c r="AD201" t="s">
        <v>96</v>
      </c>
      <c r="AE201">
        <f t="shared" si="12"/>
        <v>4</v>
      </c>
      <c r="AF201" t="str">
        <f t="shared" si="13"/>
        <v>April</v>
      </c>
    </row>
    <row r="202" spans="1:32">
      <c r="A202" s="1">
        <v>45387</v>
      </c>
      <c r="B202" t="s">
        <v>43</v>
      </c>
      <c r="C202" t="s">
        <v>126</v>
      </c>
      <c r="D202" t="s">
        <v>82</v>
      </c>
      <c r="E202" t="s">
        <v>83</v>
      </c>
      <c r="F202" t="s">
        <v>84</v>
      </c>
      <c r="G202" t="s">
        <v>85</v>
      </c>
      <c r="H202" t="s">
        <v>86</v>
      </c>
      <c r="I202" t="s">
        <v>87</v>
      </c>
      <c r="J202" t="s">
        <v>88</v>
      </c>
      <c r="K202" t="s">
        <v>82</v>
      </c>
      <c r="L202" t="s">
        <v>28</v>
      </c>
      <c r="M202" t="s">
        <v>89</v>
      </c>
      <c r="N202" t="s">
        <v>23</v>
      </c>
      <c r="O202" t="s">
        <v>90</v>
      </c>
      <c r="P202">
        <v>232236</v>
      </c>
      <c r="Q202" t="s">
        <v>10</v>
      </c>
      <c r="R202" t="s">
        <v>98</v>
      </c>
      <c r="S202" t="s">
        <v>92</v>
      </c>
      <c r="T202">
        <v>90</v>
      </c>
      <c r="U202">
        <v>0.25</v>
      </c>
      <c r="V202" s="2">
        <v>1.0416666666666666E-2</v>
      </c>
      <c r="W202">
        <v>22.5</v>
      </c>
      <c r="X202">
        <v>30</v>
      </c>
      <c r="Y202">
        <v>7.5</v>
      </c>
      <c r="Z202" t="s">
        <v>99</v>
      </c>
      <c r="AA202" t="s">
        <v>93</v>
      </c>
      <c r="AB202" t="s">
        <v>94</v>
      </c>
      <c r="AC202" t="s">
        <v>128</v>
      </c>
      <c r="AD202" t="s">
        <v>96</v>
      </c>
      <c r="AE202">
        <f t="shared" si="12"/>
        <v>4</v>
      </c>
      <c r="AF202" t="str">
        <f t="shared" si="13"/>
        <v>April</v>
      </c>
    </row>
    <row r="203" spans="1:32">
      <c r="A203" s="1">
        <v>45390</v>
      </c>
      <c r="B203" t="s">
        <v>43</v>
      </c>
      <c r="C203" t="s">
        <v>126</v>
      </c>
      <c r="D203" t="s">
        <v>82</v>
      </c>
      <c r="E203" t="s">
        <v>83</v>
      </c>
      <c r="F203" t="s">
        <v>84</v>
      </c>
      <c r="G203" t="s">
        <v>85</v>
      </c>
      <c r="H203" t="s">
        <v>86</v>
      </c>
      <c r="I203" t="s">
        <v>87</v>
      </c>
      <c r="J203" t="s">
        <v>88</v>
      </c>
      <c r="K203" t="s">
        <v>82</v>
      </c>
      <c r="L203" t="s">
        <v>28</v>
      </c>
      <c r="M203" t="s">
        <v>89</v>
      </c>
      <c r="N203" t="s">
        <v>23</v>
      </c>
      <c r="O203" t="s">
        <v>90</v>
      </c>
      <c r="P203">
        <v>233901</v>
      </c>
      <c r="Q203" t="s">
        <v>11</v>
      </c>
      <c r="R203" t="s">
        <v>91</v>
      </c>
      <c r="S203" t="s">
        <v>92</v>
      </c>
      <c r="T203">
        <v>0</v>
      </c>
      <c r="U203">
        <v>7</v>
      </c>
      <c r="V203" s="2">
        <v>0.29166666666666669</v>
      </c>
      <c r="W203">
        <v>0</v>
      </c>
      <c r="AA203" t="s">
        <v>93</v>
      </c>
      <c r="AB203" t="s">
        <v>94</v>
      </c>
      <c r="AC203" t="s">
        <v>172</v>
      </c>
      <c r="AD203" t="s">
        <v>96</v>
      </c>
      <c r="AE203">
        <f t="shared" si="12"/>
        <v>4</v>
      </c>
      <c r="AF203" t="str">
        <f t="shared" si="13"/>
        <v>April</v>
      </c>
    </row>
    <row r="204" spans="1:32">
      <c r="A204" s="1">
        <v>45391</v>
      </c>
      <c r="B204" t="s">
        <v>43</v>
      </c>
      <c r="C204" t="s">
        <v>126</v>
      </c>
      <c r="D204" t="s">
        <v>82</v>
      </c>
      <c r="E204" t="s">
        <v>83</v>
      </c>
      <c r="F204" t="s">
        <v>84</v>
      </c>
      <c r="G204" t="s">
        <v>85</v>
      </c>
      <c r="H204" t="s">
        <v>86</v>
      </c>
      <c r="I204" t="s">
        <v>87</v>
      </c>
      <c r="J204" t="s">
        <v>88</v>
      </c>
      <c r="K204" t="s">
        <v>82</v>
      </c>
      <c r="L204" t="s">
        <v>28</v>
      </c>
      <c r="M204" t="s">
        <v>89</v>
      </c>
      <c r="N204" t="s">
        <v>23</v>
      </c>
      <c r="O204" t="s">
        <v>90</v>
      </c>
      <c r="P204">
        <v>233902</v>
      </c>
      <c r="Q204" t="s">
        <v>11</v>
      </c>
      <c r="R204" t="s">
        <v>91</v>
      </c>
      <c r="S204" t="s">
        <v>92</v>
      </c>
      <c r="T204">
        <v>0</v>
      </c>
      <c r="U204">
        <v>6.25</v>
      </c>
      <c r="V204" s="2">
        <v>0.26041666666666669</v>
      </c>
      <c r="W204">
        <v>0</v>
      </c>
      <c r="AA204" t="s">
        <v>93</v>
      </c>
      <c r="AB204" t="s">
        <v>94</v>
      </c>
      <c r="AC204" t="s">
        <v>173</v>
      </c>
      <c r="AD204" t="s">
        <v>96</v>
      </c>
      <c r="AE204">
        <f t="shared" si="12"/>
        <v>4</v>
      </c>
      <c r="AF204" t="str">
        <f t="shared" si="13"/>
        <v>April</v>
      </c>
    </row>
    <row r="205" spans="1:32">
      <c r="A205" s="1">
        <v>45392</v>
      </c>
      <c r="B205" t="s">
        <v>43</v>
      </c>
      <c r="C205" t="s">
        <v>126</v>
      </c>
      <c r="D205" t="s">
        <v>82</v>
      </c>
      <c r="E205" t="s">
        <v>83</v>
      </c>
      <c r="F205" t="s">
        <v>84</v>
      </c>
      <c r="G205" t="s">
        <v>85</v>
      </c>
      <c r="H205" t="s">
        <v>86</v>
      </c>
      <c r="I205" t="s">
        <v>87</v>
      </c>
      <c r="J205" t="s">
        <v>88</v>
      </c>
      <c r="K205" t="s">
        <v>82</v>
      </c>
      <c r="L205" t="s">
        <v>28</v>
      </c>
      <c r="M205" t="s">
        <v>89</v>
      </c>
      <c r="N205" t="s">
        <v>23</v>
      </c>
      <c r="O205" t="s">
        <v>90</v>
      </c>
      <c r="P205">
        <v>233904</v>
      </c>
      <c r="Q205" t="s">
        <v>10</v>
      </c>
      <c r="R205" t="s">
        <v>98</v>
      </c>
      <c r="S205" t="s">
        <v>92</v>
      </c>
      <c r="T205">
        <v>90</v>
      </c>
      <c r="U205">
        <v>5.75</v>
      </c>
      <c r="V205" s="2">
        <v>0.23958333333333334</v>
      </c>
      <c r="W205">
        <v>517.5</v>
      </c>
      <c r="X205">
        <v>690</v>
      </c>
      <c r="Y205">
        <v>172.5</v>
      </c>
      <c r="Z205" t="s">
        <v>99</v>
      </c>
      <c r="AA205" t="s">
        <v>93</v>
      </c>
      <c r="AB205" t="s">
        <v>94</v>
      </c>
      <c r="AC205" t="s">
        <v>174</v>
      </c>
      <c r="AD205" t="s">
        <v>96</v>
      </c>
      <c r="AE205">
        <f t="shared" si="12"/>
        <v>4</v>
      </c>
      <c r="AF205" t="str">
        <f t="shared" si="13"/>
        <v>April</v>
      </c>
    </row>
    <row r="206" spans="1:32">
      <c r="A206" s="1">
        <v>45392</v>
      </c>
      <c r="B206" t="s">
        <v>43</v>
      </c>
      <c r="C206" t="s">
        <v>126</v>
      </c>
      <c r="D206" t="s">
        <v>82</v>
      </c>
      <c r="E206" t="s">
        <v>83</v>
      </c>
      <c r="F206" t="s">
        <v>84</v>
      </c>
      <c r="G206" t="s">
        <v>85</v>
      </c>
      <c r="H206" t="s">
        <v>86</v>
      </c>
      <c r="I206" t="s">
        <v>87</v>
      </c>
      <c r="J206" t="s">
        <v>88</v>
      </c>
      <c r="K206" t="s">
        <v>82</v>
      </c>
      <c r="L206" t="s">
        <v>28</v>
      </c>
      <c r="M206" t="s">
        <v>89</v>
      </c>
      <c r="N206" t="s">
        <v>23</v>
      </c>
      <c r="O206" t="s">
        <v>90</v>
      </c>
      <c r="P206">
        <v>233903</v>
      </c>
      <c r="Q206" t="s">
        <v>11</v>
      </c>
      <c r="R206" t="s">
        <v>91</v>
      </c>
      <c r="S206" t="s">
        <v>92</v>
      </c>
      <c r="T206">
        <v>0</v>
      </c>
      <c r="U206">
        <v>2.25</v>
      </c>
      <c r="V206" s="2">
        <v>9.375E-2</v>
      </c>
      <c r="W206">
        <v>0</v>
      </c>
      <c r="AA206" t="s">
        <v>93</v>
      </c>
      <c r="AB206" t="s">
        <v>94</v>
      </c>
      <c r="AC206" t="s">
        <v>175</v>
      </c>
      <c r="AD206" t="s">
        <v>96</v>
      </c>
      <c r="AE206">
        <f t="shared" si="12"/>
        <v>4</v>
      </c>
      <c r="AF206" t="str">
        <f t="shared" si="13"/>
        <v>April</v>
      </c>
    </row>
    <row r="207" spans="1:32">
      <c r="A207" s="1">
        <v>45393</v>
      </c>
      <c r="B207" t="s">
        <v>43</v>
      </c>
      <c r="C207" t="s">
        <v>126</v>
      </c>
      <c r="D207" t="s">
        <v>82</v>
      </c>
      <c r="E207" t="s">
        <v>83</v>
      </c>
      <c r="F207" t="s">
        <v>84</v>
      </c>
      <c r="G207" t="s">
        <v>85</v>
      </c>
      <c r="H207" t="s">
        <v>86</v>
      </c>
      <c r="I207" t="s">
        <v>87</v>
      </c>
      <c r="J207" t="s">
        <v>88</v>
      </c>
      <c r="K207" t="s">
        <v>82</v>
      </c>
      <c r="L207" t="s">
        <v>28</v>
      </c>
      <c r="M207" t="s">
        <v>89</v>
      </c>
      <c r="N207" t="s">
        <v>23</v>
      </c>
      <c r="O207" t="s">
        <v>90</v>
      </c>
      <c r="P207">
        <v>233910</v>
      </c>
      <c r="Q207" t="s">
        <v>10</v>
      </c>
      <c r="R207" t="s">
        <v>98</v>
      </c>
      <c r="S207" t="s">
        <v>92</v>
      </c>
      <c r="T207">
        <v>90</v>
      </c>
      <c r="U207">
        <v>3.5</v>
      </c>
      <c r="V207" s="2">
        <v>0.14583333333333334</v>
      </c>
      <c r="W207">
        <v>315</v>
      </c>
      <c r="X207">
        <v>420</v>
      </c>
      <c r="Y207">
        <v>105</v>
      </c>
      <c r="Z207" t="s">
        <v>99</v>
      </c>
      <c r="AA207" t="s">
        <v>93</v>
      </c>
      <c r="AB207" t="s">
        <v>94</v>
      </c>
      <c r="AC207" t="s">
        <v>176</v>
      </c>
      <c r="AD207" t="s">
        <v>96</v>
      </c>
      <c r="AE207">
        <f t="shared" si="12"/>
        <v>4</v>
      </c>
      <c r="AF207" t="str">
        <f t="shared" si="13"/>
        <v>April</v>
      </c>
    </row>
    <row r="208" spans="1:32">
      <c r="A208" s="1">
        <v>45393</v>
      </c>
      <c r="B208" t="s">
        <v>43</v>
      </c>
      <c r="C208" t="s">
        <v>126</v>
      </c>
      <c r="D208" t="s">
        <v>82</v>
      </c>
      <c r="E208" t="s">
        <v>83</v>
      </c>
      <c r="F208" t="s">
        <v>84</v>
      </c>
      <c r="G208" t="s">
        <v>85</v>
      </c>
      <c r="H208" t="s">
        <v>86</v>
      </c>
      <c r="I208" t="s">
        <v>87</v>
      </c>
      <c r="J208" t="s">
        <v>88</v>
      </c>
      <c r="K208" t="s">
        <v>82</v>
      </c>
      <c r="L208" t="s">
        <v>28</v>
      </c>
      <c r="M208" t="s">
        <v>89</v>
      </c>
      <c r="N208" t="s">
        <v>23</v>
      </c>
      <c r="O208" t="s">
        <v>90</v>
      </c>
      <c r="P208">
        <v>233905</v>
      </c>
      <c r="Q208" t="s">
        <v>11</v>
      </c>
      <c r="R208" t="s">
        <v>91</v>
      </c>
      <c r="S208" t="s">
        <v>92</v>
      </c>
      <c r="T208">
        <v>0</v>
      </c>
      <c r="U208">
        <v>3.5</v>
      </c>
      <c r="V208" s="2">
        <v>0.14583333333333334</v>
      </c>
      <c r="W208">
        <v>0</v>
      </c>
      <c r="AA208" t="s">
        <v>93</v>
      </c>
      <c r="AB208" t="s">
        <v>94</v>
      </c>
      <c r="AC208" t="s">
        <v>128</v>
      </c>
      <c r="AD208" t="s">
        <v>96</v>
      </c>
      <c r="AE208">
        <f t="shared" si="12"/>
        <v>4</v>
      </c>
      <c r="AF208" t="str">
        <f t="shared" si="13"/>
        <v>April</v>
      </c>
    </row>
    <row r="209" spans="1:32">
      <c r="A209" s="1">
        <v>45394</v>
      </c>
      <c r="B209" t="s">
        <v>43</v>
      </c>
      <c r="C209" t="s">
        <v>126</v>
      </c>
      <c r="D209" t="s">
        <v>82</v>
      </c>
      <c r="E209" t="s">
        <v>83</v>
      </c>
      <c r="F209" t="s">
        <v>84</v>
      </c>
      <c r="G209" t="s">
        <v>85</v>
      </c>
      <c r="H209" t="s">
        <v>86</v>
      </c>
      <c r="I209" t="s">
        <v>87</v>
      </c>
      <c r="J209" t="s">
        <v>88</v>
      </c>
      <c r="K209" t="s">
        <v>82</v>
      </c>
      <c r="L209" t="s">
        <v>28</v>
      </c>
      <c r="M209" t="s">
        <v>89</v>
      </c>
      <c r="N209" t="s">
        <v>23</v>
      </c>
      <c r="O209" t="s">
        <v>90</v>
      </c>
      <c r="P209">
        <v>234940</v>
      </c>
      <c r="Q209" t="s">
        <v>10</v>
      </c>
      <c r="R209" t="s">
        <v>98</v>
      </c>
      <c r="S209" t="s">
        <v>92</v>
      </c>
      <c r="T209">
        <v>90</v>
      </c>
      <c r="U209">
        <v>3</v>
      </c>
      <c r="V209" s="2">
        <v>0.125</v>
      </c>
      <c r="W209">
        <v>270</v>
      </c>
      <c r="X209">
        <v>360</v>
      </c>
      <c r="Y209">
        <v>90</v>
      </c>
      <c r="Z209" t="s">
        <v>99</v>
      </c>
      <c r="AA209" t="s">
        <v>93</v>
      </c>
      <c r="AB209" t="s">
        <v>94</v>
      </c>
      <c r="AC209" t="s">
        <v>177</v>
      </c>
      <c r="AD209" t="s">
        <v>96</v>
      </c>
      <c r="AE209">
        <f t="shared" si="12"/>
        <v>4</v>
      </c>
      <c r="AF209" t="str">
        <f t="shared" si="13"/>
        <v>April</v>
      </c>
    </row>
    <row r="210" spans="1:32">
      <c r="A210" s="1">
        <v>45394</v>
      </c>
      <c r="B210" t="s">
        <v>43</v>
      </c>
      <c r="C210" t="s">
        <v>126</v>
      </c>
      <c r="D210" t="s">
        <v>82</v>
      </c>
      <c r="E210" t="s">
        <v>83</v>
      </c>
      <c r="F210" t="s">
        <v>84</v>
      </c>
      <c r="G210" t="s">
        <v>85</v>
      </c>
      <c r="H210" t="s">
        <v>86</v>
      </c>
      <c r="I210" t="s">
        <v>87</v>
      </c>
      <c r="J210" t="s">
        <v>88</v>
      </c>
      <c r="K210" t="s">
        <v>82</v>
      </c>
      <c r="L210" t="s">
        <v>28</v>
      </c>
      <c r="M210" t="s">
        <v>89</v>
      </c>
      <c r="N210" t="s">
        <v>23</v>
      </c>
      <c r="O210" t="s">
        <v>90</v>
      </c>
      <c r="P210">
        <v>234930</v>
      </c>
      <c r="Q210" t="s">
        <v>11</v>
      </c>
      <c r="R210" t="s">
        <v>91</v>
      </c>
      <c r="S210" t="s">
        <v>92</v>
      </c>
      <c r="T210">
        <v>0</v>
      </c>
      <c r="U210">
        <v>0.25</v>
      </c>
      <c r="V210" s="2">
        <v>1.0416666666666666E-2</v>
      </c>
      <c r="W210">
        <v>0</v>
      </c>
      <c r="AA210" t="s">
        <v>93</v>
      </c>
      <c r="AB210" t="s">
        <v>94</v>
      </c>
      <c r="AC210" t="s">
        <v>128</v>
      </c>
      <c r="AD210" t="s">
        <v>96</v>
      </c>
      <c r="AE210">
        <f t="shared" si="12"/>
        <v>4</v>
      </c>
      <c r="AF210" t="str">
        <f t="shared" si="13"/>
        <v>April</v>
      </c>
    </row>
    <row r="211" spans="1:32">
      <c r="A211" s="1">
        <v>45397</v>
      </c>
      <c r="B211" t="s">
        <v>43</v>
      </c>
      <c r="C211" t="s">
        <v>126</v>
      </c>
      <c r="D211" t="s">
        <v>82</v>
      </c>
      <c r="E211" t="s">
        <v>83</v>
      </c>
      <c r="F211" t="s">
        <v>84</v>
      </c>
      <c r="G211" t="s">
        <v>85</v>
      </c>
      <c r="H211" t="s">
        <v>86</v>
      </c>
      <c r="I211" t="s">
        <v>87</v>
      </c>
      <c r="J211" t="s">
        <v>88</v>
      </c>
      <c r="K211" t="s">
        <v>82</v>
      </c>
      <c r="L211" t="s">
        <v>28</v>
      </c>
      <c r="M211" t="s">
        <v>89</v>
      </c>
      <c r="N211" t="s">
        <v>23</v>
      </c>
      <c r="O211" t="s">
        <v>90</v>
      </c>
      <c r="P211">
        <v>236542</v>
      </c>
      <c r="Q211" t="s">
        <v>10</v>
      </c>
      <c r="R211" t="s">
        <v>98</v>
      </c>
      <c r="S211" t="s">
        <v>92</v>
      </c>
      <c r="T211">
        <v>90</v>
      </c>
      <c r="U211">
        <v>5.75</v>
      </c>
      <c r="V211" s="2">
        <v>0.23958333333333334</v>
      </c>
      <c r="W211">
        <v>517.5</v>
      </c>
      <c r="X211">
        <v>690</v>
      </c>
      <c r="Y211">
        <v>172.5</v>
      </c>
      <c r="Z211" t="s">
        <v>99</v>
      </c>
      <c r="AA211" t="s">
        <v>93</v>
      </c>
      <c r="AB211" t="s">
        <v>94</v>
      </c>
      <c r="AC211" t="s">
        <v>178</v>
      </c>
      <c r="AD211" t="s">
        <v>96</v>
      </c>
      <c r="AE211">
        <f t="shared" si="12"/>
        <v>4</v>
      </c>
      <c r="AF211" t="str">
        <f t="shared" si="13"/>
        <v>April</v>
      </c>
    </row>
    <row r="212" spans="1:32">
      <c r="A212" s="1">
        <v>45397</v>
      </c>
      <c r="B212" t="s">
        <v>43</v>
      </c>
      <c r="C212" t="s">
        <v>126</v>
      </c>
      <c r="D212" t="s">
        <v>82</v>
      </c>
      <c r="E212" t="s">
        <v>83</v>
      </c>
      <c r="F212" t="s">
        <v>84</v>
      </c>
      <c r="G212" t="s">
        <v>85</v>
      </c>
      <c r="H212" t="s">
        <v>86</v>
      </c>
      <c r="I212" t="s">
        <v>87</v>
      </c>
      <c r="J212" t="s">
        <v>88</v>
      </c>
      <c r="K212" t="s">
        <v>82</v>
      </c>
      <c r="L212" t="s">
        <v>28</v>
      </c>
      <c r="M212" t="s">
        <v>89</v>
      </c>
      <c r="N212" t="s">
        <v>23</v>
      </c>
      <c r="O212" t="s">
        <v>90</v>
      </c>
      <c r="P212">
        <v>236359</v>
      </c>
      <c r="Q212" t="s">
        <v>11</v>
      </c>
      <c r="R212" t="s">
        <v>91</v>
      </c>
      <c r="S212" t="s">
        <v>92</v>
      </c>
      <c r="T212">
        <v>0</v>
      </c>
      <c r="U212">
        <v>0.25</v>
      </c>
      <c r="V212" s="2">
        <v>1.0416666666666666E-2</v>
      </c>
      <c r="W212">
        <v>0</v>
      </c>
      <c r="AA212" t="s">
        <v>93</v>
      </c>
      <c r="AB212" t="s">
        <v>94</v>
      </c>
      <c r="AC212" t="s">
        <v>128</v>
      </c>
      <c r="AD212" t="s">
        <v>96</v>
      </c>
      <c r="AE212">
        <f t="shared" si="12"/>
        <v>4</v>
      </c>
      <c r="AF212" t="str">
        <f t="shared" si="13"/>
        <v>April</v>
      </c>
    </row>
    <row r="213" spans="1:32">
      <c r="A213" s="1">
        <v>45398</v>
      </c>
      <c r="B213" t="s">
        <v>43</v>
      </c>
      <c r="C213" t="s">
        <v>126</v>
      </c>
      <c r="D213" t="s">
        <v>82</v>
      </c>
      <c r="E213" t="s">
        <v>83</v>
      </c>
      <c r="F213" t="s">
        <v>84</v>
      </c>
      <c r="G213" t="s">
        <v>85</v>
      </c>
      <c r="H213" t="s">
        <v>86</v>
      </c>
      <c r="I213" t="s">
        <v>87</v>
      </c>
      <c r="J213" t="s">
        <v>88</v>
      </c>
      <c r="K213" t="s">
        <v>82</v>
      </c>
      <c r="L213" t="s">
        <v>28</v>
      </c>
      <c r="M213" t="s">
        <v>89</v>
      </c>
      <c r="N213" t="s">
        <v>23</v>
      </c>
      <c r="O213" t="s">
        <v>90</v>
      </c>
      <c r="P213">
        <v>236538</v>
      </c>
      <c r="Q213" t="s">
        <v>11</v>
      </c>
      <c r="R213" t="s">
        <v>91</v>
      </c>
      <c r="S213" t="s">
        <v>92</v>
      </c>
      <c r="T213">
        <v>0</v>
      </c>
      <c r="U213">
        <v>0.75</v>
      </c>
      <c r="V213" s="2">
        <v>3.125E-2</v>
      </c>
      <c r="W213">
        <v>0</v>
      </c>
      <c r="AA213" t="s">
        <v>93</v>
      </c>
      <c r="AB213" t="s">
        <v>94</v>
      </c>
      <c r="AC213" t="s">
        <v>128</v>
      </c>
      <c r="AD213" t="s">
        <v>96</v>
      </c>
      <c r="AE213">
        <f t="shared" si="12"/>
        <v>4</v>
      </c>
      <c r="AF213" t="str">
        <f t="shared" si="13"/>
        <v>April</v>
      </c>
    </row>
    <row r="214" spans="1:32">
      <c r="A214" s="1">
        <v>45399</v>
      </c>
      <c r="B214" t="s">
        <v>43</v>
      </c>
      <c r="C214" t="s">
        <v>126</v>
      </c>
      <c r="D214" t="s">
        <v>82</v>
      </c>
      <c r="E214" t="s">
        <v>83</v>
      </c>
      <c r="F214" t="s">
        <v>84</v>
      </c>
      <c r="G214" t="s">
        <v>85</v>
      </c>
      <c r="H214" t="s">
        <v>86</v>
      </c>
      <c r="I214" t="s">
        <v>87</v>
      </c>
      <c r="J214" t="s">
        <v>88</v>
      </c>
      <c r="K214" t="s">
        <v>82</v>
      </c>
      <c r="L214" t="s">
        <v>28</v>
      </c>
      <c r="M214" t="s">
        <v>89</v>
      </c>
      <c r="N214" t="s">
        <v>23</v>
      </c>
      <c r="O214" t="s">
        <v>90</v>
      </c>
      <c r="P214">
        <v>236544</v>
      </c>
      <c r="Q214" t="s">
        <v>10</v>
      </c>
      <c r="R214" t="s">
        <v>98</v>
      </c>
      <c r="S214" t="s">
        <v>92</v>
      </c>
      <c r="T214">
        <v>90</v>
      </c>
      <c r="U214">
        <v>6</v>
      </c>
      <c r="V214" s="2">
        <v>0.25</v>
      </c>
      <c r="W214">
        <v>540</v>
      </c>
      <c r="X214">
        <v>720</v>
      </c>
      <c r="Y214">
        <v>180</v>
      </c>
      <c r="Z214" t="s">
        <v>99</v>
      </c>
      <c r="AA214" t="s">
        <v>93</v>
      </c>
      <c r="AB214" t="s">
        <v>94</v>
      </c>
      <c r="AC214" t="s">
        <v>179</v>
      </c>
      <c r="AD214" t="s">
        <v>96</v>
      </c>
      <c r="AE214">
        <f t="shared" si="12"/>
        <v>4</v>
      </c>
      <c r="AF214" t="str">
        <f t="shared" si="13"/>
        <v>April</v>
      </c>
    </row>
    <row r="215" spans="1:32">
      <c r="A215" s="1">
        <v>45399</v>
      </c>
      <c r="B215" t="s">
        <v>43</v>
      </c>
      <c r="C215" t="s">
        <v>126</v>
      </c>
      <c r="D215" t="s">
        <v>82</v>
      </c>
      <c r="E215" t="s">
        <v>83</v>
      </c>
      <c r="F215" t="s">
        <v>84</v>
      </c>
      <c r="G215" t="s">
        <v>85</v>
      </c>
      <c r="H215" t="s">
        <v>86</v>
      </c>
      <c r="I215" t="s">
        <v>87</v>
      </c>
      <c r="J215" t="s">
        <v>88</v>
      </c>
      <c r="K215" t="s">
        <v>82</v>
      </c>
      <c r="L215" t="s">
        <v>28</v>
      </c>
      <c r="M215" t="s">
        <v>89</v>
      </c>
      <c r="N215" t="s">
        <v>23</v>
      </c>
      <c r="O215" t="s">
        <v>90</v>
      </c>
      <c r="P215">
        <v>236543</v>
      </c>
      <c r="Q215" t="s">
        <v>11</v>
      </c>
      <c r="R215" t="s">
        <v>91</v>
      </c>
      <c r="S215" t="s">
        <v>92</v>
      </c>
      <c r="T215">
        <v>0</v>
      </c>
      <c r="U215">
        <v>0.25</v>
      </c>
      <c r="V215" s="2">
        <v>1.0416666666666666E-2</v>
      </c>
      <c r="W215">
        <v>0</v>
      </c>
      <c r="AA215" t="s">
        <v>93</v>
      </c>
      <c r="AB215" t="s">
        <v>94</v>
      </c>
      <c r="AC215" t="s">
        <v>128</v>
      </c>
      <c r="AD215" t="s">
        <v>96</v>
      </c>
      <c r="AE215">
        <f t="shared" si="12"/>
        <v>4</v>
      </c>
      <c r="AF215" t="str">
        <f t="shared" si="13"/>
        <v>April</v>
      </c>
    </row>
    <row r="216" spans="1:32">
      <c r="A216" s="1">
        <v>45400</v>
      </c>
      <c r="B216" t="s">
        <v>43</v>
      </c>
      <c r="C216" t="s">
        <v>126</v>
      </c>
      <c r="D216" t="s">
        <v>82</v>
      </c>
      <c r="E216" t="s">
        <v>83</v>
      </c>
      <c r="F216" t="s">
        <v>84</v>
      </c>
      <c r="G216" t="s">
        <v>85</v>
      </c>
      <c r="H216" t="s">
        <v>86</v>
      </c>
      <c r="I216" t="s">
        <v>87</v>
      </c>
      <c r="J216" t="s">
        <v>88</v>
      </c>
      <c r="K216" t="s">
        <v>82</v>
      </c>
      <c r="L216" t="s">
        <v>28</v>
      </c>
      <c r="M216" t="s">
        <v>89</v>
      </c>
      <c r="N216" t="s">
        <v>23</v>
      </c>
      <c r="O216" t="s">
        <v>90</v>
      </c>
      <c r="P216">
        <v>237110</v>
      </c>
      <c r="Q216" t="s">
        <v>10</v>
      </c>
      <c r="R216" t="s">
        <v>98</v>
      </c>
      <c r="S216" t="s">
        <v>92</v>
      </c>
      <c r="T216">
        <v>90</v>
      </c>
      <c r="U216">
        <v>2</v>
      </c>
      <c r="V216" s="2">
        <v>8.3333333333333329E-2</v>
      </c>
      <c r="W216">
        <v>180</v>
      </c>
      <c r="X216">
        <v>240</v>
      </c>
      <c r="Y216">
        <v>60</v>
      </c>
      <c r="Z216" t="s">
        <v>99</v>
      </c>
      <c r="AA216" t="s">
        <v>93</v>
      </c>
      <c r="AB216" t="s">
        <v>94</v>
      </c>
      <c r="AC216" t="s">
        <v>180</v>
      </c>
      <c r="AD216" t="s">
        <v>96</v>
      </c>
      <c r="AE216">
        <f t="shared" si="12"/>
        <v>4</v>
      </c>
      <c r="AF216" t="str">
        <f t="shared" si="13"/>
        <v>April</v>
      </c>
    </row>
    <row r="217" spans="1:32">
      <c r="A217" s="1">
        <v>45400</v>
      </c>
      <c r="B217" t="s">
        <v>43</v>
      </c>
      <c r="C217" t="s">
        <v>126</v>
      </c>
      <c r="D217" t="s">
        <v>82</v>
      </c>
      <c r="E217" t="s">
        <v>83</v>
      </c>
      <c r="F217" t="s">
        <v>84</v>
      </c>
      <c r="G217" t="s">
        <v>85</v>
      </c>
      <c r="H217" t="s">
        <v>86</v>
      </c>
      <c r="I217" t="s">
        <v>87</v>
      </c>
      <c r="J217" t="s">
        <v>88</v>
      </c>
      <c r="K217" t="s">
        <v>82</v>
      </c>
      <c r="L217" t="s">
        <v>28</v>
      </c>
      <c r="M217" t="s">
        <v>89</v>
      </c>
      <c r="N217" t="s">
        <v>23</v>
      </c>
      <c r="O217" t="s">
        <v>90</v>
      </c>
      <c r="P217">
        <v>237109</v>
      </c>
      <c r="Q217" t="s">
        <v>11</v>
      </c>
      <c r="R217" t="s">
        <v>91</v>
      </c>
      <c r="S217" t="s">
        <v>92</v>
      </c>
      <c r="T217">
        <v>0</v>
      </c>
      <c r="U217">
        <v>0.25</v>
      </c>
      <c r="V217" s="2">
        <v>1.0416666666666666E-2</v>
      </c>
      <c r="W217">
        <v>0</v>
      </c>
      <c r="AA217" t="s">
        <v>93</v>
      </c>
      <c r="AB217" t="s">
        <v>94</v>
      </c>
      <c r="AC217" t="s">
        <v>128</v>
      </c>
      <c r="AD217" t="s">
        <v>96</v>
      </c>
      <c r="AE217">
        <f t="shared" si="12"/>
        <v>4</v>
      </c>
      <c r="AF217" t="str">
        <f t="shared" si="13"/>
        <v>April</v>
      </c>
    </row>
    <row r="218" spans="1:32">
      <c r="A218" s="1">
        <v>45401</v>
      </c>
      <c r="B218" t="s">
        <v>43</v>
      </c>
      <c r="C218" t="s">
        <v>126</v>
      </c>
      <c r="D218" t="s">
        <v>82</v>
      </c>
      <c r="E218" t="s">
        <v>83</v>
      </c>
      <c r="F218" t="s">
        <v>84</v>
      </c>
      <c r="G218" t="s">
        <v>85</v>
      </c>
      <c r="H218" t="s">
        <v>86</v>
      </c>
      <c r="I218" t="s">
        <v>87</v>
      </c>
      <c r="J218" t="s">
        <v>88</v>
      </c>
      <c r="K218" t="s">
        <v>82</v>
      </c>
      <c r="L218" t="s">
        <v>28</v>
      </c>
      <c r="M218" t="s">
        <v>89</v>
      </c>
      <c r="N218" t="s">
        <v>23</v>
      </c>
      <c r="O218" t="s">
        <v>90</v>
      </c>
      <c r="P218">
        <v>237927</v>
      </c>
      <c r="Q218" t="s">
        <v>11</v>
      </c>
      <c r="R218" t="s">
        <v>91</v>
      </c>
      <c r="S218" t="s">
        <v>92</v>
      </c>
      <c r="T218">
        <v>0</v>
      </c>
      <c r="U218">
        <v>0.25</v>
      </c>
      <c r="V218" s="2">
        <v>1.0416666666666666E-2</v>
      </c>
      <c r="W218">
        <v>0</v>
      </c>
      <c r="AA218" t="s">
        <v>93</v>
      </c>
      <c r="AB218" t="s">
        <v>94</v>
      </c>
      <c r="AC218" t="s">
        <v>128</v>
      </c>
      <c r="AD218" t="s">
        <v>96</v>
      </c>
      <c r="AE218">
        <f t="shared" si="12"/>
        <v>4</v>
      </c>
      <c r="AF218" t="str">
        <f t="shared" si="13"/>
        <v>April</v>
      </c>
    </row>
    <row r="219" spans="1:32">
      <c r="A219" s="1">
        <v>45404</v>
      </c>
      <c r="B219" t="s">
        <v>43</v>
      </c>
      <c r="C219" t="s">
        <v>126</v>
      </c>
      <c r="D219" t="s">
        <v>82</v>
      </c>
      <c r="E219" t="s">
        <v>83</v>
      </c>
      <c r="F219" t="s">
        <v>84</v>
      </c>
      <c r="G219" t="s">
        <v>85</v>
      </c>
      <c r="H219" t="s">
        <v>86</v>
      </c>
      <c r="I219" t="s">
        <v>87</v>
      </c>
      <c r="J219" t="s">
        <v>88</v>
      </c>
      <c r="K219" t="s">
        <v>82</v>
      </c>
      <c r="L219" t="s">
        <v>28</v>
      </c>
      <c r="M219" t="s">
        <v>89</v>
      </c>
      <c r="N219" t="s">
        <v>23</v>
      </c>
      <c r="O219" t="s">
        <v>90</v>
      </c>
      <c r="P219">
        <v>238325</v>
      </c>
      <c r="Q219" t="s">
        <v>11</v>
      </c>
      <c r="R219" t="s">
        <v>91</v>
      </c>
      <c r="S219" t="s">
        <v>92</v>
      </c>
      <c r="T219">
        <v>0</v>
      </c>
      <c r="U219">
        <v>0.25</v>
      </c>
      <c r="V219" s="2">
        <v>1.0416666666666666E-2</v>
      </c>
      <c r="W219">
        <v>0</v>
      </c>
      <c r="AA219" t="s">
        <v>93</v>
      </c>
      <c r="AB219" t="s">
        <v>94</v>
      </c>
      <c r="AC219" t="s">
        <v>128</v>
      </c>
      <c r="AD219" t="s">
        <v>96</v>
      </c>
      <c r="AE219">
        <f t="shared" si="12"/>
        <v>4</v>
      </c>
      <c r="AF219" t="str">
        <f t="shared" si="13"/>
        <v>April</v>
      </c>
    </row>
    <row r="220" spans="1:32">
      <c r="A220" s="1">
        <v>45405</v>
      </c>
      <c r="B220" t="s">
        <v>43</v>
      </c>
      <c r="C220" t="s">
        <v>126</v>
      </c>
      <c r="D220" t="s">
        <v>82</v>
      </c>
      <c r="E220" t="s">
        <v>83</v>
      </c>
      <c r="F220" t="s">
        <v>84</v>
      </c>
      <c r="G220" t="s">
        <v>85</v>
      </c>
      <c r="H220" t="s">
        <v>86</v>
      </c>
      <c r="I220" t="s">
        <v>87</v>
      </c>
      <c r="J220" t="s">
        <v>88</v>
      </c>
      <c r="K220" t="s">
        <v>82</v>
      </c>
      <c r="L220" t="s">
        <v>28</v>
      </c>
      <c r="M220" t="s">
        <v>89</v>
      </c>
      <c r="N220" t="s">
        <v>23</v>
      </c>
      <c r="O220" t="s">
        <v>90</v>
      </c>
      <c r="P220">
        <v>239100</v>
      </c>
      <c r="Q220" t="s">
        <v>11</v>
      </c>
      <c r="R220" t="s">
        <v>91</v>
      </c>
      <c r="S220" t="s">
        <v>92</v>
      </c>
      <c r="T220">
        <v>0</v>
      </c>
      <c r="U220">
        <v>0.75</v>
      </c>
      <c r="V220" s="2">
        <v>3.125E-2</v>
      </c>
      <c r="W220">
        <v>0</v>
      </c>
      <c r="AA220" t="s">
        <v>93</v>
      </c>
      <c r="AB220" t="s">
        <v>94</v>
      </c>
      <c r="AC220" t="s">
        <v>128</v>
      </c>
      <c r="AD220" t="s">
        <v>96</v>
      </c>
      <c r="AE220">
        <f t="shared" si="12"/>
        <v>4</v>
      </c>
      <c r="AF220" t="str">
        <f t="shared" si="13"/>
        <v>April</v>
      </c>
    </row>
    <row r="221" spans="1:32">
      <c r="A221" s="1">
        <v>45406</v>
      </c>
      <c r="B221" t="s">
        <v>43</v>
      </c>
      <c r="C221" t="s">
        <v>126</v>
      </c>
      <c r="D221" t="s">
        <v>82</v>
      </c>
      <c r="E221" t="s">
        <v>83</v>
      </c>
      <c r="F221" t="s">
        <v>84</v>
      </c>
      <c r="G221" t="s">
        <v>85</v>
      </c>
      <c r="H221" t="s">
        <v>86</v>
      </c>
      <c r="I221" t="s">
        <v>87</v>
      </c>
      <c r="J221" t="s">
        <v>88</v>
      </c>
      <c r="K221" t="s">
        <v>82</v>
      </c>
      <c r="L221" t="s">
        <v>28</v>
      </c>
      <c r="M221" t="s">
        <v>89</v>
      </c>
      <c r="N221" t="s">
        <v>23</v>
      </c>
      <c r="O221" t="s">
        <v>90</v>
      </c>
      <c r="P221">
        <v>240066</v>
      </c>
      <c r="Q221" t="s">
        <v>11</v>
      </c>
      <c r="R221" t="s">
        <v>91</v>
      </c>
      <c r="S221" t="s">
        <v>92</v>
      </c>
      <c r="T221">
        <v>0</v>
      </c>
      <c r="U221">
        <v>0.25</v>
      </c>
      <c r="V221" s="2">
        <v>1.0416666666666666E-2</v>
      </c>
      <c r="W221">
        <v>0</v>
      </c>
      <c r="AA221" t="s">
        <v>93</v>
      </c>
      <c r="AB221" t="s">
        <v>94</v>
      </c>
      <c r="AC221" t="s">
        <v>128</v>
      </c>
      <c r="AD221" t="s">
        <v>96</v>
      </c>
      <c r="AE221">
        <f t="shared" si="12"/>
        <v>4</v>
      </c>
      <c r="AF221" t="str">
        <f t="shared" si="13"/>
        <v>April</v>
      </c>
    </row>
    <row r="222" spans="1:32">
      <c r="A222" s="1">
        <v>45407</v>
      </c>
      <c r="B222" t="s">
        <v>43</v>
      </c>
      <c r="C222" t="s">
        <v>126</v>
      </c>
      <c r="D222" t="s">
        <v>82</v>
      </c>
      <c r="E222" t="s">
        <v>83</v>
      </c>
      <c r="F222" t="s">
        <v>84</v>
      </c>
      <c r="G222" t="s">
        <v>85</v>
      </c>
      <c r="H222" t="s">
        <v>86</v>
      </c>
      <c r="I222" t="s">
        <v>87</v>
      </c>
      <c r="J222" t="s">
        <v>88</v>
      </c>
      <c r="K222" t="s">
        <v>82</v>
      </c>
      <c r="L222" t="s">
        <v>28</v>
      </c>
      <c r="M222" t="s">
        <v>89</v>
      </c>
      <c r="N222" t="s">
        <v>23</v>
      </c>
      <c r="O222" t="s">
        <v>90</v>
      </c>
      <c r="P222">
        <v>240069</v>
      </c>
      <c r="Q222" t="s">
        <v>11</v>
      </c>
      <c r="R222" t="s">
        <v>91</v>
      </c>
      <c r="S222" t="s">
        <v>92</v>
      </c>
      <c r="T222">
        <v>0</v>
      </c>
      <c r="U222">
        <v>0.25</v>
      </c>
      <c r="V222" s="2">
        <v>1.0416666666666666E-2</v>
      </c>
      <c r="W222">
        <v>0</v>
      </c>
      <c r="AA222" t="s">
        <v>93</v>
      </c>
      <c r="AB222" t="s">
        <v>94</v>
      </c>
      <c r="AC222" t="s">
        <v>128</v>
      </c>
      <c r="AD222" t="s">
        <v>96</v>
      </c>
      <c r="AE222">
        <f t="shared" si="12"/>
        <v>4</v>
      </c>
      <c r="AF222" t="str">
        <f t="shared" si="13"/>
        <v>April</v>
      </c>
    </row>
    <row r="223" spans="1:32">
      <c r="A223" s="1">
        <v>45408</v>
      </c>
      <c r="B223" t="s">
        <v>43</v>
      </c>
      <c r="C223" t="s">
        <v>126</v>
      </c>
      <c r="D223" t="s">
        <v>82</v>
      </c>
      <c r="E223" t="s">
        <v>83</v>
      </c>
      <c r="F223" t="s">
        <v>84</v>
      </c>
      <c r="G223" t="s">
        <v>85</v>
      </c>
      <c r="H223" t="s">
        <v>86</v>
      </c>
      <c r="I223" t="s">
        <v>87</v>
      </c>
      <c r="J223" t="s">
        <v>88</v>
      </c>
      <c r="K223" t="s">
        <v>82</v>
      </c>
      <c r="L223" t="s">
        <v>28</v>
      </c>
      <c r="M223" t="s">
        <v>89</v>
      </c>
      <c r="N223" t="s">
        <v>23</v>
      </c>
      <c r="O223" t="s">
        <v>90</v>
      </c>
      <c r="P223">
        <v>240824</v>
      </c>
      <c r="Q223" t="s">
        <v>11</v>
      </c>
      <c r="R223" t="s">
        <v>91</v>
      </c>
      <c r="S223" t="s">
        <v>92</v>
      </c>
      <c r="T223">
        <v>0</v>
      </c>
      <c r="U223">
        <v>0.25</v>
      </c>
      <c r="V223" s="2">
        <v>1.0416666666666666E-2</v>
      </c>
      <c r="W223">
        <v>0</v>
      </c>
      <c r="AA223" t="s">
        <v>93</v>
      </c>
      <c r="AB223" t="s">
        <v>94</v>
      </c>
      <c r="AC223" t="s">
        <v>128</v>
      </c>
      <c r="AD223" t="s">
        <v>96</v>
      </c>
      <c r="AE223">
        <f t="shared" si="12"/>
        <v>4</v>
      </c>
      <c r="AF223" t="str">
        <f t="shared" si="13"/>
        <v>April</v>
      </c>
    </row>
    <row r="224" spans="1:32">
      <c r="A224" s="1">
        <v>45411</v>
      </c>
      <c r="B224" t="s">
        <v>43</v>
      </c>
      <c r="C224" t="s">
        <v>126</v>
      </c>
      <c r="D224" t="s">
        <v>82</v>
      </c>
      <c r="E224" t="s">
        <v>83</v>
      </c>
      <c r="F224" t="s">
        <v>84</v>
      </c>
      <c r="G224" t="s">
        <v>85</v>
      </c>
      <c r="H224" t="s">
        <v>86</v>
      </c>
      <c r="I224" t="s">
        <v>87</v>
      </c>
      <c r="J224" t="s">
        <v>88</v>
      </c>
      <c r="K224" t="s">
        <v>82</v>
      </c>
      <c r="L224" t="s">
        <v>28</v>
      </c>
      <c r="M224" t="s">
        <v>89</v>
      </c>
      <c r="N224" t="s">
        <v>23</v>
      </c>
      <c r="O224" t="s">
        <v>90</v>
      </c>
      <c r="P224">
        <v>241777</v>
      </c>
      <c r="Q224" t="s">
        <v>11</v>
      </c>
      <c r="R224" t="s">
        <v>91</v>
      </c>
      <c r="S224" t="s">
        <v>92</v>
      </c>
      <c r="T224">
        <v>0</v>
      </c>
      <c r="U224">
        <v>1.25</v>
      </c>
      <c r="V224" s="2">
        <v>5.2083333333333336E-2</v>
      </c>
      <c r="W224">
        <v>0</v>
      </c>
      <c r="AA224" t="s">
        <v>93</v>
      </c>
      <c r="AB224" t="s">
        <v>94</v>
      </c>
      <c r="AC224" t="s">
        <v>181</v>
      </c>
      <c r="AD224" t="s">
        <v>96</v>
      </c>
      <c r="AE224">
        <f t="shared" si="12"/>
        <v>4</v>
      </c>
      <c r="AF224" t="str">
        <f t="shared" si="13"/>
        <v>April</v>
      </c>
    </row>
    <row r="225" spans="1:32">
      <c r="A225" s="1">
        <v>45412</v>
      </c>
      <c r="B225" t="s">
        <v>43</v>
      </c>
      <c r="C225" t="s">
        <v>126</v>
      </c>
      <c r="D225" t="s">
        <v>82</v>
      </c>
      <c r="E225" t="s">
        <v>83</v>
      </c>
      <c r="F225" t="s">
        <v>84</v>
      </c>
      <c r="G225" t="s">
        <v>85</v>
      </c>
      <c r="H225" t="s">
        <v>86</v>
      </c>
      <c r="I225" t="s">
        <v>87</v>
      </c>
      <c r="J225" t="s">
        <v>88</v>
      </c>
      <c r="K225" t="s">
        <v>82</v>
      </c>
      <c r="L225" t="s">
        <v>28</v>
      </c>
      <c r="M225" t="s">
        <v>89</v>
      </c>
      <c r="N225" t="s">
        <v>23</v>
      </c>
      <c r="O225" t="s">
        <v>90</v>
      </c>
      <c r="P225">
        <v>242174</v>
      </c>
      <c r="Q225" t="s">
        <v>11</v>
      </c>
      <c r="R225" t="s">
        <v>91</v>
      </c>
      <c r="S225" t="s">
        <v>92</v>
      </c>
      <c r="T225">
        <v>0</v>
      </c>
      <c r="U225">
        <v>1.25</v>
      </c>
      <c r="V225" s="2">
        <v>5.2083333333333336E-2</v>
      </c>
      <c r="W225">
        <v>0</v>
      </c>
      <c r="AA225" t="s">
        <v>93</v>
      </c>
      <c r="AB225" t="s">
        <v>94</v>
      </c>
      <c r="AC225" t="s">
        <v>182</v>
      </c>
      <c r="AD225" t="s">
        <v>96</v>
      </c>
      <c r="AE225">
        <f t="shared" si="12"/>
        <v>4</v>
      </c>
      <c r="AF225" t="str">
        <f t="shared" si="13"/>
        <v>April</v>
      </c>
    </row>
    <row r="226" spans="1:32">
      <c r="A226" s="1">
        <v>45414</v>
      </c>
      <c r="B226" t="s">
        <v>43</v>
      </c>
      <c r="C226" t="s">
        <v>126</v>
      </c>
      <c r="D226" t="s">
        <v>82</v>
      </c>
      <c r="E226" t="s">
        <v>83</v>
      </c>
      <c r="F226" t="s">
        <v>84</v>
      </c>
      <c r="G226" t="s">
        <v>85</v>
      </c>
      <c r="H226" t="s">
        <v>86</v>
      </c>
      <c r="I226" t="s">
        <v>87</v>
      </c>
      <c r="J226" t="s">
        <v>88</v>
      </c>
      <c r="K226" t="s">
        <v>82</v>
      </c>
      <c r="L226" t="s">
        <v>28</v>
      </c>
      <c r="M226" t="s">
        <v>89</v>
      </c>
      <c r="N226" t="s">
        <v>23</v>
      </c>
      <c r="O226" t="s">
        <v>90</v>
      </c>
      <c r="P226">
        <v>242962</v>
      </c>
      <c r="Q226" t="s">
        <v>11</v>
      </c>
      <c r="R226" t="s">
        <v>91</v>
      </c>
      <c r="S226" t="s">
        <v>92</v>
      </c>
      <c r="T226">
        <v>0</v>
      </c>
      <c r="U226">
        <v>0.25</v>
      </c>
      <c r="V226" s="2">
        <v>1.0416666666666666E-2</v>
      </c>
      <c r="W226">
        <v>0</v>
      </c>
      <c r="AA226" t="s">
        <v>93</v>
      </c>
      <c r="AB226" t="s">
        <v>94</v>
      </c>
      <c r="AC226" t="s">
        <v>128</v>
      </c>
      <c r="AD226" t="s">
        <v>96</v>
      </c>
      <c r="AE226">
        <f t="shared" si="12"/>
        <v>5</v>
      </c>
      <c r="AF226" t="str">
        <f t="shared" si="13"/>
        <v>May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09996666-B8BA-4A2C-AB84-470CEFDF459C}"/>
</file>

<file path=customXml/itemProps2.xml><?xml version="1.0" encoding="utf-8"?>
<ds:datastoreItem xmlns:ds="http://schemas.openxmlformats.org/officeDocument/2006/customXml" ds:itemID="{8147C493-127B-41E9-BAE2-60DE1B55DA41}"/>
</file>

<file path=customXml/itemProps3.xml><?xml version="1.0" encoding="utf-8"?>
<ds:datastoreItem xmlns:ds="http://schemas.openxmlformats.org/officeDocument/2006/customXml" ds:itemID="{778197AF-37B6-47D9-8F48-499F3A9E205D}"/>
</file>

<file path=customXml/itemProps4.xml><?xml version="1.0" encoding="utf-8"?>
<ds:datastoreItem xmlns:ds="http://schemas.openxmlformats.org/officeDocument/2006/customXml" ds:itemID="{27533FD2-4999-4DB1-BFE1-EF4FED2E26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2024-05-06T11:08:53Z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