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12" documentId="8_{167E9527-0BDB-4F80-917D-937C202D374A}" xr6:coauthVersionLast="47" xr6:coauthVersionMax="47" xr10:uidLastSave="{BD753A68-E202-463C-BC2E-DA75123C52C1}"/>
  <bookViews>
    <workbookView xWindow="574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6" r:id="rId4"/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3" i="1"/>
  <c r="AE4" i="1"/>
  <c r="AF4" i="1"/>
  <c r="AE5" i="1"/>
  <c r="AF5" i="1" s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14" i="1"/>
  <c r="AF14" i="1"/>
  <c r="AE15" i="1"/>
  <c r="AF15" i="1"/>
  <c r="AF2" i="1"/>
  <c r="AE2" i="1"/>
  <c r="M8" i="2" l="1"/>
  <c r="L8" i="2"/>
</calcChain>
</file>

<file path=xl/sharedStrings.xml><?xml version="1.0" encoding="utf-8"?>
<sst xmlns="http://schemas.openxmlformats.org/spreadsheetml/2006/main" count="354" uniqueCount="72">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</sst>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607.709847685182" createdVersion="8" refreshedVersion="8" minRefreshableVersion="3" recordCount="14" xr:uid="{A8008C93-E536-44F5-A95C-074B3CFA71CC}">
  <cacheSource type="worksheet">
    <worksheetSource ref="A1:AF15" sheet="Sprint 0 Timesheets"/>
  </cacheSource>
  <cacheFields count="32">
    <cacheField name="Date" numFmtId="15">
      <sharedItems containsSemiMixedTypes="0" containsNonDate="0" containsDate="1" containsString="0" minDate="2024-11-01T00:00:00" maxDate="2024-11-12T00:00:00"/>
    </cacheField>
    <cacheField name="Person" numFmtId="0">
      <sharedItems count="3">
        <s v="Jacob Smycz"/>
        <s v="Nikki Papenfus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298" maxValue="321304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25"/>
    </cacheField>
    <cacheField name="Time" numFmtId="20">
      <sharedItems containsSemiMixedTypes="0" containsNonDate="0" containsDate="1" containsString="0" minDate="1899-12-30T00:15:00" maxDate="1899-12-30T07:15:00"/>
    </cacheField>
    <cacheField name="Worked Amount" numFmtId="0">
      <sharedItems containsSemiMixedTypes="0" containsString="0" containsNumber="1" minValue="0" maxValue="652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1"/>
    </cacheField>
    <cacheField name="Month" numFmtId="0">
      <sharedItems count="1"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d v="2024-11-04T00:00:00"/>
    <x v="0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06T00:00:00"/>
    <x v="0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m/>
    <s v=" "/>
    <s v="Not submitted"/>
    <n v="11"/>
    <x v="0"/>
  </r>
  <r>
    <d v="2024-11-11T00:00:00"/>
    <x v="0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0.25"/>
    <d v="1899-12-30T00:15:00"/>
    <n v="0"/>
    <m/>
    <m/>
    <m/>
    <s v="GBP"/>
    <m/>
    <s v=" "/>
    <s v="Not submitted"/>
    <n v="11"/>
    <x v="0"/>
  </r>
  <r>
    <d v="2024-11-01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m/>
    <s v=" "/>
    <s v="Not submitted"/>
    <n v="11"/>
    <x v="0"/>
  </r>
  <r>
    <d v="2024-11-04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m/>
    <m/>
    <m/>
    <s v="GBP"/>
    <m/>
    <s v=" "/>
    <s v="Not submitted"/>
    <n v="11"/>
    <x v="0"/>
  </r>
  <r>
    <d v="2024-11-05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m/>
    <m/>
    <m/>
    <s v="GBP"/>
    <m/>
    <s v=" "/>
    <s v="Not submitted"/>
    <n v="11"/>
    <x v="0"/>
  </r>
  <r>
    <d v="2024-11-06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m/>
    <m/>
    <m/>
    <s v="GBP"/>
    <m/>
    <s v=" "/>
    <s v="Not submitted"/>
    <n v="11"/>
    <x v="0"/>
  </r>
  <r>
    <d v="2024-11-07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m/>
    <m/>
    <m/>
    <s v="GBP"/>
    <m/>
    <s v=" "/>
    <s v="Not submitted"/>
    <n v="11"/>
    <x v="0"/>
  </r>
  <r>
    <d v="2024-11-08T00:00:00"/>
    <x v="1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m/>
    <m/>
    <m/>
    <s v="GBP"/>
    <m/>
    <s v=" "/>
    <s v="Not submitted"/>
    <n v="11"/>
    <x v="0"/>
  </r>
  <r>
    <d v="2024-11-04T00:00:00"/>
    <x v="2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m/>
    <s v=" "/>
    <s v="Not submitted"/>
    <n v="11"/>
    <x v="0"/>
  </r>
  <r>
    <d v="2024-11-05T00:00:00"/>
    <x v="2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06T00:00:00"/>
    <x v="2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m/>
    <s v=" "/>
    <s v="Not submitted"/>
    <n v="11"/>
    <x v="0"/>
  </r>
  <r>
    <d v="2024-11-07T00:00:00"/>
    <x v="2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m/>
    <s v=" "/>
    <s v="Not submitted"/>
    <n v="11"/>
    <x v="0"/>
  </r>
  <r>
    <d v="2024-11-08T00:00:00"/>
    <x v="2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m/>
    <s v=" "/>
    <s v="Not submitted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5D5AA-CD79-4EEB-B05D-15F5C05711FC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9" firstHeaderRow="1" firstDataRow="2" firstDataCol="1" rowPageCount="2" colPageCount="1"/>
  <pivotFields count="32">
    <pivotField numFmtId="15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2">
    <i>
      <x v="2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18</v>
      </c>
      <c r="C8" s="9">
        <v>18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16</v>
      </c>
      <c r="B9" s="9">
        <v>18</v>
      </c>
      <c r="C9" s="9">
        <v>18</v>
      </c>
    </row>
    <row r="10" spans="1:13" ht="14.4" x14ac:dyDescent="0.3">
      <c r="C10"/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15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45600</v>
      </c>
      <c r="B2" t="s">
        <v>24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17</v>
      </c>
      <c r="O2" t="s">
        <v>0</v>
      </c>
      <c r="P2">
        <v>318682</v>
      </c>
      <c r="Q2" t="s">
        <v>21</v>
      </c>
      <c r="R2" t="s">
        <v>64</v>
      </c>
      <c r="S2" t="s">
        <v>65</v>
      </c>
      <c r="T2">
        <v>0</v>
      </c>
      <c r="U2">
        <v>1</v>
      </c>
      <c r="V2" s="2">
        <v>4.1666666666666664E-2</v>
      </c>
      <c r="W2">
        <v>0</v>
      </c>
      <c r="AA2" t="s">
        <v>66</v>
      </c>
      <c r="AC2" t="s">
        <v>67</v>
      </c>
      <c r="AD2" t="s">
        <v>68</v>
      </c>
      <c r="AE2">
        <f>MONTH(A2)</f>
        <v>11</v>
      </c>
      <c r="AF2" t="str">
        <f>IF(AE2=11,"November",IF(AE2=12,"December",IF(AE2=1,"January",IF(AE2=2,"February",IF(AE2=3,"March")))))</f>
        <v>November</v>
      </c>
      <c r="AI2" s="2"/>
    </row>
    <row r="3" spans="1:35" x14ac:dyDescent="0.3">
      <c r="A3" s="1">
        <v>45602</v>
      </c>
      <c r="B3" t="s">
        <v>24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17</v>
      </c>
      <c r="O3" t="s">
        <v>0</v>
      </c>
      <c r="P3">
        <v>319648</v>
      </c>
      <c r="Q3" t="s">
        <v>21</v>
      </c>
      <c r="R3" t="s">
        <v>64</v>
      </c>
      <c r="S3" t="s">
        <v>65</v>
      </c>
      <c r="T3">
        <v>0</v>
      </c>
      <c r="U3">
        <v>1</v>
      </c>
      <c r="V3" s="2">
        <v>4.1666666666666664E-2</v>
      </c>
      <c r="W3">
        <v>0</v>
      </c>
      <c r="AA3" t="s">
        <v>66</v>
      </c>
      <c r="AC3" t="s">
        <v>67</v>
      </c>
      <c r="AD3" t="s">
        <v>68</v>
      </c>
      <c r="AE3">
        <f t="shared" ref="AE3:AE15" si="0">MONTH(A3)</f>
        <v>11</v>
      </c>
      <c r="AF3" t="str">
        <f t="shared" ref="AF3:AF15" si="1">IF(AE3=11,"November",IF(AE3=12,"December",IF(AE3=1,"January",IF(AE3=2,"February",IF(AE3=3,"March")))))</f>
        <v>November</v>
      </c>
      <c r="AI3" s="2"/>
    </row>
    <row r="4" spans="1:35" x14ac:dyDescent="0.3">
      <c r="A4" s="1">
        <v>45607</v>
      </c>
      <c r="B4" t="s">
        <v>24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17</v>
      </c>
      <c r="O4" t="s">
        <v>0</v>
      </c>
      <c r="P4">
        <v>321304</v>
      </c>
      <c r="Q4" t="s">
        <v>21</v>
      </c>
      <c r="R4" t="s">
        <v>64</v>
      </c>
      <c r="S4" t="s">
        <v>65</v>
      </c>
      <c r="T4">
        <v>0</v>
      </c>
      <c r="U4">
        <v>0.25</v>
      </c>
      <c r="V4" s="2">
        <v>1.0416666666666666E-2</v>
      </c>
      <c r="W4">
        <v>0</v>
      </c>
      <c r="AA4" t="s">
        <v>66</v>
      </c>
      <c r="AC4" t="s">
        <v>67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45597</v>
      </c>
      <c r="B5" t="s">
        <v>20</v>
      </c>
      <c r="C5" t="s">
        <v>56</v>
      </c>
      <c r="D5" t="s">
        <v>57</v>
      </c>
      <c r="E5" t="s">
        <v>69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70</v>
      </c>
      <c r="O5" t="s">
        <v>0</v>
      </c>
      <c r="P5">
        <v>318298</v>
      </c>
      <c r="Q5" t="s">
        <v>21</v>
      </c>
      <c r="R5" t="s">
        <v>64</v>
      </c>
      <c r="S5" t="s">
        <v>65</v>
      </c>
      <c r="T5">
        <v>0</v>
      </c>
      <c r="U5">
        <v>2.5</v>
      </c>
      <c r="V5" s="2">
        <v>0.10416666666666667</v>
      </c>
      <c r="W5">
        <v>0</v>
      </c>
      <c r="AA5" t="s">
        <v>66</v>
      </c>
      <c r="AC5" t="s">
        <v>67</v>
      </c>
      <c r="AD5" t="s">
        <v>68</v>
      </c>
      <c r="AE5">
        <f t="shared" si="0"/>
        <v>11</v>
      </c>
      <c r="AF5" t="str">
        <f t="shared" si="1"/>
        <v>November</v>
      </c>
      <c r="AI5" s="2"/>
    </row>
    <row r="6" spans="1:35" x14ac:dyDescent="0.3">
      <c r="A6" s="1">
        <v>45600</v>
      </c>
      <c r="B6" t="s">
        <v>20</v>
      </c>
      <c r="C6" t="s">
        <v>56</v>
      </c>
      <c r="D6" t="s">
        <v>57</v>
      </c>
      <c r="E6" t="s">
        <v>69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70</v>
      </c>
      <c r="O6" t="s">
        <v>0</v>
      </c>
      <c r="P6">
        <v>318619</v>
      </c>
      <c r="Q6" t="s">
        <v>15</v>
      </c>
      <c r="R6" t="s">
        <v>11</v>
      </c>
      <c r="S6" t="s">
        <v>65</v>
      </c>
      <c r="T6">
        <v>90</v>
      </c>
      <c r="U6">
        <v>2.25</v>
      </c>
      <c r="V6" s="2">
        <v>9.375E-2</v>
      </c>
      <c r="W6">
        <v>202.5</v>
      </c>
      <c r="AA6" t="s">
        <v>66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45601</v>
      </c>
      <c r="B7" t="s">
        <v>20</v>
      </c>
      <c r="C7" t="s">
        <v>56</v>
      </c>
      <c r="D7" t="s">
        <v>57</v>
      </c>
      <c r="E7" t="s">
        <v>69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70</v>
      </c>
      <c r="O7" t="s">
        <v>0</v>
      </c>
      <c r="P7">
        <v>319087</v>
      </c>
      <c r="Q7" t="s">
        <v>15</v>
      </c>
      <c r="R7" t="s">
        <v>11</v>
      </c>
      <c r="S7" t="s">
        <v>65</v>
      </c>
      <c r="T7">
        <v>90</v>
      </c>
      <c r="U7">
        <v>2.5</v>
      </c>
      <c r="V7" s="2">
        <v>0.10416666666666667</v>
      </c>
      <c r="W7">
        <v>225</v>
      </c>
      <c r="AA7" t="s">
        <v>66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45602</v>
      </c>
      <c r="B8" t="s">
        <v>20</v>
      </c>
      <c r="C8" t="s">
        <v>56</v>
      </c>
      <c r="D8" t="s">
        <v>57</v>
      </c>
      <c r="E8" t="s">
        <v>69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70</v>
      </c>
      <c r="O8" t="s">
        <v>0</v>
      </c>
      <c r="P8">
        <v>319663</v>
      </c>
      <c r="Q8" t="s">
        <v>15</v>
      </c>
      <c r="R8" t="s">
        <v>11</v>
      </c>
      <c r="S8" t="s">
        <v>65</v>
      </c>
      <c r="T8">
        <v>90</v>
      </c>
      <c r="U8">
        <v>1.5</v>
      </c>
      <c r="V8" s="2">
        <v>6.25E-2</v>
      </c>
      <c r="W8">
        <v>135</v>
      </c>
      <c r="AA8" t="s">
        <v>66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45603</v>
      </c>
      <c r="B9" t="s">
        <v>20</v>
      </c>
      <c r="C9" t="s">
        <v>56</v>
      </c>
      <c r="D9" t="s">
        <v>57</v>
      </c>
      <c r="E9" t="s">
        <v>69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70</v>
      </c>
      <c r="O9" t="s">
        <v>0</v>
      </c>
      <c r="P9">
        <v>320173</v>
      </c>
      <c r="Q9" t="s">
        <v>15</v>
      </c>
      <c r="R9" t="s">
        <v>11</v>
      </c>
      <c r="S9" t="s">
        <v>65</v>
      </c>
      <c r="T9">
        <v>90</v>
      </c>
      <c r="U9">
        <v>4.5</v>
      </c>
      <c r="V9" s="2">
        <v>0.1875</v>
      </c>
      <c r="W9">
        <v>405</v>
      </c>
      <c r="AA9" t="s">
        <v>66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45604</v>
      </c>
      <c r="B10" t="s">
        <v>20</v>
      </c>
      <c r="C10" t="s">
        <v>56</v>
      </c>
      <c r="D10" t="s">
        <v>57</v>
      </c>
      <c r="E10" t="s">
        <v>69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70</v>
      </c>
      <c r="O10" t="s">
        <v>0</v>
      </c>
      <c r="P10">
        <v>320704</v>
      </c>
      <c r="Q10" t="s">
        <v>15</v>
      </c>
      <c r="R10" t="s">
        <v>11</v>
      </c>
      <c r="S10" t="s">
        <v>65</v>
      </c>
      <c r="T10">
        <v>90</v>
      </c>
      <c r="U10">
        <v>7.25</v>
      </c>
      <c r="V10" s="2">
        <v>0.30208333333333331</v>
      </c>
      <c r="W10">
        <v>652.5</v>
      </c>
      <c r="AA10" t="s">
        <v>66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45600</v>
      </c>
      <c r="B11" t="s">
        <v>23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67</v>
      </c>
      <c r="O11" t="s">
        <v>0</v>
      </c>
      <c r="P11">
        <v>318740</v>
      </c>
      <c r="Q11" t="s">
        <v>21</v>
      </c>
      <c r="R11" t="s">
        <v>64</v>
      </c>
      <c r="S11" t="s">
        <v>65</v>
      </c>
      <c r="T11">
        <v>0</v>
      </c>
      <c r="U11">
        <v>1.5</v>
      </c>
      <c r="V11" s="2">
        <v>6.25E-2</v>
      </c>
      <c r="W11">
        <v>0</v>
      </c>
      <c r="AA11" t="s">
        <v>66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45601</v>
      </c>
      <c r="B12" t="s">
        <v>23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67</v>
      </c>
      <c r="O12" t="s">
        <v>0</v>
      </c>
      <c r="P12">
        <v>319240</v>
      </c>
      <c r="Q12" t="s">
        <v>21</v>
      </c>
      <c r="R12" t="s">
        <v>64</v>
      </c>
      <c r="S12" t="s">
        <v>65</v>
      </c>
      <c r="T12">
        <v>0</v>
      </c>
      <c r="U12">
        <v>0.5</v>
      </c>
      <c r="V12" s="2">
        <v>2.0833333333333332E-2</v>
      </c>
      <c r="W12">
        <v>0</v>
      </c>
      <c r="AA12" t="s">
        <v>66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45602</v>
      </c>
      <c r="B13" t="s">
        <v>23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67</v>
      </c>
      <c r="O13" t="s">
        <v>0</v>
      </c>
      <c r="P13">
        <v>319825</v>
      </c>
      <c r="Q13" t="s">
        <v>21</v>
      </c>
      <c r="R13" t="s">
        <v>64</v>
      </c>
      <c r="S13" t="s">
        <v>65</v>
      </c>
      <c r="T13">
        <v>0</v>
      </c>
      <c r="U13">
        <v>0.5</v>
      </c>
      <c r="V13" s="2">
        <v>2.0833333333333332E-2</v>
      </c>
      <c r="W13">
        <v>0</v>
      </c>
      <c r="AA13" t="s">
        <v>66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45603</v>
      </c>
      <c r="B14" t="s">
        <v>23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67</v>
      </c>
      <c r="O14" t="s">
        <v>0</v>
      </c>
      <c r="P14">
        <v>320319</v>
      </c>
      <c r="Q14" t="s">
        <v>21</v>
      </c>
      <c r="R14" t="s">
        <v>64</v>
      </c>
      <c r="S14" t="s">
        <v>65</v>
      </c>
      <c r="T14">
        <v>0</v>
      </c>
      <c r="U14">
        <v>0.75</v>
      </c>
      <c r="V14" s="2">
        <v>3.125E-2</v>
      </c>
      <c r="W14">
        <v>0</v>
      </c>
      <c r="AA14" t="s">
        <v>66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45604</v>
      </c>
      <c r="B15" t="s">
        <v>23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67</v>
      </c>
      <c r="O15" t="s">
        <v>0</v>
      </c>
      <c r="P15">
        <v>320320</v>
      </c>
      <c r="Q15" t="s">
        <v>21</v>
      </c>
      <c r="R15" t="s">
        <v>64</v>
      </c>
      <c r="S15" t="s">
        <v>65</v>
      </c>
      <c r="T15">
        <v>0</v>
      </c>
      <c r="U15">
        <v>0.5</v>
      </c>
      <c r="V15" s="2">
        <v>2.0833333333333332E-2</v>
      </c>
      <c r="W15">
        <v>0</v>
      </c>
      <c r="AA15" t="s">
        <v>66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3026E-746A-4710-8E0C-2BD609C11DC4}">
  <ds:schemaRefs>
    <ds:schemaRef ds:uri="http://purl.org/dc/elements/1.1/"/>
    <ds:schemaRef ds:uri="http://www.w3.org/XML/1998/namespace"/>
    <ds:schemaRef ds:uri="1ffbd5dc-7a64-4097-8396-87f6c90b212f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2024-11-11T15:02:17Z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