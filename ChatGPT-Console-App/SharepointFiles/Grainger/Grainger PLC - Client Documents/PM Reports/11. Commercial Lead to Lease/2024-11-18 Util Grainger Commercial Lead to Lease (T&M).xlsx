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1. Commercial Lead to Lease/"/>
    </mc:Choice>
  </mc:AlternateContent>
  <xr:revisionPtr revIDLastSave="116" documentId="8_{167E9527-0BDB-4F80-917D-937C202D374A}" xr6:coauthVersionLast="47" xr6:coauthVersionMax="47" xr10:uidLastSave="{1D9869C0-BAA8-4BCF-8331-996E441F9628}"/>
  <bookViews>
    <workbookView xWindow="57480" yWindow="-2040" windowWidth="29040" windowHeight="15720" xr2:uid="{00000000-000D-0000-FFFF-FFFF00000000}"/>
  </bookViews>
  <sheets>
    <sheet name="Pivot" sheetId="2" r:id="rId1"/>
    <sheet name="Sprint 0 Timesheets" sheetId="1" r:id="rId2"/>
    <sheet name="Delivery Timesheets" sheetId="3" r:id="rId3"/>
  </sheets>
  <calcPr calcId="191028"/>
  <pivotCaches>
    <pivotCache cacheId="10" r:id="rId4"/>
    <pivotCache cacheId="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1" l="1"/>
  <c r="AF16" i="1"/>
  <c r="AE17" i="1"/>
  <c r="AF17" i="1"/>
  <c r="AE18" i="1"/>
  <c r="AF18" i="1" s="1"/>
  <c r="AE19" i="1"/>
  <c r="AF19" i="1"/>
  <c r="AE20" i="1"/>
  <c r="AF20" i="1"/>
  <c r="AE21" i="1"/>
  <c r="AF21" i="1"/>
  <c r="AE22" i="1"/>
  <c r="AF22" i="1"/>
  <c r="AE23" i="1"/>
  <c r="AF23" i="1"/>
  <c r="AE24" i="1"/>
  <c r="AF24" i="1"/>
  <c r="AE25" i="1"/>
  <c r="AF25" i="1"/>
  <c r="AE26" i="1"/>
  <c r="AF26" i="1"/>
  <c r="AE27" i="1"/>
  <c r="AF27" i="1"/>
  <c r="AE28" i="1"/>
  <c r="AF28" i="1"/>
  <c r="AE29" i="1"/>
  <c r="AF29" i="1"/>
  <c r="AE30" i="1"/>
  <c r="AF30" i="1"/>
  <c r="AE31" i="1"/>
  <c r="AF31" i="1"/>
  <c r="AE32" i="1"/>
  <c r="AF32" i="1"/>
  <c r="AE33" i="1"/>
  <c r="AF33" i="1"/>
  <c r="AE3" i="1"/>
  <c r="AF3" i="1"/>
  <c r="AE4" i="1"/>
  <c r="AF4" i="1"/>
  <c r="AE5" i="1"/>
  <c r="AF5" i="1" s="1"/>
  <c r="AE6" i="1"/>
  <c r="AF6" i="1"/>
  <c r="AE7" i="1"/>
  <c r="AF7" i="1"/>
  <c r="AE8" i="1"/>
  <c r="AF8" i="1"/>
  <c r="AE9" i="1"/>
  <c r="AF9" i="1"/>
  <c r="AE10" i="1"/>
  <c r="AF10" i="1"/>
  <c r="AE11" i="1"/>
  <c r="AF11" i="1"/>
  <c r="AE12" i="1"/>
  <c r="AF12" i="1"/>
  <c r="AE13" i="1"/>
  <c r="AF13" i="1"/>
  <c r="AE14" i="1"/>
  <c r="AF14" i="1"/>
  <c r="AE15" i="1"/>
  <c r="AF15" i="1"/>
  <c r="AF2" i="1"/>
  <c r="AE2" i="1"/>
  <c r="M8" i="2" l="1"/>
  <c r="L8" i="2"/>
</calcChain>
</file>

<file path=xl/sharedStrings.xml><?xml version="1.0" encoding="utf-8"?>
<sst xmlns="http://schemas.openxmlformats.org/spreadsheetml/2006/main" count="715" uniqueCount="75">
  <si>
    <t>Sprint 0</t>
  </si>
  <si>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</si>
  <si>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</si>
  <si>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</si>
  <si>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</si>
  <si>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Sprint 0 </t>
  </si>
  <si>
    <t>4-5 weeks </t>
  </si>
  <si>
    <t>Month</t>
  </si>
  <si>
    <t>(All)</t>
  </si>
  <si>
    <t>&lt;- Filter By Month</t>
  </si>
  <si>
    <t>Billable Timecode</t>
  </si>
  <si>
    <t>Billable timecode</t>
  </si>
  <si>
    <t>Sum of Hours</t>
  </si>
  <si>
    <t>Column Labels</t>
  </si>
  <si>
    <t>Row Labels</t>
  </si>
  <si>
    <t>Delivery</t>
  </si>
  <si>
    <t>Grand Total</t>
  </si>
  <si>
    <t>Sam Duncan</t>
  </si>
  <si>
    <t>Total</t>
  </si>
  <si>
    <t xml:space="preserve">4-5 weeks </t>
  </si>
  <si>
    <t>Nikki Papenfus</t>
  </si>
  <si>
    <t>Delivery (Non-Billable)</t>
  </si>
  <si>
    <t>Sprint 0 Overrun</t>
  </si>
  <si>
    <t>Shaun Barrett</t>
  </si>
  <si>
    <t>Jacob Smycz</t>
  </si>
  <si>
    <t>Khonani Davhana</t>
  </si>
  <si>
    <t>Tafadzwa Toro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</si>
  <si>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</si>
  <si>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</si>
  <si>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</si>
  <si>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</si>
  <si>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</si>
  <si>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</si>
  <si>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</si>
  <si>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</si>
  <si>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</si>
  <si>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</si>
  <si>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</si>
  <si>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</si>
  <si>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</si>
  <si>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</si>
  <si>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</si>
  <si>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</si>
  <si>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</si>
  <si>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</si>
  <si>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</si>
  <si>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</si>
  <si>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</si>
  <si>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</si>
  <si>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</si>
  <si>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</si>
  <si>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</si>
  <si>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</si>
  <si>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</si>
  <si>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</si>
  <si>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</si>
  <si>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</si>
  <si>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</si>
  <si>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Salesforce</t>
  </si>
  <si>
    <t>SA</t>
  </si>
  <si>
    <t>Grainger PLC</t>
  </si>
  <si>
    <t>OB-000721</t>
  </si>
  <si>
    <t>Commercial Lead to Lease - Sprint 0 (T&amp;M)</t>
  </si>
  <si>
    <t>Billable</t>
  </si>
  <si>
    <t>Non-billable timecode</t>
  </si>
  <si>
    <t>Standard Timecode</t>
  </si>
  <si>
    <t>GBP</t>
  </si>
  <si>
    <t xml:space="preserve"> </t>
  </si>
  <si>
    <t>Not submitted</t>
  </si>
  <si>
    <t>Custom Software</t>
  </si>
  <si>
    <t>Andrew Pollock</t>
  </si>
  <si>
    <t>Period</t>
  </si>
  <si>
    <t>Carami Viljoen</t>
  </si>
  <si>
    <t>Time report</t>
  </si>
  <si>
    <t>Qube 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</si>
</sst>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£-809]* #,##0.00_-;\-[$£-809]* #,##0.00_-;_-[$£-809]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43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3" fillId="0" borderId="0" xfId="0" applyFont="1"/>
    <xf numFmtId="0" fontId="24" fillId="0" borderId="10" xfId="0" applyFont="1" applyBorder="1"/>
    <xf numFmtId="0" fontId="25" fillId="0" borderId="11" xfId="0" applyFont="1" applyBorder="1"/>
    <xf numFmtId="0" fontId="16" fillId="34" borderId="0" xfId="0" applyFont="1" applyFill="1"/>
    <xf numFmtId="164" fontId="24" fillId="0" borderId="10" xfId="0" applyNumberFormat="1" applyFont="1" applyBorder="1"/>
    <xf numFmtId="164" fontId="25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auto="1"/>
      </font>
    </dxf>
    <dxf>
      <numFmt numFmtId="35" formatCode="_-* #,##0.00_-;\-* #,##0.00_-;_-* &quot;-&quot;??_-;_-@_-"/>
    </dxf>
    <dxf>
      <font>
        <color auto="1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87.457502083336" createdVersion="8" refreshedVersion="8" minRefreshableVersion="3" recordCount="33" xr:uid="{CC18EAD1-0E8D-432A-B24F-1A59AAE458C5}">
  <cacheSource type="worksheet">
    <worksheetSource ref="A1:AF34" sheet="Delivery Timesheets"/>
  </cacheSource>
  <cacheFields count="32">
    <cacheField name="Date" numFmtId="15">
      <sharedItems containsSemiMixedTypes="0" containsNonDate="0" containsDate="1" containsString="0" minDate="2024-10-02T00:00:00" maxDate="2024-10-22T00:00:00"/>
    </cacheField>
    <cacheField name="Person" numFmtId="0">
      <sharedItems count="6">
        <s v="Jacob Smycz"/>
        <s v="Khonani Davhana"/>
        <s v="Nikki Papenfus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5483" maxValue="312545"/>
    </cacheField>
    <cacheField name="Timecode Name" numFmtId="0">
      <sharedItems count="3">
        <s v="Delivery (Non-Billable)"/>
        <s v="Delivery"/>
        <s v="Sprint 0 Overrun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75"/>
    </cacheField>
    <cacheField name="Time" numFmtId="20">
      <sharedItems containsSemiMixedTypes="0" containsNonDate="0" containsDate="1" containsString="0" minDate="1899-12-30T00:15:00" maxDate="1899-12-30T04:45:00"/>
    </cacheField>
    <cacheField name="Worked Amount" numFmtId="0">
      <sharedItems containsSemiMixedTypes="0" containsString="0" containsNumber="1" minValue="0" maxValue="42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0" maxValue="10"/>
    </cacheField>
    <cacheField name="Month" numFmtId="0">
      <sharedItems count="1"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14.503441435183" createdVersion="8" refreshedVersion="8" minRefreshableVersion="3" recordCount="32" xr:uid="{B736B6CF-31CD-42F6-82BC-CFA5AF5A3F41}">
  <cacheSource type="worksheet">
    <worksheetSource ref="A1:AF33" sheet="Sprint 0 Timesheets"/>
  </cacheSource>
  <cacheFields count="32">
    <cacheField name="Date" numFmtId="15">
      <sharedItems containsSemiMixedTypes="0" containsNonDate="0" containsDate="1" containsString="0" minDate="2024-11-01T00:00:00" maxDate="2024-11-16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18298" maxValue="323869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25"/>
    </cacheField>
    <cacheField name="Time" numFmtId="20">
      <sharedItems containsSemiMixedTypes="0" containsNonDate="0" containsDate="1" containsString="0" minDate="1899-12-30T00:15:00" maxDate="1899-12-30T07:15:00"/>
    </cacheField>
    <cacheField name="Worked Amount" numFmtId="0">
      <sharedItems containsSemiMixedTypes="0" containsString="0" containsNumber="1" minValue="0" maxValue="652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NonDate="0" containsString="0"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1" maxValue="11"/>
    </cacheField>
    <cacheField name="Month" numFmtId="0">
      <sharedItems containsBlank="1" count="2">
        <s v="November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4-10-08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18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33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10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8431"/>
    <x v="0"/>
    <x v="0"/>
    <s v="Standard Timecode"/>
    <n v="0"/>
    <n v="1.75"/>
    <d v="1899-12-30T01:45:00"/>
    <n v="0"/>
    <m/>
    <m/>
    <m/>
    <s v="GBP"/>
    <s v="Reviewed"/>
    <s v=" "/>
    <s v="Not submitted"/>
    <n v="10"/>
    <x v="0"/>
  </r>
  <r>
    <d v="2024-10-08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6"/>
    <x v="1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09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5"/>
    <x v="1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10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690"/>
    <x v="1"/>
    <x v="1"/>
    <s v="Standard Timecode"/>
    <n v="90"/>
    <n v="2"/>
    <d v="1899-12-30T02:00:00"/>
    <n v="180"/>
    <m/>
    <m/>
    <m/>
    <s v="GBP"/>
    <s v="Reviewed"/>
    <s v=" "/>
    <s v="Not submitted"/>
    <n v="10"/>
    <x v="0"/>
  </r>
  <r>
    <d v="2024-10-02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5483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6897"/>
    <x v="2"/>
    <x v="1"/>
    <s v="Standard Timecode"/>
    <n v="90"/>
    <n v="4.75"/>
    <d v="1899-12-30T04:45:00"/>
    <n v="427.5"/>
    <m/>
    <m/>
    <m/>
    <s v="GBP"/>
    <s v="Reviewed"/>
    <s v=" "/>
    <s v="Not submitted"/>
    <n v="10"/>
    <x v="0"/>
  </r>
  <r>
    <d v="2024-10-0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749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0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8468"/>
    <x v="2"/>
    <x v="1"/>
    <s v="Standard Timecode"/>
    <n v="90"/>
    <n v="2.5"/>
    <d v="1899-12-30T02:30:00"/>
    <n v="225"/>
    <m/>
    <m/>
    <m/>
    <s v="GBP"/>
    <s v="Reviewed"/>
    <s v=" "/>
    <s v="Not submitted"/>
    <n v="10"/>
    <x v="0"/>
  </r>
  <r>
    <d v="2024-10-1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119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4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50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138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6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63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051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593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2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2097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0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488"/>
    <x v="2"/>
    <x v="1"/>
    <s v="Standard Timecode"/>
    <n v="90"/>
    <n v="1.75"/>
    <d v="1899-12-30T01:45:00"/>
    <n v="157.5"/>
    <m/>
    <m/>
    <m/>
    <s v="GBP"/>
    <s v="Reviewed"/>
    <s v="Story point estimation (1h45)"/>
    <s v="Not submitted"/>
    <n v="10"/>
    <x v="0"/>
  </r>
  <r>
    <d v="2024-10-03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50"/>
    <x v="0"/>
    <x v="0"/>
    <s v="Standard Timecode"/>
    <n v="0"/>
    <n v="1.5"/>
    <d v="1899-12-30T01:30:00"/>
    <n v="0"/>
    <m/>
    <m/>
    <m/>
    <s v="GBP"/>
    <s v="Reviewed"/>
    <s v=" "/>
    <s v="Not submitted"/>
    <n v="10"/>
    <x v="0"/>
  </r>
  <r>
    <d v="2024-10-0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49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310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6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9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7"/>
    <x v="2"/>
    <x v="1"/>
    <s v="Standard Timecode"/>
    <n v="90"/>
    <n v="1.75"/>
    <d v="1899-12-30T01:45:00"/>
    <n v="157.5"/>
    <m/>
    <m/>
    <m/>
    <s v="GBP"/>
    <s v="Reviewed"/>
    <s v=" "/>
    <s v="Not submitted"/>
    <n v="10"/>
    <x v="0"/>
  </r>
  <r>
    <d v="2024-10-10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5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1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015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1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675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185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6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85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1171"/>
    <x v="2"/>
    <x v="1"/>
    <s v="Standard Timecode"/>
    <n v="90"/>
    <n v="0.5"/>
    <d v="1899-12-30T00:30:00"/>
    <n v="45"/>
    <m/>
    <m/>
    <m/>
    <s v="GBP"/>
    <m/>
    <s v=" "/>
    <s v="Not submitted"/>
    <n v="10"/>
    <x v="0"/>
  </r>
  <r>
    <d v="2024-10-1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2545"/>
    <x v="2"/>
    <x v="1"/>
    <s v="Standard Timecode"/>
    <n v="90"/>
    <n v="1"/>
    <d v="1899-12-30T01:00:00"/>
    <n v="90"/>
    <m/>
    <m/>
    <m/>
    <s v="GBP"/>
    <m/>
    <s v=" "/>
    <s v="Not submitted"/>
    <n v="10"/>
    <x v="0"/>
  </r>
  <r>
    <d v="2024-10-08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53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0"/>
    <x v="0"/>
    <x v="0"/>
    <s v="Standard Timecode"/>
    <n v="0"/>
    <n v="1"/>
    <d v="1899-12-30T01:00:00"/>
    <n v="0"/>
    <m/>
    <m/>
    <m/>
    <s v="GBP"/>
    <s v="Reviewed"/>
    <s v="Estimation"/>
    <s v="Not submitted"/>
    <n v="10"/>
    <x v="0"/>
  </r>
  <r>
    <d v="2024-10-10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6"/>
    <x v="0"/>
    <x v="0"/>
    <s v="Standard Timecode"/>
    <n v="0"/>
    <n v="1.75"/>
    <d v="1899-12-30T01:45:00"/>
    <n v="0"/>
    <m/>
    <m/>
    <m/>
    <s v="GBP"/>
    <s v="Reviewed"/>
    <s v="Estimation"/>
    <s v="Not submitted"/>
    <n v="1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d v="2024-11-11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38"/>
    <x v="0"/>
    <x v="0"/>
    <s v="Standard Timecode"/>
    <n v="0"/>
    <n v="0.25"/>
    <d v="1899-12-30T00:15:00"/>
    <n v="0"/>
    <m/>
    <m/>
    <m/>
    <s v="GBP"/>
    <m/>
    <s v="Time report"/>
    <s v="Not submitted"/>
    <n v="11"/>
    <x v="0"/>
  </r>
  <r>
    <d v="2024-11-04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8682"/>
    <x v="0"/>
    <x v="0"/>
    <s v="Standard Timecode"/>
    <n v="0"/>
    <n v="1"/>
    <d v="1899-12-30T01:00:00"/>
    <n v="0"/>
    <m/>
    <m/>
    <m/>
    <s v="GBP"/>
    <m/>
    <s v=" "/>
    <s v="Not submitted"/>
    <n v="11"/>
    <x v="0"/>
  </r>
  <r>
    <d v="2024-11-06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9648"/>
    <x v="0"/>
    <x v="0"/>
    <s v="Standard Timecode"/>
    <n v="0"/>
    <n v="1"/>
    <d v="1899-12-30T01:00:00"/>
    <n v="0"/>
    <m/>
    <m/>
    <m/>
    <s v="GBP"/>
    <m/>
    <s v=" "/>
    <s v="Not submitted"/>
    <n v="11"/>
    <x v="0"/>
  </r>
  <r>
    <d v="2024-11-1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1304"/>
    <x v="0"/>
    <x v="0"/>
    <s v="Standard Timecode"/>
    <n v="0"/>
    <n v="1.5"/>
    <d v="1899-12-30T01:30:00"/>
    <n v="0"/>
    <m/>
    <m/>
    <m/>
    <s v="GBP"/>
    <m/>
    <s v=" "/>
    <s v="Not submitted"/>
    <n v="11"/>
    <x v="0"/>
  </r>
  <r>
    <d v="2024-11-12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7"/>
    <x v="0"/>
    <x v="0"/>
    <s v="Standard Timecode"/>
    <n v="0"/>
    <n v="1"/>
    <d v="1899-12-30T01:00:00"/>
    <n v="0"/>
    <m/>
    <m/>
    <m/>
    <s v="GBP"/>
    <m/>
    <s v=" "/>
    <s v="Not submitted"/>
    <n v="11"/>
    <x v="0"/>
  </r>
  <r>
    <d v="2024-11-13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1"/>
    <x v="0"/>
    <x v="0"/>
    <s v="Standard Timecode"/>
    <n v="0"/>
    <n v="1"/>
    <d v="1899-12-30T01:00:00"/>
    <n v="0"/>
    <m/>
    <m/>
    <m/>
    <s v="GBP"/>
    <m/>
    <s v=" "/>
    <s v="Not submitted"/>
    <n v="11"/>
    <x v="0"/>
  </r>
  <r>
    <d v="2024-11-0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298"/>
    <x v="0"/>
    <x v="0"/>
    <s v="Standard Timecode"/>
    <n v="0"/>
    <n v="2.5"/>
    <d v="1899-12-30T02:30:00"/>
    <n v="0"/>
    <m/>
    <m/>
    <m/>
    <s v="GBP"/>
    <m/>
    <s v=" "/>
    <s v="Not submitted"/>
    <n v="11"/>
    <x v="0"/>
  </r>
  <r>
    <d v="2024-11-0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619"/>
    <x v="1"/>
    <x v="1"/>
    <s v="Standard Timecode"/>
    <n v="90"/>
    <n v="2.25"/>
    <d v="1899-12-30T02:15:00"/>
    <n v="202.5"/>
    <m/>
    <m/>
    <m/>
    <s v="GBP"/>
    <m/>
    <s v=" "/>
    <s v="Not submitted"/>
    <n v="11"/>
    <x v="0"/>
  </r>
  <r>
    <d v="2024-11-0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087"/>
    <x v="1"/>
    <x v="1"/>
    <s v="Standard Timecode"/>
    <n v="90"/>
    <n v="2.5"/>
    <d v="1899-12-30T02:30:00"/>
    <n v="225"/>
    <m/>
    <m/>
    <m/>
    <s v="GBP"/>
    <m/>
    <s v=" "/>
    <s v="Not submitted"/>
    <n v="11"/>
    <x v="0"/>
  </r>
  <r>
    <d v="2024-11-0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663"/>
    <x v="1"/>
    <x v="1"/>
    <s v="Standard Timecode"/>
    <n v="90"/>
    <n v="1.5"/>
    <d v="1899-12-30T01:30:00"/>
    <n v="135"/>
    <m/>
    <m/>
    <m/>
    <s v="GBP"/>
    <m/>
    <s v=" "/>
    <s v="Not submitted"/>
    <n v="11"/>
    <x v="0"/>
  </r>
  <r>
    <d v="2024-11-0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173"/>
    <x v="1"/>
    <x v="1"/>
    <s v="Standard Timecode"/>
    <n v="90"/>
    <n v="4.5"/>
    <d v="1899-12-30T04:30:00"/>
    <n v="405"/>
    <m/>
    <m/>
    <m/>
    <s v="GBP"/>
    <m/>
    <s v=" "/>
    <s v="Not submitted"/>
    <n v="11"/>
    <x v="0"/>
  </r>
  <r>
    <d v="2024-11-0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704"/>
    <x v="1"/>
    <x v="1"/>
    <s v="Standard Timecode"/>
    <n v="90"/>
    <n v="7.25"/>
    <d v="1899-12-30T07:15:00"/>
    <n v="652.5"/>
    <m/>
    <m/>
    <m/>
    <s v="GBP"/>
    <m/>
    <s v=" "/>
    <s v="Not submitted"/>
    <n v="11"/>
    <x v="0"/>
  </r>
  <r>
    <d v="2024-11-1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1468"/>
    <x v="1"/>
    <x v="1"/>
    <s v="Standard Timecode"/>
    <n v="90"/>
    <n v="4"/>
    <d v="1899-12-30T04:00:00"/>
    <n v="360"/>
    <m/>
    <m/>
    <m/>
    <s v="GBP"/>
    <m/>
    <s v=" "/>
    <s v="Not submitted"/>
    <n v="11"/>
    <x v="0"/>
  </r>
  <r>
    <d v="2024-11-1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040"/>
    <x v="1"/>
    <x v="1"/>
    <s v="Standard Timecode"/>
    <n v="90"/>
    <n v="7"/>
    <d v="1899-12-30T07:00:00"/>
    <n v="630"/>
    <m/>
    <m/>
    <m/>
    <s v="GBP"/>
    <m/>
    <s v=" "/>
    <s v="Not submitted"/>
    <n v="11"/>
    <x v="0"/>
  </r>
  <r>
    <d v="2024-11-13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573"/>
    <x v="1"/>
    <x v="1"/>
    <s v="Standard Timecode"/>
    <n v="90"/>
    <n v="6.5"/>
    <d v="1899-12-30T06:30:00"/>
    <n v="585"/>
    <m/>
    <m/>
    <m/>
    <s v="GBP"/>
    <m/>
    <s v=" "/>
    <s v="Not submitted"/>
    <n v="11"/>
    <x v="0"/>
  </r>
  <r>
    <d v="2024-11-1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022"/>
    <x v="1"/>
    <x v="1"/>
    <s v="Standard Timecode"/>
    <n v="90"/>
    <n v="4.25"/>
    <d v="1899-12-30T04:15:00"/>
    <n v="382.5"/>
    <m/>
    <m/>
    <m/>
    <s v="GBP"/>
    <m/>
    <s v=" "/>
    <s v="Not submitted"/>
    <n v="11"/>
    <x v="0"/>
  </r>
  <r>
    <d v="2024-11-1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759"/>
    <x v="1"/>
    <x v="1"/>
    <s v="Standard Timecode"/>
    <n v="90"/>
    <n v="5.5"/>
    <d v="1899-12-30T05:30:00"/>
    <n v="495"/>
    <m/>
    <m/>
    <m/>
    <s v="GBP"/>
    <m/>
    <s v=" "/>
    <s v="Not submitted"/>
    <n v="11"/>
    <x v="0"/>
  </r>
  <r>
    <d v="2024-11-04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698"/>
    <x v="1"/>
    <x v="1"/>
    <s v="Standard Timecode"/>
    <n v="90"/>
    <n v="0.5"/>
    <d v="1899-12-30T00:30:00"/>
    <n v="45"/>
    <m/>
    <m/>
    <m/>
    <s v="GBP"/>
    <m/>
    <s v=" "/>
    <s v="Not submitted"/>
    <n v="11"/>
    <x v="0"/>
  </r>
  <r>
    <d v="2024-11-06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11"/>
    <x v="1"/>
    <x v="1"/>
    <s v="Standard Timecode"/>
    <n v="90"/>
    <n v="0.5"/>
    <d v="1899-12-30T00:30:00"/>
    <n v="45"/>
    <m/>
    <m/>
    <m/>
    <s v="GBP"/>
    <m/>
    <s v=" "/>
    <s v="Not submitted"/>
    <n v="11"/>
    <x v="0"/>
  </r>
  <r>
    <d v="2024-11-1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26"/>
    <x v="1"/>
    <x v="1"/>
    <s v="Standard Timecode"/>
    <n v="90"/>
    <n v="1"/>
    <d v="1899-12-30T01:00:00"/>
    <n v="90"/>
    <m/>
    <m/>
    <m/>
    <s v="GBP"/>
    <m/>
    <s v=" "/>
    <s v="Not submitted"/>
    <n v="11"/>
    <x v="0"/>
  </r>
  <r>
    <d v="2024-11-12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7"/>
    <x v="1"/>
    <x v="1"/>
    <s v="Standard Timecode"/>
    <n v="90"/>
    <n v="0.5"/>
    <d v="1899-12-30T00:30:00"/>
    <n v="45"/>
    <m/>
    <m/>
    <m/>
    <s v="GBP"/>
    <m/>
    <s v="Qube discussion"/>
    <s v="Not submitted"/>
    <n v="11"/>
    <x v="0"/>
  </r>
  <r>
    <d v="2024-11-13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9"/>
    <x v="1"/>
    <x v="1"/>
    <s v="Standard Timecode"/>
    <n v="90"/>
    <n v="0.5"/>
    <d v="1899-12-30T00:30:00"/>
    <n v="45"/>
    <m/>
    <m/>
    <m/>
    <s v="GBP"/>
    <m/>
    <s v=" "/>
    <s v="Not submitted"/>
    <n v="11"/>
    <x v="0"/>
  </r>
  <r>
    <d v="2024-11-0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8740"/>
    <x v="0"/>
    <x v="0"/>
    <s v="Standard Timecode"/>
    <n v="0"/>
    <n v="1.5"/>
    <d v="1899-12-30T01:30:00"/>
    <n v="0"/>
    <m/>
    <m/>
    <m/>
    <s v="GBP"/>
    <m/>
    <s v=" "/>
    <s v="Not submitted"/>
    <n v="11"/>
    <x v="0"/>
  </r>
  <r>
    <d v="2024-11-0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240"/>
    <x v="0"/>
    <x v="0"/>
    <s v="Standard Timecode"/>
    <n v="0"/>
    <n v="0.5"/>
    <d v="1899-12-30T00:30:00"/>
    <n v="0"/>
    <m/>
    <m/>
    <m/>
    <s v="GBP"/>
    <m/>
    <s v=" "/>
    <s v="Not submitted"/>
    <n v="11"/>
    <x v="0"/>
  </r>
  <r>
    <d v="2024-11-06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825"/>
    <x v="0"/>
    <x v="0"/>
    <s v="Standard Timecode"/>
    <n v="0"/>
    <n v="0.5"/>
    <d v="1899-12-30T00:30:00"/>
    <n v="0"/>
    <m/>
    <m/>
    <m/>
    <s v="GBP"/>
    <m/>
    <s v=" "/>
    <s v="Not submitted"/>
    <n v="11"/>
    <x v="0"/>
  </r>
  <r>
    <d v="2024-11-0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19"/>
    <x v="0"/>
    <x v="0"/>
    <s v="Standard Timecode"/>
    <n v="0"/>
    <n v="0.75"/>
    <d v="1899-12-30T00:45:00"/>
    <n v="0"/>
    <m/>
    <m/>
    <m/>
    <s v="GBP"/>
    <m/>
    <s v=" "/>
    <s v="Not submitted"/>
    <n v="11"/>
    <x v="0"/>
  </r>
  <r>
    <d v="2024-11-0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20"/>
    <x v="0"/>
    <x v="0"/>
    <s v="Standard Timecode"/>
    <n v="0"/>
    <n v="0.5"/>
    <d v="1899-12-30T00:30:00"/>
    <n v="0"/>
    <m/>
    <m/>
    <m/>
    <s v="GBP"/>
    <m/>
    <s v=" "/>
    <s v="Not submitted"/>
    <n v="11"/>
    <x v="0"/>
  </r>
  <r>
    <d v="2024-11-1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60"/>
    <x v="0"/>
    <x v="0"/>
    <s v="Standard Timecode"/>
    <n v="0"/>
    <n v="0.5"/>
    <d v="1899-12-30T00:30:00"/>
    <n v="0"/>
    <m/>
    <m/>
    <m/>
    <s v="GBP"/>
    <m/>
    <s v=" "/>
    <s v="Not submitted"/>
    <n v="11"/>
    <x v="0"/>
  </r>
  <r>
    <d v="2024-11-1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196"/>
    <x v="0"/>
    <x v="0"/>
    <s v="Standard Timecode"/>
    <n v="0"/>
    <n v="0.5"/>
    <d v="1899-12-30T00:30:00"/>
    <n v="0"/>
    <m/>
    <m/>
    <m/>
    <s v="GBP"/>
    <m/>
    <s v=" "/>
    <s v="Not submitted"/>
    <n v="11"/>
    <x v="0"/>
  </r>
  <r>
    <d v="2024-11-13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738"/>
    <x v="0"/>
    <x v="0"/>
    <s v="Standard Timecode"/>
    <n v="0"/>
    <n v="0.5"/>
    <d v="1899-12-30T00:30:00"/>
    <n v="0"/>
    <m/>
    <m/>
    <m/>
    <s v="GBP"/>
    <m/>
    <s v=" "/>
    <s v="Not submitted"/>
    <n v="11"/>
    <x v="0"/>
  </r>
  <r>
    <d v="2024-11-1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217"/>
    <x v="0"/>
    <x v="0"/>
    <s v="Standard Timecode"/>
    <n v="0"/>
    <n v="0.5"/>
    <d v="1899-12-30T00:30:00"/>
    <n v="0"/>
    <m/>
    <m/>
    <m/>
    <s v="GBP"/>
    <m/>
    <s v=" "/>
    <s v="Not submitted"/>
    <n v="11"/>
    <x v="0"/>
  </r>
  <r>
    <d v="2024-11-1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869"/>
    <x v="0"/>
    <x v="0"/>
    <s v="Standard Timecode"/>
    <n v="0"/>
    <n v="0.5"/>
    <d v="1899-12-30T00:30:00"/>
    <n v="0"/>
    <m/>
    <m/>
    <m/>
    <s v="GBP"/>
    <m/>
    <s v=" "/>
    <s v="Not submitted"/>
    <n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942A0-09DA-4043-B9C0-C2E098187E11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0" firstHeaderRow="1" firstDataRow="2" firstDataCol="1" rowPageCount="2" colPageCount="1"/>
  <pivotFields count="32">
    <pivotField numFmtId="15"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m="1" x="1"/>
        <item t="default"/>
      </items>
    </pivotField>
  </pivotFields>
  <rowFields count="1">
    <field x="1"/>
  </rowFields>
  <rowItems count="3">
    <i>
      <x v="2"/>
    </i>
    <i>
      <x v="4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43"/>
  </dataFields>
  <formats count="2">
    <format dxfId="5">
      <pivotArea type="topRight" dataOnly="0" labelOnly="1" outline="0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56D29-3CF9-4020-895C-E712391205C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E27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1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2">
    <pageField fld="31" hier="-1"/>
    <pageField fld="17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/>
  </sheetViews>
  <sheetFormatPr defaultRowHeight="15" customHeight="1" x14ac:dyDescent="0.3"/>
  <cols>
    <col min="1" max="1" width="16.33203125" bestFit="1" customWidth="1"/>
    <col min="2" max="2" width="18.21875" bestFit="1" customWidth="1"/>
    <col min="3" max="3" width="11" style="8" bestFit="1" customWidth="1"/>
    <col min="4" max="4" width="15.33203125" bestFit="1" customWidth="1"/>
    <col min="5" max="5" width="11" bestFit="1" customWidth="1"/>
    <col min="6" max="6" width="10.5546875" bestFit="1" customWidth="1"/>
    <col min="7" max="7" width="12" customWidth="1"/>
    <col min="8" max="8" width="43.6640625" bestFit="1" customWidth="1"/>
    <col min="9" max="9" width="26.5546875" bestFit="1" customWidth="1"/>
    <col min="10" max="10" width="13.88671875" bestFit="1" customWidth="1"/>
    <col min="11" max="11" width="13.5546875" bestFit="1" customWidth="1"/>
    <col min="12" max="12" width="13.88671875" bestFit="1" customWidth="1"/>
    <col min="13" max="13" width="13.5546875" bestFit="1" customWidth="1"/>
  </cols>
  <sheetData>
    <row r="1" spans="1:13" ht="14.4" x14ac:dyDescent="0.3">
      <c r="A1" s="15" t="s">
        <v>0</v>
      </c>
      <c r="H1" s="11" t="s">
        <v>1</v>
      </c>
      <c r="I1" s="12" t="s">
        <v>2</v>
      </c>
      <c r="J1" s="12" t="s">
        <v>3</v>
      </c>
      <c r="K1" s="12" t="s">
        <v>4</v>
      </c>
      <c r="L1" s="12" t="s">
        <v>3</v>
      </c>
      <c r="M1" s="12" t="s">
        <v>4</v>
      </c>
    </row>
    <row r="2" spans="1:13" ht="14.4" x14ac:dyDescent="0.3">
      <c r="H2" s="13" t="s">
        <v>5</v>
      </c>
      <c r="I2" s="13" t="s">
        <v>6</v>
      </c>
      <c r="J2" s="13">
        <v>80</v>
      </c>
      <c r="K2" s="13">
        <v>120</v>
      </c>
      <c r="L2" s="16">
        <v>12000</v>
      </c>
      <c r="M2" s="16">
        <v>18000</v>
      </c>
    </row>
    <row r="3" spans="1:13" ht="14.4" x14ac:dyDescent="0.3">
      <c r="A3" s="4" t="s">
        <v>7</v>
      </c>
      <c r="B3" t="s">
        <v>8</v>
      </c>
      <c r="D3" s="6" t="s">
        <v>9</v>
      </c>
      <c r="H3" s="13"/>
      <c r="I3" s="13"/>
      <c r="J3" s="13"/>
      <c r="K3" s="13"/>
      <c r="L3" s="13"/>
      <c r="M3" s="13"/>
    </row>
    <row r="4" spans="1:13" ht="14.4" x14ac:dyDescent="0.3">
      <c r="A4" s="4" t="s">
        <v>10</v>
      </c>
      <c r="B4" t="s">
        <v>11</v>
      </c>
      <c r="H4" s="13"/>
      <c r="I4" s="13"/>
      <c r="J4" s="13"/>
      <c r="K4" s="13"/>
      <c r="L4" s="13"/>
      <c r="M4" s="13"/>
    </row>
    <row r="5" spans="1:13" ht="14.4" x14ac:dyDescent="0.3">
      <c r="C5"/>
      <c r="G5" s="7"/>
      <c r="H5" s="13"/>
      <c r="I5" s="13"/>
      <c r="J5" s="13"/>
      <c r="K5" s="13"/>
      <c r="L5" s="13"/>
      <c r="M5" s="13"/>
    </row>
    <row r="6" spans="1:13" ht="14.4" x14ac:dyDescent="0.3">
      <c r="A6" s="4" t="s">
        <v>12</v>
      </c>
      <c r="B6" s="4" t="s">
        <v>13</v>
      </c>
      <c r="H6" s="13"/>
      <c r="I6" s="13"/>
      <c r="J6" s="13"/>
      <c r="K6" s="13"/>
      <c r="L6" s="13"/>
      <c r="M6" s="13"/>
    </row>
    <row r="7" spans="1:13" ht="15.6" x14ac:dyDescent="0.3">
      <c r="A7" s="4" t="s">
        <v>14</v>
      </c>
      <c r="B7" t="s">
        <v>15</v>
      </c>
      <c r="C7" t="s">
        <v>16</v>
      </c>
      <c r="H7" s="10"/>
      <c r="I7" s="10"/>
      <c r="J7" s="10"/>
      <c r="K7" s="10"/>
      <c r="L7" s="10"/>
      <c r="M7" s="10"/>
    </row>
    <row r="8" spans="1:13" ht="15.6" x14ac:dyDescent="0.3">
      <c r="A8" s="5" t="s">
        <v>20</v>
      </c>
      <c r="B8" s="9">
        <v>45.25</v>
      </c>
      <c r="C8" s="9">
        <v>45.25</v>
      </c>
      <c r="H8" s="14" t="s">
        <v>18</v>
      </c>
      <c r="I8" s="14" t="s">
        <v>19</v>
      </c>
      <c r="J8" s="14"/>
      <c r="K8" s="14"/>
      <c r="L8" s="17">
        <f>SUM(L2:L7)</f>
        <v>12000</v>
      </c>
      <c r="M8" s="17">
        <f>SUM(M2:M7)</f>
        <v>18000</v>
      </c>
    </row>
    <row r="9" spans="1:13" ht="14.4" x14ac:dyDescent="0.3">
      <c r="A9" s="5" t="s">
        <v>17</v>
      </c>
      <c r="B9" s="9">
        <v>3</v>
      </c>
      <c r="C9" s="9">
        <v>3</v>
      </c>
    </row>
    <row r="10" spans="1:13" ht="14.4" x14ac:dyDescent="0.3">
      <c r="A10" s="5" t="s">
        <v>16</v>
      </c>
      <c r="B10" s="9">
        <v>48.25</v>
      </c>
      <c r="C10" s="9">
        <v>48.25</v>
      </c>
    </row>
    <row r="11" spans="1:13" ht="14.4" x14ac:dyDescent="0.3">
      <c r="C11"/>
    </row>
    <row r="12" spans="1:13" ht="14.4" x14ac:dyDescent="0.3">
      <c r="C12"/>
    </row>
    <row r="13" spans="1:13" ht="14.4" x14ac:dyDescent="0.3">
      <c r="C13"/>
    </row>
    <row r="14" spans="1:13" ht="14.4" hidden="1" x14ac:dyDescent="0.3">
      <c r="A14" s="15" t="s">
        <v>15</v>
      </c>
      <c r="C14"/>
    </row>
    <row r="15" spans="1:13" ht="14.4" hidden="1" x14ac:dyDescent="0.3">
      <c r="C15"/>
    </row>
    <row r="16" spans="1:13" ht="14.4" hidden="1" x14ac:dyDescent="0.3">
      <c r="A16" s="4" t="s">
        <v>7</v>
      </c>
      <c r="B16" t="s">
        <v>8</v>
      </c>
      <c r="C16"/>
    </row>
    <row r="17" spans="1:5" ht="14.4" hidden="1" x14ac:dyDescent="0.3">
      <c r="A17" s="4" t="s">
        <v>10</v>
      </c>
      <c r="B17" t="s">
        <v>8</v>
      </c>
      <c r="C17"/>
    </row>
    <row r="18" spans="1:5" ht="14.4" hidden="1" x14ac:dyDescent="0.3">
      <c r="C18"/>
    </row>
    <row r="19" spans="1:5" ht="14.4" hidden="1" x14ac:dyDescent="0.3">
      <c r="A19" s="4" t="s">
        <v>12</v>
      </c>
      <c r="B19" s="4" t="s">
        <v>13</v>
      </c>
      <c r="C19"/>
    </row>
    <row r="20" spans="1:5" ht="14.4" hidden="1" x14ac:dyDescent="0.3">
      <c r="A20" s="4" t="s">
        <v>14</v>
      </c>
      <c r="B20" t="s">
        <v>21</v>
      </c>
      <c r="C20" t="s">
        <v>15</v>
      </c>
      <c r="D20" t="s">
        <v>22</v>
      </c>
      <c r="E20" t="s">
        <v>16</v>
      </c>
    </row>
    <row r="21" spans="1:5" ht="14.4" hidden="1" x14ac:dyDescent="0.3">
      <c r="A21" s="5" t="s">
        <v>23</v>
      </c>
      <c r="B21">
        <v>3.75</v>
      </c>
      <c r="C21"/>
      <c r="D21">
        <v>7.25</v>
      </c>
      <c r="E21">
        <v>11</v>
      </c>
    </row>
    <row r="22" spans="1:5" ht="14.4" hidden="1" x14ac:dyDescent="0.3">
      <c r="A22" s="5" t="s">
        <v>24</v>
      </c>
      <c r="B22">
        <v>3.25</v>
      </c>
      <c r="C22"/>
      <c r="E22">
        <v>3.25</v>
      </c>
    </row>
    <row r="23" spans="1:5" ht="14.4" hidden="1" x14ac:dyDescent="0.3">
      <c r="A23" s="5" t="s">
        <v>25</v>
      </c>
      <c r="C23">
        <v>3.5</v>
      </c>
      <c r="E23">
        <v>3.5</v>
      </c>
    </row>
    <row r="24" spans="1:5" ht="14.4" hidden="1" x14ac:dyDescent="0.3">
      <c r="A24" s="5" t="s">
        <v>20</v>
      </c>
      <c r="C24"/>
      <c r="D24">
        <v>12.5</v>
      </c>
      <c r="E24">
        <v>12.5</v>
      </c>
    </row>
    <row r="25" spans="1:5" ht="14.4" hidden="1" x14ac:dyDescent="0.3">
      <c r="A25" s="5" t="s">
        <v>26</v>
      </c>
      <c r="B25">
        <v>3.25</v>
      </c>
      <c r="C25"/>
      <c r="E25">
        <v>3.25</v>
      </c>
    </row>
    <row r="26" spans="1:5" ht="14.4" hidden="1" x14ac:dyDescent="0.3">
      <c r="A26" s="5" t="s">
        <v>17</v>
      </c>
      <c r="C26"/>
      <c r="D26">
        <v>1.75</v>
      </c>
      <c r="E26">
        <v>1.75</v>
      </c>
    </row>
    <row r="27" spans="1:5" ht="14.4" hidden="1" x14ac:dyDescent="0.3">
      <c r="A27" s="5" t="s">
        <v>16</v>
      </c>
      <c r="B27">
        <v>10.25</v>
      </c>
      <c r="C27">
        <v>3.5</v>
      </c>
      <c r="D27">
        <v>21.5</v>
      </c>
      <c r="E27">
        <v>35.25</v>
      </c>
    </row>
    <row r="28" spans="1:5" ht="14.4" hidden="1" x14ac:dyDescent="0.3">
      <c r="C28"/>
    </row>
    <row r="29" spans="1:5" ht="14.4" x14ac:dyDescent="0.3">
      <c r="C29"/>
    </row>
    <row r="30" spans="1:5" ht="14.4" x14ac:dyDescent="0.3">
      <c r="C30"/>
    </row>
    <row r="31" spans="1:5" ht="14.4" x14ac:dyDescent="0.3">
      <c r="C31"/>
    </row>
    <row r="32" spans="1:5" ht="14.4" x14ac:dyDescent="0.3">
      <c r="C32"/>
    </row>
    <row r="33" spans="3:3" ht="14.4" x14ac:dyDescent="0.3">
      <c r="C33"/>
    </row>
    <row r="34" spans="3:3" ht="14.4" x14ac:dyDescent="0.3">
      <c r="C34"/>
    </row>
    <row r="35" spans="3:3" ht="14.4" x14ac:dyDescent="0.3">
      <c r="C35"/>
    </row>
    <row r="36" spans="3:3" ht="14.4" x14ac:dyDescent="0.3"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8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33203125" bestFit="1" customWidth="1"/>
    <col min="5" max="5" width="15.4414062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5.5546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1.88671875" bestFit="1" customWidth="1"/>
    <col min="17" max="17" width="20.5546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14.44140625" bestFit="1" customWidth="1"/>
    <col min="30" max="30" width="15.5546875" bestFit="1" customWidth="1"/>
    <col min="31" max="31" width="6.6640625" bestFit="1" customWidth="1"/>
    <col min="32" max="32" width="10" bestFit="1" customWidth="1"/>
  </cols>
  <sheetData>
    <row r="1" spans="1:3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10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s="3" t="s">
        <v>71</v>
      </c>
      <c r="AF1" s="3" t="s">
        <v>7</v>
      </c>
    </row>
    <row r="2" spans="1:35" x14ac:dyDescent="0.3">
      <c r="A2" s="1">
        <v>45607</v>
      </c>
      <c r="B2" t="s">
        <v>72</v>
      </c>
      <c r="C2" t="s">
        <v>56</v>
      </c>
      <c r="D2" t="s">
        <v>57</v>
      </c>
      <c r="E2" t="s">
        <v>69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57</v>
      </c>
      <c r="L2" t="s">
        <v>23</v>
      </c>
      <c r="M2" t="s">
        <v>17</v>
      </c>
      <c r="N2" t="s">
        <v>67</v>
      </c>
      <c r="O2" t="s">
        <v>0</v>
      </c>
      <c r="P2">
        <v>321638</v>
      </c>
      <c r="Q2" t="s">
        <v>21</v>
      </c>
      <c r="R2" t="s">
        <v>64</v>
      </c>
      <c r="S2" t="s">
        <v>65</v>
      </c>
      <c r="T2">
        <v>0</v>
      </c>
      <c r="U2">
        <v>0.25</v>
      </c>
      <c r="V2" s="2">
        <v>1.0416666666666666E-2</v>
      </c>
      <c r="W2">
        <v>0</v>
      </c>
      <c r="AA2" t="s">
        <v>66</v>
      </c>
      <c r="AC2" t="s">
        <v>73</v>
      </c>
      <c r="AD2" t="s">
        <v>68</v>
      </c>
      <c r="AE2">
        <f>MONTH(A2)</f>
        <v>11</v>
      </c>
      <c r="AF2" t="str">
        <f>IF(AE2=11,"November",IF(AE2=12,"December",IF(AE2=1,"January",IF(AE2=2,"February",IF(AE2=3,"March")))))</f>
        <v>November</v>
      </c>
      <c r="AI2" s="2"/>
    </row>
    <row r="3" spans="1:35" x14ac:dyDescent="0.3">
      <c r="A3" s="1">
        <v>45600</v>
      </c>
      <c r="B3" t="s">
        <v>24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57</v>
      </c>
      <c r="L3" t="s">
        <v>23</v>
      </c>
      <c r="M3" t="s">
        <v>17</v>
      </c>
      <c r="N3" t="s">
        <v>17</v>
      </c>
      <c r="O3" t="s">
        <v>0</v>
      </c>
      <c r="P3">
        <v>318682</v>
      </c>
      <c r="Q3" t="s">
        <v>21</v>
      </c>
      <c r="R3" t="s">
        <v>64</v>
      </c>
      <c r="S3" t="s">
        <v>65</v>
      </c>
      <c r="T3">
        <v>0</v>
      </c>
      <c r="U3">
        <v>1</v>
      </c>
      <c r="V3" s="2">
        <v>4.1666666666666664E-2</v>
      </c>
      <c r="W3">
        <v>0</v>
      </c>
      <c r="AA3" t="s">
        <v>66</v>
      </c>
      <c r="AC3" t="s">
        <v>67</v>
      </c>
      <c r="AD3" t="s">
        <v>68</v>
      </c>
      <c r="AE3">
        <f t="shared" ref="AE3:AE15" si="0">MONTH(A3)</f>
        <v>11</v>
      </c>
      <c r="AF3" t="str">
        <f t="shared" ref="AF3:AF15" si="1">IF(AE3=11,"November",IF(AE3=12,"December",IF(AE3=1,"January",IF(AE3=2,"February",IF(AE3=3,"March")))))</f>
        <v>November</v>
      </c>
      <c r="AI3" s="2"/>
    </row>
    <row r="4" spans="1:35" x14ac:dyDescent="0.3">
      <c r="A4" s="1">
        <v>45602</v>
      </c>
      <c r="B4" t="s">
        <v>24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57</v>
      </c>
      <c r="L4" t="s">
        <v>23</v>
      </c>
      <c r="M4" t="s">
        <v>17</v>
      </c>
      <c r="N4" t="s">
        <v>17</v>
      </c>
      <c r="O4" t="s">
        <v>0</v>
      </c>
      <c r="P4">
        <v>319648</v>
      </c>
      <c r="Q4" t="s">
        <v>21</v>
      </c>
      <c r="R4" t="s">
        <v>64</v>
      </c>
      <c r="S4" t="s">
        <v>65</v>
      </c>
      <c r="T4">
        <v>0</v>
      </c>
      <c r="U4">
        <v>1</v>
      </c>
      <c r="V4" s="2">
        <v>4.1666666666666664E-2</v>
      </c>
      <c r="W4">
        <v>0</v>
      </c>
      <c r="AA4" t="s">
        <v>66</v>
      </c>
      <c r="AC4" t="s">
        <v>67</v>
      </c>
      <c r="AD4" t="s">
        <v>68</v>
      </c>
      <c r="AE4">
        <f t="shared" si="0"/>
        <v>11</v>
      </c>
      <c r="AF4" t="str">
        <f t="shared" si="1"/>
        <v>November</v>
      </c>
      <c r="AI4" s="2"/>
    </row>
    <row r="5" spans="1:35" x14ac:dyDescent="0.3">
      <c r="A5" s="1">
        <v>45607</v>
      </c>
      <c r="B5" t="s">
        <v>24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57</v>
      </c>
      <c r="L5" t="s">
        <v>23</v>
      </c>
      <c r="M5" t="s">
        <v>17</v>
      </c>
      <c r="N5" t="s">
        <v>17</v>
      </c>
      <c r="O5" t="s">
        <v>0</v>
      </c>
      <c r="P5">
        <v>321304</v>
      </c>
      <c r="Q5" t="s">
        <v>21</v>
      </c>
      <c r="R5" t="s">
        <v>64</v>
      </c>
      <c r="S5" t="s">
        <v>65</v>
      </c>
      <c r="T5">
        <v>0</v>
      </c>
      <c r="U5">
        <v>1.5</v>
      </c>
      <c r="V5" s="2">
        <v>6.25E-2</v>
      </c>
      <c r="W5">
        <v>0</v>
      </c>
      <c r="AA5" t="s">
        <v>66</v>
      </c>
      <c r="AC5" t="s">
        <v>67</v>
      </c>
      <c r="AD5" t="s">
        <v>68</v>
      </c>
      <c r="AE5">
        <f t="shared" si="0"/>
        <v>11</v>
      </c>
      <c r="AF5" t="str">
        <f t="shared" si="1"/>
        <v>November</v>
      </c>
      <c r="AI5" s="2"/>
    </row>
    <row r="6" spans="1:35" x14ac:dyDescent="0.3">
      <c r="A6" s="1">
        <v>45608</v>
      </c>
      <c r="B6" t="s">
        <v>24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57</v>
      </c>
      <c r="L6" t="s">
        <v>23</v>
      </c>
      <c r="M6" t="s">
        <v>17</v>
      </c>
      <c r="N6" t="s">
        <v>17</v>
      </c>
      <c r="O6" t="s">
        <v>0</v>
      </c>
      <c r="P6">
        <v>322607</v>
      </c>
      <c r="Q6" t="s">
        <v>21</v>
      </c>
      <c r="R6" t="s">
        <v>64</v>
      </c>
      <c r="S6" t="s">
        <v>65</v>
      </c>
      <c r="T6">
        <v>0</v>
      </c>
      <c r="U6">
        <v>1</v>
      </c>
      <c r="V6" s="2">
        <v>4.1666666666666664E-2</v>
      </c>
      <c r="W6">
        <v>0</v>
      </c>
      <c r="AA6" t="s">
        <v>66</v>
      </c>
      <c r="AC6" t="s">
        <v>67</v>
      </c>
      <c r="AD6" t="s">
        <v>68</v>
      </c>
      <c r="AE6">
        <f t="shared" si="0"/>
        <v>11</v>
      </c>
      <c r="AF6" t="str">
        <f t="shared" si="1"/>
        <v>November</v>
      </c>
      <c r="AI6" s="2"/>
    </row>
    <row r="7" spans="1:35" x14ac:dyDescent="0.3">
      <c r="A7" s="1">
        <v>45609</v>
      </c>
      <c r="B7" t="s">
        <v>24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57</v>
      </c>
      <c r="L7" t="s">
        <v>23</v>
      </c>
      <c r="M7" t="s">
        <v>17</v>
      </c>
      <c r="N7" t="s">
        <v>17</v>
      </c>
      <c r="O7" t="s">
        <v>0</v>
      </c>
      <c r="P7">
        <v>322601</v>
      </c>
      <c r="Q7" t="s">
        <v>21</v>
      </c>
      <c r="R7" t="s">
        <v>64</v>
      </c>
      <c r="S7" t="s">
        <v>65</v>
      </c>
      <c r="T7">
        <v>0</v>
      </c>
      <c r="U7">
        <v>1</v>
      </c>
      <c r="V7" s="2">
        <v>4.1666666666666664E-2</v>
      </c>
      <c r="W7">
        <v>0</v>
      </c>
      <c r="AA7" t="s">
        <v>66</v>
      </c>
      <c r="AC7" t="s">
        <v>67</v>
      </c>
      <c r="AD7" t="s">
        <v>68</v>
      </c>
      <c r="AE7">
        <f t="shared" si="0"/>
        <v>11</v>
      </c>
      <c r="AF7" t="str">
        <f t="shared" si="1"/>
        <v>November</v>
      </c>
      <c r="AI7" s="2"/>
    </row>
    <row r="8" spans="1:35" x14ac:dyDescent="0.3">
      <c r="A8" s="1">
        <v>45597</v>
      </c>
      <c r="B8" t="s">
        <v>20</v>
      </c>
      <c r="C8" t="s">
        <v>56</v>
      </c>
      <c r="D8" t="s">
        <v>57</v>
      </c>
      <c r="E8" t="s">
        <v>69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57</v>
      </c>
      <c r="L8" t="s">
        <v>23</v>
      </c>
      <c r="M8" t="s">
        <v>17</v>
      </c>
      <c r="N8" t="s">
        <v>70</v>
      </c>
      <c r="O8" t="s">
        <v>0</v>
      </c>
      <c r="P8">
        <v>318298</v>
      </c>
      <c r="Q8" t="s">
        <v>21</v>
      </c>
      <c r="R8" t="s">
        <v>64</v>
      </c>
      <c r="S8" t="s">
        <v>65</v>
      </c>
      <c r="T8">
        <v>0</v>
      </c>
      <c r="U8">
        <v>2.5</v>
      </c>
      <c r="V8" s="2">
        <v>0.10416666666666667</v>
      </c>
      <c r="W8">
        <v>0</v>
      </c>
      <c r="AA8" t="s">
        <v>66</v>
      </c>
      <c r="AC8" t="s">
        <v>67</v>
      </c>
      <c r="AD8" t="s">
        <v>68</v>
      </c>
      <c r="AE8">
        <f t="shared" si="0"/>
        <v>11</v>
      </c>
      <c r="AF8" t="str">
        <f t="shared" si="1"/>
        <v>November</v>
      </c>
      <c r="AI8" s="2"/>
    </row>
    <row r="9" spans="1:35" x14ac:dyDescent="0.3">
      <c r="A9" s="1">
        <v>45600</v>
      </c>
      <c r="B9" t="s">
        <v>20</v>
      </c>
      <c r="C9" t="s">
        <v>56</v>
      </c>
      <c r="D9" t="s">
        <v>57</v>
      </c>
      <c r="E9" t="s">
        <v>69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57</v>
      </c>
      <c r="L9" t="s">
        <v>23</v>
      </c>
      <c r="M9" t="s">
        <v>17</v>
      </c>
      <c r="N9" t="s">
        <v>70</v>
      </c>
      <c r="O9" t="s">
        <v>0</v>
      </c>
      <c r="P9">
        <v>318619</v>
      </c>
      <c r="Q9" t="s">
        <v>15</v>
      </c>
      <c r="R9" t="s">
        <v>11</v>
      </c>
      <c r="S9" t="s">
        <v>65</v>
      </c>
      <c r="T9">
        <v>90</v>
      </c>
      <c r="U9">
        <v>2.25</v>
      </c>
      <c r="V9" s="2">
        <v>9.375E-2</v>
      </c>
      <c r="W9">
        <v>202.5</v>
      </c>
      <c r="AA9" t="s">
        <v>66</v>
      </c>
      <c r="AC9" t="s">
        <v>67</v>
      </c>
      <c r="AD9" t="s">
        <v>68</v>
      </c>
      <c r="AE9">
        <f t="shared" si="0"/>
        <v>11</v>
      </c>
      <c r="AF9" t="str">
        <f t="shared" si="1"/>
        <v>November</v>
      </c>
      <c r="AI9" s="2"/>
    </row>
    <row r="10" spans="1:35" x14ac:dyDescent="0.3">
      <c r="A10" s="1">
        <v>45601</v>
      </c>
      <c r="B10" t="s">
        <v>20</v>
      </c>
      <c r="C10" t="s">
        <v>56</v>
      </c>
      <c r="D10" t="s">
        <v>57</v>
      </c>
      <c r="E10" t="s">
        <v>69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57</v>
      </c>
      <c r="L10" t="s">
        <v>23</v>
      </c>
      <c r="M10" t="s">
        <v>17</v>
      </c>
      <c r="N10" t="s">
        <v>70</v>
      </c>
      <c r="O10" t="s">
        <v>0</v>
      </c>
      <c r="P10">
        <v>319087</v>
      </c>
      <c r="Q10" t="s">
        <v>15</v>
      </c>
      <c r="R10" t="s">
        <v>11</v>
      </c>
      <c r="S10" t="s">
        <v>65</v>
      </c>
      <c r="T10">
        <v>90</v>
      </c>
      <c r="U10">
        <v>2.5</v>
      </c>
      <c r="V10" s="2">
        <v>0.10416666666666667</v>
      </c>
      <c r="W10">
        <v>225</v>
      </c>
      <c r="AA10" t="s">
        <v>66</v>
      </c>
      <c r="AC10" t="s">
        <v>67</v>
      </c>
      <c r="AD10" t="s">
        <v>68</v>
      </c>
      <c r="AE10">
        <f t="shared" si="0"/>
        <v>11</v>
      </c>
      <c r="AF10" t="str">
        <f t="shared" si="1"/>
        <v>November</v>
      </c>
      <c r="AI10" s="2"/>
    </row>
    <row r="11" spans="1:35" x14ac:dyDescent="0.3">
      <c r="A11" s="1">
        <v>45602</v>
      </c>
      <c r="B11" t="s">
        <v>20</v>
      </c>
      <c r="C11" t="s">
        <v>56</v>
      </c>
      <c r="D11" t="s">
        <v>57</v>
      </c>
      <c r="E11" t="s">
        <v>69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57</v>
      </c>
      <c r="L11" t="s">
        <v>23</v>
      </c>
      <c r="M11" t="s">
        <v>17</v>
      </c>
      <c r="N11" t="s">
        <v>70</v>
      </c>
      <c r="O11" t="s">
        <v>0</v>
      </c>
      <c r="P11">
        <v>319663</v>
      </c>
      <c r="Q11" t="s">
        <v>15</v>
      </c>
      <c r="R11" t="s">
        <v>11</v>
      </c>
      <c r="S11" t="s">
        <v>65</v>
      </c>
      <c r="T11">
        <v>90</v>
      </c>
      <c r="U11">
        <v>1.5</v>
      </c>
      <c r="V11" s="2">
        <v>6.25E-2</v>
      </c>
      <c r="W11">
        <v>135</v>
      </c>
      <c r="AA11" t="s">
        <v>66</v>
      </c>
      <c r="AC11" t="s">
        <v>67</v>
      </c>
      <c r="AD11" t="s">
        <v>68</v>
      </c>
      <c r="AE11">
        <f t="shared" si="0"/>
        <v>11</v>
      </c>
      <c r="AF11" t="str">
        <f t="shared" si="1"/>
        <v>November</v>
      </c>
      <c r="AI11" s="2"/>
    </row>
    <row r="12" spans="1:35" x14ac:dyDescent="0.3">
      <c r="A12" s="1">
        <v>45603</v>
      </c>
      <c r="B12" t="s">
        <v>20</v>
      </c>
      <c r="C12" t="s">
        <v>56</v>
      </c>
      <c r="D12" t="s">
        <v>57</v>
      </c>
      <c r="E12" t="s">
        <v>69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57</v>
      </c>
      <c r="L12" t="s">
        <v>23</v>
      </c>
      <c r="M12" t="s">
        <v>17</v>
      </c>
      <c r="N12" t="s">
        <v>70</v>
      </c>
      <c r="O12" t="s">
        <v>0</v>
      </c>
      <c r="P12">
        <v>320173</v>
      </c>
      <c r="Q12" t="s">
        <v>15</v>
      </c>
      <c r="R12" t="s">
        <v>11</v>
      </c>
      <c r="S12" t="s">
        <v>65</v>
      </c>
      <c r="T12">
        <v>90</v>
      </c>
      <c r="U12">
        <v>4.5</v>
      </c>
      <c r="V12" s="2">
        <v>0.1875</v>
      </c>
      <c r="W12">
        <v>405</v>
      </c>
      <c r="AA12" t="s">
        <v>66</v>
      </c>
      <c r="AC12" t="s">
        <v>67</v>
      </c>
      <c r="AD12" t="s">
        <v>68</v>
      </c>
      <c r="AE12">
        <f t="shared" si="0"/>
        <v>11</v>
      </c>
      <c r="AF12" t="str">
        <f t="shared" si="1"/>
        <v>November</v>
      </c>
      <c r="AI12" s="2"/>
    </row>
    <row r="13" spans="1:35" x14ac:dyDescent="0.3">
      <c r="A13" s="1">
        <v>45604</v>
      </c>
      <c r="B13" t="s">
        <v>20</v>
      </c>
      <c r="C13" t="s">
        <v>56</v>
      </c>
      <c r="D13" t="s">
        <v>57</v>
      </c>
      <c r="E13" t="s">
        <v>69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57</v>
      </c>
      <c r="L13" t="s">
        <v>23</v>
      </c>
      <c r="M13" t="s">
        <v>17</v>
      </c>
      <c r="N13" t="s">
        <v>70</v>
      </c>
      <c r="O13" t="s">
        <v>0</v>
      </c>
      <c r="P13">
        <v>320704</v>
      </c>
      <c r="Q13" t="s">
        <v>15</v>
      </c>
      <c r="R13" t="s">
        <v>11</v>
      </c>
      <c r="S13" t="s">
        <v>65</v>
      </c>
      <c r="T13">
        <v>90</v>
      </c>
      <c r="U13">
        <v>7.25</v>
      </c>
      <c r="V13" s="2">
        <v>0.30208333333333331</v>
      </c>
      <c r="W13">
        <v>652.5</v>
      </c>
      <c r="AA13" t="s">
        <v>66</v>
      </c>
      <c r="AC13" t="s">
        <v>67</v>
      </c>
      <c r="AD13" t="s">
        <v>68</v>
      </c>
      <c r="AE13">
        <f t="shared" si="0"/>
        <v>11</v>
      </c>
      <c r="AF13" t="str">
        <f t="shared" si="1"/>
        <v>November</v>
      </c>
      <c r="AI13" s="2"/>
    </row>
    <row r="14" spans="1:35" x14ac:dyDescent="0.3">
      <c r="A14" s="1">
        <v>45607</v>
      </c>
      <c r="B14" t="s">
        <v>20</v>
      </c>
      <c r="C14" t="s">
        <v>56</v>
      </c>
      <c r="D14" t="s">
        <v>57</v>
      </c>
      <c r="E14" t="s">
        <v>69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57</v>
      </c>
      <c r="L14" t="s">
        <v>23</v>
      </c>
      <c r="M14" t="s">
        <v>17</v>
      </c>
      <c r="N14" t="s">
        <v>70</v>
      </c>
      <c r="O14" t="s">
        <v>0</v>
      </c>
      <c r="P14">
        <v>321468</v>
      </c>
      <c r="Q14" t="s">
        <v>15</v>
      </c>
      <c r="R14" t="s">
        <v>11</v>
      </c>
      <c r="S14" t="s">
        <v>65</v>
      </c>
      <c r="T14">
        <v>90</v>
      </c>
      <c r="U14">
        <v>4</v>
      </c>
      <c r="V14" s="2">
        <v>0.16666666666666666</v>
      </c>
      <c r="W14">
        <v>360</v>
      </c>
      <c r="AA14" t="s">
        <v>66</v>
      </c>
      <c r="AC14" t="s">
        <v>67</v>
      </c>
      <c r="AD14" t="s">
        <v>68</v>
      </c>
      <c r="AE14">
        <f t="shared" si="0"/>
        <v>11</v>
      </c>
      <c r="AF14" t="str">
        <f t="shared" si="1"/>
        <v>November</v>
      </c>
      <c r="AI14" s="2"/>
    </row>
    <row r="15" spans="1:35" x14ac:dyDescent="0.3">
      <c r="A15" s="1">
        <v>45608</v>
      </c>
      <c r="B15" t="s">
        <v>20</v>
      </c>
      <c r="C15" t="s">
        <v>56</v>
      </c>
      <c r="D15" t="s">
        <v>57</v>
      </c>
      <c r="E15" t="s">
        <v>69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57</v>
      </c>
      <c r="L15" t="s">
        <v>23</v>
      </c>
      <c r="M15" t="s">
        <v>17</v>
      </c>
      <c r="N15" t="s">
        <v>70</v>
      </c>
      <c r="O15" t="s">
        <v>0</v>
      </c>
      <c r="P15">
        <v>322040</v>
      </c>
      <c r="Q15" t="s">
        <v>15</v>
      </c>
      <c r="R15" t="s">
        <v>11</v>
      </c>
      <c r="S15" t="s">
        <v>65</v>
      </c>
      <c r="T15">
        <v>90</v>
      </c>
      <c r="U15">
        <v>7</v>
      </c>
      <c r="V15" s="2">
        <v>0.29166666666666669</v>
      </c>
      <c r="W15">
        <v>630</v>
      </c>
      <c r="AA15" t="s">
        <v>66</v>
      </c>
      <c r="AC15" t="s">
        <v>67</v>
      </c>
      <c r="AD15" t="s">
        <v>68</v>
      </c>
      <c r="AE15">
        <f t="shared" si="0"/>
        <v>11</v>
      </c>
      <c r="AF15" t="str">
        <f t="shared" si="1"/>
        <v>November</v>
      </c>
      <c r="AI15" s="2"/>
    </row>
    <row r="16" spans="1:35" x14ac:dyDescent="0.3">
      <c r="A16" s="1">
        <v>45609</v>
      </c>
      <c r="B16" t="s">
        <v>20</v>
      </c>
      <c r="C16" t="s">
        <v>56</v>
      </c>
      <c r="D16" t="s">
        <v>57</v>
      </c>
      <c r="E16" t="s">
        <v>69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57</v>
      </c>
      <c r="L16" t="s">
        <v>23</v>
      </c>
      <c r="M16" t="s">
        <v>17</v>
      </c>
      <c r="N16" t="s">
        <v>70</v>
      </c>
      <c r="O16" t="s">
        <v>0</v>
      </c>
      <c r="P16">
        <v>322573</v>
      </c>
      <c r="Q16" t="s">
        <v>15</v>
      </c>
      <c r="R16" t="s">
        <v>11</v>
      </c>
      <c r="S16" t="s">
        <v>65</v>
      </c>
      <c r="T16">
        <v>90</v>
      </c>
      <c r="U16">
        <v>6.5</v>
      </c>
      <c r="V16" s="2">
        <v>0.27083333333333331</v>
      </c>
      <c r="W16">
        <v>585</v>
      </c>
      <c r="AA16" t="s">
        <v>66</v>
      </c>
      <c r="AC16" t="s">
        <v>67</v>
      </c>
      <c r="AD16" t="s">
        <v>68</v>
      </c>
      <c r="AE16">
        <f t="shared" ref="AE16:AE33" si="2">MONTH(A16)</f>
        <v>11</v>
      </c>
      <c r="AF16" t="str">
        <f t="shared" ref="AF16:AF33" si="3">IF(AE16=11,"November",IF(AE16=12,"December",IF(AE16=1,"January",IF(AE16=2,"February",IF(AE16=3,"March")))))</f>
        <v>November</v>
      </c>
    </row>
    <row r="17" spans="1:32" x14ac:dyDescent="0.3">
      <c r="A17" s="1">
        <v>45610</v>
      </c>
      <c r="B17" t="s">
        <v>20</v>
      </c>
      <c r="C17" t="s">
        <v>56</v>
      </c>
      <c r="D17" t="s">
        <v>57</v>
      </c>
      <c r="E17" t="s">
        <v>69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K17" t="s">
        <v>57</v>
      </c>
      <c r="L17" t="s">
        <v>23</v>
      </c>
      <c r="M17" t="s">
        <v>17</v>
      </c>
      <c r="N17" t="s">
        <v>70</v>
      </c>
      <c r="O17" t="s">
        <v>0</v>
      </c>
      <c r="P17">
        <v>323022</v>
      </c>
      <c r="Q17" t="s">
        <v>15</v>
      </c>
      <c r="R17" t="s">
        <v>11</v>
      </c>
      <c r="S17" t="s">
        <v>65</v>
      </c>
      <c r="T17">
        <v>90</v>
      </c>
      <c r="U17">
        <v>4.25</v>
      </c>
      <c r="V17" s="2">
        <v>0.17708333333333334</v>
      </c>
      <c r="W17">
        <v>382.5</v>
      </c>
      <c r="AA17" t="s">
        <v>66</v>
      </c>
      <c r="AC17" t="s">
        <v>67</v>
      </c>
      <c r="AD17" t="s">
        <v>68</v>
      </c>
      <c r="AE17">
        <f t="shared" si="2"/>
        <v>11</v>
      </c>
      <c r="AF17" t="str">
        <f t="shared" si="3"/>
        <v>November</v>
      </c>
    </row>
    <row r="18" spans="1:32" x14ac:dyDescent="0.3">
      <c r="A18" s="1">
        <v>45611</v>
      </c>
      <c r="B18" t="s">
        <v>20</v>
      </c>
      <c r="C18" t="s">
        <v>56</v>
      </c>
      <c r="D18" t="s">
        <v>57</v>
      </c>
      <c r="E18" t="s">
        <v>69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57</v>
      </c>
      <c r="L18" t="s">
        <v>23</v>
      </c>
      <c r="M18" t="s">
        <v>17</v>
      </c>
      <c r="N18" t="s">
        <v>70</v>
      </c>
      <c r="O18" t="s">
        <v>0</v>
      </c>
      <c r="P18">
        <v>323759</v>
      </c>
      <c r="Q18" t="s">
        <v>15</v>
      </c>
      <c r="R18" t="s">
        <v>11</v>
      </c>
      <c r="S18" t="s">
        <v>65</v>
      </c>
      <c r="T18">
        <v>90</v>
      </c>
      <c r="U18">
        <v>5.5</v>
      </c>
      <c r="V18" s="2">
        <v>0.22916666666666666</v>
      </c>
      <c r="W18">
        <v>495</v>
      </c>
      <c r="AA18" t="s">
        <v>66</v>
      </c>
      <c r="AC18" t="s">
        <v>67</v>
      </c>
      <c r="AD18" t="s">
        <v>68</v>
      </c>
      <c r="AE18">
        <f t="shared" si="2"/>
        <v>11</v>
      </c>
      <c r="AF18" t="str">
        <f t="shared" si="3"/>
        <v>November</v>
      </c>
    </row>
    <row r="19" spans="1:32" x14ac:dyDescent="0.3">
      <c r="A19" s="1">
        <v>45600</v>
      </c>
      <c r="B19" t="s">
        <v>17</v>
      </c>
      <c r="C19" t="s">
        <v>56</v>
      </c>
      <c r="D19" t="s">
        <v>57</v>
      </c>
      <c r="E19" t="s">
        <v>58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K19" t="s">
        <v>57</v>
      </c>
      <c r="L19" t="s">
        <v>23</v>
      </c>
      <c r="M19" t="s">
        <v>17</v>
      </c>
      <c r="N19" t="s">
        <v>67</v>
      </c>
      <c r="O19" t="s">
        <v>0</v>
      </c>
      <c r="P19">
        <v>323698</v>
      </c>
      <c r="Q19" t="s">
        <v>15</v>
      </c>
      <c r="R19" t="s">
        <v>11</v>
      </c>
      <c r="S19" t="s">
        <v>65</v>
      </c>
      <c r="T19">
        <v>90</v>
      </c>
      <c r="U19">
        <v>0.5</v>
      </c>
      <c r="V19" s="2">
        <v>2.0833333333333332E-2</v>
      </c>
      <c r="W19">
        <v>45</v>
      </c>
      <c r="AA19" t="s">
        <v>66</v>
      </c>
      <c r="AC19" t="s">
        <v>67</v>
      </c>
      <c r="AD19" t="s">
        <v>68</v>
      </c>
      <c r="AE19">
        <f t="shared" si="2"/>
        <v>11</v>
      </c>
      <c r="AF19" t="str">
        <f t="shared" si="3"/>
        <v>November</v>
      </c>
    </row>
    <row r="20" spans="1:32" x14ac:dyDescent="0.3">
      <c r="A20" s="1">
        <v>45602</v>
      </c>
      <c r="B20" t="s">
        <v>17</v>
      </c>
      <c r="C20" t="s">
        <v>56</v>
      </c>
      <c r="D20" t="s">
        <v>57</v>
      </c>
      <c r="E20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57</v>
      </c>
      <c r="L20" t="s">
        <v>23</v>
      </c>
      <c r="M20" t="s">
        <v>17</v>
      </c>
      <c r="N20" t="s">
        <v>67</v>
      </c>
      <c r="O20" t="s">
        <v>0</v>
      </c>
      <c r="P20">
        <v>323711</v>
      </c>
      <c r="Q20" t="s">
        <v>15</v>
      </c>
      <c r="R20" t="s">
        <v>11</v>
      </c>
      <c r="S20" t="s">
        <v>65</v>
      </c>
      <c r="T20">
        <v>90</v>
      </c>
      <c r="U20">
        <v>0.5</v>
      </c>
      <c r="V20" s="2">
        <v>2.0833333333333332E-2</v>
      </c>
      <c r="W20">
        <v>45</v>
      </c>
      <c r="AA20" t="s">
        <v>66</v>
      </c>
      <c r="AC20" t="s">
        <v>67</v>
      </c>
      <c r="AD20" t="s">
        <v>68</v>
      </c>
      <c r="AE20">
        <f t="shared" si="2"/>
        <v>11</v>
      </c>
      <c r="AF20" t="str">
        <f t="shared" si="3"/>
        <v>November</v>
      </c>
    </row>
    <row r="21" spans="1:32" x14ac:dyDescent="0.3">
      <c r="A21" s="1">
        <v>45607</v>
      </c>
      <c r="B21" t="s">
        <v>17</v>
      </c>
      <c r="C21" t="s">
        <v>56</v>
      </c>
      <c r="D21" t="s">
        <v>57</v>
      </c>
      <c r="E21" t="s">
        <v>58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K21" t="s">
        <v>57</v>
      </c>
      <c r="L21" t="s">
        <v>23</v>
      </c>
      <c r="M21" t="s">
        <v>17</v>
      </c>
      <c r="N21" t="s">
        <v>67</v>
      </c>
      <c r="O21" t="s">
        <v>0</v>
      </c>
      <c r="P21">
        <v>323726</v>
      </c>
      <c r="Q21" t="s">
        <v>15</v>
      </c>
      <c r="R21" t="s">
        <v>11</v>
      </c>
      <c r="S21" t="s">
        <v>65</v>
      </c>
      <c r="T21">
        <v>90</v>
      </c>
      <c r="U21">
        <v>1</v>
      </c>
      <c r="V21" s="2">
        <v>4.1666666666666664E-2</v>
      </c>
      <c r="W21">
        <v>90</v>
      </c>
      <c r="AA21" t="s">
        <v>66</v>
      </c>
      <c r="AC21" t="s">
        <v>67</v>
      </c>
      <c r="AD21" t="s">
        <v>68</v>
      </c>
      <c r="AE21">
        <f t="shared" si="2"/>
        <v>11</v>
      </c>
      <c r="AF21" t="str">
        <f t="shared" si="3"/>
        <v>November</v>
      </c>
    </row>
    <row r="22" spans="1:32" x14ac:dyDescent="0.3">
      <c r="A22" s="1">
        <v>45608</v>
      </c>
      <c r="B22" t="s">
        <v>17</v>
      </c>
      <c r="C22" t="s">
        <v>56</v>
      </c>
      <c r="D22" t="s">
        <v>57</v>
      </c>
      <c r="E22" t="s">
        <v>58</v>
      </c>
      <c r="F22" t="s">
        <v>59</v>
      </c>
      <c r="G22" t="s">
        <v>60</v>
      </c>
      <c r="H22" t="s">
        <v>61</v>
      </c>
      <c r="I22" t="s">
        <v>62</v>
      </c>
      <c r="J22" t="s">
        <v>63</v>
      </c>
      <c r="K22" t="s">
        <v>57</v>
      </c>
      <c r="L22" t="s">
        <v>23</v>
      </c>
      <c r="M22" t="s">
        <v>17</v>
      </c>
      <c r="N22" t="s">
        <v>67</v>
      </c>
      <c r="O22" t="s">
        <v>0</v>
      </c>
      <c r="P22">
        <v>323737</v>
      </c>
      <c r="Q22" t="s">
        <v>15</v>
      </c>
      <c r="R22" t="s">
        <v>11</v>
      </c>
      <c r="S22" t="s">
        <v>65</v>
      </c>
      <c r="T22">
        <v>90</v>
      </c>
      <c r="U22">
        <v>0.5</v>
      </c>
      <c r="V22" s="2">
        <v>2.0833333333333332E-2</v>
      </c>
      <c r="W22">
        <v>45</v>
      </c>
      <c r="AA22" t="s">
        <v>66</v>
      </c>
      <c r="AC22" t="s">
        <v>74</v>
      </c>
      <c r="AD22" t="s">
        <v>68</v>
      </c>
      <c r="AE22">
        <f t="shared" si="2"/>
        <v>11</v>
      </c>
      <c r="AF22" t="str">
        <f t="shared" si="3"/>
        <v>November</v>
      </c>
    </row>
    <row r="23" spans="1:32" x14ac:dyDescent="0.3">
      <c r="A23" s="1">
        <v>45609</v>
      </c>
      <c r="B23" t="s">
        <v>17</v>
      </c>
      <c r="C23" t="s">
        <v>56</v>
      </c>
      <c r="D23" t="s">
        <v>57</v>
      </c>
      <c r="E23" t="s">
        <v>58</v>
      </c>
      <c r="F23" t="s">
        <v>59</v>
      </c>
      <c r="G23" t="s">
        <v>60</v>
      </c>
      <c r="H23" t="s">
        <v>61</v>
      </c>
      <c r="I23" t="s">
        <v>62</v>
      </c>
      <c r="J23" t="s">
        <v>63</v>
      </c>
      <c r="K23" t="s">
        <v>57</v>
      </c>
      <c r="L23" t="s">
        <v>23</v>
      </c>
      <c r="M23" t="s">
        <v>17</v>
      </c>
      <c r="N23" t="s">
        <v>67</v>
      </c>
      <c r="O23" t="s">
        <v>0</v>
      </c>
      <c r="P23">
        <v>323739</v>
      </c>
      <c r="Q23" t="s">
        <v>15</v>
      </c>
      <c r="R23" t="s">
        <v>11</v>
      </c>
      <c r="S23" t="s">
        <v>65</v>
      </c>
      <c r="T23">
        <v>90</v>
      </c>
      <c r="U23">
        <v>0.5</v>
      </c>
      <c r="V23" s="2">
        <v>2.0833333333333332E-2</v>
      </c>
      <c r="W23">
        <v>45</v>
      </c>
      <c r="AA23" t="s">
        <v>66</v>
      </c>
      <c r="AC23" t="s">
        <v>67</v>
      </c>
      <c r="AD23" t="s">
        <v>68</v>
      </c>
      <c r="AE23">
        <f t="shared" si="2"/>
        <v>11</v>
      </c>
      <c r="AF23" t="str">
        <f t="shared" si="3"/>
        <v>November</v>
      </c>
    </row>
    <row r="24" spans="1:32" x14ac:dyDescent="0.3">
      <c r="A24" s="1">
        <v>45600</v>
      </c>
      <c r="B24" t="s">
        <v>23</v>
      </c>
      <c r="C24" t="s">
        <v>56</v>
      </c>
      <c r="D24" t="s">
        <v>57</v>
      </c>
      <c r="E24" t="s">
        <v>58</v>
      </c>
      <c r="F24" t="s">
        <v>59</v>
      </c>
      <c r="G24" t="s">
        <v>60</v>
      </c>
      <c r="H24" t="s">
        <v>61</v>
      </c>
      <c r="I24" t="s">
        <v>62</v>
      </c>
      <c r="J24" t="s">
        <v>63</v>
      </c>
      <c r="K24" t="s">
        <v>57</v>
      </c>
      <c r="L24" t="s">
        <v>23</v>
      </c>
      <c r="M24" t="s">
        <v>17</v>
      </c>
      <c r="N24" t="s">
        <v>67</v>
      </c>
      <c r="O24" t="s">
        <v>0</v>
      </c>
      <c r="P24">
        <v>318740</v>
      </c>
      <c r="Q24" t="s">
        <v>21</v>
      </c>
      <c r="R24" t="s">
        <v>64</v>
      </c>
      <c r="S24" t="s">
        <v>65</v>
      </c>
      <c r="T24">
        <v>0</v>
      </c>
      <c r="U24">
        <v>1.5</v>
      </c>
      <c r="V24" s="2">
        <v>6.25E-2</v>
      </c>
      <c r="W24">
        <v>0</v>
      </c>
      <c r="AA24" t="s">
        <v>66</v>
      </c>
      <c r="AC24" t="s">
        <v>67</v>
      </c>
      <c r="AD24" t="s">
        <v>68</v>
      </c>
      <c r="AE24">
        <f t="shared" si="2"/>
        <v>11</v>
      </c>
      <c r="AF24" t="str">
        <f t="shared" si="3"/>
        <v>November</v>
      </c>
    </row>
    <row r="25" spans="1:32" x14ac:dyDescent="0.3">
      <c r="A25" s="1">
        <v>45601</v>
      </c>
      <c r="B25" t="s">
        <v>23</v>
      </c>
      <c r="C25" t="s">
        <v>56</v>
      </c>
      <c r="D25" t="s">
        <v>57</v>
      </c>
      <c r="E25" t="s">
        <v>58</v>
      </c>
      <c r="F25" t="s">
        <v>59</v>
      </c>
      <c r="G25" t="s">
        <v>60</v>
      </c>
      <c r="H25" t="s">
        <v>61</v>
      </c>
      <c r="I25" t="s">
        <v>62</v>
      </c>
      <c r="J25" t="s">
        <v>63</v>
      </c>
      <c r="K25" t="s">
        <v>57</v>
      </c>
      <c r="L25" t="s">
        <v>23</v>
      </c>
      <c r="M25" t="s">
        <v>17</v>
      </c>
      <c r="N25" t="s">
        <v>67</v>
      </c>
      <c r="O25" t="s">
        <v>0</v>
      </c>
      <c r="P25">
        <v>319240</v>
      </c>
      <c r="Q25" t="s">
        <v>21</v>
      </c>
      <c r="R25" t="s">
        <v>64</v>
      </c>
      <c r="S25" t="s">
        <v>65</v>
      </c>
      <c r="T25">
        <v>0</v>
      </c>
      <c r="U25">
        <v>0.5</v>
      </c>
      <c r="V25" s="2">
        <v>2.0833333333333332E-2</v>
      </c>
      <c r="W25">
        <v>0</v>
      </c>
      <c r="AA25" t="s">
        <v>66</v>
      </c>
      <c r="AC25" t="s">
        <v>67</v>
      </c>
      <c r="AD25" t="s">
        <v>68</v>
      </c>
      <c r="AE25">
        <f t="shared" si="2"/>
        <v>11</v>
      </c>
      <c r="AF25" t="str">
        <f t="shared" si="3"/>
        <v>November</v>
      </c>
    </row>
    <row r="26" spans="1:32" x14ac:dyDescent="0.3">
      <c r="A26" s="1">
        <v>45602</v>
      </c>
      <c r="B26" t="s">
        <v>23</v>
      </c>
      <c r="C26" t="s">
        <v>56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  <c r="J26" t="s">
        <v>63</v>
      </c>
      <c r="K26" t="s">
        <v>57</v>
      </c>
      <c r="L26" t="s">
        <v>23</v>
      </c>
      <c r="M26" t="s">
        <v>17</v>
      </c>
      <c r="N26" t="s">
        <v>67</v>
      </c>
      <c r="O26" t="s">
        <v>0</v>
      </c>
      <c r="P26">
        <v>319825</v>
      </c>
      <c r="Q26" t="s">
        <v>21</v>
      </c>
      <c r="R26" t="s">
        <v>64</v>
      </c>
      <c r="S26" t="s">
        <v>65</v>
      </c>
      <c r="T26">
        <v>0</v>
      </c>
      <c r="U26">
        <v>0.5</v>
      </c>
      <c r="V26" s="2">
        <v>2.0833333333333332E-2</v>
      </c>
      <c r="W26">
        <v>0</v>
      </c>
      <c r="AA26" t="s">
        <v>66</v>
      </c>
      <c r="AC26" t="s">
        <v>67</v>
      </c>
      <c r="AD26" t="s">
        <v>68</v>
      </c>
      <c r="AE26">
        <f t="shared" si="2"/>
        <v>11</v>
      </c>
      <c r="AF26" t="str">
        <f t="shared" si="3"/>
        <v>November</v>
      </c>
    </row>
    <row r="27" spans="1:32" x14ac:dyDescent="0.3">
      <c r="A27" s="1">
        <v>45603</v>
      </c>
      <c r="B27" t="s">
        <v>23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  <c r="J27" t="s">
        <v>63</v>
      </c>
      <c r="K27" t="s">
        <v>57</v>
      </c>
      <c r="L27" t="s">
        <v>23</v>
      </c>
      <c r="M27" t="s">
        <v>17</v>
      </c>
      <c r="N27" t="s">
        <v>67</v>
      </c>
      <c r="O27" t="s">
        <v>0</v>
      </c>
      <c r="P27">
        <v>320319</v>
      </c>
      <c r="Q27" t="s">
        <v>21</v>
      </c>
      <c r="R27" t="s">
        <v>64</v>
      </c>
      <c r="S27" t="s">
        <v>65</v>
      </c>
      <c r="T27">
        <v>0</v>
      </c>
      <c r="U27">
        <v>0.75</v>
      </c>
      <c r="V27" s="2">
        <v>3.125E-2</v>
      </c>
      <c r="W27">
        <v>0</v>
      </c>
      <c r="AA27" t="s">
        <v>66</v>
      </c>
      <c r="AC27" t="s">
        <v>67</v>
      </c>
      <c r="AD27" t="s">
        <v>68</v>
      </c>
      <c r="AE27">
        <f t="shared" si="2"/>
        <v>11</v>
      </c>
      <c r="AF27" t="str">
        <f t="shared" si="3"/>
        <v>November</v>
      </c>
    </row>
    <row r="28" spans="1:32" x14ac:dyDescent="0.3">
      <c r="A28" s="1">
        <v>45604</v>
      </c>
      <c r="B28" t="s">
        <v>23</v>
      </c>
      <c r="C28" t="s">
        <v>56</v>
      </c>
      <c r="D28" t="s">
        <v>57</v>
      </c>
      <c r="E28" t="s">
        <v>58</v>
      </c>
      <c r="F28" t="s">
        <v>59</v>
      </c>
      <c r="G28" t="s">
        <v>60</v>
      </c>
      <c r="H28" t="s">
        <v>61</v>
      </c>
      <c r="I28" t="s">
        <v>62</v>
      </c>
      <c r="J28" t="s">
        <v>63</v>
      </c>
      <c r="K28" t="s">
        <v>57</v>
      </c>
      <c r="L28" t="s">
        <v>23</v>
      </c>
      <c r="M28" t="s">
        <v>17</v>
      </c>
      <c r="N28" t="s">
        <v>67</v>
      </c>
      <c r="O28" t="s">
        <v>0</v>
      </c>
      <c r="P28">
        <v>320320</v>
      </c>
      <c r="Q28" t="s">
        <v>21</v>
      </c>
      <c r="R28" t="s">
        <v>64</v>
      </c>
      <c r="S28" t="s">
        <v>65</v>
      </c>
      <c r="T28">
        <v>0</v>
      </c>
      <c r="U28">
        <v>0.5</v>
      </c>
      <c r="V28" s="2">
        <v>2.0833333333333332E-2</v>
      </c>
      <c r="W28">
        <v>0</v>
      </c>
      <c r="AA28" t="s">
        <v>66</v>
      </c>
      <c r="AC28" t="s">
        <v>67</v>
      </c>
      <c r="AD28" t="s">
        <v>68</v>
      </c>
      <c r="AE28">
        <f t="shared" si="2"/>
        <v>11</v>
      </c>
      <c r="AF28" t="str">
        <f t="shared" si="3"/>
        <v>November</v>
      </c>
    </row>
    <row r="29" spans="1:32" x14ac:dyDescent="0.3">
      <c r="A29" s="1">
        <v>45607</v>
      </c>
      <c r="B29" t="s">
        <v>23</v>
      </c>
      <c r="C29" t="s">
        <v>56</v>
      </c>
      <c r="D29" t="s">
        <v>57</v>
      </c>
      <c r="E29" t="s">
        <v>58</v>
      </c>
      <c r="F29" t="s">
        <v>59</v>
      </c>
      <c r="G29" t="s">
        <v>60</v>
      </c>
      <c r="H29" t="s">
        <v>61</v>
      </c>
      <c r="I29" t="s">
        <v>62</v>
      </c>
      <c r="J29" t="s">
        <v>63</v>
      </c>
      <c r="K29" t="s">
        <v>57</v>
      </c>
      <c r="L29" t="s">
        <v>23</v>
      </c>
      <c r="M29" t="s">
        <v>17</v>
      </c>
      <c r="N29" t="s">
        <v>67</v>
      </c>
      <c r="O29" t="s">
        <v>0</v>
      </c>
      <c r="P29">
        <v>321660</v>
      </c>
      <c r="Q29" t="s">
        <v>21</v>
      </c>
      <c r="R29" t="s">
        <v>64</v>
      </c>
      <c r="S29" t="s">
        <v>65</v>
      </c>
      <c r="T29">
        <v>0</v>
      </c>
      <c r="U29">
        <v>0.5</v>
      </c>
      <c r="V29" s="2">
        <v>2.0833333333333332E-2</v>
      </c>
      <c r="W29">
        <v>0</v>
      </c>
      <c r="AA29" t="s">
        <v>66</v>
      </c>
      <c r="AC29" t="s">
        <v>67</v>
      </c>
      <c r="AD29" t="s">
        <v>68</v>
      </c>
      <c r="AE29">
        <f t="shared" si="2"/>
        <v>11</v>
      </c>
      <c r="AF29" t="str">
        <f t="shared" si="3"/>
        <v>November</v>
      </c>
    </row>
    <row r="30" spans="1:32" x14ac:dyDescent="0.3">
      <c r="A30" s="1">
        <v>45608</v>
      </c>
      <c r="B30" t="s">
        <v>23</v>
      </c>
      <c r="C30" t="s">
        <v>56</v>
      </c>
      <c r="D30" t="s">
        <v>57</v>
      </c>
      <c r="E30" t="s">
        <v>58</v>
      </c>
      <c r="F30" t="s">
        <v>59</v>
      </c>
      <c r="G30" t="s">
        <v>60</v>
      </c>
      <c r="H30" t="s">
        <v>61</v>
      </c>
      <c r="I30" t="s">
        <v>62</v>
      </c>
      <c r="J30" t="s">
        <v>63</v>
      </c>
      <c r="K30" t="s">
        <v>57</v>
      </c>
      <c r="L30" t="s">
        <v>23</v>
      </c>
      <c r="M30" t="s">
        <v>17</v>
      </c>
      <c r="N30" t="s">
        <v>67</v>
      </c>
      <c r="O30" t="s">
        <v>0</v>
      </c>
      <c r="P30">
        <v>322196</v>
      </c>
      <c r="Q30" t="s">
        <v>21</v>
      </c>
      <c r="R30" t="s">
        <v>64</v>
      </c>
      <c r="S30" t="s">
        <v>65</v>
      </c>
      <c r="T30">
        <v>0</v>
      </c>
      <c r="U30">
        <v>0.5</v>
      </c>
      <c r="V30" s="2">
        <v>2.0833333333333332E-2</v>
      </c>
      <c r="W30">
        <v>0</v>
      </c>
      <c r="AA30" t="s">
        <v>66</v>
      </c>
      <c r="AC30" t="s">
        <v>67</v>
      </c>
      <c r="AD30" t="s">
        <v>68</v>
      </c>
      <c r="AE30">
        <f t="shared" si="2"/>
        <v>11</v>
      </c>
      <c r="AF30" t="str">
        <f t="shared" si="3"/>
        <v>November</v>
      </c>
    </row>
    <row r="31" spans="1:32" x14ac:dyDescent="0.3">
      <c r="A31" s="1">
        <v>45609</v>
      </c>
      <c r="B31" t="s">
        <v>23</v>
      </c>
      <c r="C31" t="s">
        <v>56</v>
      </c>
      <c r="D31" t="s">
        <v>57</v>
      </c>
      <c r="E31" t="s">
        <v>58</v>
      </c>
      <c r="F31" t="s">
        <v>59</v>
      </c>
      <c r="G31" t="s">
        <v>60</v>
      </c>
      <c r="H31" t="s">
        <v>61</v>
      </c>
      <c r="I31" t="s">
        <v>62</v>
      </c>
      <c r="J31" t="s">
        <v>63</v>
      </c>
      <c r="K31" t="s">
        <v>57</v>
      </c>
      <c r="L31" t="s">
        <v>23</v>
      </c>
      <c r="M31" t="s">
        <v>17</v>
      </c>
      <c r="N31" t="s">
        <v>67</v>
      </c>
      <c r="O31" t="s">
        <v>0</v>
      </c>
      <c r="P31">
        <v>322738</v>
      </c>
      <c r="Q31" t="s">
        <v>21</v>
      </c>
      <c r="R31" t="s">
        <v>64</v>
      </c>
      <c r="S31" t="s">
        <v>65</v>
      </c>
      <c r="T31">
        <v>0</v>
      </c>
      <c r="U31">
        <v>0.5</v>
      </c>
      <c r="V31" s="2">
        <v>2.0833333333333332E-2</v>
      </c>
      <c r="W31">
        <v>0</v>
      </c>
      <c r="AA31" t="s">
        <v>66</v>
      </c>
      <c r="AC31" t="s">
        <v>67</v>
      </c>
      <c r="AD31" t="s">
        <v>68</v>
      </c>
      <c r="AE31">
        <f t="shared" si="2"/>
        <v>11</v>
      </c>
      <c r="AF31" t="str">
        <f t="shared" si="3"/>
        <v>November</v>
      </c>
    </row>
    <row r="32" spans="1:32" x14ac:dyDescent="0.3">
      <c r="A32" s="1">
        <v>45610</v>
      </c>
      <c r="B32" t="s">
        <v>23</v>
      </c>
      <c r="C32" t="s">
        <v>56</v>
      </c>
      <c r="D32" t="s">
        <v>57</v>
      </c>
      <c r="E32" t="s">
        <v>58</v>
      </c>
      <c r="F32" t="s">
        <v>59</v>
      </c>
      <c r="G32" t="s">
        <v>60</v>
      </c>
      <c r="H32" t="s">
        <v>61</v>
      </c>
      <c r="I32" t="s">
        <v>62</v>
      </c>
      <c r="J32" t="s">
        <v>63</v>
      </c>
      <c r="K32" t="s">
        <v>57</v>
      </c>
      <c r="L32" t="s">
        <v>23</v>
      </c>
      <c r="M32" t="s">
        <v>17</v>
      </c>
      <c r="N32" t="s">
        <v>67</v>
      </c>
      <c r="O32" t="s">
        <v>0</v>
      </c>
      <c r="P32">
        <v>323217</v>
      </c>
      <c r="Q32" t="s">
        <v>21</v>
      </c>
      <c r="R32" t="s">
        <v>64</v>
      </c>
      <c r="S32" t="s">
        <v>65</v>
      </c>
      <c r="T32">
        <v>0</v>
      </c>
      <c r="U32">
        <v>0.5</v>
      </c>
      <c r="V32" s="2">
        <v>2.0833333333333332E-2</v>
      </c>
      <c r="W32">
        <v>0</v>
      </c>
      <c r="AA32" t="s">
        <v>66</v>
      </c>
      <c r="AC32" t="s">
        <v>67</v>
      </c>
      <c r="AD32" t="s">
        <v>68</v>
      </c>
      <c r="AE32">
        <f t="shared" si="2"/>
        <v>11</v>
      </c>
      <c r="AF32" t="str">
        <f t="shared" si="3"/>
        <v>November</v>
      </c>
    </row>
    <row r="33" spans="1:32" x14ac:dyDescent="0.3">
      <c r="A33" s="1">
        <v>45611</v>
      </c>
      <c r="B33" t="s">
        <v>23</v>
      </c>
      <c r="C33" t="s">
        <v>56</v>
      </c>
      <c r="D33" t="s">
        <v>57</v>
      </c>
      <c r="E33" t="s">
        <v>58</v>
      </c>
      <c r="F33" t="s">
        <v>59</v>
      </c>
      <c r="G33" t="s">
        <v>60</v>
      </c>
      <c r="H33" t="s">
        <v>61</v>
      </c>
      <c r="I33" t="s">
        <v>62</v>
      </c>
      <c r="J33" t="s">
        <v>63</v>
      </c>
      <c r="K33" t="s">
        <v>57</v>
      </c>
      <c r="L33" t="s">
        <v>23</v>
      </c>
      <c r="M33" t="s">
        <v>17</v>
      </c>
      <c r="N33" t="s">
        <v>67</v>
      </c>
      <c r="O33" t="s">
        <v>0</v>
      </c>
      <c r="P33">
        <v>323869</v>
      </c>
      <c r="Q33" t="s">
        <v>21</v>
      </c>
      <c r="R33" t="s">
        <v>64</v>
      </c>
      <c r="S33" t="s">
        <v>65</v>
      </c>
      <c r="T33">
        <v>0</v>
      </c>
      <c r="U33">
        <v>0.5</v>
      </c>
      <c r="V33" s="2">
        <v>2.0833333333333332E-2</v>
      </c>
      <c r="W33">
        <v>0</v>
      </c>
      <c r="AA33" t="s">
        <v>66</v>
      </c>
      <c r="AC33" t="s">
        <v>67</v>
      </c>
      <c r="AD33" t="s">
        <v>68</v>
      </c>
      <c r="AE33">
        <f t="shared" si="2"/>
        <v>11</v>
      </c>
      <c r="AF33" t="str">
        <f t="shared" si="3"/>
        <v>November</v>
      </c>
    </row>
    <row r="34" spans="1:32" x14ac:dyDescent="0.3">
      <c r="A34" s="1"/>
      <c r="V34" s="2"/>
    </row>
    <row r="35" spans="1:32" x14ac:dyDescent="0.3">
      <c r="A35" s="1"/>
      <c r="V35" s="2"/>
    </row>
    <row r="36" spans="1:32" x14ac:dyDescent="0.3">
      <c r="A36" s="1"/>
      <c r="V36" s="2"/>
    </row>
    <row r="37" spans="1:32" x14ac:dyDescent="0.3">
      <c r="A37" s="1"/>
      <c r="V37" s="2"/>
    </row>
    <row r="38" spans="1:32" x14ac:dyDescent="0.3">
      <c r="A38" s="1"/>
      <c r="V38" s="2"/>
    </row>
    <row r="39" spans="1:32" x14ac:dyDescent="0.3">
      <c r="A39" s="1"/>
      <c r="V39" s="2"/>
    </row>
    <row r="40" spans="1:32" x14ac:dyDescent="0.3">
      <c r="A40" s="1"/>
      <c r="V40" s="2"/>
    </row>
    <row r="41" spans="1:32" x14ac:dyDescent="0.3">
      <c r="A41" s="1"/>
      <c r="V41" s="2"/>
    </row>
    <row r="42" spans="1:32" x14ac:dyDescent="0.3">
      <c r="A42" s="1"/>
      <c r="V42" s="2"/>
    </row>
    <row r="43" spans="1:32" x14ac:dyDescent="0.3">
      <c r="A43" s="1"/>
      <c r="V43" s="2"/>
    </row>
    <row r="44" spans="1:32" x14ac:dyDescent="0.3">
      <c r="A44" s="1"/>
      <c r="V44" s="2"/>
    </row>
    <row r="45" spans="1:32" x14ac:dyDescent="0.3">
      <c r="A45" s="1"/>
      <c r="V45" s="2"/>
    </row>
    <row r="46" spans="1:32" x14ac:dyDescent="0.3">
      <c r="A46" s="1"/>
      <c r="V46" s="2"/>
    </row>
    <row r="47" spans="1:32" x14ac:dyDescent="0.3">
      <c r="A47" s="1"/>
      <c r="V47" s="2"/>
    </row>
    <row r="48" spans="1:32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  <row r="62" spans="1:22" x14ac:dyDescent="0.3">
      <c r="A62" s="1"/>
      <c r="V62" s="2"/>
    </row>
    <row r="63" spans="1:22" x14ac:dyDescent="0.3">
      <c r="A63" s="1"/>
      <c r="V63" s="2"/>
    </row>
    <row r="64" spans="1:22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  <row r="130" spans="1:22" x14ac:dyDescent="0.3">
      <c r="A130" s="1"/>
      <c r="V130" s="2"/>
    </row>
    <row r="131" spans="1:22" x14ac:dyDescent="0.3">
      <c r="A131" s="1"/>
      <c r="V131" s="2"/>
    </row>
    <row r="132" spans="1:22" x14ac:dyDescent="0.3">
      <c r="A132" s="1"/>
      <c r="V132" s="2"/>
    </row>
    <row r="133" spans="1:22" x14ac:dyDescent="0.3">
      <c r="A133" s="1"/>
      <c r="V133" s="2"/>
    </row>
    <row r="134" spans="1:22" x14ac:dyDescent="0.3">
      <c r="A134" s="1"/>
      <c r="V134" s="2"/>
    </row>
    <row r="135" spans="1:22" x14ac:dyDescent="0.3">
      <c r="A135" s="1"/>
      <c r="V135" s="2"/>
    </row>
    <row r="136" spans="1:22" x14ac:dyDescent="0.3">
      <c r="A136" s="1"/>
      <c r="V136" s="2"/>
    </row>
    <row r="137" spans="1:22" x14ac:dyDescent="0.3">
      <c r="A137" s="1"/>
      <c r="V137" s="2"/>
    </row>
    <row r="138" spans="1:22" x14ac:dyDescent="0.3">
      <c r="A138" s="1"/>
      <c r="V138" s="2"/>
    </row>
    <row r="139" spans="1:22" x14ac:dyDescent="0.3">
      <c r="A139" s="1"/>
      <c r="V139" s="2"/>
    </row>
    <row r="140" spans="1:22" x14ac:dyDescent="0.3">
      <c r="A140" s="1"/>
      <c r="V140" s="2"/>
    </row>
    <row r="141" spans="1:22" x14ac:dyDescent="0.3">
      <c r="A141" s="1"/>
      <c r="V141" s="2"/>
    </row>
    <row r="142" spans="1:22" x14ac:dyDescent="0.3">
      <c r="A142" s="1"/>
      <c r="V142" s="2"/>
    </row>
    <row r="143" spans="1:22" x14ac:dyDescent="0.3">
      <c r="A143" s="1"/>
      <c r="V143" s="2"/>
    </row>
    <row r="144" spans="1:22" x14ac:dyDescent="0.3">
      <c r="A144" s="1"/>
      <c r="V144" s="2"/>
    </row>
    <row r="145" spans="1:22" x14ac:dyDescent="0.3">
      <c r="A145" s="1"/>
      <c r="V145" s="2"/>
    </row>
    <row r="146" spans="1:22" x14ac:dyDescent="0.3">
      <c r="A146" s="1"/>
      <c r="V146" s="2"/>
    </row>
    <row r="147" spans="1:22" x14ac:dyDescent="0.3">
      <c r="A147" s="1"/>
      <c r="V147" s="2"/>
    </row>
    <row r="148" spans="1:22" x14ac:dyDescent="0.3">
      <c r="A148" s="1"/>
      <c r="V148" s="2"/>
    </row>
    <row r="149" spans="1:22" x14ac:dyDescent="0.3">
      <c r="A149" s="1"/>
      <c r="V149" s="2"/>
    </row>
    <row r="150" spans="1:22" x14ac:dyDescent="0.3">
      <c r="A150" s="1"/>
      <c r="V150" s="2"/>
    </row>
    <row r="151" spans="1:22" x14ac:dyDescent="0.3">
      <c r="A151" s="1"/>
      <c r="V151" s="2"/>
    </row>
    <row r="152" spans="1:22" x14ac:dyDescent="0.3">
      <c r="A152" s="1"/>
      <c r="V152" s="2"/>
    </row>
    <row r="153" spans="1:22" x14ac:dyDescent="0.3">
      <c r="A153" s="1"/>
      <c r="V153" s="2"/>
    </row>
    <row r="154" spans="1:22" x14ac:dyDescent="0.3">
      <c r="A154" s="1"/>
      <c r="V154" s="2"/>
    </row>
    <row r="155" spans="1:22" x14ac:dyDescent="0.3">
      <c r="A155" s="1"/>
      <c r="V155" s="2"/>
    </row>
    <row r="156" spans="1:22" x14ac:dyDescent="0.3">
      <c r="A156" s="1"/>
      <c r="V156" s="2"/>
    </row>
    <row r="157" spans="1:22" x14ac:dyDescent="0.3">
      <c r="A157" s="1"/>
      <c r="V157" s="2"/>
    </row>
    <row r="158" spans="1:22" x14ac:dyDescent="0.3">
      <c r="A158" s="1"/>
      <c r="V158" s="2"/>
    </row>
    <row r="159" spans="1:22" x14ac:dyDescent="0.3">
      <c r="A159" s="1"/>
      <c r="V159" s="2"/>
    </row>
    <row r="160" spans="1:22" x14ac:dyDescent="0.3">
      <c r="A160" s="1"/>
      <c r="V160" s="2"/>
    </row>
    <row r="161" spans="1:22" x14ac:dyDescent="0.3">
      <c r="A161" s="1"/>
      <c r="V161" s="2"/>
    </row>
    <row r="162" spans="1:22" x14ac:dyDescent="0.3">
      <c r="A162" s="1"/>
      <c r="V162" s="2"/>
    </row>
    <row r="163" spans="1:22" x14ac:dyDescent="0.3">
      <c r="A163" s="1"/>
      <c r="V163" s="2"/>
    </row>
    <row r="164" spans="1:22" x14ac:dyDescent="0.3">
      <c r="A164" s="1"/>
      <c r="V164" s="2"/>
    </row>
    <row r="165" spans="1:22" x14ac:dyDescent="0.3">
      <c r="A165" s="1"/>
      <c r="V165" s="2"/>
    </row>
    <row r="166" spans="1:22" x14ac:dyDescent="0.3">
      <c r="A166" s="1"/>
      <c r="V166" s="2"/>
    </row>
    <row r="167" spans="1:22" x14ac:dyDescent="0.3">
      <c r="A167" s="1"/>
      <c r="V167" s="2"/>
    </row>
    <row r="168" spans="1:22" x14ac:dyDescent="0.3">
      <c r="A168" s="1"/>
      <c r="V168" s="2"/>
    </row>
    <row r="169" spans="1:22" x14ac:dyDescent="0.3">
      <c r="A169" s="1"/>
      <c r="V169" s="2"/>
    </row>
    <row r="170" spans="1:22" x14ac:dyDescent="0.3">
      <c r="A170" s="1"/>
      <c r="V170" s="2"/>
    </row>
    <row r="171" spans="1:22" x14ac:dyDescent="0.3">
      <c r="A171" s="1"/>
      <c r="V171" s="2"/>
    </row>
    <row r="172" spans="1:22" x14ac:dyDescent="0.3">
      <c r="A172" s="1"/>
      <c r="V172" s="2"/>
    </row>
    <row r="173" spans="1:22" x14ac:dyDescent="0.3">
      <c r="A173" s="1"/>
      <c r="V173" s="2"/>
    </row>
    <row r="174" spans="1:22" x14ac:dyDescent="0.3">
      <c r="A174" s="1"/>
      <c r="V174" s="2"/>
    </row>
    <row r="175" spans="1:22" x14ac:dyDescent="0.3">
      <c r="A175" s="1"/>
      <c r="V175" s="2"/>
    </row>
    <row r="176" spans="1:22" x14ac:dyDescent="0.3">
      <c r="A176" s="1"/>
      <c r="V176" s="2"/>
    </row>
    <row r="177" spans="1:22" x14ac:dyDescent="0.3">
      <c r="A177" s="1"/>
      <c r="V177" s="2"/>
    </row>
    <row r="178" spans="1:22" x14ac:dyDescent="0.3">
      <c r="A178" s="1"/>
      <c r="V178" s="2"/>
    </row>
    <row r="179" spans="1:22" x14ac:dyDescent="0.3">
      <c r="A179" s="1"/>
      <c r="V179" s="2"/>
    </row>
    <row r="180" spans="1:22" x14ac:dyDescent="0.3">
      <c r="A180" s="1"/>
      <c r="V180" s="2"/>
    </row>
    <row r="181" spans="1:22" x14ac:dyDescent="0.3">
      <c r="A181" s="1"/>
      <c r="V181" s="2"/>
    </row>
    <row r="182" spans="1:22" x14ac:dyDescent="0.3">
      <c r="A182" s="1"/>
      <c r="V182" s="2"/>
    </row>
    <row r="183" spans="1:22" x14ac:dyDescent="0.3">
      <c r="A183" s="1"/>
      <c r="V183" s="2"/>
    </row>
    <row r="184" spans="1:22" x14ac:dyDescent="0.3">
      <c r="A184" s="1"/>
      <c r="V184" s="2"/>
    </row>
    <row r="185" spans="1:22" x14ac:dyDescent="0.3">
      <c r="A185" s="1"/>
      <c r="V185" s="2"/>
    </row>
    <row r="186" spans="1:22" x14ac:dyDescent="0.3">
      <c r="A186" s="1"/>
      <c r="V186" s="2"/>
    </row>
    <row r="187" spans="1:22" x14ac:dyDescent="0.3">
      <c r="A187" s="1"/>
      <c r="V187" s="2"/>
    </row>
    <row r="188" spans="1:22" x14ac:dyDescent="0.3">
      <c r="A188" s="1"/>
      <c r="V188" s="2"/>
    </row>
    <row r="189" spans="1:22" x14ac:dyDescent="0.3">
      <c r="A189" s="1"/>
      <c r="V189" s="2"/>
    </row>
    <row r="190" spans="1:22" x14ac:dyDescent="0.3">
      <c r="A190" s="1"/>
      <c r="V190" s="2"/>
    </row>
    <row r="191" spans="1:22" x14ac:dyDescent="0.3">
      <c r="A191" s="1"/>
      <c r="V191" s="2"/>
    </row>
    <row r="192" spans="1:22" x14ac:dyDescent="0.3">
      <c r="A192" s="1"/>
      <c r="V192" s="2"/>
    </row>
    <row r="193" spans="1:22" x14ac:dyDescent="0.3">
      <c r="A193" s="1"/>
      <c r="V193" s="2"/>
    </row>
    <row r="194" spans="1:22" x14ac:dyDescent="0.3">
      <c r="A194" s="1"/>
      <c r="V194" s="2"/>
    </row>
    <row r="195" spans="1:22" x14ac:dyDescent="0.3">
      <c r="A195" s="1"/>
      <c r="V195" s="2"/>
    </row>
    <row r="196" spans="1:22" x14ac:dyDescent="0.3">
      <c r="A196" s="1"/>
      <c r="V196" s="2"/>
    </row>
    <row r="197" spans="1:22" x14ac:dyDescent="0.3">
      <c r="A197" s="1"/>
      <c r="V197" s="2"/>
    </row>
    <row r="198" spans="1:22" x14ac:dyDescent="0.3">
      <c r="A198" s="1"/>
      <c r="V198" s="2"/>
    </row>
    <row r="199" spans="1:22" x14ac:dyDescent="0.3">
      <c r="A199" s="1"/>
      <c r="V199" s="2"/>
    </row>
    <row r="200" spans="1:22" x14ac:dyDescent="0.3">
      <c r="A200" s="1"/>
      <c r="V200" s="2"/>
    </row>
    <row r="201" spans="1:22" x14ac:dyDescent="0.3">
      <c r="A201" s="1"/>
      <c r="V201" s="2"/>
    </row>
    <row r="202" spans="1:22" x14ac:dyDescent="0.3">
      <c r="A202" s="1"/>
      <c r="V202" s="2"/>
    </row>
    <row r="203" spans="1:22" x14ac:dyDescent="0.3">
      <c r="A203" s="1"/>
      <c r="V203" s="2"/>
    </row>
    <row r="204" spans="1:22" x14ac:dyDescent="0.3">
      <c r="A204" s="1"/>
      <c r="V204" s="2"/>
    </row>
    <row r="205" spans="1:22" x14ac:dyDescent="0.3">
      <c r="A205" s="1"/>
      <c r="V205" s="2"/>
    </row>
    <row r="206" spans="1:22" x14ac:dyDescent="0.3">
      <c r="A206" s="1"/>
      <c r="V206" s="2"/>
    </row>
    <row r="207" spans="1:22" x14ac:dyDescent="0.3">
      <c r="A207" s="1"/>
      <c r="V207" s="2"/>
    </row>
    <row r="208" spans="1:22" x14ac:dyDescent="0.3">
      <c r="A208" s="1"/>
      <c r="V208" s="2"/>
    </row>
    <row r="209" spans="1:22" x14ac:dyDescent="0.3">
      <c r="A209" s="1"/>
      <c r="V209" s="2"/>
    </row>
    <row r="210" spans="1:22" x14ac:dyDescent="0.3">
      <c r="A210" s="1"/>
      <c r="V210" s="2"/>
    </row>
    <row r="211" spans="1:22" x14ac:dyDescent="0.3">
      <c r="A211" s="1"/>
      <c r="V211" s="2"/>
    </row>
    <row r="212" spans="1:22" x14ac:dyDescent="0.3">
      <c r="A212" s="1"/>
      <c r="V212" s="2"/>
    </row>
    <row r="213" spans="1:22" x14ac:dyDescent="0.3">
      <c r="A213" s="1"/>
      <c r="V213" s="2"/>
    </row>
    <row r="214" spans="1:22" x14ac:dyDescent="0.3">
      <c r="A214" s="1"/>
      <c r="V214" s="2"/>
    </row>
    <row r="215" spans="1:22" x14ac:dyDescent="0.3">
      <c r="A215" s="1"/>
      <c r="V215" s="2"/>
    </row>
    <row r="216" spans="1:22" x14ac:dyDescent="0.3">
      <c r="A216" s="1"/>
      <c r="V216" s="2"/>
    </row>
    <row r="217" spans="1:22" x14ac:dyDescent="0.3">
      <c r="A217" s="1"/>
      <c r="V217" s="2"/>
    </row>
    <row r="218" spans="1:22" x14ac:dyDescent="0.3">
      <c r="A218" s="1"/>
      <c r="V218" s="2"/>
    </row>
    <row r="219" spans="1:22" x14ac:dyDescent="0.3">
      <c r="A219" s="1"/>
      <c r="V219" s="2"/>
    </row>
    <row r="220" spans="1:22" x14ac:dyDescent="0.3">
      <c r="A220" s="1"/>
      <c r="V220" s="2"/>
    </row>
    <row r="221" spans="1:22" x14ac:dyDescent="0.3">
      <c r="A221" s="1"/>
      <c r="V221" s="2"/>
    </row>
    <row r="222" spans="1:22" x14ac:dyDescent="0.3">
      <c r="A222" s="1"/>
      <c r="V222" s="2"/>
    </row>
    <row r="223" spans="1:22" x14ac:dyDescent="0.3">
      <c r="A223" s="1"/>
      <c r="V223" s="2"/>
    </row>
    <row r="224" spans="1:22" x14ac:dyDescent="0.3">
      <c r="A224" s="1"/>
      <c r="V224" s="2"/>
    </row>
    <row r="225" spans="1:22" x14ac:dyDescent="0.3">
      <c r="A225" s="1"/>
      <c r="V225" s="2"/>
    </row>
    <row r="226" spans="1:22" x14ac:dyDescent="0.3">
      <c r="A226" s="1"/>
      <c r="V226" s="2"/>
    </row>
    <row r="227" spans="1:22" x14ac:dyDescent="0.3">
      <c r="A227" s="1"/>
      <c r="V227" s="2"/>
    </row>
    <row r="228" spans="1:22" x14ac:dyDescent="0.3">
      <c r="A228" s="1"/>
      <c r="V228" s="2"/>
    </row>
    <row r="229" spans="1:22" x14ac:dyDescent="0.3">
      <c r="A229" s="1"/>
      <c r="V229" s="2"/>
    </row>
    <row r="230" spans="1:22" x14ac:dyDescent="0.3">
      <c r="A230" s="1"/>
      <c r="V230" s="2"/>
    </row>
    <row r="231" spans="1:22" x14ac:dyDescent="0.3">
      <c r="A231" s="1"/>
      <c r="V231" s="2"/>
    </row>
    <row r="232" spans="1:22" x14ac:dyDescent="0.3">
      <c r="A232" s="1"/>
      <c r="V232" s="2"/>
    </row>
    <row r="233" spans="1:22" x14ac:dyDescent="0.3">
      <c r="A233" s="1"/>
      <c r="V233" s="2"/>
    </row>
    <row r="234" spans="1:22" x14ac:dyDescent="0.3">
      <c r="A234" s="1"/>
      <c r="V234" s="2"/>
    </row>
    <row r="235" spans="1:22" x14ac:dyDescent="0.3">
      <c r="A235" s="1"/>
      <c r="V235" s="2"/>
    </row>
    <row r="236" spans="1:22" x14ac:dyDescent="0.3">
      <c r="A236" s="1"/>
      <c r="V236" s="2"/>
    </row>
    <row r="237" spans="1:22" x14ac:dyDescent="0.3">
      <c r="A237" s="1"/>
      <c r="V237" s="2"/>
    </row>
    <row r="238" spans="1:22" x14ac:dyDescent="0.3">
      <c r="A238" s="1"/>
      <c r="V238" s="2"/>
    </row>
    <row r="239" spans="1:22" x14ac:dyDescent="0.3">
      <c r="A239" s="1"/>
      <c r="V239" s="2"/>
    </row>
    <row r="240" spans="1:22" x14ac:dyDescent="0.3">
      <c r="A240" s="1"/>
      <c r="V240" s="2"/>
    </row>
    <row r="241" spans="1:22" x14ac:dyDescent="0.3">
      <c r="A241" s="1"/>
      <c r="V241" s="2"/>
    </row>
    <row r="242" spans="1:22" x14ac:dyDescent="0.3">
      <c r="A242" s="1"/>
      <c r="V242" s="2"/>
    </row>
    <row r="243" spans="1:22" x14ac:dyDescent="0.3">
      <c r="A243" s="1"/>
      <c r="V243" s="2"/>
    </row>
    <row r="244" spans="1:22" x14ac:dyDescent="0.3">
      <c r="A244" s="1"/>
      <c r="V244" s="2"/>
    </row>
    <row r="245" spans="1:22" x14ac:dyDescent="0.3">
      <c r="A245" s="1"/>
      <c r="V245" s="2"/>
    </row>
    <row r="246" spans="1:22" x14ac:dyDescent="0.3">
      <c r="A246" s="1"/>
      <c r="V246" s="2"/>
    </row>
    <row r="247" spans="1:22" x14ac:dyDescent="0.3">
      <c r="A247" s="1"/>
      <c r="V247" s="2"/>
    </row>
    <row r="248" spans="1:22" x14ac:dyDescent="0.3">
      <c r="A248" s="1"/>
      <c r="V248" s="2"/>
    </row>
    <row r="249" spans="1:22" x14ac:dyDescent="0.3">
      <c r="A249" s="1"/>
      <c r="V249" s="2"/>
    </row>
    <row r="250" spans="1:22" x14ac:dyDescent="0.3">
      <c r="A250" s="1"/>
      <c r="V250" s="2"/>
    </row>
    <row r="251" spans="1:22" x14ac:dyDescent="0.3">
      <c r="A251" s="1"/>
      <c r="V251" s="2"/>
    </row>
    <row r="252" spans="1:22" x14ac:dyDescent="0.3">
      <c r="A252" s="1"/>
      <c r="V252" s="2"/>
    </row>
    <row r="253" spans="1:22" x14ac:dyDescent="0.3">
      <c r="A253" s="1"/>
      <c r="V253" s="2"/>
    </row>
    <row r="254" spans="1:22" x14ac:dyDescent="0.3">
      <c r="A254" s="1"/>
      <c r="V254" s="2"/>
    </row>
    <row r="255" spans="1:22" x14ac:dyDescent="0.3">
      <c r="A255" s="1"/>
      <c r="V255" s="2"/>
    </row>
    <row r="256" spans="1:22" x14ac:dyDescent="0.3">
      <c r="A256" s="1"/>
      <c r="V256" s="2"/>
    </row>
    <row r="257" spans="1:22" x14ac:dyDescent="0.3">
      <c r="A257" s="1"/>
      <c r="V257" s="2"/>
    </row>
    <row r="258" spans="1:22" x14ac:dyDescent="0.3">
      <c r="A258" s="1"/>
      <c r="V258" s="2"/>
    </row>
    <row r="259" spans="1:22" x14ac:dyDescent="0.3">
      <c r="A259" s="1"/>
      <c r="V259" s="2"/>
    </row>
    <row r="260" spans="1:22" x14ac:dyDescent="0.3">
      <c r="A260" s="1"/>
      <c r="V260" s="2"/>
    </row>
    <row r="261" spans="1:22" x14ac:dyDescent="0.3">
      <c r="A261" s="1"/>
      <c r="V261" s="2"/>
    </row>
    <row r="262" spans="1:22" x14ac:dyDescent="0.3">
      <c r="A262" s="1"/>
      <c r="V262" s="2"/>
    </row>
    <row r="263" spans="1:22" x14ac:dyDescent="0.3">
      <c r="A263" s="1"/>
      <c r="V263" s="2"/>
    </row>
    <row r="264" spans="1:22" x14ac:dyDescent="0.3">
      <c r="A264" s="1"/>
      <c r="V264" s="2"/>
    </row>
    <row r="265" spans="1:22" x14ac:dyDescent="0.3">
      <c r="A265" s="1"/>
      <c r="V265" s="2"/>
    </row>
    <row r="266" spans="1:22" x14ac:dyDescent="0.3">
      <c r="A266" s="1"/>
      <c r="V266" s="2"/>
    </row>
    <row r="267" spans="1:22" x14ac:dyDescent="0.3">
      <c r="A267" s="1"/>
      <c r="V267" s="2"/>
    </row>
    <row r="268" spans="1:22" x14ac:dyDescent="0.3">
      <c r="A268" s="1"/>
      <c r="V268" s="2"/>
    </row>
    <row r="269" spans="1:22" x14ac:dyDescent="0.3">
      <c r="A269" s="1"/>
      <c r="V269" s="2"/>
    </row>
    <row r="270" spans="1:22" x14ac:dyDescent="0.3">
      <c r="A270" s="1"/>
      <c r="V270" s="2"/>
    </row>
    <row r="271" spans="1:22" x14ac:dyDescent="0.3">
      <c r="A271" s="1"/>
      <c r="V271" s="2"/>
    </row>
    <row r="272" spans="1:22" x14ac:dyDescent="0.3">
      <c r="A272" s="1"/>
      <c r="V272" s="2"/>
    </row>
    <row r="273" spans="1:22" x14ac:dyDescent="0.3">
      <c r="A273" s="1"/>
      <c r="V273" s="2"/>
    </row>
    <row r="274" spans="1:22" x14ac:dyDescent="0.3">
      <c r="A274" s="1"/>
      <c r="V274" s="2"/>
    </row>
    <row r="275" spans="1:22" x14ac:dyDescent="0.3">
      <c r="A275" s="1"/>
      <c r="V275" s="2"/>
    </row>
    <row r="276" spans="1:22" x14ac:dyDescent="0.3">
      <c r="A276" s="1"/>
      <c r="V276" s="2"/>
    </row>
    <row r="277" spans="1:22" x14ac:dyDescent="0.3">
      <c r="A277" s="1"/>
      <c r="V277" s="2"/>
    </row>
    <row r="278" spans="1:22" x14ac:dyDescent="0.3">
      <c r="A278" s="1"/>
      <c r="V278" s="2"/>
    </row>
    <row r="279" spans="1:22" x14ac:dyDescent="0.3">
      <c r="A279" s="1"/>
      <c r="V279" s="2"/>
    </row>
    <row r="280" spans="1:22" x14ac:dyDescent="0.3">
      <c r="A280" s="1"/>
      <c r="V280" s="2"/>
    </row>
    <row r="281" spans="1:22" x14ac:dyDescent="0.3">
      <c r="A281" s="1"/>
      <c r="V281" s="2"/>
    </row>
    <row r="282" spans="1:22" x14ac:dyDescent="0.3">
      <c r="A282" s="1"/>
      <c r="V282" s="2"/>
    </row>
    <row r="283" spans="1:22" x14ac:dyDescent="0.3">
      <c r="A283" s="1"/>
      <c r="V283" s="2"/>
    </row>
    <row r="284" spans="1:22" x14ac:dyDescent="0.3">
      <c r="A284" s="1"/>
      <c r="V284" s="2"/>
    </row>
    <row r="285" spans="1:22" x14ac:dyDescent="0.3">
      <c r="A285" s="1"/>
      <c r="V285" s="2"/>
    </row>
    <row r="286" spans="1:22" x14ac:dyDescent="0.3">
      <c r="A286" s="1"/>
      <c r="V286" s="2"/>
    </row>
    <row r="287" spans="1:22" x14ac:dyDescent="0.3">
      <c r="A287" s="1"/>
      <c r="V28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34"/>
  <sheetViews>
    <sheetView workbookViewId="0"/>
  </sheetViews>
  <sheetFormatPr defaultRowHeight="14.4" x14ac:dyDescent="0.3"/>
  <sheetData>
    <row r="1" spans="1:32" x14ac:dyDescent="0.3">
      <c r="AE1" s="3"/>
      <c r="AF1" s="3"/>
    </row>
    <row r="2" spans="1:32" x14ac:dyDescent="0.3">
      <c r="A2" s="1"/>
      <c r="V2" s="2"/>
    </row>
    <row r="3" spans="1:32" x14ac:dyDescent="0.3">
      <c r="A3" s="1"/>
      <c r="V3" s="2"/>
    </row>
    <row r="4" spans="1:32" x14ac:dyDescent="0.3">
      <c r="A4" s="1"/>
      <c r="V4" s="2"/>
    </row>
    <row r="5" spans="1:32" x14ac:dyDescent="0.3">
      <c r="A5" s="1"/>
      <c r="V5" s="2"/>
    </row>
    <row r="6" spans="1:32" x14ac:dyDescent="0.3">
      <c r="A6" s="1"/>
      <c r="V6" s="2"/>
    </row>
    <row r="7" spans="1:32" x14ac:dyDescent="0.3">
      <c r="A7" s="1"/>
      <c r="V7" s="2"/>
    </row>
    <row r="8" spans="1:32" x14ac:dyDescent="0.3">
      <c r="A8" s="1"/>
      <c r="V8" s="2"/>
    </row>
    <row r="9" spans="1:32" x14ac:dyDescent="0.3">
      <c r="A9" s="1"/>
      <c r="V9" s="2"/>
    </row>
    <row r="10" spans="1:32" x14ac:dyDescent="0.3">
      <c r="A10" s="1"/>
      <c r="V10" s="2"/>
    </row>
    <row r="11" spans="1:32" x14ac:dyDescent="0.3">
      <c r="A11" s="1"/>
      <c r="V11" s="2"/>
    </row>
    <row r="12" spans="1:32" x14ac:dyDescent="0.3">
      <c r="A12" s="1"/>
      <c r="V12" s="2"/>
    </row>
    <row r="13" spans="1:32" x14ac:dyDescent="0.3">
      <c r="A13" s="1"/>
      <c r="V13" s="2"/>
    </row>
    <row r="14" spans="1:32" x14ac:dyDescent="0.3">
      <c r="A14" s="1"/>
      <c r="V14" s="2"/>
    </row>
    <row r="15" spans="1:32" x14ac:dyDescent="0.3">
      <c r="A15" s="1"/>
      <c r="V15" s="2"/>
    </row>
    <row r="16" spans="1:32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13026E-746A-4710-8E0C-2BD609C11DC4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1ffbd5dc-7a64-4097-8396-87f6c90b212f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Sprint 0 Timesheets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2024-11-18T10:05:01Z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