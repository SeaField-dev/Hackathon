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11. Commercial Lead to Lease/"/>
    </mc:Choice>
  </mc:AlternateContent>
  <xr:revisionPtr revIDLastSave="243" documentId="8_{167E9527-0BDB-4F80-917D-937C202D374A}" xr6:coauthVersionLast="47" xr6:coauthVersionMax="47" xr10:uidLastSave="{1E98026F-773F-40C7-BF2E-A2809F73DF56}"/>
  <bookViews>
    <workbookView xWindow="28680" yWindow="-2040" windowWidth="29040" windowHeight="15720" xr2:uid="{00000000-000D-0000-FFFF-FFFF00000000}"/>
  </bookViews>
  <sheets>
    <sheet name="Pivot" sheetId="2" r:id="rId1"/>
    <sheet name="Delivery Timesheets" sheetId="3" r:id="rId2"/>
    <sheet name="Sprint 0 Timesheets" sheetId="1" r:id="rId3"/>
  </sheets>
  <definedNames>
    <definedName name="_xlnm._FilterDatabase" localSheetId="1" hidden="1">'Delivery Timesheets'!$A$1:$AF$93</definedName>
  </definedNames>
  <calcPr calcId="191028"/>
  <pivotCaches>
    <pivotCache cacheId="0" r:id="rId4"/>
    <pivotCache cacheId="1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9" i="3" l="1"/>
  <c r="AF39" i="3"/>
  <c r="AE40" i="3"/>
  <c r="AF40" i="3" s="1"/>
  <c r="AE41" i="3"/>
  <c r="AF41" i="3" s="1"/>
  <c r="AE42" i="3"/>
  <c r="AF42" i="3" s="1"/>
  <c r="AE43" i="3"/>
  <c r="AF43" i="3" s="1"/>
  <c r="AE44" i="3"/>
  <c r="AF44" i="3"/>
  <c r="AE45" i="3"/>
  <c r="AF45" i="3"/>
  <c r="AE46" i="3"/>
  <c r="AF46" i="3" s="1"/>
  <c r="AE47" i="3"/>
  <c r="AF47" i="3"/>
  <c r="AE48" i="3"/>
  <c r="AF48" i="3" s="1"/>
  <c r="AE49" i="3"/>
  <c r="AF49" i="3" s="1"/>
  <c r="AE50" i="3"/>
  <c r="AF50" i="3" s="1"/>
  <c r="AE51" i="3"/>
  <c r="AF51" i="3"/>
  <c r="AE52" i="3"/>
  <c r="AF52" i="3" s="1"/>
  <c r="AE53" i="3"/>
  <c r="AF53" i="3"/>
  <c r="AE54" i="3"/>
  <c r="AF54" i="3" s="1"/>
  <c r="AE55" i="3"/>
  <c r="AF55" i="3" s="1"/>
  <c r="AE56" i="3"/>
  <c r="AF56" i="3"/>
  <c r="AE57" i="3"/>
  <c r="AF57" i="3"/>
  <c r="AE58" i="3"/>
  <c r="AF58" i="3" s="1"/>
  <c r="AE59" i="3"/>
  <c r="AF59" i="3"/>
  <c r="AE60" i="3"/>
  <c r="AF60" i="3"/>
  <c r="AE61" i="3"/>
  <c r="AF61" i="3" s="1"/>
  <c r="AE62" i="3"/>
  <c r="AF62" i="3" s="1"/>
  <c r="AE63" i="3"/>
  <c r="AF63" i="3"/>
  <c r="AE64" i="3"/>
  <c r="AF64" i="3" s="1"/>
  <c r="AE65" i="3"/>
  <c r="AF65" i="3" s="1"/>
  <c r="AE66" i="3"/>
  <c r="AF66" i="3" s="1"/>
  <c r="AE67" i="3"/>
  <c r="AF67" i="3" s="1"/>
  <c r="AE68" i="3"/>
  <c r="AF68" i="3"/>
  <c r="AE69" i="3"/>
  <c r="AF69" i="3" s="1"/>
  <c r="AE70" i="3"/>
  <c r="AF70" i="3" s="1"/>
  <c r="AE71" i="3"/>
  <c r="AF71" i="3"/>
  <c r="AE72" i="3"/>
  <c r="AF72" i="3"/>
  <c r="AE73" i="3"/>
  <c r="AF73" i="3"/>
  <c r="AE74" i="3"/>
  <c r="AF74" i="3" s="1"/>
  <c r="AE75" i="3"/>
  <c r="AF75" i="3" s="1"/>
  <c r="AE76" i="3"/>
  <c r="AF76" i="3" s="1"/>
  <c r="AE77" i="3"/>
  <c r="AF77" i="3" s="1"/>
  <c r="AE78" i="3"/>
  <c r="AF78" i="3"/>
  <c r="AE79" i="3"/>
  <c r="AF79" i="3"/>
  <c r="AE80" i="3"/>
  <c r="AF80" i="3" s="1"/>
  <c r="AE81" i="3"/>
  <c r="AF81" i="3" s="1"/>
  <c r="AE82" i="3"/>
  <c r="AF82" i="3" s="1"/>
  <c r="AE83" i="3"/>
  <c r="AF83" i="3" s="1"/>
  <c r="AE84" i="3"/>
  <c r="AF84" i="3"/>
  <c r="AE85" i="3"/>
  <c r="AF85" i="3"/>
  <c r="AE86" i="3"/>
  <c r="AF86" i="3"/>
  <c r="AE87" i="3"/>
  <c r="AF87" i="3" s="1"/>
  <c r="AE88" i="3"/>
  <c r="AF88" i="3" s="1"/>
  <c r="AE89" i="3"/>
  <c r="AF89" i="3" s="1"/>
  <c r="AE90" i="3"/>
  <c r="AF90" i="3"/>
  <c r="AE91" i="3"/>
  <c r="AF91" i="3" s="1"/>
  <c r="AE92" i="3"/>
  <c r="AF92" i="3"/>
  <c r="AE93" i="3"/>
  <c r="AF93" i="3"/>
  <c r="AE3" i="3"/>
  <c r="AF3" i="3" s="1"/>
  <c r="AE4" i="3"/>
  <c r="AF4" i="3" s="1"/>
  <c r="AE5" i="3"/>
  <c r="AF5" i="3" s="1"/>
  <c r="AE6" i="3"/>
  <c r="AF6" i="3" s="1"/>
  <c r="AE7" i="3"/>
  <c r="AF7" i="3" s="1"/>
  <c r="AE8" i="3"/>
  <c r="AF8" i="3" s="1"/>
  <c r="AE9" i="3"/>
  <c r="AF9" i="3" s="1"/>
  <c r="AE10" i="3"/>
  <c r="AF10" i="3" s="1"/>
  <c r="AE11" i="3"/>
  <c r="AF11" i="3" s="1"/>
  <c r="AE12" i="3"/>
  <c r="AF12" i="3" s="1"/>
  <c r="AE13" i="3"/>
  <c r="AF13" i="3" s="1"/>
  <c r="AE14" i="3"/>
  <c r="AF14" i="3" s="1"/>
  <c r="AE15" i="3"/>
  <c r="AF15" i="3" s="1"/>
  <c r="AE16" i="3"/>
  <c r="AF16" i="3" s="1"/>
  <c r="AE17" i="3"/>
  <c r="AF17" i="3" s="1"/>
  <c r="AE18" i="3"/>
  <c r="AF18" i="3" s="1"/>
  <c r="AE19" i="3"/>
  <c r="AF19" i="3" s="1"/>
  <c r="AE20" i="3"/>
  <c r="AF20" i="3" s="1"/>
  <c r="AE21" i="3"/>
  <c r="AF21" i="3" s="1"/>
  <c r="AE22" i="3"/>
  <c r="AF22" i="3" s="1"/>
  <c r="AE23" i="3"/>
  <c r="AF23" i="3" s="1"/>
  <c r="AE24" i="3"/>
  <c r="AF24" i="3" s="1"/>
  <c r="AE25" i="3"/>
  <c r="AF25" i="3" s="1"/>
  <c r="AE26" i="3"/>
  <c r="AF26" i="3" s="1"/>
  <c r="AE27" i="3"/>
  <c r="AF27" i="3" s="1"/>
  <c r="AE28" i="3"/>
  <c r="AF28" i="3" s="1"/>
  <c r="AE29" i="3"/>
  <c r="AF29" i="3" s="1"/>
  <c r="AE30" i="3"/>
  <c r="AF30" i="3" s="1"/>
  <c r="AE31" i="3"/>
  <c r="AF31" i="3" s="1"/>
  <c r="AE32" i="3"/>
  <c r="AF32" i="3" s="1"/>
  <c r="AE33" i="3"/>
  <c r="AF33" i="3" s="1"/>
  <c r="AE34" i="3"/>
  <c r="AF34" i="3" s="1"/>
  <c r="AE35" i="3"/>
  <c r="AF35" i="3" s="1"/>
  <c r="AE36" i="3"/>
  <c r="AF36" i="3" s="1"/>
  <c r="AE37" i="3"/>
  <c r="AF37" i="3" s="1"/>
  <c r="AE38" i="3"/>
  <c r="AF38" i="3" s="1"/>
  <c r="AE2" i="3"/>
  <c r="AF2" i="3" s="1"/>
  <c r="L18" i="2"/>
  <c r="M17" i="2"/>
  <c r="L17" i="2"/>
  <c r="M19" i="2"/>
  <c r="L19" i="2"/>
  <c r="M18" i="2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/>
  <c r="AE67" i="1"/>
  <c r="AF67" i="1" s="1"/>
  <c r="AE68" i="1"/>
  <c r="AF68" i="1" s="1"/>
  <c r="AE69" i="1"/>
  <c r="AF69" i="1" s="1"/>
  <c r="AE70" i="1"/>
  <c r="AF70" i="1" s="1"/>
  <c r="AE71" i="1"/>
  <c r="AF71" i="1"/>
  <c r="AE72" i="1"/>
  <c r="AF72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2" i="1"/>
  <c r="AF2" i="1" s="1"/>
  <c r="M21" i="2" l="1"/>
  <c r="L21" i="2"/>
</calcChain>
</file>

<file path=xl/sharedStrings.xml><?xml version="1.0" encoding="utf-8"?>
<sst xmlns="http://schemas.openxmlformats.org/spreadsheetml/2006/main" count="3507" uniqueCount="138">
  <si>
    <t>Sprint 0</t>
  </si>
  <si>
    <t>Month</t>
  </si>
  <si>
    <t>(All)</t>
  </si>
  <si>
    <t>&lt;- Filter By Month</t>
  </si>
  <si>
    <t>Billable Timecode</t>
  </si>
  <si>
    <t>Billable timecode</t>
  </si>
  <si>
    <t>Sum of Hours</t>
  </si>
  <si>
    <t>Column Labels</t>
  </si>
  <si>
    <t>Row Labels</t>
  </si>
  <si>
    <t>Delivery</t>
  </si>
  <si>
    <t>Grand Total</t>
  </si>
  <si>
    <t>Nikki Papenfus</t>
  </si>
  <si>
    <t>Sam Duncan</t>
  </si>
  <si>
    <t>Project Phases</t>
  </si>
  <si>
    <t>Duration</t>
  </si>
  <si>
    <t>Lower Bound</t>
  </si>
  <si>
    <t>Upper Bound</t>
  </si>
  <si>
    <t>Sprint 0 </t>
  </si>
  <si>
    <t>4-5 weeks </t>
  </si>
  <si>
    <t>Complete</t>
  </si>
  <si>
    <t>Sprint 1 - 3</t>
  </si>
  <si>
    <t>6-9 Weeks</t>
  </si>
  <si>
    <t>18 900 per sprint</t>
  </si>
  <si>
    <t>UAT</t>
  </si>
  <si>
    <t>2 Weeks</t>
  </si>
  <si>
    <t>Production Deployment &amp; Post-Go-Live Support</t>
  </si>
  <si>
    <t>800 per week</t>
  </si>
  <si>
    <t>User Guide creation</t>
  </si>
  <si>
    <t>1 Week</t>
  </si>
  <si>
    <t>630 per day</t>
  </si>
  <si>
    <t>Shaun Barrett</t>
  </si>
  <si>
    <t>Total</t>
  </si>
  <si>
    <t xml:space="preserve">4-5 weeks </t>
  </si>
  <si>
    <t>Jacob Smycz</t>
  </si>
  <si>
    <t>Akshat Jain</t>
  </si>
  <si>
    <t>Anjali Salecha</t>
  </si>
  <si>
    <t xml:space="preserve">Sachin  Deshmukh 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</si>
  <si>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</si>
  <si>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</si>
  <si>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</si>
  <si>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</si>
  <si>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</si>
  <si>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</si>
  <si>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</si>
  <si>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</si>
  <si>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</si>
  <si>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</si>
  <si>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</si>
  <si>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</si>
  <si>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</si>
  <si>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</si>
  <si>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</si>
  <si>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</si>
  <si>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</si>
  <si>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</si>
  <si>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</si>
  <si>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</si>
  <si>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</si>
  <si>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</si>
  <si>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</si>
  <si>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</si>
  <si>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</si>
  <si>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</si>
  <si>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</si>
  <si>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</si>
  <si>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</si>
  <si>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</si>
  <si>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Carami Viljoen</t>
  </si>
  <si>
    <t>Salaried / Fixed</t>
  </si>
  <si>
    <t>Open Box Software (Pty) Ltd (Open Box SA)</t>
  </si>
  <si>
    <t>Custom Software</t>
  </si>
  <si>
    <t>SA</t>
  </si>
  <si>
    <t>Grainger PLC</t>
  </si>
  <si>
    <t>OB-000721</t>
  </si>
  <si>
    <t>Commercial Lead to Lease - Sprint 0 (T&amp;M)</t>
  </si>
  <si>
    <t>Billable</t>
  </si>
  <si>
    <t xml:space="preserve"> </t>
  </si>
  <si>
    <t>Delivery (Non-Billable)</t>
  </si>
  <si>
    <t>Non-billable timecode</t>
  </si>
  <si>
    <t>Standard Timecode</t>
  </si>
  <si>
    <t>GBP</t>
  </si>
  <si>
    <t>Reviewed</t>
  </si>
  <si>
    <t>Time report</t>
  </si>
  <si>
    <t>Not submitted</t>
  </si>
  <si>
    <t>time report</t>
  </si>
  <si>
    <t>Time Report</t>
  </si>
  <si>
    <t>Salesforce</t>
  </si>
  <si>
    <t>Andrew Pollock</t>
  </si>
  <si>
    <t>IN08887</t>
  </si>
  <si>
    <t>IN08955</t>
  </si>
  <si>
    <t>Qube discussion</t>
  </si>
  <si>
    <t>Internal refinement with Nikki (1 hour) External refinement session (1 hour)</t>
  </si>
  <si>
    <t>Internal refinement with Nikki (1 hour)</t>
  </si>
  <si>
    <t>Refinement with Nikki (1 hour) Refinement with Grainger (30 mins)</t>
  </si>
  <si>
    <t>Refinement session (30 mins)</t>
  </si>
  <si>
    <t>Hourly</t>
  </si>
  <si>
    <t>OB-000725</t>
  </si>
  <si>
    <t>Commercial Lead to Lease - Delivery (FC)</t>
  </si>
  <si>
    <t>Build</t>
  </si>
  <si>
    <t>USD</t>
  </si>
  <si>
    <t>-- Attended CLTL Sprint 1 planning session -- Openbox setup -- Grainger understanding</t>
  </si>
  <si>
    <t>-- Attended CLTL Sprint 2 planning session -- POC on Screen flows to introduce datatable</t>
  </si>
  <si>
    <t>-- Grainger Stand Up -- CLTL-22 -- Deployment for CLTL-4 from Dev to QA -- Deployment for CLTL-20 from Dev to QA -- Deployment for CLTL-21 from Dev to QA</t>
  </si>
  <si>
    <t>Grainger: Commercial Lead to Lease - Planning</t>
  </si>
  <si>
    <t>Grainger: Commercial Lead to Lease - Planning 2. Stories reading and related reading.</t>
  </si>
  <si>
    <t>Daily standup. Discussion. User stories</t>
  </si>
  <si>
    <t>Worked on CLTL-19. standup. Story allocation discussion with Sachin and Akshat.</t>
  </si>
  <si>
    <t>Worked on CLTL-19. standup.</t>
  </si>
  <si>
    <t>Worked on CLTL-19. standup. Sprint 2 discussion with Akshat and Sachin.</t>
  </si>
  <si>
    <t>CLTL Internal sprint planning #1</t>
  </si>
  <si>
    <t>CLTL Internal sprint planning #2</t>
  </si>
  <si>
    <t>Backlog sizing with Nikki (1 hour)</t>
  </si>
  <si>
    <t>Internal kickoff (1 hour)</t>
  </si>
  <si>
    <t>Solutioning user stories (3 hours)</t>
  </si>
  <si>
    <t>-- Grainger Stand Up -- Worked on CLTL-22 -- Verified CLTL-4 in QA</t>
  </si>
  <si>
    <t>-- Worked on CLTL-22 A/C 5 and Made Agreement Type Multiselect picklist on screen -- Grainger Stand Up</t>
  </si>
  <si>
    <t>-- Discussion on 'Unique object reference' limit error. -- POC on fetching picklist values based on record type. -- Grainger Stand Up</t>
  </si>
  <si>
    <t>-- Grainger Standup -- Show me to QA for CLTL-4, 20, 21 -- Worked on fetching of record type based picklist values.</t>
  </si>
  <si>
    <t>-- Grainger CLTL Stand Up -- CLTL-22 Deployment -- Worked on Bug CLTL-43</t>
  </si>
  <si>
    <t>Daily standup. Discussion with Sachin and Akshat related to technical issues. Wroked on CLTL-19. Discussion with Nikki.</t>
  </si>
  <si>
    <t>Worked on CLTL-19. Deployment package preparation. Discussion with Sachin and Akshat about technical challenges. Daily standup.</t>
  </si>
  <si>
    <t>Daily standup, Worked on deployment issues with Sachin.</t>
  </si>
  <si>
    <t>Tested CLTL-19 in QA sandbox. Show me with Khonani , Sarah and Nikky. Story review of CLTL-22 and discussed technical challenge of Bug 43. Investigated root cause of CLTL-53. Worked with Sachin on error when Opportunity is updated due to 'Years' in Primary Offer Term. Daily standup.</t>
  </si>
  <si>
    <t>Daily standup. Worked on CLTL-53. Discussion with Matt C. Story review with Sachin CLTL-23.</t>
  </si>
  <si>
    <t>Khonani Davhana</t>
  </si>
  <si>
    <t>Matthew Cornfield</t>
  </si>
  <si>
    <t>15m team standup 30m khonani QA help 30m Show me</t>
  </si>
  <si>
    <t>15m team standup</t>
  </si>
  <si>
    <t>Morning standup 1h sandbox data fix</t>
  </si>
  <si>
    <t>-- Grainger: CLTL Stand Up -- Worked on CLTL 16</t>
  </si>
  <si>
    <t>-- Grainger: CLTL Stand Up -- Worked on CLTL 10</t>
  </si>
  <si>
    <t>-- Grainger: CLTL Stand Up -- Worked on CLTL 10 -- Reviewed and Assisted to deploy CLTL 4 to QA</t>
  </si>
  <si>
    <t>-- Grainger: CLTL Stand Up -- Worked on CLTL 10 -- Reviewed on CLTL 21</t>
  </si>
  <si>
    <t>-- Grainger: CLTL Stand Up -- Worked on CLTL 10 -- Reviewed on CLTL 20, CLTL 22</t>
  </si>
  <si>
    <t>-- Grainger: CLTL Stand Up -- Review CLTL 10 with Anjali and Nikki -- Worked on CLTL 23</t>
  </si>
  <si>
    <t>-- Grainger: CLTL Stand Up -- Worked on CLTL 23</t>
  </si>
  <si>
    <t>-- Grainger: CLTL Stand Up -- Reviewed CLTL 23 with Anjali -- Deployed CLTL 23 to QA</t>
  </si>
  <si>
    <t>Sarah Jessiman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</si>
</sst>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£-809]* #,##0.00_-;\-[$£-809]* #,##0.00_-;_-[$£-809]* &quot;-&quot;??_-;_-@_-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9"/>
      <name val="Verdana"/>
      <family val="2"/>
    </font>
    <font>
      <sz val="9"/>
      <name val="Verdana"/>
      <family val="2"/>
    </font>
    <font>
      <b/>
      <sz val="12"/>
      <color rgb="FF000000"/>
      <name val="Aptos Narrow"/>
      <family val="2"/>
      <scheme val="minor"/>
    </font>
    <font>
      <sz val="9"/>
      <color theme="0" tint="-0.249977111117893"/>
      <name val="Verdana"/>
      <family val="2"/>
    </font>
    <font>
      <sz val="11"/>
      <color theme="0" tint="-0.249977111117893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4" fillId="0" borderId="0" xfId="0" applyFont="1"/>
    <xf numFmtId="0" fontId="19" fillId="0" borderId="0" xfId="0" applyFont="1"/>
    <xf numFmtId="43" fontId="0" fillId="0" borderId="0" xfId="0" applyNumberFormat="1"/>
    <xf numFmtId="0" fontId="20" fillId="0" borderId="10" xfId="0" applyFont="1" applyBorder="1"/>
    <xf numFmtId="0" fontId="21" fillId="0" borderId="0" xfId="0" applyFont="1"/>
    <xf numFmtId="0" fontId="22" fillId="0" borderId="10" xfId="0" applyFont="1" applyBorder="1"/>
    <xf numFmtId="0" fontId="23" fillId="0" borderId="11" xfId="0" applyFont="1" applyBorder="1"/>
    <xf numFmtId="0" fontId="16" fillId="34" borderId="0" xfId="0" applyFont="1" applyFill="1"/>
    <xf numFmtId="164" fontId="22" fillId="0" borderId="10" xfId="0" applyNumberFormat="1" applyFont="1" applyBorder="1"/>
    <xf numFmtId="164" fontId="23" fillId="0" borderId="11" xfId="0" applyNumberFormat="1" applyFont="1" applyBorder="1"/>
    <xf numFmtId="4" fontId="0" fillId="0" borderId="0" xfId="0" applyNumberFormat="1"/>
    <xf numFmtId="0" fontId="24" fillId="0" borderId="10" xfId="0" applyFont="1" applyBorder="1"/>
    <xf numFmtId="164" fontId="24" fillId="0" borderId="10" xfId="0" applyNumberFormat="1" applyFont="1" applyBorder="1"/>
    <xf numFmtId="0" fontId="25" fillId="0" borderId="0" xfId="0" applyFo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35" formatCode="_-* #,##0.00_-;\-* #,##0.00_-;_-* &quot;-&quot;??_-;_-@_-"/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56.491596064814" createdVersion="8" refreshedVersion="8" minRefreshableVersion="3" recordCount="71" xr:uid="{BEEBCAFB-83C1-4F13-959B-E527F5A66E16}">
  <cacheSource type="worksheet">
    <worksheetSource ref="A1:AF72" sheet="Sprint 0 Timesheets"/>
  </cacheSource>
  <cacheFields count="32">
    <cacheField name="Date" numFmtId="15">
      <sharedItems containsSemiMixedTypes="0" containsNonDate="0" containsDate="1" containsString="0" minDate="2024-09-27T00:00:00" maxDate="2024-12-10T00:00:00"/>
    </cacheField>
    <cacheField name="Person" numFmtId="0">
      <sharedItems count="5">
        <s v="Carami Viljoen"/>
        <s v="Jacob Smycz"/>
        <s v="Nikki Papenfus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02333" maxValue="333066"/>
    </cacheField>
    <cacheField name="Timecode Name" numFmtId="0">
      <sharedItems count="2">
        <s v="Delivery (Non-Billable)"/>
        <s v="Deliver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.5"/>
    </cacheField>
    <cacheField name="Time" numFmtId="20">
      <sharedItems containsSemiMixedTypes="0" containsNonDate="0" containsDate="1" containsString="0" minDate="1899-12-30T00:15:00" maxDate="1899-12-30T07:30:00"/>
    </cacheField>
    <cacheField name="Worked Amount" numFmtId="0">
      <sharedItems containsSemiMixedTypes="0" containsString="0" containsNumber="1" minValue="0" maxValue="675"/>
    </cacheField>
    <cacheField name="Invoiced Amount" numFmtId="0">
      <sharedItems containsString="0" containsBlank="1" containsNumber="1" minValue="0" maxValue="1125"/>
    </cacheField>
    <cacheField name="Invoiced Delta" numFmtId="0">
      <sharedItems containsString="0" containsBlank="1" containsNumber="1" containsInteger="1" minValue="0" maxValue="45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9" maxValue="12"/>
    </cacheField>
    <cacheField name="Month" numFmtId="0">
      <sharedItems count="4">
        <s v="November"/>
        <s v="December"/>
        <s v="September"/>
        <s v="Octo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77.524798148152" createdVersion="8" refreshedVersion="8" minRefreshableVersion="3" recordCount="92" xr:uid="{AA9335F6-1881-42C7-8144-56DB920D25DB}">
  <cacheSource type="worksheet">
    <worksheetSource ref="A1:AF93" sheet="Delivery Timesheets"/>
  </cacheSource>
  <cacheFields count="32">
    <cacheField name="Date" numFmtId="15">
      <sharedItems containsSemiMixedTypes="0" containsNonDate="0" containsDate="1" containsString="0" minDate="2024-12-06T00:00:00" maxDate="2025-01-11T00:00:00"/>
    </cacheField>
    <cacheField name="Person" numFmtId="0">
      <sharedItems count="11">
        <s v="Akshat Jain"/>
        <s v="Anjali Salecha"/>
        <s v="Carami Viljoen"/>
        <s v="Jacob Smycz"/>
        <s v="Khonani Davhana"/>
        <s v="Matthew Cornfield"/>
        <s v="Nikki Papenfus"/>
        <s v="Sachin  Deshmukh "/>
        <s v="Sam Duncan"/>
        <s v="Sarah Jessim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36090" maxValue="341263"/>
    </cacheField>
    <cacheField name="Timecode Name" numFmtId="0">
      <sharedItems count="1">
        <s v="Delivery"/>
      </sharedItems>
    </cacheField>
    <cacheField name="Billable Timecode" numFmtId="0">
      <sharedItems count="1"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115" maxValue="115"/>
    </cacheField>
    <cacheField name="Hours" numFmtId="0">
      <sharedItems containsSemiMixedTypes="0" containsString="0" containsNumber="1" minValue="0.25" maxValue="8.5"/>
    </cacheField>
    <cacheField name="Time" numFmtId="20">
      <sharedItems containsSemiMixedTypes="0" containsNonDate="0" containsDate="1" containsString="0" minDate="1899-12-30T00:15:00" maxDate="1899-12-30T08:30:00"/>
    </cacheField>
    <cacheField name="Worked Amount" numFmtId="0">
      <sharedItems containsSemiMixedTypes="0" containsString="0" containsNumber="1" minValue="28.75" maxValue="977.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 longText="1"/>
    </cacheField>
    <cacheField name="Timesheet Status" numFmtId="0">
      <sharedItems/>
    </cacheField>
    <cacheField name="Period" numFmtId="0">
      <sharedItems containsSemiMixedTypes="0" containsString="0" containsNumber="1" containsInteger="1" minValue="1" maxValue="12"/>
    </cacheField>
    <cacheField name="Month" numFmtId="0">
      <sharedItems count="2">
        <s v="December"/>
        <s v="Janu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d v="2024-11-11T00:00:00"/>
    <x v="0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1638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1-18T00:00:00"/>
    <x v="0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4722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1-25T00:00:00"/>
    <x v="0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7721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2-02T00:00:00"/>
    <x v="0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30799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1-04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18682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06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19648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11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1304"/>
    <x v="0"/>
    <x v="0"/>
    <s v="Standard Timecode"/>
    <n v="0"/>
    <n v="1.5"/>
    <d v="1899-12-30T01:30:00"/>
    <n v="0"/>
    <m/>
    <m/>
    <m/>
    <s v="GBP"/>
    <s v="Reviewed"/>
    <s v=" "/>
    <s v="Not submitted"/>
    <n v="11"/>
    <x v="0"/>
  </r>
  <r>
    <d v="2024-11-12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2607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13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2601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18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4564"/>
    <x v="0"/>
    <x v="0"/>
    <s v="Standard Timecode"/>
    <n v="0"/>
    <n v="2.25"/>
    <d v="1899-12-30T02:15:00"/>
    <n v="0"/>
    <m/>
    <m/>
    <m/>
    <s v="GBP"/>
    <s v="Reviewed"/>
    <s v=" "/>
    <s v="Not submitted"/>
    <n v="11"/>
    <x v="0"/>
  </r>
  <r>
    <d v="2024-11-20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5531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1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6175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5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7415"/>
    <x v="0"/>
    <x v="0"/>
    <s v="Standard Timecode"/>
    <n v="0"/>
    <n v="1.75"/>
    <d v="1899-12-30T01:45:00"/>
    <n v="0"/>
    <m/>
    <m/>
    <m/>
    <s v="GBP"/>
    <s v="Reviewed"/>
    <s v=" "/>
    <s v="Not submitted"/>
    <n v="11"/>
    <x v="0"/>
  </r>
  <r>
    <d v="2024-11-27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8707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2-02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31407"/>
    <x v="0"/>
    <x v="0"/>
    <s v="Standard Timecode"/>
    <n v="0"/>
    <n v="1.5"/>
    <d v="1899-12-30T01:30:00"/>
    <n v="0"/>
    <m/>
    <m/>
    <m/>
    <s v="GBP"/>
    <s v="Reviewed"/>
    <s v=" "/>
    <s v="Not submitted"/>
    <n v="12"/>
    <x v="1"/>
  </r>
  <r>
    <d v="2024-11-01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8298"/>
    <x v="0"/>
    <x v="0"/>
    <s v="Standard Timecode"/>
    <n v="0"/>
    <n v="2.5"/>
    <d v="1899-12-30T02:30:00"/>
    <n v="0"/>
    <m/>
    <m/>
    <m/>
    <s v="GBP"/>
    <s v="Reviewed"/>
    <s v=" "/>
    <s v="Not submitted"/>
    <n v="11"/>
    <x v="0"/>
  </r>
  <r>
    <d v="2024-11-04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8619"/>
    <x v="1"/>
    <x v="1"/>
    <s v="Standard Timecode"/>
    <n v="90"/>
    <n v="2.25"/>
    <d v="1899-12-30T02:15:00"/>
    <n v="202.5"/>
    <n v="337.5"/>
    <n v="135"/>
    <s v="IN08887"/>
    <s v="GBP"/>
    <s v="Reviewed"/>
    <s v=" "/>
    <s v="Not submitted"/>
    <n v="11"/>
    <x v="0"/>
  </r>
  <r>
    <d v="2024-11-0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9087"/>
    <x v="1"/>
    <x v="1"/>
    <s v="Standard Timecode"/>
    <n v="90"/>
    <n v="2.5"/>
    <d v="1899-12-30T02:30:00"/>
    <n v="225"/>
    <n v="375"/>
    <n v="150"/>
    <s v="IN08887"/>
    <s v="GBP"/>
    <s v="Reviewed"/>
    <s v=" "/>
    <s v="Not submitted"/>
    <n v="11"/>
    <x v="0"/>
  </r>
  <r>
    <d v="2024-11-06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9663"/>
    <x v="1"/>
    <x v="1"/>
    <s v="Standard Timecode"/>
    <n v="90"/>
    <n v="1.5"/>
    <d v="1899-12-30T01:30:00"/>
    <n v="135"/>
    <n v="225"/>
    <n v="90"/>
    <s v="IN08887"/>
    <s v="GBP"/>
    <s v="Reviewed"/>
    <s v=" "/>
    <s v="Not submitted"/>
    <n v="11"/>
    <x v="0"/>
  </r>
  <r>
    <d v="2024-11-07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0173"/>
    <x v="1"/>
    <x v="1"/>
    <s v="Standard Timecode"/>
    <n v="90"/>
    <n v="4.5"/>
    <d v="1899-12-30T04:30:00"/>
    <n v="405"/>
    <n v="675"/>
    <n v="270"/>
    <s v="IN08887"/>
    <s v="GBP"/>
    <s v="Reviewed"/>
    <s v=" "/>
    <s v="Not submitted"/>
    <n v="11"/>
    <x v="0"/>
  </r>
  <r>
    <d v="2024-11-08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0704"/>
    <x v="1"/>
    <x v="1"/>
    <s v="Standard Timecode"/>
    <n v="90"/>
    <n v="7.25"/>
    <d v="1899-12-30T07:15:00"/>
    <n v="652.5"/>
    <n v="1087.5"/>
    <n v="435"/>
    <s v="IN08887"/>
    <s v="GBP"/>
    <s v="Reviewed"/>
    <s v=" "/>
    <s v="Not submitted"/>
    <n v="11"/>
    <x v="0"/>
  </r>
  <r>
    <d v="2024-11-11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1468"/>
    <x v="1"/>
    <x v="1"/>
    <s v="Standard Timecode"/>
    <n v="90"/>
    <n v="4"/>
    <d v="1899-12-30T04:00:00"/>
    <n v="360"/>
    <n v="600"/>
    <n v="240"/>
    <s v="IN08887"/>
    <s v="GBP"/>
    <s v="Reviewed"/>
    <s v=" "/>
    <s v="Not submitted"/>
    <n v="11"/>
    <x v="0"/>
  </r>
  <r>
    <d v="2024-11-12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2040"/>
    <x v="1"/>
    <x v="1"/>
    <s v="Standard Timecode"/>
    <n v="90"/>
    <n v="7"/>
    <d v="1899-12-30T07:00:00"/>
    <n v="630"/>
    <n v="1050"/>
    <n v="420"/>
    <s v="IN08887"/>
    <s v="GBP"/>
    <s v="Reviewed"/>
    <s v=" "/>
    <s v="Not submitted"/>
    <n v="11"/>
    <x v="0"/>
  </r>
  <r>
    <d v="2024-11-13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2573"/>
    <x v="1"/>
    <x v="1"/>
    <s v="Standard Timecode"/>
    <n v="90"/>
    <n v="6.5"/>
    <d v="1899-12-30T06:30:00"/>
    <n v="585"/>
    <n v="975"/>
    <n v="390"/>
    <s v="IN08887"/>
    <s v="GBP"/>
    <s v="Reviewed"/>
    <s v=" "/>
    <s v="Not submitted"/>
    <n v="11"/>
    <x v="0"/>
  </r>
  <r>
    <d v="2024-11-14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3022"/>
    <x v="1"/>
    <x v="1"/>
    <s v="Standard Timecode"/>
    <n v="90"/>
    <n v="4.25"/>
    <d v="1899-12-30T04:15:00"/>
    <n v="382.5"/>
    <n v="637.5"/>
    <n v="255"/>
    <s v="IN08887"/>
    <s v="GBP"/>
    <s v="Reviewed"/>
    <s v=" "/>
    <s v="Not submitted"/>
    <n v="11"/>
    <x v="0"/>
  </r>
  <r>
    <d v="2024-11-1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3759"/>
    <x v="1"/>
    <x v="1"/>
    <s v="Standard Timecode"/>
    <n v="90"/>
    <n v="5.5"/>
    <d v="1899-12-30T05:30:00"/>
    <n v="495"/>
    <n v="825"/>
    <n v="330"/>
    <s v="IN08887"/>
    <s v="GBP"/>
    <s v="Reviewed"/>
    <s v=" "/>
    <s v="Not submitted"/>
    <n v="11"/>
    <x v="0"/>
  </r>
  <r>
    <d v="2024-11-18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4526"/>
    <x v="1"/>
    <x v="1"/>
    <s v="Standard Timecode"/>
    <n v="90"/>
    <n v="5"/>
    <d v="1899-12-30T05:00:00"/>
    <n v="450"/>
    <n v="750"/>
    <n v="300"/>
    <s v="IN08887"/>
    <s v="GBP"/>
    <s v="Reviewed"/>
    <s v=" "/>
    <s v="Not submitted"/>
    <n v="11"/>
    <x v="0"/>
  </r>
  <r>
    <d v="2024-11-19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5122"/>
    <x v="1"/>
    <x v="1"/>
    <s v="Standard Timecode"/>
    <n v="90"/>
    <n v="3.75"/>
    <d v="1899-12-30T03:45:00"/>
    <n v="337.5"/>
    <n v="562.5"/>
    <n v="225"/>
    <s v="IN08887"/>
    <s v="GBP"/>
    <s v="Reviewed"/>
    <s v=" "/>
    <s v="Not submitted"/>
    <n v="11"/>
    <x v="0"/>
  </r>
  <r>
    <d v="2024-11-20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5597"/>
    <x v="1"/>
    <x v="1"/>
    <s v="Standard Timecode"/>
    <n v="90"/>
    <n v="7.5"/>
    <d v="1899-12-30T07:30:00"/>
    <n v="675"/>
    <n v="1125"/>
    <n v="450"/>
    <s v="IN08887"/>
    <s v="GBP"/>
    <s v="Reviewed"/>
    <s v=" "/>
    <s v="Not submitted"/>
    <n v="11"/>
    <x v="0"/>
  </r>
  <r>
    <d v="2024-11-21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6108"/>
    <x v="1"/>
    <x v="1"/>
    <s v="Standard Timecode"/>
    <n v="90"/>
    <n v="7.25"/>
    <d v="1899-12-30T07:15:00"/>
    <n v="652.5"/>
    <n v="1087.5"/>
    <n v="435"/>
    <s v="IN08887"/>
    <s v="GBP"/>
    <s v="Reviewed"/>
    <s v=" "/>
    <s v="Not submitted"/>
    <n v="11"/>
    <x v="0"/>
  </r>
  <r>
    <d v="2024-11-22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6754"/>
    <x v="1"/>
    <x v="1"/>
    <s v="Standard Timecode"/>
    <n v="90"/>
    <n v="4.5"/>
    <d v="1899-12-30T04:30:00"/>
    <n v="405"/>
    <n v="675"/>
    <n v="270"/>
    <s v="IN08887"/>
    <s v="GBP"/>
    <s v="Reviewed"/>
    <s v=" "/>
    <s v="Not submitted"/>
    <n v="11"/>
    <x v="0"/>
  </r>
  <r>
    <d v="2024-11-2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7557"/>
    <x v="1"/>
    <x v="1"/>
    <s v="Standard Timecode"/>
    <n v="90"/>
    <n v="2.75"/>
    <d v="1899-12-30T02:45:00"/>
    <n v="247.5"/>
    <n v="412.5"/>
    <n v="165"/>
    <s v="IN08887"/>
    <s v="GBP"/>
    <s v="Reviewed"/>
    <s v=" "/>
    <s v="Not submitted"/>
    <n v="11"/>
    <x v="0"/>
  </r>
  <r>
    <d v="2024-11-26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8066"/>
    <x v="1"/>
    <x v="1"/>
    <s v="Standard Timecode"/>
    <n v="90"/>
    <n v="5"/>
    <d v="1899-12-30T05:00:00"/>
    <n v="450"/>
    <n v="750"/>
    <n v="300"/>
    <s v="IN08887"/>
    <s v="GBP"/>
    <s v="Reviewed"/>
    <s v=" "/>
    <s v="Not submitted"/>
    <n v="11"/>
    <x v="0"/>
  </r>
  <r>
    <d v="2024-11-27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8571"/>
    <x v="1"/>
    <x v="1"/>
    <s v="Standard Timecode"/>
    <n v="90"/>
    <n v="7.5"/>
    <d v="1899-12-30T07:30:00"/>
    <n v="675"/>
    <n v="1125"/>
    <n v="450"/>
    <s v="IN08887"/>
    <s v="GBP"/>
    <s v="Reviewed"/>
    <s v=" "/>
    <s v="Not submitted"/>
    <n v="11"/>
    <x v="0"/>
  </r>
  <r>
    <d v="2024-12-02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0752"/>
    <x v="1"/>
    <x v="1"/>
    <s v="Standard Timecode"/>
    <n v="90"/>
    <n v="3.75"/>
    <d v="1899-12-30T03:45:00"/>
    <n v="337.5"/>
    <n v="0"/>
    <n v="0"/>
    <s v="IN08955"/>
    <s v="GBP"/>
    <s v="Reviewed"/>
    <s v=" "/>
    <s v="Not submitted"/>
    <n v="12"/>
    <x v="1"/>
  </r>
  <r>
    <d v="2024-12-03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1283"/>
    <x v="1"/>
    <x v="1"/>
    <s v="Standard Timecode"/>
    <n v="90"/>
    <n v="1"/>
    <d v="1899-12-30T01:00:00"/>
    <n v="90"/>
    <n v="0"/>
    <n v="0"/>
    <s v="IN08955"/>
    <s v="GBP"/>
    <s v="Reviewed"/>
    <s v=" "/>
    <s v="Not submitted"/>
    <n v="12"/>
    <x v="1"/>
  </r>
  <r>
    <d v="2024-12-04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1280"/>
    <x v="1"/>
    <x v="1"/>
    <s v="Standard Timecode"/>
    <n v="90"/>
    <n v="5.5"/>
    <d v="1899-12-30T05:30:00"/>
    <n v="495"/>
    <n v="0"/>
    <n v="0"/>
    <s v="IN08955"/>
    <s v="GBP"/>
    <s v="Reviewed"/>
    <s v=" "/>
    <s v="Not submitted"/>
    <n v="12"/>
    <x v="1"/>
  </r>
  <r>
    <d v="2024-12-0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1947"/>
    <x v="1"/>
    <x v="1"/>
    <s v="Standard Timecode"/>
    <n v="90"/>
    <n v="6"/>
    <d v="1899-12-30T06:00:00"/>
    <n v="540"/>
    <n v="0"/>
    <n v="0"/>
    <s v="IN08955"/>
    <s v="GBP"/>
    <s v="Reviewed"/>
    <s v=" "/>
    <s v="Not submitted"/>
    <n v="12"/>
    <x v="1"/>
  </r>
  <r>
    <d v="2024-12-06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2839"/>
    <x v="1"/>
    <x v="1"/>
    <s v="Standard Timecode"/>
    <n v="90"/>
    <n v="3.5"/>
    <d v="1899-12-30T03:30:00"/>
    <n v="315"/>
    <n v="0"/>
    <n v="0"/>
    <s v="IN08955"/>
    <s v="GBP"/>
    <s v="Reviewed"/>
    <s v=" "/>
    <s v="Not submitted"/>
    <n v="12"/>
    <x v="1"/>
  </r>
  <r>
    <d v="2024-12-09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3066"/>
    <x v="1"/>
    <x v="1"/>
    <s v="Standard Timecode"/>
    <n v="90"/>
    <n v="3.75"/>
    <d v="1899-12-30T03:45:00"/>
    <n v="337.5"/>
    <n v="0"/>
    <n v="0"/>
    <s v="IN08955"/>
    <s v="GBP"/>
    <s v="Reviewed"/>
    <s v=" "/>
    <s v="Not submitted"/>
    <n v="12"/>
    <x v="1"/>
  </r>
  <r>
    <d v="2024-11-04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698"/>
    <x v="1"/>
    <x v="1"/>
    <s v="Standard Timecode"/>
    <n v="90"/>
    <n v="0.5"/>
    <d v="1899-12-30T00:30:00"/>
    <n v="45"/>
    <n v="75"/>
    <n v="30"/>
    <s v="IN08887"/>
    <s v="GBP"/>
    <s v="Reviewed"/>
    <s v=" "/>
    <s v="Not submitted"/>
    <n v="11"/>
    <x v="0"/>
  </r>
  <r>
    <d v="2024-11-06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11"/>
    <x v="1"/>
    <x v="1"/>
    <s v="Standard Timecode"/>
    <n v="90"/>
    <n v="0.5"/>
    <d v="1899-12-30T00:30:00"/>
    <n v="45"/>
    <n v="75"/>
    <n v="30"/>
    <s v="IN08887"/>
    <s v="GBP"/>
    <s v="Reviewed"/>
    <s v=" "/>
    <s v="Not submitted"/>
    <n v="11"/>
    <x v="0"/>
  </r>
  <r>
    <d v="2024-11-11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26"/>
    <x v="1"/>
    <x v="1"/>
    <s v="Standard Timecode"/>
    <n v="90"/>
    <n v="1"/>
    <d v="1899-12-30T01:00:00"/>
    <n v="90"/>
    <n v="150"/>
    <n v="60"/>
    <s v="IN08887"/>
    <s v="GBP"/>
    <s v="Reviewed"/>
    <s v=" "/>
    <s v="Not submitted"/>
    <n v="11"/>
    <x v="0"/>
  </r>
  <r>
    <d v="2024-11-12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37"/>
    <x v="1"/>
    <x v="1"/>
    <s v="Standard Timecode"/>
    <n v="90"/>
    <n v="0.5"/>
    <d v="1899-12-30T00:30:00"/>
    <n v="45"/>
    <n v="75"/>
    <n v="30"/>
    <s v="IN08887"/>
    <s v="GBP"/>
    <s v="Reviewed"/>
    <s v="Qube discussion"/>
    <s v="Not submitted"/>
    <n v="11"/>
    <x v="0"/>
  </r>
  <r>
    <d v="2024-11-13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39"/>
    <x v="1"/>
    <x v="1"/>
    <s v="Standard Timecode"/>
    <n v="90"/>
    <n v="0.5"/>
    <d v="1899-12-30T00:30:00"/>
    <n v="45"/>
    <n v="75"/>
    <n v="30"/>
    <s v="IN08887"/>
    <s v="GBP"/>
    <s v="Reviewed"/>
    <s v=" "/>
    <s v="Not submitted"/>
    <n v="11"/>
    <x v="0"/>
  </r>
  <r>
    <d v="2024-11-18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8859"/>
    <x v="1"/>
    <x v="1"/>
    <s v="Standard Timecode"/>
    <n v="90"/>
    <n v="2"/>
    <d v="1899-12-30T02:00:00"/>
    <n v="180"/>
    <n v="300"/>
    <n v="120"/>
    <s v="IN08887"/>
    <s v="GBP"/>
    <s v="Reviewed"/>
    <s v="Internal refinement with Nikki (1 hour) External refinement session (1 hour)"/>
    <s v="Not submitted"/>
    <n v="11"/>
    <x v="0"/>
  </r>
  <r>
    <d v="2024-11-21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8860"/>
    <x v="1"/>
    <x v="1"/>
    <s v="Standard Timecode"/>
    <n v="90"/>
    <n v="1"/>
    <d v="1899-12-30T01:00:00"/>
    <n v="90"/>
    <n v="150"/>
    <n v="60"/>
    <s v="IN08887"/>
    <s v="GBP"/>
    <s v="Reviewed"/>
    <s v="Internal refinement with Nikki (1 hour)"/>
    <s v="Not submitted"/>
    <n v="11"/>
    <x v="0"/>
  </r>
  <r>
    <d v="2024-11-25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8889"/>
    <x v="1"/>
    <x v="1"/>
    <s v="Standard Timecode"/>
    <n v="90"/>
    <n v="1.5"/>
    <d v="1899-12-30T01:30:00"/>
    <n v="135"/>
    <n v="225"/>
    <n v="90"/>
    <s v="IN08887"/>
    <s v="GBP"/>
    <s v="Reviewed"/>
    <s v="Refinement with Nikki (1 hour) Refinement with Grainger (30 mins)"/>
    <s v="Not submitted"/>
    <n v="11"/>
    <x v="0"/>
  </r>
  <r>
    <d v="2024-11-27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8898"/>
    <x v="1"/>
    <x v="1"/>
    <s v="Standard Timecode"/>
    <n v="90"/>
    <n v="0.5"/>
    <d v="1899-12-30T00:30:00"/>
    <n v="45"/>
    <n v="75"/>
    <n v="30"/>
    <s v="IN08887"/>
    <s v="GBP"/>
    <s v="Reviewed"/>
    <s v="Refinement session (30 mins)"/>
    <s v="Not submitted"/>
    <n v="11"/>
    <x v="0"/>
  </r>
  <r>
    <d v="2024-09-27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02333"/>
    <x v="0"/>
    <x v="0"/>
    <s v="Standard Timecode"/>
    <n v="0"/>
    <n v="0.5"/>
    <d v="1899-12-30T00:30:00"/>
    <n v="0"/>
    <m/>
    <m/>
    <m/>
    <s v="GBP"/>
    <s v="Reviewed"/>
    <s v=" "/>
    <s v="Not submitted"/>
    <n v="9"/>
    <x v="2"/>
  </r>
  <r>
    <d v="2024-09-30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04735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10-30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6721"/>
    <x v="0"/>
    <x v="0"/>
    <s v="Standard Timecode"/>
    <n v="0"/>
    <n v="0.5"/>
    <d v="1899-12-30T00:30:00"/>
    <n v="0"/>
    <m/>
    <m/>
    <m/>
    <s v="GBP"/>
    <s v="Reviewed"/>
    <s v=" "/>
    <s v="Not submitted"/>
    <n v="10"/>
    <x v="3"/>
  </r>
  <r>
    <d v="2024-11-04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8740"/>
    <x v="0"/>
    <x v="0"/>
    <s v="Standard Timecode"/>
    <n v="0"/>
    <n v="1.5"/>
    <d v="1899-12-30T01:30:00"/>
    <n v="0"/>
    <m/>
    <m/>
    <m/>
    <s v="GBP"/>
    <s v="Reviewed"/>
    <s v=" "/>
    <s v="Not submitted"/>
    <n v="11"/>
    <x v="0"/>
  </r>
  <r>
    <d v="2024-11-0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9240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06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9825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07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0319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08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0320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1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1660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2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2196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3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2738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4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217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869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8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4582"/>
    <x v="0"/>
    <x v="0"/>
    <s v="Standard Timecode"/>
    <n v="0"/>
    <n v="0.25"/>
    <d v="1899-12-30T00:15:00"/>
    <n v="0"/>
    <m/>
    <m/>
    <m/>
    <s v="GBP"/>
    <s v="Reviewed"/>
    <s v=" "/>
    <s v="Not submitted"/>
    <n v="11"/>
    <x v="0"/>
  </r>
  <r>
    <d v="2024-11-20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5824"/>
    <x v="0"/>
    <x v="0"/>
    <s v="Standard Timecode"/>
    <n v="0"/>
    <n v="0.25"/>
    <d v="1899-12-30T00:15:00"/>
    <n v="0"/>
    <m/>
    <m/>
    <m/>
    <s v="GBP"/>
    <s v="Reviewed"/>
    <s v=" "/>
    <s v="Not submitted"/>
    <n v="11"/>
    <x v="0"/>
  </r>
  <r>
    <d v="2024-11-21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6248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22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7241"/>
    <x v="0"/>
    <x v="0"/>
    <s v="Standard Timecode"/>
    <n v="0"/>
    <n v="0.25"/>
    <d v="1899-12-30T00:15:00"/>
    <n v="0"/>
    <m/>
    <m/>
    <m/>
    <s v="GBP"/>
    <s v="Reviewed"/>
    <s v=" "/>
    <s v="Not submitted"/>
    <n v="11"/>
    <x v="0"/>
  </r>
  <r>
    <d v="2024-11-2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7234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2-02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31080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3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31090"/>
    <x v="0"/>
    <x v="0"/>
    <s v="Standard Timecode"/>
    <n v="0"/>
    <n v="0.75"/>
    <d v="1899-12-30T00:45:00"/>
    <n v="0"/>
    <m/>
    <m/>
    <m/>
    <s v="GBP"/>
    <s v="Reviewed"/>
    <s v=" "/>
    <s v="Not submitted"/>
    <n v="12"/>
    <x v="1"/>
  </r>
  <r>
    <d v="2024-12-04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31742"/>
    <x v="0"/>
    <x v="0"/>
    <s v="Standard Timecode"/>
    <n v="0"/>
    <n v="1"/>
    <d v="1899-12-30T01:00:00"/>
    <n v="0"/>
    <m/>
    <m/>
    <m/>
    <s v="GBP"/>
    <s v="Reviewed"/>
    <s v=" "/>
    <s v="Not submitted"/>
    <n v="12"/>
    <x v="1"/>
  </r>
  <r>
    <d v="2024-12-0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32081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d v="2024-12-18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464"/>
    <x v="0"/>
    <x v="0"/>
    <s v="Standard Timecode"/>
    <n v="115"/>
    <n v="8.5"/>
    <d v="1899-12-30T08:30:00"/>
    <n v="977.5"/>
    <m/>
    <m/>
    <m/>
    <s v="USD"/>
    <m/>
    <e v="#NAME?"/>
    <s v="Not submitted"/>
    <n v="12"/>
    <x v="0"/>
  </r>
  <r>
    <d v="2024-12-19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463"/>
    <x v="0"/>
    <x v="0"/>
    <s v="Standard Timecode"/>
    <n v="115"/>
    <n v="8.5"/>
    <d v="1899-12-30T08:30:00"/>
    <n v="977.5"/>
    <m/>
    <m/>
    <m/>
    <s v="USD"/>
    <m/>
    <s v="-- Attended CLTL Sprint 1 planning session -- Openbox setup -- Grainger understanding"/>
    <s v="Not submitted"/>
    <n v="12"/>
    <x v="0"/>
  </r>
  <r>
    <d v="2024-12-20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462"/>
    <x v="0"/>
    <x v="0"/>
    <s v="Standard Timecode"/>
    <n v="115"/>
    <n v="8.5"/>
    <d v="1899-12-30T08:30:00"/>
    <n v="977.5"/>
    <m/>
    <m/>
    <m/>
    <s v="USD"/>
    <m/>
    <s v="-- Attended CLTL Sprint 2 planning session -- POC on Screen flows to introduce datatable"/>
    <s v="Not submitted"/>
    <n v="12"/>
    <x v="0"/>
  </r>
  <r>
    <d v="2024-12-23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353"/>
    <x v="0"/>
    <x v="0"/>
    <s v="Standard Timecode"/>
    <n v="115"/>
    <n v="8.5"/>
    <d v="1899-12-30T08:30:00"/>
    <n v="977.5"/>
    <m/>
    <m/>
    <m/>
    <s v="USD"/>
    <s v="Reviewed"/>
    <e v="#NAME?"/>
    <s v="Not submitted"/>
    <n v="12"/>
    <x v="0"/>
  </r>
  <r>
    <d v="2024-12-24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352"/>
    <x v="0"/>
    <x v="0"/>
    <s v="Standard Timecode"/>
    <n v="115"/>
    <n v="8.5"/>
    <d v="1899-12-30T08:30:00"/>
    <n v="977.5"/>
    <m/>
    <m/>
    <m/>
    <s v="USD"/>
    <m/>
    <e v="#NAME?"/>
    <s v="Not submitted"/>
    <n v="12"/>
    <x v="0"/>
  </r>
  <r>
    <d v="2024-12-26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502"/>
    <x v="0"/>
    <x v="0"/>
    <s v="Standard Timecode"/>
    <n v="115"/>
    <n v="8.5"/>
    <d v="1899-12-30T08:30:00"/>
    <n v="977.5"/>
    <m/>
    <m/>
    <m/>
    <s v="USD"/>
    <m/>
    <e v="#NAME?"/>
    <s v="Not submitted"/>
    <n v="12"/>
    <x v="0"/>
  </r>
  <r>
    <d v="2024-12-27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580"/>
    <x v="0"/>
    <x v="0"/>
    <s v="Standard Timecode"/>
    <n v="115"/>
    <n v="8.5"/>
    <d v="1899-12-30T08:30:00"/>
    <n v="977.5"/>
    <m/>
    <m/>
    <m/>
    <s v="USD"/>
    <m/>
    <s v="-- Grainger Stand Up -- CLTL-22 -- Deployment for CLTL-4 from Dev to QA -- Deployment for CLTL-20 from Dev to QA -- Deployment for CLTL-21 from Dev to QA"/>
    <s v="Not submitted"/>
    <n v="12"/>
    <x v="0"/>
  </r>
  <r>
    <d v="2024-12-30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748"/>
    <x v="0"/>
    <x v="0"/>
    <s v="Standard Timecode"/>
    <n v="115"/>
    <n v="8.5"/>
    <d v="1899-12-30T08:30:00"/>
    <n v="977.5"/>
    <m/>
    <m/>
    <m/>
    <s v="USD"/>
    <m/>
    <s v="-- Grainger Stand Up -- Worked on CLTL-22 -- Verified CLTL-4 in QA"/>
    <s v="Not submitted"/>
    <n v="12"/>
    <x v="0"/>
  </r>
  <r>
    <d v="2024-12-31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772"/>
    <x v="0"/>
    <x v="0"/>
    <s v="Standard Timecode"/>
    <n v="115"/>
    <n v="8.5"/>
    <d v="1899-12-30T08:30:00"/>
    <n v="977.5"/>
    <m/>
    <m/>
    <m/>
    <s v="USD"/>
    <m/>
    <e v="#NAME?"/>
    <s v="Not submitted"/>
    <n v="12"/>
    <x v="0"/>
  </r>
  <r>
    <d v="2025-01-02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9103"/>
    <x v="0"/>
    <x v="0"/>
    <s v="Standard Timecode"/>
    <n v="115"/>
    <n v="8.5"/>
    <d v="1899-12-30T08:30:00"/>
    <n v="977.5"/>
    <m/>
    <m/>
    <m/>
    <s v="USD"/>
    <m/>
    <e v="#NAME?"/>
    <s v="Not submitted"/>
    <n v="1"/>
    <x v="1"/>
  </r>
  <r>
    <d v="2025-01-03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9180"/>
    <x v="0"/>
    <x v="0"/>
    <s v="Standard Timecode"/>
    <n v="115"/>
    <n v="8.5"/>
    <d v="1899-12-30T08:30:00"/>
    <n v="977.5"/>
    <m/>
    <m/>
    <m/>
    <s v="USD"/>
    <m/>
    <s v="-- Worked on CLTL-22 A/C 5 and Made Agreement Type Multiselect picklist on screen -- Grainger Stand Up"/>
    <s v="Not submitted"/>
    <n v="1"/>
    <x v="1"/>
  </r>
  <r>
    <d v="2025-01-06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9750"/>
    <x v="0"/>
    <x v="0"/>
    <s v="Standard Timecode"/>
    <n v="115"/>
    <n v="8.5"/>
    <d v="1899-12-30T08:30:00"/>
    <n v="977.5"/>
    <m/>
    <m/>
    <m/>
    <s v="USD"/>
    <m/>
    <s v="-- Discussion on 'Unique object reference' limit error. -- POC on fetching picklist values based on record type. -- Grainger Stand Up"/>
    <s v="Not submitted"/>
    <n v="1"/>
    <x v="1"/>
  </r>
  <r>
    <d v="2025-01-07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9751"/>
    <x v="0"/>
    <x v="0"/>
    <s v="Standard Timecode"/>
    <n v="115"/>
    <n v="8.5"/>
    <d v="1899-12-30T08:30:00"/>
    <n v="977.5"/>
    <m/>
    <m/>
    <m/>
    <s v="USD"/>
    <m/>
    <e v="#NAME?"/>
    <s v="Not submitted"/>
    <n v="1"/>
    <x v="1"/>
  </r>
  <r>
    <d v="2025-01-08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0452"/>
    <x v="0"/>
    <x v="0"/>
    <s v="Standard Timecode"/>
    <n v="115"/>
    <n v="8.5"/>
    <d v="1899-12-30T08:30:00"/>
    <n v="977.5"/>
    <m/>
    <m/>
    <m/>
    <s v="USD"/>
    <m/>
    <s v="-- Grainger Standup -- Show me to QA for CLTL-4, 20, 21 -- Worked on fetching of record type based picklist values."/>
    <s v="Not submitted"/>
    <n v="1"/>
    <x v="1"/>
  </r>
  <r>
    <d v="2025-01-09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0453"/>
    <x v="0"/>
    <x v="0"/>
    <s v="Standard Timecode"/>
    <n v="115"/>
    <n v="8.5"/>
    <d v="1899-12-30T08:30:00"/>
    <n v="977.5"/>
    <m/>
    <m/>
    <m/>
    <s v="USD"/>
    <m/>
    <s v="-- Grainger CLTL Stand Up -- CLTL-22 Deployment -- Worked on Bug CLTL-43"/>
    <s v="Not submitted"/>
    <n v="1"/>
    <x v="1"/>
  </r>
  <r>
    <d v="2025-01-10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0585"/>
    <x v="0"/>
    <x v="0"/>
    <s v="Standard Timecode"/>
    <n v="115"/>
    <n v="8.5"/>
    <d v="1899-12-30T08:30:00"/>
    <n v="977.5"/>
    <m/>
    <m/>
    <m/>
    <s v="USD"/>
    <m/>
    <e v="#NAME?"/>
    <s v="Not submitted"/>
    <n v="1"/>
    <x v="1"/>
  </r>
  <r>
    <d v="2024-12-18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6999"/>
    <x v="0"/>
    <x v="0"/>
    <s v="Standard Timecode"/>
    <n v="115"/>
    <n v="1"/>
    <d v="1899-12-30T01:00:00"/>
    <n v="115"/>
    <m/>
    <m/>
    <m/>
    <s v="USD"/>
    <s v="Reviewed"/>
    <s v="Grainger: Commercial Lead to Lease - Planning"/>
    <s v="Not submitted"/>
    <n v="12"/>
    <x v="0"/>
  </r>
  <r>
    <d v="2024-12-19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6998"/>
    <x v="0"/>
    <x v="0"/>
    <s v="Standard Timecode"/>
    <n v="115"/>
    <n v="4.25"/>
    <d v="1899-12-30T04:15:00"/>
    <n v="488.75"/>
    <m/>
    <m/>
    <m/>
    <s v="USD"/>
    <s v="Reviewed"/>
    <s v="Grainger: Commercial Lead to Lease - Planning 2. Stories reading and related reading."/>
    <s v="Not submitted"/>
    <n v="12"/>
    <x v="0"/>
  </r>
  <r>
    <d v="2024-12-20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7758"/>
    <x v="0"/>
    <x v="0"/>
    <s v="Standard Timecode"/>
    <n v="115"/>
    <n v="4"/>
    <d v="1899-12-30T04:00:00"/>
    <n v="460"/>
    <m/>
    <m/>
    <m/>
    <s v="USD"/>
    <s v="Reviewed"/>
    <s v="Daily standup. Discussion. User stories"/>
    <s v="Not submitted"/>
    <n v="12"/>
    <x v="0"/>
  </r>
  <r>
    <d v="2024-12-23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319"/>
    <x v="0"/>
    <x v="0"/>
    <s v="Standard Timecode"/>
    <n v="115"/>
    <n v="5.25"/>
    <d v="1899-12-30T05:15:00"/>
    <n v="603.75"/>
    <m/>
    <m/>
    <m/>
    <s v="USD"/>
    <s v="Reviewed"/>
    <s v="Worked on CLTL-19. standup. Story allocation discussion with Sachin and Akshat."/>
    <s v="Not submitted"/>
    <n v="12"/>
    <x v="0"/>
  </r>
  <r>
    <d v="2024-12-24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551"/>
    <x v="0"/>
    <x v="0"/>
    <s v="Standard Timecode"/>
    <n v="115"/>
    <n v="8"/>
    <d v="1899-12-30T08:00:00"/>
    <n v="920"/>
    <m/>
    <m/>
    <m/>
    <s v="USD"/>
    <m/>
    <s v="Worked on CLTL-19. standup."/>
    <s v="Not submitted"/>
    <n v="12"/>
    <x v="0"/>
  </r>
  <r>
    <d v="2024-12-26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553"/>
    <x v="0"/>
    <x v="0"/>
    <s v="Standard Timecode"/>
    <n v="115"/>
    <n v="8"/>
    <d v="1899-12-30T08:00:00"/>
    <n v="920"/>
    <m/>
    <m/>
    <m/>
    <s v="USD"/>
    <m/>
    <s v="Worked on CLTL-19. standup."/>
    <s v="Not submitted"/>
    <n v="12"/>
    <x v="0"/>
  </r>
  <r>
    <d v="2024-12-27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554"/>
    <x v="0"/>
    <x v="0"/>
    <s v="Standard Timecode"/>
    <n v="115"/>
    <n v="8"/>
    <d v="1899-12-30T08:00:00"/>
    <n v="920"/>
    <m/>
    <m/>
    <m/>
    <s v="USD"/>
    <m/>
    <s v="Worked on CLTL-19. standup. Sprint 2 discussion with Akshat and Sachin."/>
    <s v="Not submitted"/>
    <n v="12"/>
    <x v="0"/>
  </r>
  <r>
    <d v="2025-01-06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9391"/>
    <x v="0"/>
    <x v="0"/>
    <s v="Standard Timecode"/>
    <n v="115"/>
    <n v="8"/>
    <d v="1899-12-30T08:00:00"/>
    <n v="920"/>
    <m/>
    <m/>
    <m/>
    <s v="USD"/>
    <m/>
    <s v="Daily standup. Discussion with Sachin and Akshat related to technical issues. Wroked on CLTL-19. Discussion with Nikki."/>
    <s v="Not submitted"/>
    <n v="1"/>
    <x v="1"/>
  </r>
  <r>
    <d v="2025-01-07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0071"/>
    <x v="0"/>
    <x v="0"/>
    <s v="Standard Timecode"/>
    <n v="115"/>
    <n v="7"/>
    <d v="1899-12-30T07:00:00"/>
    <n v="805"/>
    <m/>
    <m/>
    <m/>
    <s v="USD"/>
    <m/>
    <s v="Worked on CLTL-19. Deployment package preparation. Discussion with Sachin and Akshat about technical challenges. Daily standup."/>
    <s v="Not submitted"/>
    <n v="1"/>
    <x v="1"/>
  </r>
  <r>
    <d v="2025-01-08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0072"/>
    <x v="0"/>
    <x v="0"/>
    <s v="Standard Timecode"/>
    <n v="115"/>
    <n v="7.5"/>
    <d v="1899-12-30T07:30:00"/>
    <n v="862.5"/>
    <m/>
    <m/>
    <m/>
    <s v="USD"/>
    <m/>
    <s v="Daily standup, Worked on deployment issues with Sachin."/>
    <s v="Not submitted"/>
    <n v="1"/>
    <x v="1"/>
  </r>
  <r>
    <d v="2025-01-09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0737"/>
    <x v="0"/>
    <x v="0"/>
    <s v="Standard Timecode"/>
    <n v="115"/>
    <n v="8"/>
    <d v="1899-12-30T08:00:00"/>
    <n v="920"/>
    <m/>
    <m/>
    <m/>
    <s v="USD"/>
    <m/>
    <s v="Tested CLTL-19 in QA sandbox. Show me with Khonani , Sarah and Nikky. Story review of CLTL-22 and discussed technical challenge of Bug 43. Investigated root cause of CLTL-53. Worked with Sachin on error when Opportunity is updated due to 'Years' in Primary Offer Term. Daily standup."/>
    <s v="Not submitted"/>
    <n v="1"/>
    <x v="1"/>
  </r>
  <r>
    <d v="2025-01-10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0735"/>
    <x v="0"/>
    <x v="0"/>
    <s v="Standard Timecode"/>
    <n v="115"/>
    <n v="4"/>
    <d v="1899-12-30T04:00:00"/>
    <n v="460"/>
    <m/>
    <m/>
    <m/>
    <s v="USD"/>
    <m/>
    <s v="Daily standup. Worked on CLTL-53. Discussion with Matt C. Story review with Sachin CLTL-23."/>
    <s v="Not submitted"/>
    <n v="1"/>
    <x v="1"/>
  </r>
  <r>
    <d v="2024-12-30T00:00:00"/>
    <x v="2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8684"/>
    <x v="0"/>
    <x v="0"/>
    <s v="Standard Timecode"/>
    <n v="115"/>
    <n v="0.25"/>
    <d v="1899-12-30T00:15:00"/>
    <n v="28.75"/>
    <m/>
    <m/>
    <m/>
    <s v="USD"/>
    <m/>
    <s v="Time Report"/>
    <s v="Not submitted"/>
    <n v="12"/>
    <x v="0"/>
  </r>
  <r>
    <d v="2024-12-18T00:00:00"/>
    <x v="3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6808"/>
    <x v="0"/>
    <x v="0"/>
    <s v="Standard Timecode"/>
    <n v="115"/>
    <n v="1"/>
    <d v="1899-12-30T01:00:00"/>
    <n v="115"/>
    <m/>
    <m/>
    <m/>
    <s v="USD"/>
    <s v="Reviewed"/>
    <s v=" "/>
    <s v="Not submitted"/>
    <n v="12"/>
    <x v="0"/>
  </r>
  <r>
    <d v="2024-12-19T00:00:00"/>
    <x v="3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6804"/>
    <x v="0"/>
    <x v="0"/>
    <s v="Standard Timecode"/>
    <n v="115"/>
    <n v="1"/>
    <d v="1899-12-30T01:00:00"/>
    <n v="115"/>
    <m/>
    <m/>
    <m/>
    <s v="USD"/>
    <s v="Reviewed"/>
    <s v=" "/>
    <s v="Not submitted"/>
    <n v="12"/>
    <x v="0"/>
  </r>
  <r>
    <d v="2024-12-30T00:00:00"/>
    <x v="3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654"/>
    <x v="0"/>
    <x v="0"/>
    <s v="Standard Timecode"/>
    <n v="115"/>
    <n v="0.25"/>
    <d v="1899-12-30T00:15:00"/>
    <n v="28.75"/>
    <m/>
    <m/>
    <m/>
    <s v="USD"/>
    <m/>
    <s v=" "/>
    <s v="Not submitted"/>
    <n v="12"/>
    <x v="0"/>
  </r>
  <r>
    <d v="2025-01-02T00:00:00"/>
    <x v="3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9059"/>
    <x v="0"/>
    <x v="0"/>
    <s v="Standard Timecode"/>
    <n v="115"/>
    <n v="0.25"/>
    <d v="1899-12-30T00:15:00"/>
    <n v="28.75"/>
    <m/>
    <m/>
    <m/>
    <s v="USD"/>
    <m/>
    <s v=" "/>
    <s v="Not submitted"/>
    <n v="1"/>
    <x v="1"/>
  </r>
  <r>
    <d v="2025-01-03T00:00:00"/>
    <x v="3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9155"/>
    <x v="0"/>
    <x v="0"/>
    <s v="Standard Timecode"/>
    <n v="115"/>
    <n v="0.25"/>
    <d v="1899-12-30T00:15:00"/>
    <n v="28.75"/>
    <m/>
    <m/>
    <m/>
    <s v="USD"/>
    <m/>
    <s v=" "/>
    <s v="Not submitted"/>
    <n v="1"/>
    <x v="1"/>
  </r>
  <r>
    <d v="2025-01-06T00:00:00"/>
    <x v="3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9344"/>
    <x v="0"/>
    <x v="0"/>
    <s v="Standard Timecode"/>
    <n v="115"/>
    <n v="0.25"/>
    <d v="1899-12-30T00:15:00"/>
    <n v="28.75"/>
    <m/>
    <m/>
    <m/>
    <s v="USD"/>
    <m/>
    <s v=" "/>
    <s v="Not submitted"/>
    <n v="1"/>
    <x v="1"/>
  </r>
  <r>
    <d v="2025-01-07T00:00:00"/>
    <x v="3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9648"/>
    <x v="0"/>
    <x v="0"/>
    <s v="Standard Timecode"/>
    <n v="115"/>
    <n v="0.25"/>
    <d v="1899-12-30T00:15:00"/>
    <n v="28.75"/>
    <m/>
    <m/>
    <m/>
    <s v="USD"/>
    <m/>
    <s v=" "/>
    <s v="Not submitted"/>
    <n v="1"/>
    <x v="1"/>
  </r>
  <r>
    <d v="2025-01-08T00:00:00"/>
    <x v="3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0386"/>
    <x v="0"/>
    <x v="0"/>
    <s v="Standard Timecode"/>
    <n v="115"/>
    <n v="0.25"/>
    <d v="1899-12-30T00:15:00"/>
    <n v="28.75"/>
    <m/>
    <m/>
    <m/>
    <s v="USD"/>
    <m/>
    <s v=" "/>
    <s v="Not submitted"/>
    <n v="1"/>
    <x v="1"/>
  </r>
  <r>
    <d v="2025-01-09T00:00:00"/>
    <x v="3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0389"/>
    <x v="0"/>
    <x v="0"/>
    <s v="Standard Timecode"/>
    <n v="115"/>
    <n v="0.25"/>
    <d v="1899-12-30T00:15:00"/>
    <n v="28.75"/>
    <m/>
    <m/>
    <m/>
    <s v="USD"/>
    <m/>
    <s v=" "/>
    <s v="Not submitted"/>
    <n v="1"/>
    <x v="1"/>
  </r>
  <r>
    <d v="2025-01-10T00:00:00"/>
    <x v="3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0777"/>
    <x v="0"/>
    <x v="0"/>
    <s v="Standard Timecode"/>
    <n v="115"/>
    <n v="0.25"/>
    <d v="1899-12-30T00:15:00"/>
    <n v="28.75"/>
    <m/>
    <m/>
    <m/>
    <s v="USD"/>
    <m/>
    <s v=" "/>
    <s v="Not submitted"/>
    <n v="1"/>
    <x v="1"/>
  </r>
  <r>
    <d v="2025-01-07T00:00:00"/>
    <x v="4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9741"/>
    <x v="0"/>
    <x v="0"/>
    <s v="Standard Timecode"/>
    <n v="115"/>
    <n v="0.5"/>
    <d v="1899-12-30T00:30:00"/>
    <n v="57.5"/>
    <m/>
    <m/>
    <m/>
    <s v="USD"/>
    <m/>
    <s v=" "/>
    <s v="Not submitted"/>
    <n v="1"/>
    <x v="1"/>
  </r>
  <r>
    <d v="2025-01-08T00:00:00"/>
    <x v="4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0474"/>
    <x v="0"/>
    <x v="0"/>
    <s v="Standard Timecode"/>
    <n v="115"/>
    <n v="6.25"/>
    <d v="1899-12-30T06:15:00"/>
    <n v="718.75"/>
    <m/>
    <m/>
    <m/>
    <s v="USD"/>
    <m/>
    <s v=" "/>
    <s v="Not submitted"/>
    <n v="1"/>
    <x v="1"/>
  </r>
  <r>
    <d v="2025-01-09T00:00:00"/>
    <x v="4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0483"/>
    <x v="0"/>
    <x v="0"/>
    <s v="Standard Timecode"/>
    <n v="115"/>
    <n v="5.5"/>
    <d v="1899-12-30T05:30:00"/>
    <n v="632.5"/>
    <m/>
    <m/>
    <m/>
    <s v="USD"/>
    <m/>
    <s v=" "/>
    <s v="Not submitted"/>
    <n v="1"/>
    <x v="1"/>
  </r>
  <r>
    <d v="2025-01-10T00:00:00"/>
    <x v="4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1263"/>
    <x v="0"/>
    <x v="0"/>
    <s v="Standard Timecode"/>
    <n v="115"/>
    <n v="6.25"/>
    <d v="1899-12-30T06:15:00"/>
    <n v="718.75"/>
    <m/>
    <m/>
    <m/>
    <s v="USD"/>
    <m/>
    <s v=" "/>
    <s v="Not submitted"/>
    <n v="1"/>
    <x v="1"/>
  </r>
  <r>
    <d v="2025-01-08T00:00:00"/>
    <x v="5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0194"/>
    <x v="0"/>
    <x v="0"/>
    <s v="Standard Timecode"/>
    <n v="115"/>
    <n v="1.25"/>
    <d v="1899-12-30T01:15:00"/>
    <n v="143.75"/>
    <m/>
    <m/>
    <m/>
    <s v="USD"/>
    <m/>
    <s v="15m team standup 30m khonani QA help 30m Show me"/>
    <s v="Not submitted"/>
    <n v="1"/>
    <x v="1"/>
  </r>
  <r>
    <d v="2025-01-09T00:00:00"/>
    <x v="5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0404"/>
    <x v="0"/>
    <x v="0"/>
    <s v="Standard Timecode"/>
    <n v="115"/>
    <n v="0.25"/>
    <d v="1899-12-30T00:15:00"/>
    <n v="28.75"/>
    <m/>
    <m/>
    <m/>
    <s v="USD"/>
    <m/>
    <s v="15m team standup"/>
    <s v="Not submitted"/>
    <n v="1"/>
    <x v="1"/>
  </r>
  <r>
    <d v="2025-01-10T00:00:00"/>
    <x v="5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0770"/>
    <x v="0"/>
    <x v="0"/>
    <s v="Standard Timecode"/>
    <n v="115"/>
    <n v="1.25"/>
    <d v="1899-12-30T01:15:00"/>
    <n v="143.75"/>
    <m/>
    <m/>
    <m/>
    <s v="USD"/>
    <m/>
    <s v="Morning standup 1h sandbox data fix"/>
    <s v="Not submitted"/>
    <n v="1"/>
    <x v="1"/>
  </r>
  <r>
    <d v="2024-12-09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6540"/>
    <x v="0"/>
    <x v="0"/>
    <s v="Standard Timecode"/>
    <n v="115"/>
    <n v="1.75"/>
    <d v="1899-12-30T01:45:00"/>
    <n v="201.25"/>
    <m/>
    <m/>
    <m/>
    <s v="USD"/>
    <s v="Reviewed"/>
    <s v=" "/>
    <s v="Not submitted"/>
    <n v="12"/>
    <x v="0"/>
  </r>
  <r>
    <d v="2024-12-10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6539"/>
    <x v="0"/>
    <x v="0"/>
    <s v="Standard Timecode"/>
    <n v="115"/>
    <n v="0.5"/>
    <d v="1899-12-30T00:30:00"/>
    <n v="57.5"/>
    <m/>
    <m/>
    <m/>
    <s v="USD"/>
    <s v="Reviewed"/>
    <s v=" "/>
    <s v="Not submitted"/>
    <n v="12"/>
    <x v="0"/>
  </r>
  <r>
    <d v="2024-12-11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6538"/>
    <x v="0"/>
    <x v="0"/>
    <s v="Standard Timecode"/>
    <n v="115"/>
    <n v="1.5"/>
    <d v="1899-12-30T01:30:00"/>
    <n v="172.5"/>
    <m/>
    <m/>
    <m/>
    <s v="USD"/>
    <s v="Reviewed"/>
    <s v=" "/>
    <s v="Not submitted"/>
    <n v="12"/>
    <x v="0"/>
  </r>
  <r>
    <d v="2024-12-17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6090"/>
    <x v="0"/>
    <x v="0"/>
    <s v="Standard Timecode"/>
    <n v="115"/>
    <n v="1"/>
    <d v="1899-12-30T01:00:00"/>
    <n v="115"/>
    <m/>
    <m/>
    <m/>
    <s v="USD"/>
    <s v="Reviewed"/>
    <s v=" "/>
    <s v="Not submitted"/>
    <n v="12"/>
    <x v="0"/>
  </r>
  <r>
    <d v="2024-12-18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6590"/>
    <x v="0"/>
    <x v="0"/>
    <s v="Standard Timecode"/>
    <n v="115"/>
    <n v="3.25"/>
    <d v="1899-12-30T03:15:00"/>
    <n v="373.75"/>
    <m/>
    <m/>
    <m/>
    <s v="USD"/>
    <s v="Reviewed"/>
    <s v=" "/>
    <s v="Not submitted"/>
    <n v="12"/>
    <x v="0"/>
  </r>
  <r>
    <d v="2024-12-19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7167"/>
    <x v="0"/>
    <x v="0"/>
    <s v="Standard Timecode"/>
    <n v="115"/>
    <n v="2.25"/>
    <d v="1899-12-30T02:15:00"/>
    <n v="258.75"/>
    <m/>
    <m/>
    <m/>
    <s v="USD"/>
    <s v="Reviewed"/>
    <s v=" "/>
    <s v="Not submitted"/>
    <n v="12"/>
    <x v="0"/>
  </r>
  <r>
    <d v="2024-12-20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7840"/>
    <x v="0"/>
    <x v="0"/>
    <s v="Standard Timecode"/>
    <n v="115"/>
    <n v="1"/>
    <d v="1899-12-30T01:00:00"/>
    <n v="115"/>
    <m/>
    <m/>
    <m/>
    <s v="USD"/>
    <s v="Reviewed"/>
    <s v=" "/>
    <s v="Not submitted"/>
    <n v="12"/>
    <x v="0"/>
  </r>
  <r>
    <d v="2025-01-02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9095"/>
    <x v="0"/>
    <x v="0"/>
    <s v="Standard Timecode"/>
    <n v="115"/>
    <n v="0.25"/>
    <d v="1899-12-30T00:15:00"/>
    <n v="28.75"/>
    <m/>
    <m/>
    <m/>
    <s v="USD"/>
    <m/>
    <s v=" "/>
    <s v="Not submitted"/>
    <n v="1"/>
    <x v="1"/>
  </r>
  <r>
    <d v="2025-01-03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9231"/>
    <x v="0"/>
    <x v="0"/>
    <s v="Standard Timecode"/>
    <n v="115"/>
    <n v="0.5"/>
    <d v="1899-12-30T00:30:00"/>
    <n v="57.5"/>
    <m/>
    <m/>
    <m/>
    <s v="USD"/>
    <m/>
    <s v=" "/>
    <s v="Not submitted"/>
    <n v="1"/>
    <x v="1"/>
  </r>
  <r>
    <d v="2025-01-06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9513"/>
    <x v="0"/>
    <x v="0"/>
    <s v="Standard Timecode"/>
    <n v="115"/>
    <n v="1"/>
    <d v="1899-12-30T01:00:00"/>
    <n v="115"/>
    <m/>
    <m/>
    <m/>
    <s v="USD"/>
    <m/>
    <s v=" "/>
    <s v="Not submitted"/>
    <n v="1"/>
    <x v="1"/>
  </r>
  <r>
    <d v="2025-01-07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9853"/>
    <x v="0"/>
    <x v="0"/>
    <s v="Standard Timecode"/>
    <n v="115"/>
    <n v="0.25"/>
    <d v="1899-12-30T00:15:00"/>
    <n v="28.75"/>
    <m/>
    <m/>
    <m/>
    <s v="USD"/>
    <m/>
    <s v=" "/>
    <s v="Not submitted"/>
    <n v="1"/>
    <x v="1"/>
  </r>
  <r>
    <d v="2025-01-08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40245"/>
    <x v="0"/>
    <x v="0"/>
    <s v="Standard Timecode"/>
    <n v="115"/>
    <n v="0.5"/>
    <d v="1899-12-30T00:30:00"/>
    <n v="57.5"/>
    <m/>
    <m/>
    <m/>
    <s v="USD"/>
    <m/>
    <s v=" "/>
    <s v="Not submitted"/>
    <n v="1"/>
    <x v="1"/>
  </r>
  <r>
    <d v="2025-01-09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40572"/>
    <x v="0"/>
    <x v="0"/>
    <s v="Standard Timecode"/>
    <n v="115"/>
    <n v="3.5"/>
    <d v="1899-12-30T03:30:00"/>
    <n v="402.5"/>
    <m/>
    <m/>
    <m/>
    <s v="USD"/>
    <m/>
    <s v=" "/>
    <s v="Not submitted"/>
    <n v="1"/>
    <x v="1"/>
  </r>
  <r>
    <d v="2025-01-10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40959"/>
    <x v="0"/>
    <x v="0"/>
    <s v="Standard Timecode"/>
    <n v="115"/>
    <n v="1.25"/>
    <d v="1899-12-30T01:15:00"/>
    <n v="143.75"/>
    <m/>
    <m/>
    <m/>
    <s v="USD"/>
    <m/>
    <s v=" "/>
    <s v="Not submitted"/>
    <n v="1"/>
    <x v="1"/>
  </r>
  <r>
    <d v="2024-12-18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7493"/>
    <x v="0"/>
    <x v="0"/>
    <s v="Standard Timecode"/>
    <n v="115"/>
    <n v="1"/>
    <d v="1899-12-30T01:00:00"/>
    <n v="115"/>
    <m/>
    <m/>
    <m/>
    <s v="USD"/>
    <s v="Reviewed"/>
    <s v="CLTL Internal sprint planning #1"/>
    <s v="Not submitted"/>
    <n v="12"/>
    <x v="0"/>
  </r>
  <r>
    <d v="2024-12-19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7494"/>
    <x v="0"/>
    <x v="0"/>
    <s v="Standard Timecode"/>
    <n v="115"/>
    <n v="1"/>
    <d v="1899-12-30T01:00:00"/>
    <n v="115"/>
    <m/>
    <m/>
    <m/>
    <s v="USD"/>
    <s v="Reviewed"/>
    <s v="CLTL Internal sprint planning #2"/>
    <s v="Not submitted"/>
    <n v="12"/>
    <x v="0"/>
  </r>
  <r>
    <d v="2024-12-23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763"/>
    <x v="0"/>
    <x v="0"/>
    <s v="Standard Timecode"/>
    <n v="115"/>
    <n v="8.5"/>
    <d v="1899-12-30T08:30:00"/>
    <n v="977.5"/>
    <m/>
    <m/>
    <m/>
    <s v="USD"/>
    <m/>
    <s v="-- Grainger: CLTL Stand Up -- Worked on CLTL 16"/>
    <s v="Not submitted"/>
    <n v="12"/>
    <x v="0"/>
  </r>
  <r>
    <d v="2024-12-24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764"/>
    <x v="0"/>
    <x v="0"/>
    <s v="Standard Timecode"/>
    <n v="115"/>
    <n v="8.5"/>
    <d v="1899-12-30T08:30:00"/>
    <n v="977.5"/>
    <m/>
    <m/>
    <m/>
    <s v="USD"/>
    <m/>
    <s v="-- Grainger: CLTL Stand Up -- Worked on CLTL 16"/>
    <s v="Not submitted"/>
    <n v="12"/>
    <x v="0"/>
  </r>
  <r>
    <d v="2024-12-26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765"/>
    <x v="0"/>
    <x v="0"/>
    <s v="Standard Timecode"/>
    <n v="115"/>
    <n v="8.5"/>
    <d v="1899-12-30T08:30:00"/>
    <n v="977.5"/>
    <m/>
    <m/>
    <m/>
    <s v="USD"/>
    <m/>
    <s v="-- Grainger: CLTL Stand Up -- Worked on CLTL 10"/>
    <s v="Not submitted"/>
    <n v="12"/>
    <x v="0"/>
  </r>
  <r>
    <d v="2024-12-27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766"/>
    <x v="0"/>
    <x v="0"/>
    <s v="Standard Timecode"/>
    <n v="115"/>
    <n v="8.5"/>
    <d v="1899-12-30T08:30:00"/>
    <n v="977.5"/>
    <m/>
    <m/>
    <m/>
    <s v="USD"/>
    <m/>
    <s v="-- Grainger: CLTL Stand Up -- Worked on CLTL 10 -- Reviewed and Assisted to deploy CLTL 4 to QA"/>
    <s v="Not submitted"/>
    <n v="12"/>
    <x v="0"/>
  </r>
  <r>
    <d v="2024-12-30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770"/>
    <x v="0"/>
    <x v="0"/>
    <s v="Standard Timecode"/>
    <n v="115"/>
    <n v="8.5"/>
    <d v="1899-12-30T08:30:00"/>
    <n v="977.5"/>
    <m/>
    <m/>
    <m/>
    <s v="USD"/>
    <m/>
    <s v="-- Grainger: CLTL Stand Up -- Worked on CLTL 10 -- Reviewed on CLTL 21"/>
    <s v="Not submitted"/>
    <n v="12"/>
    <x v="0"/>
  </r>
  <r>
    <d v="2024-12-31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771"/>
    <x v="0"/>
    <x v="0"/>
    <s v="Standard Timecode"/>
    <n v="115"/>
    <n v="8.5"/>
    <d v="1899-12-30T08:30:00"/>
    <n v="977.5"/>
    <m/>
    <m/>
    <m/>
    <s v="USD"/>
    <m/>
    <s v="-- Grainger: CLTL Stand Up -- Worked on CLTL 10 -- Reviewed on CLTL 20, CLTL 22"/>
    <s v="Not submitted"/>
    <n v="12"/>
    <x v="0"/>
  </r>
  <r>
    <d v="2025-01-02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1088"/>
    <x v="0"/>
    <x v="0"/>
    <s v="Standard Timecode"/>
    <n v="115"/>
    <n v="8.5"/>
    <d v="1899-12-30T08:30:00"/>
    <n v="977.5"/>
    <m/>
    <m/>
    <m/>
    <s v="USD"/>
    <m/>
    <s v="-- Grainger: CLTL Stand Up -- Worked on CLTL 10"/>
    <s v="Not submitted"/>
    <n v="1"/>
    <x v="1"/>
  </r>
  <r>
    <d v="2025-01-03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1089"/>
    <x v="0"/>
    <x v="0"/>
    <s v="Standard Timecode"/>
    <n v="115"/>
    <n v="8.5"/>
    <d v="1899-12-30T08:30:00"/>
    <n v="977.5"/>
    <m/>
    <m/>
    <m/>
    <s v="USD"/>
    <m/>
    <s v="-- Grainger: CLTL Stand Up -- Worked on CLTL 10"/>
    <s v="Not submitted"/>
    <n v="1"/>
    <x v="1"/>
  </r>
  <r>
    <d v="2025-01-06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1095"/>
    <x v="0"/>
    <x v="0"/>
    <s v="Standard Timecode"/>
    <n v="115"/>
    <n v="8.5"/>
    <d v="1899-12-30T08:30:00"/>
    <n v="977.5"/>
    <m/>
    <m/>
    <m/>
    <s v="USD"/>
    <m/>
    <s v="-- Grainger: CLTL Stand Up -- Review CLTL 10 with Anjali and Nikki -- Worked on CLTL 23"/>
    <s v="Not submitted"/>
    <n v="1"/>
    <x v="1"/>
  </r>
  <r>
    <d v="2025-01-07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1096"/>
    <x v="0"/>
    <x v="0"/>
    <s v="Standard Timecode"/>
    <n v="115"/>
    <n v="8.5"/>
    <d v="1899-12-30T08:30:00"/>
    <n v="977.5"/>
    <m/>
    <m/>
    <m/>
    <s v="USD"/>
    <m/>
    <s v="-- Grainger: CLTL Stand Up -- Worked on CLTL 23"/>
    <s v="Not submitted"/>
    <n v="1"/>
    <x v="1"/>
  </r>
  <r>
    <d v="2025-01-08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1097"/>
    <x v="0"/>
    <x v="0"/>
    <s v="Standard Timecode"/>
    <n v="115"/>
    <n v="8.5"/>
    <d v="1899-12-30T08:30:00"/>
    <n v="977.5"/>
    <m/>
    <m/>
    <m/>
    <s v="USD"/>
    <m/>
    <s v="-- Grainger: CLTL Stand Up -- Worked on CLTL 23"/>
    <s v="Not submitted"/>
    <n v="1"/>
    <x v="1"/>
  </r>
  <r>
    <d v="2025-01-09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1098"/>
    <x v="0"/>
    <x v="0"/>
    <s v="Standard Timecode"/>
    <n v="115"/>
    <n v="8.5"/>
    <d v="1899-12-30T08:30:00"/>
    <n v="977.5"/>
    <m/>
    <m/>
    <m/>
    <s v="USD"/>
    <m/>
    <s v="-- Grainger: CLTL Stand Up -- Worked on CLTL 23"/>
    <s v="Not submitted"/>
    <n v="1"/>
    <x v="1"/>
  </r>
  <r>
    <d v="2025-01-10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1099"/>
    <x v="0"/>
    <x v="0"/>
    <s v="Standard Timecode"/>
    <n v="115"/>
    <n v="8.5"/>
    <d v="1899-12-30T08:30:00"/>
    <n v="977.5"/>
    <m/>
    <m/>
    <m/>
    <s v="USD"/>
    <m/>
    <s v="-- Grainger: CLTL Stand Up -- Reviewed CLTL 23 with Anjali -- Deployed CLTL 23 to QA"/>
    <s v="Not submitted"/>
    <n v="1"/>
    <x v="1"/>
  </r>
  <r>
    <d v="2024-12-06T00:00:00"/>
    <x v="8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7900"/>
    <x v="0"/>
    <x v="0"/>
    <s v="Standard Timecode"/>
    <n v="115"/>
    <n v="1"/>
    <d v="1899-12-30T01:00:00"/>
    <n v="115"/>
    <m/>
    <m/>
    <m/>
    <s v="USD"/>
    <s v="Reviewed"/>
    <s v="Backlog sizing with Nikki (1 hour)"/>
    <s v="Not submitted"/>
    <n v="12"/>
    <x v="0"/>
  </r>
  <r>
    <d v="2024-12-09T00:00:00"/>
    <x v="8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7920"/>
    <x v="0"/>
    <x v="0"/>
    <s v="Standard Timecode"/>
    <n v="115"/>
    <n v="1"/>
    <d v="1899-12-30T01:00:00"/>
    <n v="115"/>
    <m/>
    <m/>
    <m/>
    <s v="USD"/>
    <s v="Reviewed"/>
    <s v="Backlog sizing with Nikki (1 hour)"/>
    <s v="Not submitted"/>
    <n v="12"/>
    <x v="0"/>
  </r>
  <r>
    <d v="2024-12-18T00:00:00"/>
    <x v="8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7955"/>
    <x v="0"/>
    <x v="0"/>
    <s v="Standard Timecode"/>
    <n v="115"/>
    <n v="1"/>
    <d v="1899-12-30T01:00:00"/>
    <n v="115"/>
    <m/>
    <m/>
    <m/>
    <s v="USD"/>
    <s v="Reviewed"/>
    <s v="Internal kickoff (1 hour)"/>
    <s v="Not submitted"/>
    <n v="12"/>
    <x v="0"/>
  </r>
  <r>
    <d v="2024-12-19T00:00:00"/>
    <x v="8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7956"/>
    <x v="0"/>
    <x v="0"/>
    <s v="Standard Timecode"/>
    <n v="115"/>
    <n v="4"/>
    <d v="1899-12-30T04:00:00"/>
    <n v="460"/>
    <m/>
    <m/>
    <m/>
    <s v="USD"/>
    <s v="Reviewed"/>
    <s v="Solutioning user stories (3 hours)"/>
    <s v="Not submitted"/>
    <n v="12"/>
    <x v="0"/>
  </r>
  <r>
    <d v="2024-12-20T00:00:00"/>
    <x v="8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7957"/>
    <x v="0"/>
    <x v="0"/>
    <s v="Standard Timecode"/>
    <n v="115"/>
    <n v="4"/>
    <d v="1899-12-30T04:00:00"/>
    <n v="460"/>
    <m/>
    <m/>
    <m/>
    <s v="USD"/>
    <s v="Reviewed"/>
    <s v="Solutioning user stories (3 hours)"/>
    <s v="Not submitted"/>
    <n v="12"/>
    <x v="0"/>
  </r>
  <r>
    <d v="2025-01-07T00:00:00"/>
    <x v="9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9774"/>
    <x v="0"/>
    <x v="0"/>
    <s v="Standard Timecode"/>
    <n v="115"/>
    <n v="2.5"/>
    <d v="1899-12-30T02:30:00"/>
    <n v="287.5"/>
    <m/>
    <m/>
    <m/>
    <s v="USD"/>
    <m/>
    <s v=" "/>
    <s v="Not submitted"/>
    <n v="1"/>
    <x v="1"/>
  </r>
  <r>
    <d v="2025-01-08T00:00:00"/>
    <x v="9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9973"/>
    <x v="0"/>
    <x v="0"/>
    <s v="Standard Timecode"/>
    <n v="115"/>
    <n v="5"/>
    <d v="1899-12-30T05:00:00"/>
    <n v="575"/>
    <m/>
    <m/>
    <m/>
    <s v="USD"/>
    <m/>
    <s v=" "/>
    <s v="Not submitted"/>
    <n v="1"/>
    <x v="1"/>
  </r>
  <r>
    <d v="2025-01-09T00:00:00"/>
    <x v="9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0611"/>
    <x v="0"/>
    <x v="0"/>
    <s v="Standard Timecode"/>
    <n v="115"/>
    <n v="6.75"/>
    <d v="1899-12-30T06:45:00"/>
    <n v="776.25"/>
    <m/>
    <m/>
    <m/>
    <s v="USD"/>
    <m/>
    <s v=" "/>
    <s v="Not submitted"/>
    <n v="1"/>
    <x v="1"/>
  </r>
  <r>
    <d v="2025-01-10T00:00:00"/>
    <x v="9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0884"/>
    <x v="0"/>
    <x v="0"/>
    <s v="Standard Timecode"/>
    <n v="115"/>
    <n v="7"/>
    <d v="1899-12-30T07:00:00"/>
    <n v="805"/>
    <m/>
    <m/>
    <m/>
    <s v="USD"/>
    <m/>
    <s v=" "/>
    <s v="Not submitted"/>
    <n v="1"/>
    <x v="1"/>
  </r>
  <r>
    <d v="2024-12-17T00:00:00"/>
    <x v="10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6419"/>
    <x v="0"/>
    <x v="0"/>
    <s v="Standard Timecode"/>
    <n v="115"/>
    <n v="1.5"/>
    <d v="1899-12-30T01:30:00"/>
    <n v="172.5"/>
    <m/>
    <m/>
    <m/>
    <s v="USD"/>
    <s v="Reviewed"/>
    <s v=" "/>
    <s v="Not submitted"/>
    <n v="12"/>
    <x v="0"/>
  </r>
  <r>
    <d v="2024-12-18T00:00:00"/>
    <x v="10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6414"/>
    <x v="0"/>
    <x v="0"/>
    <s v="Standard Timecode"/>
    <n v="115"/>
    <n v="1"/>
    <d v="1899-12-30T01:00:00"/>
    <n v="115"/>
    <m/>
    <m/>
    <m/>
    <s v="USD"/>
    <s v="Reviewed"/>
    <s v=" "/>
    <s v="Not submitted"/>
    <n v="12"/>
    <x v="0"/>
  </r>
  <r>
    <d v="2024-12-19T00:00:00"/>
    <x v="10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7668"/>
    <x v="0"/>
    <x v="0"/>
    <s v="Standard Timecode"/>
    <n v="115"/>
    <n v="1"/>
    <d v="1899-12-30T01:00:00"/>
    <n v="115"/>
    <m/>
    <m/>
    <m/>
    <s v="USD"/>
    <s v="Reviewed"/>
    <s v=" "/>
    <s v="Not submitted"/>
    <n v="12"/>
    <x v="0"/>
  </r>
  <r>
    <d v="2024-12-20T00:00:00"/>
    <x v="10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7684"/>
    <x v="0"/>
    <x v="0"/>
    <s v="Standard Timecode"/>
    <n v="115"/>
    <n v="0.75"/>
    <d v="1899-12-30T00:45:00"/>
    <n v="86.25"/>
    <m/>
    <m/>
    <m/>
    <s v="USD"/>
    <s v="Reviewed"/>
    <s v=" "/>
    <s v="Not submitted"/>
    <n v="12"/>
    <x v="0"/>
  </r>
  <r>
    <d v="2024-12-23T00:00:00"/>
    <x v="10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8265"/>
    <x v="0"/>
    <x v="0"/>
    <s v="Standard Timecode"/>
    <n v="115"/>
    <n v="0.25"/>
    <d v="1899-12-30T00:15:00"/>
    <n v="28.75"/>
    <m/>
    <m/>
    <m/>
    <s v="USD"/>
    <s v="Reviewed"/>
    <s v=" "/>
    <s v="Not submitted"/>
    <n v="12"/>
    <x v="0"/>
  </r>
  <r>
    <d v="2024-12-24T00:00:00"/>
    <x v="10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8420"/>
    <x v="0"/>
    <x v="0"/>
    <s v="Standard Timecode"/>
    <n v="115"/>
    <n v="0.25"/>
    <d v="1899-12-30T00:15:00"/>
    <n v="28.75"/>
    <m/>
    <m/>
    <m/>
    <s v="USD"/>
    <s v="Reviewed"/>
    <s v=" "/>
    <s v="Not submitted"/>
    <n v="12"/>
    <x v="0"/>
  </r>
  <r>
    <d v="2024-12-23T00:00:00"/>
    <x v="10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8265"/>
    <x v="0"/>
    <x v="0"/>
    <s v="Standard Timecode"/>
    <n v="115"/>
    <n v="0.25"/>
    <d v="1899-12-30T00:15:00"/>
    <n v="28.75"/>
    <m/>
    <m/>
    <m/>
    <s v="USD"/>
    <s v="Reviewed"/>
    <s v=" "/>
    <s v="Not submitted"/>
    <n v="12"/>
    <x v="0"/>
  </r>
  <r>
    <d v="2024-12-24T00:00:00"/>
    <x v="10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8420"/>
    <x v="0"/>
    <x v="0"/>
    <s v="Standard Timecode"/>
    <n v="115"/>
    <n v="0.25"/>
    <d v="1899-12-30T00:15:00"/>
    <n v="28.75"/>
    <m/>
    <m/>
    <m/>
    <s v="USD"/>
    <s v="Reviewed"/>
    <s v=" "/>
    <s v="Not submitted"/>
    <n v="1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7A766-C12B-49AB-B4C8-C150B1BE0D68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C32" firstHeaderRow="1" firstDataRow="2" firstDataCol="1" rowPageCount="2" colPageCount="1"/>
  <pivotFields count="32">
    <pivotField numFmtId="15" showAll="0"/>
    <pivotField axis="axisRow" showAll="0">
      <items count="12">
        <item x="10"/>
        <item x="3"/>
        <item x="6"/>
        <item x="8"/>
        <item x="0"/>
        <item x="1"/>
        <item x="7"/>
        <item x="2"/>
        <item x="4"/>
        <item x="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6"/>
  </colFields>
  <colItems count="2">
    <i>
      <x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5C83C-CDB5-4D1F-8EFF-E6509A946F3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C10" firstHeaderRow="1" firstDataRow="2" firstDataCol="1" rowPageCount="2" colPageCount="1"/>
  <pivotFields count="32">
    <pivotField numFmtId="15" showAll="0"/>
    <pivotField axis="axisRow" showAll="0">
      <items count="6">
        <item x="4"/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2"/>
        <item x="3"/>
        <item x="1"/>
        <item t="default"/>
      </items>
    </pivotField>
  </pivotFields>
  <rowFields count="1">
    <field x="1"/>
  </rowFields>
  <rowItems count="3">
    <i>
      <x v="2"/>
    </i>
    <i>
      <x v="4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43"/>
  </dataFields>
  <formats count="2">
    <format dxfId="1">
      <pivotArea type="topRight" dataOnly="0" labelOnly="1" outline="0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topLeftCell="A14" workbookViewId="0">
      <selection activeCell="A14" sqref="A14"/>
    </sheetView>
  </sheetViews>
  <sheetFormatPr defaultRowHeight="15" customHeight="1" x14ac:dyDescent="0.3"/>
  <cols>
    <col min="1" max="1" width="17.44140625" bestFit="1" customWidth="1"/>
    <col min="2" max="2" width="18.21875" bestFit="1" customWidth="1"/>
    <col min="3" max="3" width="11" style="8" bestFit="1" customWidth="1"/>
    <col min="4" max="5" width="11" bestFit="1" customWidth="1"/>
    <col min="6" max="6" width="10.5546875" bestFit="1" customWidth="1"/>
    <col min="7" max="7" width="12" customWidth="1"/>
    <col min="8" max="8" width="43.6640625" bestFit="1" customWidth="1"/>
    <col min="9" max="9" width="26.5546875" bestFit="1" customWidth="1"/>
    <col min="10" max="10" width="13.88671875" bestFit="1" customWidth="1"/>
    <col min="11" max="11" width="13.5546875" bestFit="1" customWidth="1"/>
    <col min="12" max="12" width="13.88671875" bestFit="1" customWidth="1"/>
    <col min="13" max="13" width="13.5546875" bestFit="1" customWidth="1"/>
    <col min="14" max="14" width="15" bestFit="1" customWidth="1"/>
  </cols>
  <sheetData>
    <row r="1" spans="1:14" ht="14.4" hidden="1" x14ac:dyDescent="0.3">
      <c r="A1" s="14" t="s">
        <v>0</v>
      </c>
    </row>
    <row r="2" spans="1:14" ht="14.4" hidden="1" x14ac:dyDescent="0.3"/>
    <row r="3" spans="1:14" ht="14.4" hidden="1" x14ac:dyDescent="0.3">
      <c r="A3" s="4" t="s">
        <v>1</v>
      </c>
      <c r="B3" t="s">
        <v>2</v>
      </c>
      <c r="D3" s="6" t="s">
        <v>3</v>
      </c>
    </row>
    <row r="4" spans="1:14" ht="14.4" hidden="1" x14ac:dyDescent="0.3">
      <c r="A4" s="4" t="s">
        <v>4</v>
      </c>
      <c r="B4" t="s">
        <v>5</v>
      </c>
    </row>
    <row r="5" spans="1:14" ht="14.4" hidden="1" x14ac:dyDescent="0.3">
      <c r="C5"/>
      <c r="G5" s="7"/>
    </row>
    <row r="6" spans="1:14" ht="14.4" hidden="1" x14ac:dyDescent="0.3">
      <c r="A6" s="4" t="s">
        <v>6</v>
      </c>
      <c r="B6" s="4" t="s">
        <v>7</v>
      </c>
    </row>
    <row r="7" spans="1:14" ht="14.4" hidden="1" x14ac:dyDescent="0.3">
      <c r="A7" s="4" t="s">
        <v>8</v>
      </c>
      <c r="B7" t="s">
        <v>9</v>
      </c>
      <c r="C7" t="s">
        <v>10</v>
      </c>
    </row>
    <row r="8" spans="1:14" ht="14.4" hidden="1" x14ac:dyDescent="0.3">
      <c r="A8" s="5" t="s">
        <v>11</v>
      </c>
      <c r="B8" s="9">
        <v>112</v>
      </c>
      <c r="C8" s="9">
        <v>112</v>
      </c>
    </row>
    <row r="9" spans="1:14" ht="14.4" hidden="1" x14ac:dyDescent="0.3">
      <c r="A9" s="5" t="s">
        <v>12</v>
      </c>
      <c r="B9" s="9">
        <v>8</v>
      </c>
      <c r="C9" s="9">
        <v>8</v>
      </c>
    </row>
    <row r="10" spans="1:14" ht="14.4" hidden="1" x14ac:dyDescent="0.3">
      <c r="A10" s="5" t="s">
        <v>10</v>
      </c>
      <c r="B10" s="9">
        <v>120</v>
      </c>
      <c r="C10" s="9">
        <v>120</v>
      </c>
    </row>
    <row r="11" spans="1:14" ht="14.4" hidden="1" x14ac:dyDescent="0.3">
      <c r="C11"/>
    </row>
    <row r="12" spans="1:14" ht="14.4" hidden="1" x14ac:dyDescent="0.3">
      <c r="C12"/>
    </row>
    <row r="13" spans="1:14" ht="14.4" hidden="1" x14ac:dyDescent="0.3">
      <c r="C13"/>
    </row>
    <row r="14" spans="1:14" ht="14.4" x14ac:dyDescent="0.3">
      <c r="A14" s="14" t="s">
        <v>9</v>
      </c>
      <c r="C14"/>
      <c r="H14" s="11" t="s">
        <v>13</v>
      </c>
      <c r="I14" s="11" t="s">
        <v>14</v>
      </c>
      <c r="J14" s="11" t="s">
        <v>15</v>
      </c>
      <c r="K14" s="11" t="s">
        <v>16</v>
      </c>
      <c r="L14" s="11" t="s">
        <v>15</v>
      </c>
      <c r="M14" s="11" t="s">
        <v>16</v>
      </c>
    </row>
    <row r="15" spans="1:14" ht="14.4" x14ac:dyDescent="0.3">
      <c r="C15"/>
      <c r="H15" s="18" t="s">
        <v>17</v>
      </c>
      <c r="I15" s="18" t="s">
        <v>18</v>
      </c>
      <c r="J15" s="18">
        <v>80</v>
      </c>
      <c r="K15" s="18">
        <v>120</v>
      </c>
      <c r="L15" s="19">
        <v>12000</v>
      </c>
      <c r="M15" s="19">
        <v>18000</v>
      </c>
      <c r="N15" s="20" t="s">
        <v>19</v>
      </c>
    </row>
    <row r="16" spans="1:14" ht="14.4" x14ac:dyDescent="0.3">
      <c r="A16" s="4" t="s">
        <v>1</v>
      </c>
      <c r="B16" t="s">
        <v>2</v>
      </c>
      <c r="C16"/>
      <c r="H16" s="12" t="s">
        <v>20</v>
      </c>
      <c r="I16" s="12" t="s">
        <v>21</v>
      </c>
      <c r="J16" s="12"/>
      <c r="K16" s="12"/>
      <c r="L16" s="15">
        <v>37800</v>
      </c>
      <c r="M16" s="15">
        <v>56700</v>
      </c>
      <c r="N16" t="s">
        <v>22</v>
      </c>
    </row>
    <row r="17" spans="1:14" ht="14.4" x14ac:dyDescent="0.3">
      <c r="A17" s="4" t="s">
        <v>4</v>
      </c>
      <c r="B17" t="s">
        <v>5</v>
      </c>
      <c r="C17"/>
      <c r="H17" s="12" t="s">
        <v>23</v>
      </c>
      <c r="I17" s="12" t="s">
        <v>24</v>
      </c>
      <c r="J17" s="12">
        <v>40</v>
      </c>
      <c r="K17" s="12">
        <v>40</v>
      </c>
      <c r="L17" s="15">
        <f>J17*78.75</f>
        <v>3150</v>
      </c>
      <c r="M17" s="15">
        <f>K17*78.75</f>
        <v>3150</v>
      </c>
    </row>
    <row r="18" spans="1:14" ht="14.4" x14ac:dyDescent="0.3">
      <c r="C18"/>
      <c r="H18" s="12" t="s">
        <v>25</v>
      </c>
      <c r="I18" s="12" t="s">
        <v>24</v>
      </c>
      <c r="J18" s="12">
        <v>20</v>
      </c>
      <c r="K18" s="12">
        <v>20</v>
      </c>
      <c r="L18" s="15">
        <f>J18*80</f>
        <v>1600</v>
      </c>
      <c r="M18" s="15">
        <f>K18*80</f>
        <v>1600</v>
      </c>
      <c r="N18" t="s">
        <v>26</v>
      </c>
    </row>
    <row r="19" spans="1:14" ht="14.4" x14ac:dyDescent="0.3">
      <c r="A19" s="4" t="s">
        <v>6</v>
      </c>
      <c r="B19" s="4" t="s">
        <v>7</v>
      </c>
      <c r="C19"/>
      <c r="H19" s="12" t="s">
        <v>27</v>
      </c>
      <c r="I19" s="12" t="s">
        <v>28</v>
      </c>
      <c r="J19" s="12">
        <v>40</v>
      </c>
      <c r="K19" s="12">
        <v>40</v>
      </c>
      <c r="L19" s="15">
        <f>J19*78.75</f>
        <v>3150</v>
      </c>
      <c r="M19" s="15">
        <f>K19*78.75</f>
        <v>3150</v>
      </c>
      <c r="N19" t="s">
        <v>29</v>
      </c>
    </row>
    <row r="20" spans="1:14" ht="15.6" x14ac:dyDescent="0.3">
      <c r="A20" s="4" t="s">
        <v>8</v>
      </c>
      <c r="B20" t="s">
        <v>9</v>
      </c>
      <c r="C20" t="s">
        <v>10</v>
      </c>
      <c r="H20" s="10"/>
      <c r="I20" s="10"/>
      <c r="J20" s="10"/>
      <c r="K20" s="10"/>
      <c r="L20" s="10"/>
      <c r="M20" s="10"/>
    </row>
    <row r="21" spans="1:14" ht="16.2" thickBot="1" x14ac:dyDescent="0.35">
      <c r="A21" s="5" t="s">
        <v>30</v>
      </c>
      <c r="B21" s="21">
        <v>5.25</v>
      </c>
      <c r="C21" s="21">
        <v>5.25</v>
      </c>
      <c r="H21" s="13" t="s">
        <v>31</v>
      </c>
      <c r="I21" s="13" t="s">
        <v>32</v>
      </c>
      <c r="J21" s="13"/>
      <c r="K21" s="13"/>
      <c r="L21" s="16">
        <f>SUM(L15:L20)</f>
        <v>57700</v>
      </c>
      <c r="M21" s="16">
        <f>SUM(M15:M20)</f>
        <v>82600</v>
      </c>
    </row>
    <row r="22" spans="1:14" thickTop="1" x14ac:dyDescent="0.3">
      <c r="A22" s="5" t="s">
        <v>33</v>
      </c>
      <c r="B22" s="21">
        <v>4</v>
      </c>
      <c r="C22" s="21">
        <v>4</v>
      </c>
    </row>
    <row r="23" spans="1:14" ht="14.4" x14ac:dyDescent="0.3">
      <c r="A23" s="5" t="s">
        <v>11</v>
      </c>
      <c r="B23" s="21">
        <v>18.5</v>
      </c>
      <c r="C23" s="21">
        <v>18.5</v>
      </c>
    </row>
    <row r="24" spans="1:14" ht="14.4" x14ac:dyDescent="0.3">
      <c r="A24" s="5" t="s">
        <v>12</v>
      </c>
      <c r="B24" s="21">
        <v>11</v>
      </c>
      <c r="C24" s="21">
        <v>11</v>
      </c>
    </row>
    <row r="25" spans="1:14" ht="14.4" x14ac:dyDescent="0.3">
      <c r="A25" s="5" t="s">
        <v>34</v>
      </c>
      <c r="B25" s="21">
        <v>136</v>
      </c>
      <c r="C25" s="21">
        <v>136</v>
      </c>
    </row>
    <row r="26" spans="1:14" ht="14.4" x14ac:dyDescent="0.3">
      <c r="A26" s="5" t="s">
        <v>35</v>
      </c>
      <c r="B26" s="21">
        <v>73</v>
      </c>
      <c r="C26" s="21">
        <v>73</v>
      </c>
    </row>
    <row r="27" spans="1:14" ht="14.4" x14ac:dyDescent="0.3">
      <c r="A27" s="5" t="s">
        <v>36</v>
      </c>
      <c r="B27" s="21">
        <v>112.5</v>
      </c>
      <c r="C27" s="21">
        <v>112.5</v>
      </c>
    </row>
    <row r="28" spans="1:14" ht="14.4" x14ac:dyDescent="0.3">
      <c r="A28" s="5" t="s">
        <v>67</v>
      </c>
      <c r="B28" s="21">
        <v>0.25</v>
      </c>
      <c r="C28" s="21">
        <v>0.25</v>
      </c>
    </row>
    <row r="29" spans="1:14" ht="14.4" x14ac:dyDescent="0.3">
      <c r="A29" s="5" t="s">
        <v>124</v>
      </c>
      <c r="B29" s="21">
        <v>18.5</v>
      </c>
      <c r="C29" s="21">
        <v>18.5</v>
      </c>
    </row>
    <row r="30" spans="1:14" ht="14.4" x14ac:dyDescent="0.3">
      <c r="A30" s="5" t="s">
        <v>125</v>
      </c>
      <c r="B30" s="21">
        <v>2.75</v>
      </c>
      <c r="C30" s="21">
        <v>2.75</v>
      </c>
    </row>
    <row r="31" spans="1:14" ht="14.4" x14ac:dyDescent="0.3">
      <c r="A31" s="5" t="s">
        <v>137</v>
      </c>
      <c r="B31" s="21">
        <v>21.25</v>
      </c>
      <c r="C31" s="21">
        <v>21.25</v>
      </c>
    </row>
    <row r="32" spans="1:14" ht="14.4" x14ac:dyDescent="0.3">
      <c r="A32" s="5" t="s">
        <v>10</v>
      </c>
      <c r="B32" s="21">
        <v>403</v>
      </c>
      <c r="C32" s="21">
        <v>403</v>
      </c>
    </row>
    <row r="33" spans="3:3" ht="14.4" x14ac:dyDescent="0.3">
      <c r="C33"/>
    </row>
    <row r="34" spans="3:3" ht="14.4" x14ac:dyDescent="0.3">
      <c r="C34"/>
    </row>
    <row r="35" spans="3:3" ht="14.4" x14ac:dyDescent="0.3">
      <c r="C35"/>
    </row>
    <row r="36" spans="3:3" ht="14.4" x14ac:dyDescent="0.3">
      <c r="C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5409-4AF1-4B5F-AAFD-819CEAC11ABE}">
  <dimension ref="A1:AF93"/>
  <sheetViews>
    <sheetView topLeftCell="U60" workbookViewId="0"/>
  </sheetViews>
  <sheetFormatPr defaultRowHeight="14.4" x14ac:dyDescent="0.3"/>
  <cols>
    <col min="1" max="1" width="9.5546875" bestFit="1" customWidth="1"/>
    <col min="2" max="2" width="17.44140625" bestFit="1" customWidth="1"/>
    <col min="3" max="3" width="14.44140625" bestFit="1" customWidth="1"/>
    <col min="4" max="4" width="37.33203125" bestFit="1" customWidth="1"/>
    <col min="5" max="5" width="15.4414062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36.1093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4" width="14.33203125" bestFit="1" customWidth="1"/>
    <col min="15" max="15" width="12.33203125" bestFit="1" customWidth="1"/>
    <col min="16" max="16" width="11.88671875" bestFit="1" customWidth="1"/>
    <col min="17" max="17" width="15" bestFit="1" customWidth="1"/>
    <col min="18" max="18" width="16.332031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134.6640625" bestFit="1" customWidth="1"/>
    <col min="30" max="30" width="15.5546875" bestFit="1" customWidth="1"/>
  </cols>
  <sheetData>
    <row r="1" spans="1:32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4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s="3" t="s">
        <v>66</v>
      </c>
      <c r="AF1" s="3" t="s">
        <v>1</v>
      </c>
    </row>
    <row r="2" spans="1:32" x14ac:dyDescent="0.3">
      <c r="A2" s="1">
        <v>45644</v>
      </c>
      <c r="B2" t="s">
        <v>34</v>
      </c>
      <c r="C2" t="s">
        <v>95</v>
      </c>
      <c r="D2" t="s">
        <v>69</v>
      </c>
      <c r="E2" t="s">
        <v>86</v>
      </c>
      <c r="F2" t="s">
        <v>71</v>
      </c>
      <c r="G2" t="s">
        <v>72</v>
      </c>
      <c r="H2" t="s">
        <v>96</v>
      </c>
      <c r="I2" t="s">
        <v>97</v>
      </c>
      <c r="J2" t="s">
        <v>75</v>
      </c>
      <c r="K2" t="s">
        <v>69</v>
      </c>
      <c r="L2" t="s">
        <v>30</v>
      </c>
      <c r="M2" t="s">
        <v>12</v>
      </c>
      <c r="N2" t="s">
        <v>12</v>
      </c>
      <c r="O2" t="s">
        <v>98</v>
      </c>
      <c r="P2">
        <v>338464</v>
      </c>
      <c r="Q2" t="s">
        <v>9</v>
      </c>
      <c r="R2" t="s">
        <v>5</v>
      </c>
      <c r="S2" t="s">
        <v>79</v>
      </c>
      <c r="T2">
        <v>115</v>
      </c>
      <c r="U2">
        <v>8.5</v>
      </c>
      <c r="V2" s="2">
        <v>0.35416666666666669</v>
      </c>
      <c r="W2">
        <v>977.5</v>
      </c>
      <c r="AA2" t="s">
        <v>99</v>
      </c>
      <c r="AC2" t="e">
        <v>#NAME?</v>
      </c>
      <c r="AD2" t="s">
        <v>83</v>
      </c>
      <c r="AE2">
        <f>MONTH(A2)</f>
        <v>12</v>
      </c>
      <c r="AF2" t="str">
        <f>IF(AE2=12,"December",IF(AE2=1,"January",IF(AE2=2,"February",IF(AE2=3,"March"))))</f>
        <v>December</v>
      </c>
    </row>
    <row r="3" spans="1:32" x14ac:dyDescent="0.3">
      <c r="A3" s="1">
        <v>45645</v>
      </c>
      <c r="B3" t="s">
        <v>34</v>
      </c>
      <c r="C3" t="s">
        <v>95</v>
      </c>
      <c r="D3" t="s">
        <v>69</v>
      </c>
      <c r="E3" t="s">
        <v>86</v>
      </c>
      <c r="F3" t="s">
        <v>71</v>
      </c>
      <c r="G3" t="s">
        <v>72</v>
      </c>
      <c r="H3" t="s">
        <v>96</v>
      </c>
      <c r="I3" t="s">
        <v>97</v>
      </c>
      <c r="J3" t="s">
        <v>75</v>
      </c>
      <c r="K3" t="s">
        <v>69</v>
      </c>
      <c r="L3" t="s">
        <v>30</v>
      </c>
      <c r="M3" t="s">
        <v>12</v>
      </c>
      <c r="N3" t="s">
        <v>12</v>
      </c>
      <c r="O3" t="s">
        <v>98</v>
      </c>
      <c r="P3">
        <v>338463</v>
      </c>
      <c r="Q3" t="s">
        <v>9</v>
      </c>
      <c r="R3" t="s">
        <v>5</v>
      </c>
      <c r="S3" t="s">
        <v>79</v>
      </c>
      <c r="T3">
        <v>115</v>
      </c>
      <c r="U3">
        <v>8.5</v>
      </c>
      <c r="V3" s="2">
        <v>0.35416666666666669</v>
      </c>
      <c r="W3">
        <v>977.5</v>
      </c>
      <c r="AA3" t="s">
        <v>99</v>
      </c>
      <c r="AC3" t="s">
        <v>100</v>
      </c>
      <c r="AD3" t="s">
        <v>83</v>
      </c>
      <c r="AE3">
        <f t="shared" ref="AE3:AE38" si="0">MONTH(A3)</f>
        <v>12</v>
      </c>
      <c r="AF3" t="str">
        <f t="shared" ref="AF3:AF38" si="1">IF(AE3=12,"December",IF(AE3=1,"January",IF(AE3=2,"February",IF(AE3=3,"March"))))</f>
        <v>December</v>
      </c>
    </row>
    <row r="4" spans="1:32" x14ac:dyDescent="0.3">
      <c r="A4" s="1">
        <v>45646</v>
      </c>
      <c r="B4" t="s">
        <v>34</v>
      </c>
      <c r="C4" t="s">
        <v>95</v>
      </c>
      <c r="D4" t="s">
        <v>69</v>
      </c>
      <c r="E4" t="s">
        <v>86</v>
      </c>
      <c r="F4" t="s">
        <v>71</v>
      </c>
      <c r="G4" t="s">
        <v>72</v>
      </c>
      <c r="H4" t="s">
        <v>96</v>
      </c>
      <c r="I4" t="s">
        <v>97</v>
      </c>
      <c r="J4" t="s">
        <v>75</v>
      </c>
      <c r="K4" t="s">
        <v>69</v>
      </c>
      <c r="L4" t="s">
        <v>30</v>
      </c>
      <c r="M4" t="s">
        <v>12</v>
      </c>
      <c r="N4" t="s">
        <v>12</v>
      </c>
      <c r="O4" t="s">
        <v>98</v>
      </c>
      <c r="P4">
        <v>338462</v>
      </c>
      <c r="Q4" t="s">
        <v>9</v>
      </c>
      <c r="R4" t="s">
        <v>5</v>
      </c>
      <c r="S4" t="s">
        <v>79</v>
      </c>
      <c r="T4">
        <v>115</v>
      </c>
      <c r="U4">
        <v>8.5</v>
      </c>
      <c r="V4" s="2">
        <v>0.35416666666666669</v>
      </c>
      <c r="W4">
        <v>977.5</v>
      </c>
      <c r="AA4" t="s">
        <v>99</v>
      </c>
      <c r="AC4" t="s">
        <v>101</v>
      </c>
      <c r="AD4" t="s">
        <v>83</v>
      </c>
      <c r="AE4">
        <f t="shared" si="0"/>
        <v>12</v>
      </c>
      <c r="AF4" t="str">
        <f t="shared" si="1"/>
        <v>December</v>
      </c>
    </row>
    <row r="5" spans="1:32" x14ac:dyDescent="0.3">
      <c r="A5" s="1">
        <v>45649</v>
      </c>
      <c r="B5" t="s">
        <v>34</v>
      </c>
      <c r="C5" t="s">
        <v>95</v>
      </c>
      <c r="D5" t="s">
        <v>69</v>
      </c>
      <c r="E5" t="s">
        <v>86</v>
      </c>
      <c r="F5" t="s">
        <v>71</v>
      </c>
      <c r="G5" t="s">
        <v>72</v>
      </c>
      <c r="H5" t="s">
        <v>96</v>
      </c>
      <c r="I5" t="s">
        <v>97</v>
      </c>
      <c r="J5" t="s">
        <v>75</v>
      </c>
      <c r="K5" t="s">
        <v>69</v>
      </c>
      <c r="L5" t="s">
        <v>30</v>
      </c>
      <c r="M5" t="s">
        <v>12</v>
      </c>
      <c r="N5" t="s">
        <v>12</v>
      </c>
      <c r="O5" t="s">
        <v>98</v>
      </c>
      <c r="P5">
        <v>338353</v>
      </c>
      <c r="Q5" t="s">
        <v>9</v>
      </c>
      <c r="R5" t="s">
        <v>5</v>
      </c>
      <c r="S5" t="s">
        <v>79</v>
      </c>
      <c r="T5">
        <v>115</v>
      </c>
      <c r="U5">
        <v>8.5</v>
      </c>
      <c r="V5" s="2">
        <v>0.35416666666666669</v>
      </c>
      <c r="W5">
        <v>977.5</v>
      </c>
      <c r="AA5" t="s">
        <v>99</v>
      </c>
      <c r="AB5" t="s">
        <v>81</v>
      </c>
      <c r="AC5" t="e">
        <v>#NAME?</v>
      </c>
      <c r="AD5" t="s">
        <v>83</v>
      </c>
      <c r="AE5">
        <f t="shared" si="0"/>
        <v>12</v>
      </c>
      <c r="AF5" t="str">
        <f t="shared" si="1"/>
        <v>December</v>
      </c>
    </row>
    <row r="6" spans="1:32" x14ac:dyDescent="0.3">
      <c r="A6" s="1">
        <v>45650</v>
      </c>
      <c r="B6" t="s">
        <v>34</v>
      </c>
      <c r="C6" t="s">
        <v>95</v>
      </c>
      <c r="D6" t="s">
        <v>69</v>
      </c>
      <c r="E6" t="s">
        <v>86</v>
      </c>
      <c r="F6" t="s">
        <v>71</v>
      </c>
      <c r="G6" t="s">
        <v>72</v>
      </c>
      <c r="H6" t="s">
        <v>96</v>
      </c>
      <c r="I6" t="s">
        <v>97</v>
      </c>
      <c r="J6" t="s">
        <v>75</v>
      </c>
      <c r="K6" t="s">
        <v>69</v>
      </c>
      <c r="L6" t="s">
        <v>30</v>
      </c>
      <c r="M6" t="s">
        <v>12</v>
      </c>
      <c r="N6" t="s">
        <v>12</v>
      </c>
      <c r="O6" t="s">
        <v>98</v>
      </c>
      <c r="P6">
        <v>338352</v>
      </c>
      <c r="Q6" t="s">
        <v>9</v>
      </c>
      <c r="R6" t="s">
        <v>5</v>
      </c>
      <c r="S6" t="s">
        <v>79</v>
      </c>
      <c r="T6">
        <v>115</v>
      </c>
      <c r="U6">
        <v>8.5</v>
      </c>
      <c r="V6" s="2">
        <v>0.35416666666666669</v>
      </c>
      <c r="W6">
        <v>977.5</v>
      </c>
      <c r="AA6" t="s">
        <v>99</v>
      </c>
      <c r="AC6" t="e">
        <v>#NAME?</v>
      </c>
      <c r="AD6" t="s">
        <v>83</v>
      </c>
      <c r="AE6">
        <f t="shared" si="0"/>
        <v>12</v>
      </c>
      <c r="AF6" t="str">
        <f t="shared" si="1"/>
        <v>December</v>
      </c>
    </row>
    <row r="7" spans="1:32" x14ac:dyDescent="0.3">
      <c r="A7" s="1">
        <v>45652</v>
      </c>
      <c r="B7" t="s">
        <v>34</v>
      </c>
      <c r="C7" t="s">
        <v>95</v>
      </c>
      <c r="D7" t="s">
        <v>69</v>
      </c>
      <c r="E7" t="s">
        <v>86</v>
      </c>
      <c r="F7" t="s">
        <v>71</v>
      </c>
      <c r="G7" t="s">
        <v>72</v>
      </c>
      <c r="H7" t="s">
        <v>96</v>
      </c>
      <c r="I7" t="s">
        <v>97</v>
      </c>
      <c r="J7" t="s">
        <v>75</v>
      </c>
      <c r="K7" t="s">
        <v>69</v>
      </c>
      <c r="L7" t="s">
        <v>30</v>
      </c>
      <c r="M7" t="s">
        <v>12</v>
      </c>
      <c r="N7" t="s">
        <v>12</v>
      </c>
      <c r="O7" t="s">
        <v>98</v>
      </c>
      <c r="P7">
        <v>338502</v>
      </c>
      <c r="Q7" t="s">
        <v>9</v>
      </c>
      <c r="R7" t="s">
        <v>5</v>
      </c>
      <c r="S7" t="s">
        <v>79</v>
      </c>
      <c r="T7">
        <v>115</v>
      </c>
      <c r="U7">
        <v>8.5</v>
      </c>
      <c r="V7" s="2">
        <v>0.35416666666666669</v>
      </c>
      <c r="W7">
        <v>977.5</v>
      </c>
      <c r="AA7" t="s">
        <v>99</v>
      </c>
      <c r="AC7" t="e">
        <v>#NAME?</v>
      </c>
      <c r="AD7" t="s">
        <v>83</v>
      </c>
      <c r="AE7">
        <f t="shared" si="0"/>
        <v>12</v>
      </c>
      <c r="AF7" t="str">
        <f t="shared" si="1"/>
        <v>December</v>
      </c>
    </row>
    <row r="8" spans="1:32" x14ac:dyDescent="0.3">
      <c r="A8" s="1">
        <v>45653</v>
      </c>
      <c r="B8" t="s">
        <v>34</v>
      </c>
      <c r="C8" t="s">
        <v>95</v>
      </c>
      <c r="D8" t="s">
        <v>69</v>
      </c>
      <c r="E8" t="s">
        <v>86</v>
      </c>
      <c r="F8" t="s">
        <v>71</v>
      </c>
      <c r="G8" t="s">
        <v>72</v>
      </c>
      <c r="H8" t="s">
        <v>96</v>
      </c>
      <c r="I8" t="s">
        <v>97</v>
      </c>
      <c r="J8" t="s">
        <v>75</v>
      </c>
      <c r="K8" t="s">
        <v>69</v>
      </c>
      <c r="L8" t="s">
        <v>30</v>
      </c>
      <c r="M8" t="s">
        <v>12</v>
      </c>
      <c r="N8" t="s">
        <v>12</v>
      </c>
      <c r="O8" t="s">
        <v>98</v>
      </c>
      <c r="P8">
        <v>338580</v>
      </c>
      <c r="Q8" t="s">
        <v>9</v>
      </c>
      <c r="R8" t="s">
        <v>5</v>
      </c>
      <c r="S8" t="s">
        <v>79</v>
      </c>
      <c r="T8">
        <v>115</v>
      </c>
      <c r="U8">
        <v>8.5</v>
      </c>
      <c r="V8" s="2">
        <v>0.35416666666666669</v>
      </c>
      <c r="W8">
        <v>977.5</v>
      </c>
      <c r="AA8" t="s">
        <v>99</v>
      </c>
      <c r="AC8" t="s">
        <v>102</v>
      </c>
      <c r="AD8" t="s">
        <v>83</v>
      </c>
      <c r="AE8">
        <f t="shared" si="0"/>
        <v>12</v>
      </c>
      <c r="AF8" t="str">
        <f t="shared" si="1"/>
        <v>December</v>
      </c>
    </row>
    <row r="9" spans="1:32" x14ac:dyDescent="0.3">
      <c r="A9" s="1">
        <v>45656</v>
      </c>
      <c r="B9" t="s">
        <v>34</v>
      </c>
      <c r="C9" t="s">
        <v>95</v>
      </c>
      <c r="D9" t="s">
        <v>69</v>
      </c>
      <c r="E9" t="s">
        <v>86</v>
      </c>
      <c r="F9" t="s">
        <v>71</v>
      </c>
      <c r="G9" t="s">
        <v>72</v>
      </c>
      <c r="H9" t="s">
        <v>96</v>
      </c>
      <c r="I9" t="s">
        <v>97</v>
      </c>
      <c r="J9" t="s">
        <v>75</v>
      </c>
      <c r="K9" t="s">
        <v>69</v>
      </c>
      <c r="L9" t="s">
        <v>30</v>
      </c>
      <c r="M9" t="s">
        <v>12</v>
      </c>
      <c r="N9" t="s">
        <v>12</v>
      </c>
      <c r="O9" t="s">
        <v>98</v>
      </c>
      <c r="P9">
        <v>338748</v>
      </c>
      <c r="Q9" t="s">
        <v>9</v>
      </c>
      <c r="R9" t="s">
        <v>5</v>
      </c>
      <c r="S9" t="s">
        <v>79</v>
      </c>
      <c r="T9">
        <v>115</v>
      </c>
      <c r="U9">
        <v>8.5</v>
      </c>
      <c r="V9" s="2">
        <v>0.35416666666666669</v>
      </c>
      <c r="W9">
        <v>977.5</v>
      </c>
      <c r="AA9" t="s">
        <v>99</v>
      </c>
      <c r="AC9" t="s">
        <v>114</v>
      </c>
      <c r="AD9" t="s">
        <v>83</v>
      </c>
      <c r="AE9">
        <f t="shared" si="0"/>
        <v>12</v>
      </c>
      <c r="AF9" t="str">
        <f t="shared" si="1"/>
        <v>December</v>
      </c>
    </row>
    <row r="10" spans="1:32" x14ac:dyDescent="0.3">
      <c r="A10" s="1">
        <v>45657</v>
      </c>
      <c r="B10" t="s">
        <v>34</v>
      </c>
      <c r="C10" t="s">
        <v>95</v>
      </c>
      <c r="D10" t="s">
        <v>69</v>
      </c>
      <c r="E10" t="s">
        <v>86</v>
      </c>
      <c r="F10" t="s">
        <v>71</v>
      </c>
      <c r="G10" t="s">
        <v>72</v>
      </c>
      <c r="H10" t="s">
        <v>96</v>
      </c>
      <c r="I10" t="s">
        <v>97</v>
      </c>
      <c r="J10" t="s">
        <v>75</v>
      </c>
      <c r="K10" t="s">
        <v>69</v>
      </c>
      <c r="L10" t="s">
        <v>30</v>
      </c>
      <c r="M10" t="s">
        <v>12</v>
      </c>
      <c r="N10" t="s">
        <v>12</v>
      </c>
      <c r="O10" t="s">
        <v>98</v>
      </c>
      <c r="P10">
        <v>338772</v>
      </c>
      <c r="Q10" t="s">
        <v>9</v>
      </c>
      <c r="R10" t="s">
        <v>5</v>
      </c>
      <c r="S10" t="s">
        <v>79</v>
      </c>
      <c r="T10">
        <v>115</v>
      </c>
      <c r="U10">
        <v>8.5</v>
      </c>
      <c r="V10" s="2">
        <v>0.35416666666666669</v>
      </c>
      <c r="W10">
        <v>977.5</v>
      </c>
      <c r="AA10" t="s">
        <v>99</v>
      </c>
      <c r="AC10" t="e">
        <v>#NAME?</v>
      </c>
      <c r="AD10" t="s">
        <v>83</v>
      </c>
      <c r="AE10">
        <f t="shared" si="0"/>
        <v>12</v>
      </c>
      <c r="AF10" t="str">
        <f t="shared" si="1"/>
        <v>December</v>
      </c>
    </row>
    <row r="11" spans="1:32" x14ac:dyDescent="0.3">
      <c r="A11" s="1">
        <v>45659</v>
      </c>
      <c r="B11" t="s">
        <v>34</v>
      </c>
      <c r="C11" t="s">
        <v>95</v>
      </c>
      <c r="D11" t="s">
        <v>69</v>
      </c>
      <c r="E11" t="s">
        <v>86</v>
      </c>
      <c r="F11" t="s">
        <v>71</v>
      </c>
      <c r="G11" t="s">
        <v>72</v>
      </c>
      <c r="H11" t="s">
        <v>96</v>
      </c>
      <c r="I11" t="s">
        <v>97</v>
      </c>
      <c r="J11" t="s">
        <v>75</v>
      </c>
      <c r="K11" t="s">
        <v>69</v>
      </c>
      <c r="L11" t="s">
        <v>30</v>
      </c>
      <c r="M11" t="s">
        <v>12</v>
      </c>
      <c r="N11" t="s">
        <v>12</v>
      </c>
      <c r="O11" t="s">
        <v>98</v>
      </c>
      <c r="P11">
        <v>339103</v>
      </c>
      <c r="Q11" t="s">
        <v>9</v>
      </c>
      <c r="R11" t="s">
        <v>5</v>
      </c>
      <c r="S11" t="s">
        <v>79</v>
      </c>
      <c r="T11">
        <v>115</v>
      </c>
      <c r="U11">
        <v>8.5</v>
      </c>
      <c r="V11" s="2">
        <v>0.35416666666666669</v>
      </c>
      <c r="W11">
        <v>977.5</v>
      </c>
      <c r="AA11" t="s">
        <v>99</v>
      </c>
      <c r="AC11" t="e">
        <v>#NAME?</v>
      </c>
      <c r="AD11" t="s">
        <v>83</v>
      </c>
      <c r="AE11">
        <f t="shared" si="0"/>
        <v>1</v>
      </c>
      <c r="AF11" t="str">
        <f t="shared" si="1"/>
        <v>January</v>
      </c>
    </row>
    <row r="12" spans="1:32" x14ac:dyDescent="0.3">
      <c r="A12" s="1">
        <v>45660</v>
      </c>
      <c r="B12" t="s">
        <v>34</v>
      </c>
      <c r="C12" t="s">
        <v>95</v>
      </c>
      <c r="D12" t="s">
        <v>69</v>
      </c>
      <c r="E12" t="s">
        <v>86</v>
      </c>
      <c r="F12" t="s">
        <v>71</v>
      </c>
      <c r="G12" t="s">
        <v>72</v>
      </c>
      <c r="H12" t="s">
        <v>96</v>
      </c>
      <c r="I12" t="s">
        <v>97</v>
      </c>
      <c r="J12" t="s">
        <v>75</v>
      </c>
      <c r="K12" t="s">
        <v>69</v>
      </c>
      <c r="L12" t="s">
        <v>30</v>
      </c>
      <c r="M12" t="s">
        <v>12</v>
      </c>
      <c r="N12" t="s">
        <v>12</v>
      </c>
      <c r="O12" t="s">
        <v>98</v>
      </c>
      <c r="P12">
        <v>339180</v>
      </c>
      <c r="Q12" t="s">
        <v>9</v>
      </c>
      <c r="R12" t="s">
        <v>5</v>
      </c>
      <c r="S12" t="s">
        <v>79</v>
      </c>
      <c r="T12">
        <v>115</v>
      </c>
      <c r="U12">
        <v>8.5</v>
      </c>
      <c r="V12" s="2">
        <v>0.35416666666666669</v>
      </c>
      <c r="W12">
        <v>977.5</v>
      </c>
      <c r="AA12" t="s">
        <v>99</v>
      </c>
      <c r="AC12" t="s">
        <v>115</v>
      </c>
      <c r="AD12" t="s">
        <v>83</v>
      </c>
      <c r="AE12">
        <f t="shared" si="0"/>
        <v>1</v>
      </c>
      <c r="AF12" t="str">
        <f t="shared" si="1"/>
        <v>January</v>
      </c>
    </row>
    <row r="13" spans="1:32" x14ac:dyDescent="0.3">
      <c r="A13" s="1">
        <v>45663</v>
      </c>
      <c r="B13" t="s">
        <v>34</v>
      </c>
      <c r="C13" t="s">
        <v>95</v>
      </c>
      <c r="D13" t="s">
        <v>69</v>
      </c>
      <c r="E13" t="s">
        <v>86</v>
      </c>
      <c r="F13" t="s">
        <v>71</v>
      </c>
      <c r="G13" t="s">
        <v>72</v>
      </c>
      <c r="H13" t="s">
        <v>96</v>
      </c>
      <c r="I13" t="s">
        <v>97</v>
      </c>
      <c r="J13" t="s">
        <v>75</v>
      </c>
      <c r="K13" t="s">
        <v>69</v>
      </c>
      <c r="L13" t="s">
        <v>30</v>
      </c>
      <c r="M13" t="s">
        <v>12</v>
      </c>
      <c r="N13" t="s">
        <v>12</v>
      </c>
      <c r="O13" t="s">
        <v>98</v>
      </c>
      <c r="P13">
        <v>339750</v>
      </c>
      <c r="Q13" t="s">
        <v>9</v>
      </c>
      <c r="R13" t="s">
        <v>5</v>
      </c>
      <c r="S13" t="s">
        <v>79</v>
      </c>
      <c r="T13">
        <v>115</v>
      </c>
      <c r="U13">
        <v>8.5</v>
      </c>
      <c r="V13" s="2">
        <v>0.35416666666666669</v>
      </c>
      <c r="W13">
        <v>977.5</v>
      </c>
      <c r="AA13" t="s">
        <v>99</v>
      </c>
      <c r="AC13" t="s">
        <v>116</v>
      </c>
      <c r="AD13" t="s">
        <v>83</v>
      </c>
      <c r="AE13">
        <f t="shared" si="0"/>
        <v>1</v>
      </c>
      <c r="AF13" t="str">
        <f t="shared" si="1"/>
        <v>January</v>
      </c>
    </row>
    <row r="14" spans="1:32" x14ac:dyDescent="0.3">
      <c r="A14" s="1">
        <v>45664</v>
      </c>
      <c r="B14" t="s">
        <v>34</v>
      </c>
      <c r="C14" t="s">
        <v>95</v>
      </c>
      <c r="D14" t="s">
        <v>69</v>
      </c>
      <c r="E14" t="s">
        <v>86</v>
      </c>
      <c r="F14" t="s">
        <v>71</v>
      </c>
      <c r="G14" t="s">
        <v>72</v>
      </c>
      <c r="H14" t="s">
        <v>96</v>
      </c>
      <c r="I14" t="s">
        <v>97</v>
      </c>
      <c r="J14" t="s">
        <v>75</v>
      </c>
      <c r="K14" t="s">
        <v>69</v>
      </c>
      <c r="L14" t="s">
        <v>30</v>
      </c>
      <c r="M14" t="s">
        <v>12</v>
      </c>
      <c r="N14" t="s">
        <v>12</v>
      </c>
      <c r="O14" t="s">
        <v>98</v>
      </c>
      <c r="P14">
        <v>339751</v>
      </c>
      <c r="Q14" t="s">
        <v>9</v>
      </c>
      <c r="R14" t="s">
        <v>5</v>
      </c>
      <c r="S14" t="s">
        <v>79</v>
      </c>
      <c r="T14">
        <v>115</v>
      </c>
      <c r="U14">
        <v>8.5</v>
      </c>
      <c r="V14" s="2">
        <v>0.35416666666666669</v>
      </c>
      <c r="W14">
        <v>977.5</v>
      </c>
      <c r="AA14" t="s">
        <v>99</v>
      </c>
      <c r="AC14" t="e">
        <v>#NAME?</v>
      </c>
      <c r="AD14" t="s">
        <v>83</v>
      </c>
      <c r="AE14">
        <f t="shared" si="0"/>
        <v>1</v>
      </c>
      <c r="AF14" t="str">
        <f t="shared" si="1"/>
        <v>January</v>
      </c>
    </row>
    <row r="15" spans="1:32" x14ac:dyDescent="0.3">
      <c r="A15" s="1">
        <v>45665</v>
      </c>
      <c r="B15" t="s">
        <v>34</v>
      </c>
      <c r="C15" t="s">
        <v>95</v>
      </c>
      <c r="D15" t="s">
        <v>69</v>
      </c>
      <c r="E15" t="s">
        <v>86</v>
      </c>
      <c r="F15" t="s">
        <v>71</v>
      </c>
      <c r="G15" t="s">
        <v>72</v>
      </c>
      <c r="H15" t="s">
        <v>96</v>
      </c>
      <c r="I15" t="s">
        <v>97</v>
      </c>
      <c r="J15" t="s">
        <v>75</v>
      </c>
      <c r="K15" t="s">
        <v>69</v>
      </c>
      <c r="L15" t="s">
        <v>30</v>
      </c>
      <c r="M15" t="s">
        <v>12</v>
      </c>
      <c r="N15" t="s">
        <v>12</v>
      </c>
      <c r="O15" t="s">
        <v>98</v>
      </c>
      <c r="P15">
        <v>340452</v>
      </c>
      <c r="Q15" t="s">
        <v>9</v>
      </c>
      <c r="R15" t="s">
        <v>5</v>
      </c>
      <c r="S15" t="s">
        <v>79</v>
      </c>
      <c r="T15">
        <v>115</v>
      </c>
      <c r="U15">
        <v>8.5</v>
      </c>
      <c r="V15" s="2">
        <v>0.35416666666666669</v>
      </c>
      <c r="W15">
        <v>977.5</v>
      </c>
      <c r="AA15" t="s">
        <v>99</v>
      </c>
      <c r="AC15" t="s">
        <v>117</v>
      </c>
      <c r="AD15" t="s">
        <v>83</v>
      </c>
      <c r="AE15">
        <f t="shared" si="0"/>
        <v>1</v>
      </c>
      <c r="AF15" t="str">
        <f t="shared" si="1"/>
        <v>January</v>
      </c>
    </row>
    <row r="16" spans="1:32" x14ac:dyDescent="0.3">
      <c r="A16" s="1">
        <v>45666</v>
      </c>
      <c r="B16" t="s">
        <v>34</v>
      </c>
      <c r="C16" t="s">
        <v>95</v>
      </c>
      <c r="D16" t="s">
        <v>69</v>
      </c>
      <c r="E16" t="s">
        <v>86</v>
      </c>
      <c r="F16" t="s">
        <v>71</v>
      </c>
      <c r="G16" t="s">
        <v>72</v>
      </c>
      <c r="H16" t="s">
        <v>96</v>
      </c>
      <c r="I16" t="s">
        <v>97</v>
      </c>
      <c r="J16" t="s">
        <v>75</v>
      </c>
      <c r="K16" t="s">
        <v>69</v>
      </c>
      <c r="L16" t="s">
        <v>30</v>
      </c>
      <c r="M16" t="s">
        <v>12</v>
      </c>
      <c r="N16" t="s">
        <v>12</v>
      </c>
      <c r="O16" t="s">
        <v>98</v>
      </c>
      <c r="P16">
        <v>340453</v>
      </c>
      <c r="Q16" t="s">
        <v>9</v>
      </c>
      <c r="R16" t="s">
        <v>5</v>
      </c>
      <c r="S16" t="s">
        <v>79</v>
      </c>
      <c r="T16">
        <v>115</v>
      </c>
      <c r="U16">
        <v>8.5</v>
      </c>
      <c r="V16" s="2">
        <v>0.35416666666666669</v>
      </c>
      <c r="W16">
        <v>977.5</v>
      </c>
      <c r="AA16" t="s">
        <v>99</v>
      </c>
      <c r="AC16" t="s">
        <v>118</v>
      </c>
      <c r="AD16" t="s">
        <v>83</v>
      </c>
      <c r="AE16">
        <f t="shared" si="0"/>
        <v>1</v>
      </c>
      <c r="AF16" t="str">
        <f t="shared" si="1"/>
        <v>January</v>
      </c>
    </row>
    <row r="17" spans="1:32" x14ac:dyDescent="0.3">
      <c r="A17" s="1">
        <v>45667</v>
      </c>
      <c r="B17" t="s">
        <v>34</v>
      </c>
      <c r="C17" t="s">
        <v>95</v>
      </c>
      <c r="D17" t="s">
        <v>69</v>
      </c>
      <c r="E17" t="s">
        <v>86</v>
      </c>
      <c r="F17" t="s">
        <v>71</v>
      </c>
      <c r="G17" t="s">
        <v>72</v>
      </c>
      <c r="H17" t="s">
        <v>96</v>
      </c>
      <c r="I17" t="s">
        <v>97</v>
      </c>
      <c r="J17" t="s">
        <v>75</v>
      </c>
      <c r="K17" t="s">
        <v>69</v>
      </c>
      <c r="L17" t="s">
        <v>30</v>
      </c>
      <c r="M17" t="s">
        <v>12</v>
      </c>
      <c r="N17" t="s">
        <v>12</v>
      </c>
      <c r="O17" t="s">
        <v>98</v>
      </c>
      <c r="P17">
        <v>340585</v>
      </c>
      <c r="Q17" t="s">
        <v>9</v>
      </c>
      <c r="R17" t="s">
        <v>5</v>
      </c>
      <c r="S17" t="s">
        <v>79</v>
      </c>
      <c r="T17">
        <v>115</v>
      </c>
      <c r="U17">
        <v>8.5</v>
      </c>
      <c r="V17" s="2">
        <v>0.35416666666666669</v>
      </c>
      <c r="W17">
        <v>977.5</v>
      </c>
      <c r="AA17" t="s">
        <v>99</v>
      </c>
      <c r="AC17" t="e">
        <v>#NAME?</v>
      </c>
      <c r="AD17" t="s">
        <v>83</v>
      </c>
      <c r="AE17">
        <f t="shared" si="0"/>
        <v>1</v>
      </c>
      <c r="AF17" t="str">
        <f t="shared" si="1"/>
        <v>January</v>
      </c>
    </row>
    <row r="18" spans="1:32" x14ac:dyDescent="0.3">
      <c r="A18" s="1">
        <v>45644</v>
      </c>
      <c r="B18" t="s">
        <v>35</v>
      </c>
      <c r="C18" t="s">
        <v>95</v>
      </c>
      <c r="D18" t="s">
        <v>69</v>
      </c>
      <c r="E18" t="s">
        <v>86</v>
      </c>
      <c r="F18" t="s">
        <v>71</v>
      </c>
      <c r="G18" t="s">
        <v>72</v>
      </c>
      <c r="H18" t="s">
        <v>96</v>
      </c>
      <c r="I18" t="s">
        <v>97</v>
      </c>
      <c r="J18" t="s">
        <v>75</v>
      </c>
      <c r="K18" t="s">
        <v>69</v>
      </c>
      <c r="L18" t="s">
        <v>30</v>
      </c>
      <c r="M18" t="s">
        <v>12</v>
      </c>
      <c r="N18" t="s">
        <v>12</v>
      </c>
      <c r="O18" t="s">
        <v>98</v>
      </c>
      <c r="P18">
        <v>336999</v>
      </c>
      <c r="Q18" t="s">
        <v>9</v>
      </c>
      <c r="R18" t="s">
        <v>5</v>
      </c>
      <c r="S18" t="s">
        <v>79</v>
      </c>
      <c r="T18">
        <v>115</v>
      </c>
      <c r="U18">
        <v>1</v>
      </c>
      <c r="V18" s="2">
        <v>4.1666666666666664E-2</v>
      </c>
      <c r="W18">
        <v>115</v>
      </c>
      <c r="AA18" t="s">
        <v>99</v>
      </c>
      <c r="AB18" t="s">
        <v>81</v>
      </c>
      <c r="AC18" t="s">
        <v>103</v>
      </c>
      <c r="AD18" t="s">
        <v>83</v>
      </c>
      <c r="AE18">
        <f t="shared" si="0"/>
        <v>12</v>
      </c>
      <c r="AF18" t="str">
        <f t="shared" si="1"/>
        <v>December</v>
      </c>
    </row>
    <row r="19" spans="1:32" x14ac:dyDescent="0.3">
      <c r="A19" s="1">
        <v>45645</v>
      </c>
      <c r="B19" t="s">
        <v>35</v>
      </c>
      <c r="C19" t="s">
        <v>95</v>
      </c>
      <c r="D19" t="s">
        <v>69</v>
      </c>
      <c r="E19" t="s">
        <v>86</v>
      </c>
      <c r="F19" t="s">
        <v>71</v>
      </c>
      <c r="G19" t="s">
        <v>72</v>
      </c>
      <c r="H19" t="s">
        <v>96</v>
      </c>
      <c r="I19" t="s">
        <v>97</v>
      </c>
      <c r="J19" t="s">
        <v>75</v>
      </c>
      <c r="K19" t="s">
        <v>69</v>
      </c>
      <c r="L19" t="s">
        <v>30</v>
      </c>
      <c r="M19" t="s">
        <v>12</v>
      </c>
      <c r="N19" t="s">
        <v>12</v>
      </c>
      <c r="O19" t="s">
        <v>98</v>
      </c>
      <c r="P19">
        <v>336998</v>
      </c>
      <c r="Q19" t="s">
        <v>9</v>
      </c>
      <c r="R19" t="s">
        <v>5</v>
      </c>
      <c r="S19" t="s">
        <v>79</v>
      </c>
      <c r="T19">
        <v>115</v>
      </c>
      <c r="U19">
        <v>4.25</v>
      </c>
      <c r="V19" s="2">
        <v>0.17708333333333334</v>
      </c>
      <c r="W19">
        <v>488.75</v>
      </c>
      <c r="AA19" t="s">
        <v>99</v>
      </c>
      <c r="AB19" t="s">
        <v>81</v>
      </c>
      <c r="AC19" t="s">
        <v>104</v>
      </c>
      <c r="AD19" t="s">
        <v>83</v>
      </c>
      <c r="AE19">
        <f t="shared" si="0"/>
        <v>12</v>
      </c>
      <c r="AF19" t="str">
        <f t="shared" si="1"/>
        <v>December</v>
      </c>
    </row>
    <row r="20" spans="1:32" x14ac:dyDescent="0.3">
      <c r="A20" s="1">
        <v>45646</v>
      </c>
      <c r="B20" t="s">
        <v>35</v>
      </c>
      <c r="C20" t="s">
        <v>95</v>
      </c>
      <c r="D20" t="s">
        <v>69</v>
      </c>
      <c r="E20" t="s">
        <v>86</v>
      </c>
      <c r="F20" t="s">
        <v>71</v>
      </c>
      <c r="G20" t="s">
        <v>72</v>
      </c>
      <c r="H20" t="s">
        <v>96</v>
      </c>
      <c r="I20" t="s">
        <v>97</v>
      </c>
      <c r="J20" t="s">
        <v>75</v>
      </c>
      <c r="K20" t="s">
        <v>69</v>
      </c>
      <c r="L20" t="s">
        <v>30</v>
      </c>
      <c r="M20" t="s">
        <v>12</v>
      </c>
      <c r="N20" t="s">
        <v>12</v>
      </c>
      <c r="O20" t="s">
        <v>98</v>
      </c>
      <c r="P20">
        <v>337758</v>
      </c>
      <c r="Q20" t="s">
        <v>9</v>
      </c>
      <c r="R20" t="s">
        <v>5</v>
      </c>
      <c r="S20" t="s">
        <v>79</v>
      </c>
      <c r="T20">
        <v>115</v>
      </c>
      <c r="U20">
        <v>4</v>
      </c>
      <c r="V20" s="2">
        <v>0.16666666666666666</v>
      </c>
      <c r="W20">
        <v>460</v>
      </c>
      <c r="AA20" t="s">
        <v>99</v>
      </c>
      <c r="AB20" t="s">
        <v>81</v>
      </c>
      <c r="AC20" t="s">
        <v>105</v>
      </c>
      <c r="AD20" t="s">
        <v>83</v>
      </c>
      <c r="AE20">
        <f t="shared" si="0"/>
        <v>12</v>
      </c>
      <c r="AF20" t="str">
        <f t="shared" si="1"/>
        <v>December</v>
      </c>
    </row>
    <row r="21" spans="1:32" x14ac:dyDescent="0.3">
      <c r="A21" s="1">
        <v>45649</v>
      </c>
      <c r="B21" t="s">
        <v>35</v>
      </c>
      <c r="C21" t="s">
        <v>95</v>
      </c>
      <c r="D21" t="s">
        <v>69</v>
      </c>
      <c r="E21" t="s">
        <v>86</v>
      </c>
      <c r="F21" t="s">
        <v>71</v>
      </c>
      <c r="G21" t="s">
        <v>72</v>
      </c>
      <c r="H21" t="s">
        <v>96</v>
      </c>
      <c r="I21" t="s">
        <v>97</v>
      </c>
      <c r="J21" t="s">
        <v>75</v>
      </c>
      <c r="K21" t="s">
        <v>69</v>
      </c>
      <c r="L21" t="s">
        <v>30</v>
      </c>
      <c r="M21" t="s">
        <v>12</v>
      </c>
      <c r="N21" t="s">
        <v>12</v>
      </c>
      <c r="O21" t="s">
        <v>98</v>
      </c>
      <c r="P21">
        <v>338319</v>
      </c>
      <c r="Q21" t="s">
        <v>9</v>
      </c>
      <c r="R21" t="s">
        <v>5</v>
      </c>
      <c r="S21" t="s">
        <v>79</v>
      </c>
      <c r="T21">
        <v>115</v>
      </c>
      <c r="U21">
        <v>5.25</v>
      </c>
      <c r="V21" s="2">
        <v>0.21875</v>
      </c>
      <c r="W21">
        <v>603.75</v>
      </c>
      <c r="AA21" t="s">
        <v>99</v>
      </c>
      <c r="AB21" t="s">
        <v>81</v>
      </c>
      <c r="AC21" t="s">
        <v>106</v>
      </c>
      <c r="AD21" t="s">
        <v>83</v>
      </c>
      <c r="AE21">
        <f t="shared" si="0"/>
        <v>12</v>
      </c>
      <c r="AF21" t="str">
        <f t="shared" si="1"/>
        <v>December</v>
      </c>
    </row>
    <row r="22" spans="1:32" x14ac:dyDescent="0.3">
      <c r="A22" s="1">
        <v>45650</v>
      </c>
      <c r="B22" t="s">
        <v>35</v>
      </c>
      <c r="C22" t="s">
        <v>95</v>
      </c>
      <c r="D22" t="s">
        <v>69</v>
      </c>
      <c r="E22" t="s">
        <v>86</v>
      </c>
      <c r="F22" t="s">
        <v>71</v>
      </c>
      <c r="G22" t="s">
        <v>72</v>
      </c>
      <c r="H22" t="s">
        <v>96</v>
      </c>
      <c r="I22" t="s">
        <v>97</v>
      </c>
      <c r="J22" t="s">
        <v>75</v>
      </c>
      <c r="K22" t="s">
        <v>69</v>
      </c>
      <c r="L22" t="s">
        <v>30</v>
      </c>
      <c r="M22" t="s">
        <v>12</v>
      </c>
      <c r="N22" t="s">
        <v>12</v>
      </c>
      <c r="O22" t="s">
        <v>98</v>
      </c>
      <c r="P22">
        <v>338551</v>
      </c>
      <c r="Q22" t="s">
        <v>9</v>
      </c>
      <c r="R22" t="s">
        <v>5</v>
      </c>
      <c r="S22" t="s">
        <v>79</v>
      </c>
      <c r="T22">
        <v>115</v>
      </c>
      <c r="U22">
        <v>8</v>
      </c>
      <c r="V22" s="2">
        <v>0.33333333333333331</v>
      </c>
      <c r="W22">
        <v>920</v>
      </c>
      <c r="AA22" t="s">
        <v>99</v>
      </c>
      <c r="AC22" t="s">
        <v>107</v>
      </c>
      <c r="AD22" t="s">
        <v>83</v>
      </c>
      <c r="AE22">
        <f t="shared" si="0"/>
        <v>12</v>
      </c>
      <c r="AF22" t="str">
        <f t="shared" si="1"/>
        <v>December</v>
      </c>
    </row>
    <row r="23" spans="1:32" x14ac:dyDescent="0.3">
      <c r="A23" s="1">
        <v>45652</v>
      </c>
      <c r="B23" t="s">
        <v>35</v>
      </c>
      <c r="C23" t="s">
        <v>95</v>
      </c>
      <c r="D23" t="s">
        <v>69</v>
      </c>
      <c r="E23" t="s">
        <v>86</v>
      </c>
      <c r="F23" t="s">
        <v>71</v>
      </c>
      <c r="G23" t="s">
        <v>72</v>
      </c>
      <c r="H23" t="s">
        <v>96</v>
      </c>
      <c r="I23" t="s">
        <v>97</v>
      </c>
      <c r="J23" t="s">
        <v>75</v>
      </c>
      <c r="K23" t="s">
        <v>69</v>
      </c>
      <c r="L23" t="s">
        <v>30</v>
      </c>
      <c r="M23" t="s">
        <v>12</v>
      </c>
      <c r="N23" t="s">
        <v>12</v>
      </c>
      <c r="O23" t="s">
        <v>98</v>
      </c>
      <c r="P23">
        <v>338553</v>
      </c>
      <c r="Q23" t="s">
        <v>9</v>
      </c>
      <c r="R23" t="s">
        <v>5</v>
      </c>
      <c r="S23" t="s">
        <v>79</v>
      </c>
      <c r="T23">
        <v>115</v>
      </c>
      <c r="U23">
        <v>8</v>
      </c>
      <c r="V23" s="2">
        <v>0.33333333333333331</v>
      </c>
      <c r="W23">
        <v>920</v>
      </c>
      <c r="AA23" t="s">
        <v>99</v>
      </c>
      <c r="AC23" t="s">
        <v>107</v>
      </c>
      <c r="AD23" t="s">
        <v>83</v>
      </c>
      <c r="AE23">
        <f t="shared" si="0"/>
        <v>12</v>
      </c>
      <c r="AF23" t="str">
        <f t="shared" si="1"/>
        <v>December</v>
      </c>
    </row>
    <row r="24" spans="1:32" x14ac:dyDescent="0.3">
      <c r="A24" s="1">
        <v>45653</v>
      </c>
      <c r="B24" t="s">
        <v>35</v>
      </c>
      <c r="C24" t="s">
        <v>95</v>
      </c>
      <c r="D24" t="s">
        <v>69</v>
      </c>
      <c r="E24" t="s">
        <v>86</v>
      </c>
      <c r="F24" t="s">
        <v>71</v>
      </c>
      <c r="G24" t="s">
        <v>72</v>
      </c>
      <c r="H24" t="s">
        <v>96</v>
      </c>
      <c r="I24" t="s">
        <v>97</v>
      </c>
      <c r="J24" t="s">
        <v>75</v>
      </c>
      <c r="K24" t="s">
        <v>69</v>
      </c>
      <c r="L24" t="s">
        <v>30</v>
      </c>
      <c r="M24" t="s">
        <v>12</v>
      </c>
      <c r="N24" t="s">
        <v>12</v>
      </c>
      <c r="O24" t="s">
        <v>98</v>
      </c>
      <c r="P24">
        <v>338554</v>
      </c>
      <c r="Q24" t="s">
        <v>9</v>
      </c>
      <c r="R24" t="s">
        <v>5</v>
      </c>
      <c r="S24" t="s">
        <v>79</v>
      </c>
      <c r="T24">
        <v>115</v>
      </c>
      <c r="U24">
        <v>8</v>
      </c>
      <c r="V24" s="2">
        <v>0.33333333333333331</v>
      </c>
      <c r="W24">
        <v>920</v>
      </c>
      <c r="AA24" t="s">
        <v>99</v>
      </c>
      <c r="AC24" t="s">
        <v>108</v>
      </c>
      <c r="AD24" t="s">
        <v>83</v>
      </c>
      <c r="AE24">
        <f t="shared" si="0"/>
        <v>12</v>
      </c>
      <c r="AF24" t="str">
        <f t="shared" si="1"/>
        <v>December</v>
      </c>
    </row>
    <row r="25" spans="1:32" x14ac:dyDescent="0.3">
      <c r="A25" s="1">
        <v>45663</v>
      </c>
      <c r="B25" t="s">
        <v>35</v>
      </c>
      <c r="C25" t="s">
        <v>95</v>
      </c>
      <c r="D25" t="s">
        <v>69</v>
      </c>
      <c r="E25" t="s">
        <v>86</v>
      </c>
      <c r="F25" t="s">
        <v>71</v>
      </c>
      <c r="G25" t="s">
        <v>72</v>
      </c>
      <c r="H25" t="s">
        <v>96</v>
      </c>
      <c r="I25" t="s">
        <v>97</v>
      </c>
      <c r="J25" t="s">
        <v>75</v>
      </c>
      <c r="K25" t="s">
        <v>69</v>
      </c>
      <c r="L25" t="s">
        <v>30</v>
      </c>
      <c r="M25" t="s">
        <v>12</v>
      </c>
      <c r="N25" t="s">
        <v>12</v>
      </c>
      <c r="O25" t="s">
        <v>98</v>
      </c>
      <c r="P25">
        <v>339391</v>
      </c>
      <c r="Q25" t="s">
        <v>9</v>
      </c>
      <c r="R25" t="s">
        <v>5</v>
      </c>
      <c r="S25" t="s">
        <v>79</v>
      </c>
      <c r="T25">
        <v>115</v>
      </c>
      <c r="U25">
        <v>8</v>
      </c>
      <c r="V25" s="2">
        <v>0.33333333333333331</v>
      </c>
      <c r="W25">
        <v>920</v>
      </c>
      <c r="AA25" t="s">
        <v>99</v>
      </c>
      <c r="AC25" t="s">
        <v>119</v>
      </c>
      <c r="AD25" t="s">
        <v>83</v>
      </c>
      <c r="AE25">
        <f t="shared" si="0"/>
        <v>1</v>
      </c>
      <c r="AF25" t="str">
        <f t="shared" si="1"/>
        <v>January</v>
      </c>
    </row>
    <row r="26" spans="1:32" x14ac:dyDescent="0.3">
      <c r="A26" s="1">
        <v>45664</v>
      </c>
      <c r="B26" t="s">
        <v>35</v>
      </c>
      <c r="C26" t="s">
        <v>95</v>
      </c>
      <c r="D26" t="s">
        <v>69</v>
      </c>
      <c r="E26" t="s">
        <v>86</v>
      </c>
      <c r="F26" t="s">
        <v>71</v>
      </c>
      <c r="G26" t="s">
        <v>72</v>
      </c>
      <c r="H26" t="s">
        <v>96</v>
      </c>
      <c r="I26" t="s">
        <v>97</v>
      </c>
      <c r="J26" t="s">
        <v>75</v>
      </c>
      <c r="K26" t="s">
        <v>69</v>
      </c>
      <c r="L26" t="s">
        <v>30</v>
      </c>
      <c r="M26" t="s">
        <v>12</v>
      </c>
      <c r="N26" t="s">
        <v>12</v>
      </c>
      <c r="O26" t="s">
        <v>98</v>
      </c>
      <c r="P26">
        <v>340071</v>
      </c>
      <c r="Q26" t="s">
        <v>9</v>
      </c>
      <c r="R26" t="s">
        <v>5</v>
      </c>
      <c r="S26" t="s">
        <v>79</v>
      </c>
      <c r="T26">
        <v>115</v>
      </c>
      <c r="U26">
        <v>7</v>
      </c>
      <c r="V26" s="2">
        <v>0.29166666666666669</v>
      </c>
      <c r="W26">
        <v>805</v>
      </c>
      <c r="AA26" t="s">
        <v>99</v>
      </c>
      <c r="AC26" t="s">
        <v>120</v>
      </c>
      <c r="AD26" t="s">
        <v>83</v>
      </c>
      <c r="AE26">
        <f t="shared" si="0"/>
        <v>1</v>
      </c>
      <c r="AF26" t="str">
        <f t="shared" si="1"/>
        <v>January</v>
      </c>
    </row>
    <row r="27" spans="1:32" x14ac:dyDescent="0.3">
      <c r="A27" s="1">
        <v>45665</v>
      </c>
      <c r="B27" t="s">
        <v>35</v>
      </c>
      <c r="C27" t="s">
        <v>95</v>
      </c>
      <c r="D27" t="s">
        <v>69</v>
      </c>
      <c r="E27" t="s">
        <v>86</v>
      </c>
      <c r="F27" t="s">
        <v>71</v>
      </c>
      <c r="G27" t="s">
        <v>72</v>
      </c>
      <c r="H27" t="s">
        <v>96</v>
      </c>
      <c r="I27" t="s">
        <v>97</v>
      </c>
      <c r="J27" t="s">
        <v>75</v>
      </c>
      <c r="K27" t="s">
        <v>69</v>
      </c>
      <c r="L27" t="s">
        <v>30</v>
      </c>
      <c r="M27" t="s">
        <v>12</v>
      </c>
      <c r="N27" t="s">
        <v>12</v>
      </c>
      <c r="O27" t="s">
        <v>98</v>
      </c>
      <c r="P27">
        <v>340072</v>
      </c>
      <c r="Q27" t="s">
        <v>9</v>
      </c>
      <c r="R27" t="s">
        <v>5</v>
      </c>
      <c r="S27" t="s">
        <v>79</v>
      </c>
      <c r="T27">
        <v>115</v>
      </c>
      <c r="U27">
        <v>7.5</v>
      </c>
      <c r="V27" s="2">
        <v>0.3125</v>
      </c>
      <c r="W27">
        <v>862.5</v>
      </c>
      <c r="AA27" t="s">
        <v>99</v>
      </c>
      <c r="AC27" t="s">
        <v>121</v>
      </c>
      <c r="AD27" t="s">
        <v>83</v>
      </c>
      <c r="AE27">
        <f t="shared" si="0"/>
        <v>1</v>
      </c>
      <c r="AF27" t="str">
        <f t="shared" si="1"/>
        <v>January</v>
      </c>
    </row>
    <row r="28" spans="1:32" x14ac:dyDescent="0.3">
      <c r="A28" s="1">
        <v>45666</v>
      </c>
      <c r="B28" t="s">
        <v>35</v>
      </c>
      <c r="C28" t="s">
        <v>95</v>
      </c>
      <c r="D28" t="s">
        <v>69</v>
      </c>
      <c r="E28" t="s">
        <v>86</v>
      </c>
      <c r="F28" t="s">
        <v>71</v>
      </c>
      <c r="G28" t="s">
        <v>72</v>
      </c>
      <c r="H28" t="s">
        <v>96</v>
      </c>
      <c r="I28" t="s">
        <v>97</v>
      </c>
      <c r="J28" t="s">
        <v>75</v>
      </c>
      <c r="K28" t="s">
        <v>69</v>
      </c>
      <c r="L28" t="s">
        <v>30</v>
      </c>
      <c r="M28" t="s">
        <v>12</v>
      </c>
      <c r="N28" t="s">
        <v>12</v>
      </c>
      <c r="O28" t="s">
        <v>98</v>
      </c>
      <c r="P28">
        <v>340737</v>
      </c>
      <c r="Q28" t="s">
        <v>9</v>
      </c>
      <c r="R28" t="s">
        <v>5</v>
      </c>
      <c r="S28" t="s">
        <v>79</v>
      </c>
      <c r="T28">
        <v>115</v>
      </c>
      <c r="U28">
        <v>8</v>
      </c>
      <c r="V28" s="2">
        <v>0.33333333333333331</v>
      </c>
      <c r="W28">
        <v>920</v>
      </c>
      <c r="AA28" t="s">
        <v>99</v>
      </c>
      <c r="AC28" t="s">
        <v>122</v>
      </c>
      <c r="AD28" t="s">
        <v>83</v>
      </c>
      <c r="AE28">
        <f t="shared" si="0"/>
        <v>1</v>
      </c>
      <c r="AF28" t="str">
        <f t="shared" si="1"/>
        <v>January</v>
      </c>
    </row>
    <row r="29" spans="1:32" x14ac:dyDescent="0.3">
      <c r="A29" s="1">
        <v>45667</v>
      </c>
      <c r="B29" t="s">
        <v>35</v>
      </c>
      <c r="C29" t="s">
        <v>95</v>
      </c>
      <c r="D29" t="s">
        <v>69</v>
      </c>
      <c r="E29" t="s">
        <v>86</v>
      </c>
      <c r="F29" t="s">
        <v>71</v>
      </c>
      <c r="G29" t="s">
        <v>72</v>
      </c>
      <c r="H29" t="s">
        <v>96</v>
      </c>
      <c r="I29" t="s">
        <v>97</v>
      </c>
      <c r="J29" t="s">
        <v>75</v>
      </c>
      <c r="K29" t="s">
        <v>69</v>
      </c>
      <c r="L29" t="s">
        <v>30</v>
      </c>
      <c r="M29" t="s">
        <v>12</v>
      </c>
      <c r="N29" t="s">
        <v>12</v>
      </c>
      <c r="O29" t="s">
        <v>98</v>
      </c>
      <c r="P29">
        <v>340735</v>
      </c>
      <c r="Q29" t="s">
        <v>9</v>
      </c>
      <c r="R29" t="s">
        <v>5</v>
      </c>
      <c r="S29" t="s">
        <v>79</v>
      </c>
      <c r="T29">
        <v>115</v>
      </c>
      <c r="U29">
        <v>4</v>
      </c>
      <c r="V29" s="2">
        <v>0.16666666666666666</v>
      </c>
      <c r="W29">
        <v>460</v>
      </c>
      <c r="AA29" t="s">
        <v>99</v>
      </c>
      <c r="AC29" t="s">
        <v>123</v>
      </c>
      <c r="AD29" t="s">
        <v>83</v>
      </c>
      <c r="AE29">
        <f t="shared" si="0"/>
        <v>1</v>
      </c>
      <c r="AF29" t="str">
        <f t="shared" si="1"/>
        <v>January</v>
      </c>
    </row>
    <row r="30" spans="1:32" x14ac:dyDescent="0.3">
      <c r="A30" s="1">
        <v>45656</v>
      </c>
      <c r="B30" t="s">
        <v>67</v>
      </c>
      <c r="C30" t="s">
        <v>68</v>
      </c>
      <c r="D30" t="s">
        <v>69</v>
      </c>
      <c r="E30" t="s">
        <v>70</v>
      </c>
      <c r="F30" t="s">
        <v>71</v>
      </c>
      <c r="G30" t="s">
        <v>72</v>
      </c>
      <c r="H30" t="s">
        <v>96</v>
      </c>
      <c r="I30" t="s">
        <v>97</v>
      </c>
      <c r="J30" t="s">
        <v>75</v>
      </c>
      <c r="K30" t="s">
        <v>69</v>
      </c>
      <c r="L30" t="s">
        <v>30</v>
      </c>
      <c r="M30" t="s">
        <v>12</v>
      </c>
      <c r="N30" t="s">
        <v>76</v>
      </c>
      <c r="O30" t="s">
        <v>98</v>
      </c>
      <c r="P30">
        <v>338684</v>
      </c>
      <c r="Q30" t="s">
        <v>9</v>
      </c>
      <c r="R30" t="s">
        <v>5</v>
      </c>
      <c r="S30" t="s">
        <v>79</v>
      </c>
      <c r="T30">
        <v>115</v>
      </c>
      <c r="U30">
        <v>0.25</v>
      </c>
      <c r="V30" s="2">
        <v>1.0416666666666666E-2</v>
      </c>
      <c r="W30">
        <v>28.75</v>
      </c>
      <c r="AA30" t="s">
        <v>99</v>
      </c>
      <c r="AC30" t="s">
        <v>85</v>
      </c>
      <c r="AD30" t="s">
        <v>83</v>
      </c>
      <c r="AE30">
        <f t="shared" si="0"/>
        <v>12</v>
      </c>
      <c r="AF30" t="str">
        <f t="shared" si="1"/>
        <v>December</v>
      </c>
    </row>
    <row r="31" spans="1:32" x14ac:dyDescent="0.3">
      <c r="A31" s="1">
        <v>45644</v>
      </c>
      <c r="B31" t="s">
        <v>33</v>
      </c>
      <c r="C31" t="s">
        <v>68</v>
      </c>
      <c r="D31" t="s">
        <v>69</v>
      </c>
      <c r="E31" t="s">
        <v>86</v>
      </c>
      <c r="F31" t="s">
        <v>71</v>
      </c>
      <c r="G31" t="s">
        <v>72</v>
      </c>
      <c r="H31" t="s">
        <v>96</v>
      </c>
      <c r="I31" t="s">
        <v>97</v>
      </c>
      <c r="J31" t="s">
        <v>75</v>
      </c>
      <c r="K31" t="s">
        <v>69</v>
      </c>
      <c r="L31" t="s">
        <v>30</v>
      </c>
      <c r="M31" t="s">
        <v>12</v>
      </c>
      <c r="N31" t="s">
        <v>12</v>
      </c>
      <c r="O31" t="s">
        <v>98</v>
      </c>
      <c r="P31">
        <v>336808</v>
      </c>
      <c r="Q31" t="s">
        <v>9</v>
      </c>
      <c r="R31" t="s">
        <v>5</v>
      </c>
      <c r="S31" t="s">
        <v>79</v>
      </c>
      <c r="T31">
        <v>115</v>
      </c>
      <c r="U31">
        <v>1</v>
      </c>
      <c r="V31" s="2">
        <v>4.1666666666666664E-2</v>
      </c>
      <c r="W31">
        <v>115</v>
      </c>
      <c r="AA31" t="s">
        <v>99</v>
      </c>
      <c r="AB31" t="s">
        <v>81</v>
      </c>
      <c r="AC31" t="s">
        <v>76</v>
      </c>
      <c r="AD31" t="s">
        <v>83</v>
      </c>
      <c r="AE31">
        <f t="shared" si="0"/>
        <v>12</v>
      </c>
      <c r="AF31" t="str">
        <f t="shared" si="1"/>
        <v>December</v>
      </c>
    </row>
    <row r="32" spans="1:32" x14ac:dyDescent="0.3">
      <c r="A32" s="1">
        <v>45645</v>
      </c>
      <c r="B32" t="s">
        <v>33</v>
      </c>
      <c r="C32" t="s">
        <v>68</v>
      </c>
      <c r="D32" t="s">
        <v>69</v>
      </c>
      <c r="E32" t="s">
        <v>86</v>
      </c>
      <c r="F32" t="s">
        <v>71</v>
      </c>
      <c r="G32" t="s">
        <v>72</v>
      </c>
      <c r="H32" t="s">
        <v>96</v>
      </c>
      <c r="I32" t="s">
        <v>97</v>
      </c>
      <c r="J32" t="s">
        <v>75</v>
      </c>
      <c r="K32" t="s">
        <v>69</v>
      </c>
      <c r="L32" t="s">
        <v>30</v>
      </c>
      <c r="M32" t="s">
        <v>12</v>
      </c>
      <c r="N32" t="s">
        <v>12</v>
      </c>
      <c r="O32" t="s">
        <v>98</v>
      </c>
      <c r="P32">
        <v>336804</v>
      </c>
      <c r="Q32" t="s">
        <v>9</v>
      </c>
      <c r="R32" t="s">
        <v>5</v>
      </c>
      <c r="S32" t="s">
        <v>79</v>
      </c>
      <c r="T32">
        <v>115</v>
      </c>
      <c r="U32">
        <v>1</v>
      </c>
      <c r="V32" s="2">
        <v>4.1666666666666664E-2</v>
      </c>
      <c r="W32">
        <v>115</v>
      </c>
      <c r="AA32" t="s">
        <v>99</v>
      </c>
      <c r="AB32" t="s">
        <v>81</v>
      </c>
      <c r="AC32" t="s">
        <v>76</v>
      </c>
      <c r="AD32" t="s">
        <v>83</v>
      </c>
      <c r="AE32">
        <f t="shared" si="0"/>
        <v>12</v>
      </c>
      <c r="AF32" t="str">
        <f t="shared" si="1"/>
        <v>December</v>
      </c>
    </row>
    <row r="33" spans="1:32" x14ac:dyDescent="0.3">
      <c r="A33" s="1">
        <v>45656</v>
      </c>
      <c r="B33" t="s">
        <v>33</v>
      </c>
      <c r="C33" t="s">
        <v>68</v>
      </c>
      <c r="D33" t="s">
        <v>69</v>
      </c>
      <c r="E33" t="s">
        <v>86</v>
      </c>
      <c r="F33" t="s">
        <v>71</v>
      </c>
      <c r="G33" t="s">
        <v>72</v>
      </c>
      <c r="H33" t="s">
        <v>96</v>
      </c>
      <c r="I33" t="s">
        <v>97</v>
      </c>
      <c r="J33" t="s">
        <v>75</v>
      </c>
      <c r="K33" t="s">
        <v>69</v>
      </c>
      <c r="L33" t="s">
        <v>30</v>
      </c>
      <c r="M33" t="s">
        <v>12</v>
      </c>
      <c r="N33" t="s">
        <v>12</v>
      </c>
      <c r="O33" t="s">
        <v>98</v>
      </c>
      <c r="P33">
        <v>338654</v>
      </c>
      <c r="Q33" t="s">
        <v>9</v>
      </c>
      <c r="R33" t="s">
        <v>5</v>
      </c>
      <c r="S33" t="s">
        <v>79</v>
      </c>
      <c r="T33">
        <v>115</v>
      </c>
      <c r="U33">
        <v>0.25</v>
      </c>
      <c r="V33" s="2">
        <v>1.0416666666666666E-2</v>
      </c>
      <c r="W33">
        <v>28.75</v>
      </c>
      <c r="AA33" t="s">
        <v>99</v>
      </c>
      <c r="AC33" t="s">
        <v>76</v>
      </c>
      <c r="AD33" t="s">
        <v>83</v>
      </c>
      <c r="AE33">
        <f t="shared" si="0"/>
        <v>12</v>
      </c>
      <c r="AF33" t="str">
        <f t="shared" si="1"/>
        <v>December</v>
      </c>
    </row>
    <row r="34" spans="1:32" x14ac:dyDescent="0.3">
      <c r="A34" s="1">
        <v>45659</v>
      </c>
      <c r="B34" t="s">
        <v>33</v>
      </c>
      <c r="C34" t="s">
        <v>68</v>
      </c>
      <c r="D34" t="s">
        <v>69</v>
      </c>
      <c r="E34" t="s">
        <v>86</v>
      </c>
      <c r="F34" t="s">
        <v>71</v>
      </c>
      <c r="G34" t="s">
        <v>72</v>
      </c>
      <c r="H34" t="s">
        <v>96</v>
      </c>
      <c r="I34" t="s">
        <v>97</v>
      </c>
      <c r="J34" t="s">
        <v>75</v>
      </c>
      <c r="K34" t="s">
        <v>69</v>
      </c>
      <c r="L34" t="s">
        <v>30</v>
      </c>
      <c r="M34" t="s">
        <v>12</v>
      </c>
      <c r="N34" t="s">
        <v>12</v>
      </c>
      <c r="O34" t="s">
        <v>98</v>
      </c>
      <c r="P34">
        <v>339059</v>
      </c>
      <c r="Q34" t="s">
        <v>9</v>
      </c>
      <c r="R34" t="s">
        <v>5</v>
      </c>
      <c r="S34" t="s">
        <v>79</v>
      </c>
      <c r="T34">
        <v>115</v>
      </c>
      <c r="U34">
        <v>0.25</v>
      </c>
      <c r="V34" s="2">
        <v>1.0416666666666666E-2</v>
      </c>
      <c r="W34">
        <v>28.75</v>
      </c>
      <c r="AA34" t="s">
        <v>99</v>
      </c>
      <c r="AC34" t="s">
        <v>76</v>
      </c>
      <c r="AD34" t="s">
        <v>83</v>
      </c>
      <c r="AE34">
        <f t="shared" si="0"/>
        <v>1</v>
      </c>
      <c r="AF34" t="str">
        <f t="shared" si="1"/>
        <v>January</v>
      </c>
    </row>
    <row r="35" spans="1:32" x14ac:dyDescent="0.3">
      <c r="A35" s="1">
        <v>45660</v>
      </c>
      <c r="B35" t="s">
        <v>33</v>
      </c>
      <c r="C35" t="s">
        <v>68</v>
      </c>
      <c r="D35" t="s">
        <v>69</v>
      </c>
      <c r="E35" t="s">
        <v>86</v>
      </c>
      <c r="F35" t="s">
        <v>71</v>
      </c>
      <c r="G35" t="s">
        <v>72</v>
      </c>
      <c r="H35" t="s">
        <v>96</v>
      </c>
      <c r="I35" t="s">
        <v>97</v>
      </c>
      <c r="J35" t="s">
        <v>75</v>
      </c>
      <c r="K35" t="s">
        <v>69</v>
      </c>
      <c r="L35" t="s">
        <v>30</v>
      </c>
      <c r="M35" t="s">
        <v>12</v>
      </c>
      <c r="N35" t="s">
        <v>12</v>
      </c>
      <c r="O35" t="s">
        <v>98</v>
      </c>
      <c r="P35">
        <v>339155</v>
      </c>
      <c r="Q35" t="s">
        <v>9</v>
      </c>
      <c r="R35" t="s">
        <v>5</v>
      </c>
      <c r="S35" t="s">
        <v>79</v>
      </c>
      <c r="T35">
        <v>115</v>
      </c>
      <c r="U35">
        <v>0.25</v>
      </c>
      <c r="V35" s="2">
        <v>1.0416666666666666E-2</v>
      </c>
      <c r="W35">
        <v>28.75</v>
      </c>
      <c r="AA35" t="s">
        <v>99</v>
      </c>
      <c r="AC35" t="s">
        <v>76</v>
      </c>
      <c r="AD35" t="s">
        <v>83</v>
      </c>
      <c r="AE35">
        <f t="shared" si="0"/>
        <v>1</v>
      </c>
      <c r="AF35" t="str">
        <f t="shared" si="1"/>
        <v>January</v>
      </c>
    </row>
    <row r="36" spans="1:32" x14ac:dyDescent="0.3">
      <c r="A36" s="1">
        <v>45663</v>
      </c>
      <c r="B36" t="s">
        <v>33</v>
      </c>
      <c r="C36" t="s">
        <v>68</v>
      </c>
      <c r="D36" t="s">
        <v>69</v>
      </c>
      <c r="E36" t="s">
        <v>86</v>
      </c>
      <c r="F36" t="s">
        <v>71</v>
      </c>
      <c r="G36" t="s">
        <v>72</v>
      </c>
      <c r="H36" t="s">
        <v>96</v>
      </c>
      <c r="I36" t="s">
        <v>97</v>
      </c>
      <c r="J36" t="s">
        <v>75</v>
      </c>
      <c r="K36" t="s">
        <v>69</v>
      </c>
      <c r="L36" t="s">
        <v>30</v>
      </c>
      <c r="M36" t="s">
        <v>12</v>
      </c>
      <c r="N36" t="s">
        <v>12</v>
      </c>
      <c r="O36" t="s">
        <v>98</v>
      </c>
      <c r="P36">
        <v>339344</v>
      </c>
      <c r="Q36" t="s">
        <v>9</v>
      </c>
      <c r="R36" t="s">
        <v>5</v>
      </c>
      <c r="S36" t="s">
        <v>79</v>
      </c>
      <c r="T36">
        <v>115</v>
      </c>
      <c r="U36">
        <v>0.25</v>
      </c>
      <c r="V36" s="2">
        <v>1.0416666666666666E-2</v>
      </c>
      <c r="W36">
        <v>28.75</v>
      </c>
      <c r="AA36" t="s">
        <v>99</v>
      </c>
      <c r="AC36" t="s">
        <v>76</v>
      </c>
      <c r="AD36" t="s">
        <v>83</v>
      </c>
      <c r="AE36">
        <f t="shared" si="0"/>
        <v>1</v>
      </c>
      <c r="AF36" t="str">
        <f t="shared" si="1"/>
        <v>January</v>
      </c>
    </row>
    <row r="37" spans="1:32" x14ac:dyDescent="0.3">
      <c r="A37" s="1">
        <v>45664</v>
      </c>
      <c r="B37" t="s">
        <v>33</v>
      </c>
      <c r="C37" t="s">
        <v>68</v>
      </c>
      <c r="D37" t="s">
        <v>69</v>
      </c>
      <c r="E37" t="s">
        <v>86</v>
      </c>
      <c r="F37" t="s">
        <v>71</v>
      </c>
      <c r="G37" t="s">
        <v>72</v>
      </c>
      <c r="H37" t="s">
        <v>96</v>
      </c>
      <c r="I37" t="s">
        <v>97</v>
      </c>
      <c r="J37" t="s">
        <v>75</v>
      </c>
      <c r="K37" t="s">
        <v>69</v>
      </c>
      <c r="L37" t="s">
        <v>30</v>
      </c>
      <c r="M37" t="s">
        <v>12</v>
      </c>
      <c r="N37" t="s">
        <v>12</v>
      </c>
      <c r="O37" t="s">
        <v>98</v>
      </c>
      <c r="P37">
        <v>339648</v>
      </c>
      <c r="Q37" t="s">
        <v>9</v>
      </c>
      <c r="R37" t="s">
        <v>5</v>
      </c>
      <c r="S37" t="s">
        <v>79</v>
      </c>
      <c r="T37">
        <v>115</v>
      </c>
      <c r="U37">
        <v>0.25</v>
      </c>
      <c r="V37" s="2">
        <v>1.0416666666666666E-2</v>
      </c>
      <c r="W37">
        <v>28.75</v>
      </c>
      <c r="AA37" t="s">
        <v>99</v>
      </c>
      <c r="AC37" t="s">
        <v>76</v>
      </c>
      <c r="AD37" t="s">
        <v>83</v>
      </c>
      <c r="AE37">
        <f t="shared" si="0"/>
        <v>1</v>
      </c>
      <c r="AF37" t="str">
        <f t="shared" si="1"/>
        <v>January</v>
      </c>
    </row>
    <row r="38" spans="1:32" x14ac:dyDescent="0.3">
      <c r="A38" s="1">
        <v>45665</v>
      </c>
      <c r="B38" t="s">
        <v>33</v>
      </c>
      <c r="C38" t="s">
        <v>68</v>
      </c>
      <c r="D38" t="s">
        <v>69</v>
      </c>
      <c r="E38" t="s">
        <v>86</v>
      </c>
      <c r="F38" t="s">
        <v>71</v>
      </c>
      <c r="G38" t="s">
        <v>72</v>
      </c>
      <c r="H38" t="s">
        <v>96</v>
      </c>
      <c r="I38" t="s">
        <v>97</v>
      </c>
      <c r="J38" t="s">
        <v>75</v>
      </c>
      <c r="K38" t="s">
        <v>69</v>
      </c>
      <c r="L38" t="s">
        <v>30</v>
      </c>
      <c r="M38" t="s">
        <v>12</v>
      </c>
      <c r="N38" t="s">
        <v>12</v>
      </c>
      <c r="O38" t="s">
        <v>98</v>
      </c>
      <c r="P38">
        <v>340386</v>
      </c>
      <c r="Q38" t="s">
        <v>9</v>
      </c>
      <c r="R38" t="s">
        <v>5</v>
      </c>
      <c r="S38" t="s">
        <v>79</v>
      </c>
      <c r="T38">
        <v>115</v>
      </c>
      <c r="U38">
        <v>0.25</v>
      </c>
      <c r="V38" s="2">
        <v>1.0416666666666666E-2</v>
      </c>
      <c r="W38">
        <v>28.75</v>
      </c>
      <c r="AA38" t="s">
        <v>99</v>
      </c>
      <c r="AC38" t="s">
        <v>76</v>
      </c>
      <c r="AD38" t="s">
        <v>83</v>
      </c>
      <c r="AE38">
        <f t="shared" si="0"/>
        <v>1</v>
      </c>
      <c r="AF38" t="str">
        <f t="shared" si="1"/>
        <v>January</v>
      </c>
    </row>
    <row r="39" spans="1:32" x14ac:dyDescent="0.3">
      <c r="A39" s="1">
        <v>45666</v>
      </c>
      <c r="B39" t="s">
        <v>33</v>
      </c>
      <c r="C39" t="s">
        <v>68</v>
      </c>
      <c r="D39" t="s">
        <v>69</v>
      </c>
      <c r="E39" t="s">
        <v>86</v>
      </c>
      <c r="F39" t="s">
        <v>71</v>
      </c>
      <c r="G39" t="s">
        <v>72</v>
      </c>
      <c r="H39" t="s">
        <v>96</v>
      </c>
      <c r="I39" t="s">
        <v>97</v>
      </c>
      <c r="J39" t="s">
        <v>75</v>
      </c>
      <c r="K39" t="s">
        <v>69</v>
      </c>
      <c r="L39" t="s">
        <v>30</v>
      </c>
      <c r="M39" t="s">
        <v>12</v>
      </c>
      <c r="N39" t="s">
        <v>12</v>
      </c>
      <c r="O39" t="s">
        <v>98</v>
      </c>
      <c r="P39">
        <v>340389</v>
      </c>
      <c r="Q39" t="s">
        <v>9</v>
      </c>
      <c r="R39" t="s">
        <v>5</v>
      </c>
      <c r="S39" t="s">
        <v>79</v>
      </c>
      <c r="T39">
        <v>115</v>
      </c>
      <c r="U39">
        <v>0.25</v>
      </c>
      <c r="V39" s="2">
        <v>1.0416666666666666E-2</v>
      </c>
      <c r="W39">
        <v>28.75</v>
      </c>
      <c r="AA39" t="s">
        <v>99</v>
      </c>
      <c r="AC39" t="s">
        <v>76</v>
      </c>
      <c r="AD39" t="s">
        <v>83</v>
      </c>
      <c r="AE39">
        <f t="shared" ref="AE39:AE93" si="2">MONTH(A39)</f>
        <v>1</v>
      </c>
      <c r="AF39" t="str">
        <f t="shared" ref="AF39:AF93" si="3">IF(AE39=12,"December",IF(AE39=1,"January",IF(AE39=2,"February",IF(AE39=3,"March"))))</f>
        <v>January</v>
      </c>
    </row>
    <row r="40" spans="1:32" x14ac:dyDescent="0.3">
      <c r="A40" s="1">
        <v>45667</v>
      </c>
      <c r="B40" t="s">
        <v>33</v>
      </c>
      <c r="C40" t="s">
        <v>68</v>
      </c>
      <c r="D40" t="s">
        <v>69</v>
      </c>
      <c r="E40" t="s">
        <v>86</v>
      </c>
      <c r="F40" t="s">
        <v>71</v>
      </c>
      <c r="G40" t="s">
        <v>72</v>
      </c>
      <c r="H40" t="s">
        <v>96</v>
      </c>
      <c r="I40" t="s">
        <v>97</v>
      </c>
      <c r="J40" t="s">
        <v>75</v>
      </c>
      <c r="K40" t="s">
        <v>69</v>
      </c>
      <c r="L40" t="s">
        <v>30</v>
      </c>
      <c r="M40" t="s">
        <v>12</v>
      </c>
      <c r="N40" t="s">
        <v>12</v>
      </c>
      <c r="O40" t="s">
        <v>98</v>
      </c>
      <c r="P40">
        <v>340777</v>
      </c>
      <c r="Q40" t="s">
        <v>9</v>
      </c>
      <c r="R40" t="s">
        <v>5</v>
      </c>
      <c r="S40" t="s">
        <v>79</v>
      </c>
      <c r="T40">
        <v>115</v>
      </c>
      <c r="U40">
        <v>0.25</v>
      </c>
      <c r="V40" s="2">
        <v>1.0416666666666666E-2</v>
      </c>
      <c r="W40">
        <v>28.75</v>
      </c>
      <c r="AA40" t="s">
        <v>99</v>
      </c>
      <c r="AC40" t="s">
        <v>76</v>
      </c>
      <c r="AD40" t="s">
        <v>83</v>
      </c>
      <c r="AE40">
        <f t="shared" si="2"/>
        <v>1</v>
      </c>
      <c r="AF40" t="str">
        <f t="shared" si="3"/>
        <v>January</v>
      </c>
    </row>
    <row r="41" spans="1:32" x14ac:dyDescent="0.3">
      <c r="A41" s="1">
        <v>45664</v>
      </c>
      <c r="B41" t="s">
        <v>124</v>
      </c>
      <c r="C41" t="s">
        <v>68</v>
      </c>
      <c r="D41" t="s">
        <v>69</v>
      </c>
      <c r="E41" t="s">
        <v>86</v>
      </c>
      <c r="F41" t="s">
        <v>71</v>
      </c>
      <c r="G41" t="s">
        <v>72</v>
      </c>
      <c r="H41" t="s">
        <v>96</v>
      </c>
      <c r="I41" t="s">
        <v>97</v>
      </c>
      <c r="J41" t="s">
        <v>75</v>
      </c>
      <c r="K41" t="s">
        <v>69</v>
      </c>
      <c r="L41" t="s">
        <v>30</v>
      </c>
      <c r="M41" t="s">
        <v>12</v>
      </c>
      <c r="N41" t="s">
        <v>76</v>
      </c>
      <c r="O41" t="s">
        <v>98</v>
      </c>
      <c r="P41">
        <v>339741</v>
      </c>
      <c r="Q41" t="s">
        <v>9</v>
      </c>
      <c r="R41" t="s">
        <v>5</v>
      </c>
      <c r="S41" t="s">
        <v>79</v>
      </c>
      <c r="T41">
        <v>115</v>
      </c>
      <c r="U41">
        <v>0.5</v>
      </c>
      <c r="V41" s="2">
        <v>2.0833333333333332E-2</v>
      </c>
      <c r="W41">
        <v>57.5</v>
      </c>
      <c r="AA41" t="s">
        <v>99</v>
      </c>
      <c r="AC41" t="s">
        <v>76</v>
      </c>
      <c r="AD41" t="s">
        <v>83</v>
      </c>
      <c r="AE41">
        <f t="shared" si="2"/>
        <v>1</v>
      </c>
      <c r="AF41" t="str">
        <f t="shared" si="3"/>
        <v>January</v>
      </c>
    </row>
    <row r="42" spans="1:32" x14ac:dyDescent="0.3">
      <c r="A42" s="1">
        <v>45665</v>
      </c>
      <c r="B42" t="s">
        <v>124</v>
      </c>
      <c r="C42" t="s">
        <v>68</v>
      </c>
      <c r="D42" t="s">
        <v>69</v>
      </c>
      <c r="E42" t="s">
        <v>86</v>
      </c>
      <c r="F42" t="s">
        <v>71</v>
      </c>
      <c r="G42" t="s">
        <v>72</v>
      </c>
      <c r="H42" t="s">
        <v>96</v>
      </c>
      <c r="I42" t="s">
        <v>97</v>
      </c>
      <c r="J42" t="s">
        <v>75</v>
      </c>
      <c r="K42" t="s">
        <v>69</v>
      </c>
      <c r="L42" t="s">
        <v>30</v>
      </c>
      <c r="M42" t="s">
        <v>12</v>
      </c>
      <c r="N42" t="s">
        <v>76</v>
      </c>
      <c r="O42" t="s">
        <v>98</v>
      </c>
      <c r="P42">
        <v>340474</v>
      </c>
      <c r="Q42" t="s">
        <v>9</v>
      </c>
      <c r="R42" t="s">
        <v>5</v>
      </c>
      <c r="S42" t="s">
        <v>79</v>
      </c>
      <c r="T42">
        <v>115</v>
      </c>
      <c r="U42">
        <v>6.25</v>
      </c>
      <c r="V42" s="2">
        <v>0.26041666666666669</v>
      </c>
      <c r="W42">
        <v>718.75</v>
      </c>
      <c r="AA42" t="s">
        <v>99</v>
      </c>
      <c r="AC42" t="s">
        <v>76</v>
      </c>
      <c r="AD42" t="s">
        <v>83</v>
      </c>
      <c r="AE42">
        <f t="shared" si="2"/>
        <v>1</v>
      </c>
      <c r="AF42" t="str">
        <f t="shared" si="3"/>
        <v>January</v>
      </c>
    </row>
    <row r="43" spans="1:32" x14ac:dyDescent="0.3">
      <c r="A43" s="1">
        <v>45666</v>
      </c>
      <c r="B43" t="s">
        <v>124</v>
      </c>
      <c r="C43" t="s">
        <v>68</v>
      </c>
      <c r="D43" t="s">
        <v>69</v>
      </c>
      <c r="E43" t="s">
        <v>86</v>
      </c>
      <c r="F43" t="s">
        <v>71</v>
      </c>
      <c r="G43" t="s">
        <v>72</v>
      </c>
      <c r="H43" t="s">
        <v>96</v>
      </c>
      <c r="I43" t="s">
        <v>97</v>
      </c>
      <c r="J43" t="s">
        <v>75</v>
      </c>
      <c r="K43" t="s">
        <v>69</v>
      </c>
      <c r="L43" t="s">
        <v>30</v>
      </c>
      <c r="M43" t="s">
        <v>12</v>
      </c>
      <c r="N43" t="s">
        <v>76</v>
      </c>
      <c r="O43" t="s">
        <v>98</v>
      </c>
      <c r="P43">
        <v>340483</v>
      </c>
      <c r="Q43" t="s">
        <v>9</v>
      </c>
      <c r="R43" t="s">
        <v>5</v>
      </c>
      <c r="S43" t="s">
        <v>79</v>
      </c>
      <c r="T43">
        <v>115</v>
      </c>
      <c r="U43">
        <v>5.5</v>
      </c>
      <c r="V43" s="2">
        <v>0.22916666666666666</v>
      </c>
      <c r="W43">
        <v>632.5</v>
      </c>
      <c r="AA43" t="s">
        <v>99</v>
      </c>
      <c r="AC43" t="s">
        <v>76</v>
      </c>
      <c r="AD43" t="s">
        <v>83</v>
      </c>
      <c r="AE43">
        <f t="shared" si="2"/>
        <v>1</v>
      </c>
      <c r="AF43" t="str">
        <f t="shared" si="3"/>
        <v>January</v>
      </c>
    </row>
    <row r="44" spans="1:32" x14ac:dyDescent="0.3">
      <c r="A44" s="1">
        <v>45667</v>
      </c>
      <c r="B44" t="s">
        <v>124</v>
      </c>
      <c r="C44" t="s">
        <v>68</v>
      </c>
      <c r="D44" t="s">
        <v>69</v>
      </c>
      <c r="E44" t="s">
        <v>86</v>
      </c>
      <c r="F44" t="s">
        <v>71</v>
      </c>
      <c r="G44" t="s">
        <v>72</v>
      </c>
      <c r="H44" t="s">
        <v>96</v>
      </c>
      <c r="I44" t="s">
        <v>97</v>
      </c>
      <c r="J44" t="s">
        <v>75</v>
      </c>
      <c r="K44" t="s">
        <v>69</v>
      </c>
      <c r="L44" t="s">
        <v>30</v>
      </c>
      <c r="M44" t="s">
        <v>12</v>
      </c>
      <c r="N44" t="s">
        <v>76</v>
      </c>
      <c r="O44" t="s">
        <v>98</v>
      </c>
      <c r="P44">
        <v>341263</v>
      </c>
      <c r="Q44" t="s">
        <v>9</v>
      </c>
      <c r="R44" t="s">
        <v>5</v>
      </c>
      <c r="S44" t="s">
        <v>79</v>
      </c>
      <c r="T44">
        <v>115</v>
      </c>
      <c r="U44">
        <v>6.25</v>
      </c>
      <c r="V44" s="2">
        <v>0.26041666666666669</v>
      </c>
      <c r="W44">
        <v>718.75</v>
      </c>
      <c r="AA44" t="s">
        <v>99</v>
      </c>
      <c r="AC44" t="s">
        <v>76</v>
      </c>
      <c r="AD44" t="s">
        <v>83</v>
      </c>
      <c r="AE44">
        <f t="shared" si="2"/>
        <v>1</v>
      </c>
      <c r="AF44" t="str">
        <f t="shared" si="3"/>
        <v>January</v>
      </c>
    </row>
    <row r="45" spans="1:32" x14ac:dyDescent="0.3">
      <c r="A45" s="1">
        <v>45665</v>
      </c>
      <c r="B45" t="s">
        <v>125</v>
      </c>
      <c r="C45" t="s">
        <v>68</v>
      </c>
      <c r="D45" t="s">
        <v>69</v>
      </c>
      <c r="E45" t="s">
        <v>86</v>
      </c>
      <c r="F45" t="s">
        <v>71</v>
      </c>
      <c r="G45" t="s">
        <v>72</v>
      </c>
      <c r="H45" t="s">
        <v>96</v>
      </c>
      <c r="I45" t="s">
        <v>97</v>
      </c>
      <c r="J45" t="s">
        <v>75</v>
      </c>
      <c r="K45" t="s">
        <v>69</v>
      </c>
      <c r="L45" t="s">
        <v>30</v>
      </c>
      <c r="M45" t="s">
        <v>12</v>
      </c>
      <c r="N45" t="s">
        <v>76</v>
      </c>
      <c r="O45" t="s">
        <v>98</v>
      </c>
      <c r="P45">
        <v>340194</v>
      </c>
      <c r="Q45" t="s">
        <v>9</v>
      </c>
      <c r="R45" t="s">
        <v>5</v>
      </c>
      <c r="S45" t="s">
        <v>79</v>
      </c>
      <c r="T45">
        <v>115</v>
      </c>
      <c r="U45">
        <v>1.25</v>
      </c>
      <c r="V45" s="2">
        <v>5.2083333333333336E-2</v>
      </c>
      <c r="W45">
        <v>143.75</v>
      </c>
      <c r="AA45" t="s">
        <v>99</v>
      </c>
      <c r="AC45" t="s">
        <v>126</v>
      </c>
      <c r="AD45" t="s">
        <v>83</v>
      </c>
      <c r="AE45">
        <f t="shared" si="2"/>
        <v>1</v>
      </c>
      <c r="AF45" t="str">
        <f t="shared" si="3"/>
        <v>January</v>
      </c>
    </row>
    <row r="46" spans="1:32" x14ac:dyDescent="0.3">
      <c r="A46" s="1">
        <v>45666</v>
      </c>
      <c r="B46" t="s">
        <v>125</v>
      </c>
      <c r="C46" t="s">
        <v>68</v>
      </c>
      <c r="D46" t="s">
        <v>69</v>
      </c>
      <c r="E46" t="s">
        <v>86</v>
      </c>
      <c r="F46" t="s">
        <v>71</v>
      </c>
      <c r="G46" t="s">
        <v>72</v>
      </c>
      <c r="H46" t="s">
        <v>96</v>
      </c>
      <c r="I46" t="s">
        <v>97</v>
      </c>
      <c r="J46" t="s">
        <v>75</v>
      </c>
      <c r="K46" t="s">
        <v>69</v>
      </c>
      <c r="L46" t="s">
        <v>30</v>
      </c>
      <c r="M46" t="s">
        <v>12</v>
      </c>
      <c r="N46" t="s">
        <v>76</v>
      </c>
      <c r="O46" t="s">
        <v>98</v>
      </c>
      <c r="P46">
        <v>340404</v>
      </c>
      <c r="Q46" t="s">
        <v>9</v>
      </c>
      <c r="R46" t="s">
        <v>5</v>
      </c>
      <c r="S46" t="s">
        <v>79</v>
      </c>
      <c r="T46">
        <v>115</v>
      </c>
      <c r="U46">
        <v>0.25</v>
      </c>
      <c r="V46" s="2">
        <v>1.0416666666666666E-2</v>
      </c>
      <c r="W46">
        <v>28.75</v>
      </c>
      <c r="AA46" t="s">
        <v>99</v>
      </c>
      <c r="AC46" t="s">
        <v>127</v>
      </c>
      <c r="AD46" t="s">
        <v>83</v>
      </c>
      <c r="AE46">
        <f t="shared" si="2"/>
        <v>1</v>
      </c>
      <c r="AF46" t="str">
        <f t="shared" si="3"/>
        <v>January</v>
      </c>
    </row>
    <row r="47" spans="1:32" x14ac:dyDescent="0.3">
      <c r="A47" s="1">
        <v>45667</v>
      </c>
      <c r="B47" t="s">
        <v>125</v>
      </c>
      <c r="C47" t="s">
        <v>68</v>
      </c>
      <c r="D47" t="s">
        <v>69</v>
      </c>
      <c r="E47" t="s">
        <v>86</v>
      </c>
      <c r="F47" t="s">
        <v>71</v>
      </c>
      <c r="G47" t="s">
        <v>72</v>
      </c>
      <c r="H47" t="s">
        <v>96</v>
      </c>
      <c r="I47" t="s">
        <v>97</v>
      </c>
      <c r="J47" t="s">
        <v>75</v>
      </c>
      <c r="K47" t="s">
        <v>69</v>
      </c>
      <c r="L47" t="s">
        <v>30</v>
      </c>
      <c r="M47" t="s">
        <v>12</v>
      </c>
      <c r="N47" t="s">
        <v>76</v>
      </c>
      <c r="O47" t="s">
        <v>98</v>
      </c>
      <c r="P47">
        <v>340770</v>
      </c>
      <c r="Q47" t="s">
        <v>9</v>
      </c>
      <c r="R47" t="s">
        <v>5</v>
      </c>
      <c r="S47" t="s">
        <v>79</v>
      </c>
      <c r="T47">
        <v>115</v>
      </c>
      <c r="U47">
        <v>1.25</v>
      </c>
      <c r="V47" s="2">
        <v>5.2083333333333336E-2</v>
      </c>
      <c r="W47">
        <v>143.75</v>
      </c>
      <c r="AA47" t="s">
        <v>99</v>
      </c>
      <c r="AC47" t="s">
        <v>128</v>
      </c>
      <c r="AD47" t="s">
        <v>83</v>
      </c>
      <c r="AE47">
        <f t="shared" si="2"/>
        <v>1</v>
      </c>
      <c r="AF47" t="str">
        <f t="shared" si="3"/>
        <v>January</v>
      </c>
    </row>
    <row r="48" spans="1:32" x14ac:dyDescent="0.3">
      <c r="A48" s="1">
        <v>45635</v>
      </c>
      <c r="B48" t="s">
        <v>11</v>
      </c>
      <c r="C48" t="s">
        <v>68</v>
      </c>
      <c r="D48" t="s">
        <v>69</v>
      </c>
      <c r="E48" t="s">
        <v>70</v>
      </c>
      <c r="F48" t="s">
        <v>71</v>
      </c>
      <c r="G48" t="s">
        <v>72</v>
      </c>
      <c r="H48" t="s">
        <v>96</v>
      </c>
      <c r="I48" t="s">
        <v>97</v>
      </c>
      <c r="J48" t="s">
        <v>75</v>
      </c>
      <c r="K48" t="s">
        <v>69</v>
      </c>
      <c r="L48" t="s">
        <v>30</v>
      </c>
      <c r="M48" t="s">
        <v>12</v>
      </c>
      <c r="N48" t="s">
        <v>87</v>
      </c>
      <c r="O48" t="s">
        <v>98</v>
      </c>
      <c r="P48">
        <v>336540</v>
      </c>
      <c r="Q48" t="s">
        <v>9</v>
      </c>
      <c r="R48" t="s">
        <v>5</v>
      </c>
      <c r="S48" t="s">
        <v>79</v>
      </c>
      <c r="T48">
        <v>115</v>
      </c>
      <c r="U48">
        <v>1.75</v>
      </c>
      <c r="V48" s="2">
        <v>7.2916666666666671E-2</v>
      </c>
      <c r="W48">
        <v>201.25</v>
      </c>
      <c r="AA48" t="s">
        <v>99</v>
      </c>
      <c r="AB48" t="s">
        <v>81</v>
      </c>
      <c r="AC48" t="s">
        <v>76</v>
      </c>
      <c r="AD48" t="s">
        <v>83</v>
      </c>
      <c r="AE48">
        <f t="shared" si="2"/>
        <v>12</v>
      </c>
      <c r="AF48" t="str">
        <f t="shared" si="3"/>
        <v>December</v>
      </c>
    </row>
    <row r="49" spans="1:32" x14ac:dyDescent="0.3">
      <c r="A49" s="1">
        <v>45636</v>
      </c>
      <c r="B49" t="s">
        <v>11</v>
      </c>
      <c r="C49" t="s">
        <v>68</v>
      </c>
      <c r="D49" t="s">
        <v>69</v>
      </c>
      <c r="E49" t="s">
        <v>70</v>
      </c>
      <c r="F49" t="s">
        <v>71</v>
      </c>
      <c r="G49" t="s">
        <v>72</v>
      </c>
      <c r="H49" t="s">
        <v>96</v>
      </c>
      <c r="I49" t="s">
        <v>97</v>
      </c>
      <c r="J49" t="s">
        <v>75</v>
      </c>
      <c r="K49" t="s">
        <v>69</v>
      </c>
      <c r="L49" t="s">
        <v>30</v>
      </c>
      <c r="M49" t="s">
        <v>12</v>
      </c>
      <c r="N49" t="s">
        <v>87</v>
      </c>
      <c r="O49" t="s">
        <v>98</v>
      </c>
      <c r="P49">
        <v>336539</v>
      </c>
      <c r="Q49" t="s">
        <v>9</v>
      </c>
      <c r="R49" t="s">
        <v>5</v>
      </c>
      <c r="S49" t="s">
        <v>79</v>
      </c>
      <c r="T49">
        <v>115</v>
      </c>
      <c r="U49">
        <v>0.5</v>
      </c>
      <c r="V49" s="2">
        <v>2.0833333333333332E-2</v>
      </c>
      <c r="W49">
        <v>57.5</v>
      </c>
      <c r="AA49" t="s">
        <v>99</v>
      </c>
      <c r="AB49" t="s">
        <v>81</v>
      </c>
      <c r="AC49" t="s">
        <v>76</v>
      </c>
      <c r="AD49" t="s">
        <v>83</v>
      </c>
      <c r="AE49">
        <f t="shared" si="2"/>
        <v>12</v>
      </c>
      <c r="AF49" t="str">
        <f t="shared" si="3"/>
        <v>December</v>
      </c>
    </row>
    <row r="50" spans="1:32" x14ac:dyDescent="0.3">
      <c r="A50" s="1">
        <v>45637</v>
      </c>
      <c r="B50" t="s">
        <v>11</v>
      </c>
      <c r="C50" t="s">
        <v>68</v>
      </c>
      <c r="D50" t="s">
        <v>69</v>
      </c>
      <c r="E50" t="s">
        <v>70</v>
      </c>
      <c r="F50" t="s">
        <v>71</v>
      </c>
      <c r="G50" t="s">
        <v>72</v>
      </c>
      <c r="H50" t="s">
        <v>96</v>
      </c>
      <c r="I50" t="s">
        <v>97</v>
      </c>
      <c r="J50" t="s">
        <v>75</v>
      </c>
      <c r="K50" t="s">
        <v>69</v>
      </c>
      <c r="L50" t="s">
        <v>30</v>
      </c>
      <c r="M50" t="s">
        <v>12</v>
      </c>
      <c r="N50" t="s">
        <v>87</v>
      </c>
      <c r="O50" t="s">
        <v>98</v>
      </c>
      <c r="P50">
        <v>336538</v>
      </c>
      <c r="Q50" t="s">
        <v>9</v>
      </c>
      <c r="R50" t="s">
        <v>5</v>
      </c>
      <c r="S50" t="s">
        <v>79</v>
      </c>
      <c r="T50">
        <v>115</v>
      </c>
      <c r="U50">
        <v>1.5</v>
      </c>
      <c r="V50" s="2">
        <v>6.25E-2</v>
      </c>
      <c r="W50">
        <v>172.5</v>
      </c>
      <c r="AA50" t="s">
        <v>99</v>
      </c>
      <c r="AB50" t="s">
        <v>81</v>
      </c>
      <c r="AC50" t="s">
        <v>76</v>
      </c>
      <c r="AD50" t="s">
        <v>83</v>
      </c>
      <c r="AE50">
        <f t="shared" si="2"/>
        <v>12</v>
      </c>
      <c r="AF50" t="str">
        <f t="shared" si="3"/>
        <v>December</v>
      </c>
    </row>
    <row r="51" spans="1:32" x14ac:dyDescent="0.3">
      <c r="A51" s="1">
        <v>45643</v>
      </c>
      <c r="B51" t="s">
        <v>11</v>
      </c>
      <c r="C51" t="s">
        <v>68</v>
      </c>
      <c r="D51" t="s">
        <v>69</v>
      </c>
      <c r="E51" t="s">
        <v>70</v>
      </c>
      <c r="F51" t="s">
        <v>71</v>
      </c>
      <c r="G51" t="s">
        <v>72</v>
      </c>
      <c r="H51" t="s">
        <v>96</v>
      </c>
      <c r="I51" t="s">
        <v>97</v>
      </c>
      <c r="J51" t="s">
        <v>75</v>
      </c>
      <c r="K51" t="s">
        <v>69</v>
      </c>
      <c r="L51" t="s">
        <v>30</v>
      </c>
      <c r="M51" t="s">
        <v>12</v>
      </c>
      <c r="N51" t="s">
        <v>87</v>
      </c>
      <c r="O51" t="s">
        <v>98</v>
      </c>
      <c r="P51">
        <v>336090</v>
      </c>
      <c r="Q51" t="s">
        <v>9</v>
      </c>
      <c r="R51" t="s">
        <v>5</v>
      </c>
      <c r="S51" t="s">
        <v>79</v>
      </c>
      <c r="T51">
        <v>115</v>
      </c>
      <c r="U51">
        <v>1</v>
      </c>
      <c r="V51" s="2">
        <v>4.1666666666666664E-2</v>
      </c>
      <c r="W51">
        <v>115</v>
      </c>
      <c r="AA51" t="s">
        <v>99</v>
      </c>
      <c r="AB51" t="s">
        <v>81</v>
      </c>
      <c r="AC51" t="s">
        <v>76</v>
      </c>
      <c r="AD51" t="s">
        <v>83</v>
      </c>
      <c r="AE51">
        <f t="shared" si="2"/>
        <v>12</v>
      </c>
      <c r="AF51" t="str">
        <f t="shared" si="3"/>
        <v>December</v>
      </c>
    </row>
    <row r="52" spans="1:32" x14ac:dyDescent="0.3">
      <c r="A52" s="1">
        <v>45644</v>
      </c>
      <c r="B52" t="s">
        <v>11</v>
      </c>
      <c r="C52" t="s">
        <v>68</v>
      </c>
      <c r="D52" t="s">
        <v>69</v>
      </c>
      <c r="E52" t="s">
        <v>70</v>
      </c>
      <c r="F52" t="s">
        <v>71</v>
      </c>
      <c r="G52" t="s">
        <v>72</v>
      </c>
      <c r="H52" t="s">
        <v>96</v>
      </c>
      <c r="I52" t="s">
        <v>97</v>
      </c>
      <c r="J52" t="s">
        <v>75</v>
      </c>
      <c r="K52" t="s">
        <v>69</v>
      </c>
      <c r="L52" t="s">
        <v>30</v>
      </c>
      <c r="M52" t="s">
        <v>12</v>
      </c>
      <c r="N52" t="s">
        <v>87</v>
      </c>
      <c r="O52" t="s">
        <v>98</v>
      </c>
      <c r="P52">
        <v>336590</v>
      </c>
      <c r="Q52" t="s">
        <v>9</v>
      </c>
      <c r="R52" t="s">
        <v>5</v>
      </c>
      <c r="S52" t="s">
        <v>79</v>
      </c>
      <c r="T52">
        <v>115</v>
      </c>
      <c r="U52">
        <v>3.25</v>
      </c>
      <c r="V52" s="2">
        <v>0.13541666666666666</v>
      </c>
      <c r="W52">
        <v>373.75</v>
      </c>
      <c r="AA52" t="s">
        <v>99</v>
      </c>
      <c r="AB52" t="s">
        <v>81</v>
      </c>
      <c r="AC52" t="s">
        <v>76</v>
      </c>
      <c r="AD52" t="s">
        <v>83</v>
      </c>
      <c r="AE52">
        <f t="shared" si="2"/>
        <v>12</v>
      </c>
      <c r="AF52" t="str">
        <f t="shared" si="3"/>
        <v>December</v>
      </c>
    </row>
    <row r="53" spans="1:32" x14ac:dyDescent="0.3">
      <c r="A53" s="1">
        <v>45645</v>
      </c>
      <c r="B53" t="s">
        <v>11</v>
      </c>
      <c r="C53" t="s">
        <v>68</v>
      </c>
      <c r="D53" t="s">
        <v>69</v>
      </c>
      <c r="E53" t="s">
        <v>70</v>
      </c>
      <c r="F53" t="s">
        <v>71</v>
      </c>
      <c r="G53" t="s">
        <v>72</v>
      </c>
      <c r="H53" t="s">
        <v>96</v>
      </c>
      <c r="I53" t="s">
        <v>97</v>
      </c>
      <c r="J53" t="s">
        <v>75</v>
      </c>
      <c r="K53" t="s">
        <v>69</v>
      </c>
      <c r="L53" t="s">
        <v>30</v>
      </c>
      <c r="M53" t="s">
        <v>12</v>
      </c>
      <c r="N53" t="s">
        <v>87</v>
      </c>
      <c r="O53" t="s">
        <v>98</v>
      </c>
      <c r="P53">
        <v>337167</v>
      </c>
      <c r="Q53" t="s">
        <v>9</v>
      </c>
      <c r="R53" t="s">
        <v>5</v>
      </c>
      <c r="S53" t="s">
        <v>79</v>
      </c>
      <c r="T53">
        <v>115</v>
      </c>
      <c r="U53">
        <v>2.25</v>
      </c>
      <c r="V53" s="2">
        <v>9.375E-2</v>
      </c>
      <c r="W53">
        <v>258.75</v>
      </c>
      <c r="AA53" t="s">
        <v>99</v>
      </c>
      <c r="AB53" t="s">
        <v>81</v>
      </c>
      <c r="AC53" t="s">
        <v>76</v>
      </c>
      <c r="AD53" t="s">
        <v>83</v>
      </c>
      <c r="AE53">
        <f t="shared" si="2"/>
        <v>12</v>
      </c>
      <c r="AF53" t="str">
        <f t="shared" si="3"/>
        <v>December</v>
      </c>
    </row>
    <row r="54" spans="1:32" x14ac:dyDescent="0.3">
      <c r="A54" s="1">
        <v>45646</v>
      </c>
      <c r="B54" t="s">
        <v>11</v>
      </c>
      <c r="C54" t="s">
        <v>68</v>
      </c>
      <c r="D54" t="s">
        <v>69</v>
      </c>
      <c r="E54" t="s">
        <v>70</v>
      </c>
      <c r="F54" t="s">
        <v>71</v>
      </c>
      <c r="G54" t="s">
        <v>72</v>
      </c>
      <c r="H54" t="s">
        <v>96</v>
      </c>
      <c r="I54" t="s">
        <v>97</v>
      </c>
      <c r="J54" t="s">
        <v>75</v>
      </c>
      <c r="K54" t="s">
        <v>69</v>
      </c>
      <c r="L54" t="s">
        <v>30</v>
      </c>
      <c r="M54" t="s">
        <v>12</v>
      </c>
      <c r="N54" t="s">
        <v>87</v>
      </c>
      <c r="O54" t="s">
        <v>98</v>
      </c>
      <c r="P54">
        <v>337840</v>
      </c>
      <c r="Q54" t="s">
        <v>9</v>
      </c>
      <c r="R54" t="s">
        <v>5</v>
      </c>
      <c r="S54" t="s">
        <v>79</v>
      </c>
      <c r="T54">
        <v>115</v>
      </c>
      <c r="U54">
        <v>1</v>
      </c>
      <c r="V54" s="2">
        <v>4.1666666666666664E-2</v>
      </c>
      <c r="W54">
        <v>115</v>
      </c>
      <c r="AA54" t="s">
        <v>99</v>
      </c>
      <c r="AB54" t="s">
        <v>81</v>
      </c>
      <c r="AC54" t="s">
        <v>76</v>
      </c>
      <c r="AD54" t="s">
        <v>83</v>
      </c>
      <c r="AE54">
        <f t="shared" si="2"/>
        <v>12</v>
      </c>
      <c r="AF54" t="str">
        <f t="shared" si="3"/>
        <v>December</v>
      </c>
    </row>
    <row r="55" spans="1:32" x14ac:dyDescent="0.3">
      <c r="A55" s="1">
        <v>45659</v>
      </c>
      <c r="B55" t="s">
        <v>11</v>
      </c>
      <c r="C55" t="s">
        <v>68</v>
      </c>
      <c r="D55" t="s">
        <v>69</v>
      </c>
      <c r="E55" t="s">
        <v>70</v>
      </c>
      <c r="F55" t="s">
        <v>71</v>
      </c>
      <c r="G55" t="s">
        <v>72</v>
      </c>
      <c r="H55" t="s">
        <v>96</v>
      </c>
      <c r="I55" t="s">
        <v>97</v>
      </c>
      <c r="J55" t="s">
        <v>75</v>
      </c>
      <c r="K55" t="s">
        <v>69</v>
      </c>
      <c r="L55" t="s">
        <v>30</v>
      </c>
      <c r="M55" t="s">
        <v>12</v>
      </c>
      <c r="N55" t="s">
        <v>87</v>
      </c>
      <c r="O55" t="s">
        <v>98</v>
      </c>
      <c r="P55">
        <v>339095</v>
      </c>
      <c r="Q55" t="s">
        <v>9</v>
      </c>
      <c r="R55" t="s">
        <v>5</v>
      </c>
      <c r="S55" t="s">
        <v>79</v>
      </c>
      <c r="T55">
        <v>115</v>
      </c>
      <c r="U55">
        <v>0.25</v>
      </c>
      <c r="V55" s="2">
        <v>1.0416666666666666E-2</v>
      </c>
      <c r="W55">
        <v>28.75</v>
      </c>
      <c r="AA55" t="s">
        <v>99</v>
      </c>
      <c r="AC55" t="s">
        <v>76</v>
      </c>
      <c r="AD55" t="s">
        <v>83</v>
      </c>
      <c r="AE55">
        <f t="shared" si="2"/>
        <v>1</v>
      </c>
      <c r="AF55" t="str">
        <f t="shared" si="3"/>
        <v>January</v>
      </c>
    </row>
    <row r="56" spans="1:32" x14ac:dyDescent="0.3">
      <c r="A56" s="1">
        <v>45660</v>
      </c>
      <c r="B56" t="s">
        <v>11</v>
      </c>
      <c r="C56" t="s">
        <v>68</v>
      </c>
      <c r="D56" t="s">
        <v>69</v>
      </c>
      <c r="E56" t="s">
        <v>70</v>
      </c>
      <c r="F56" t="s">
        <v>71</v>
      </c>
      <c r="G56" t="s">
        <v>72</v>
      </c>
      <c r="H56" t="s">
        <v>96</v>
      </c>
      <c r="I56" t="s">
        <v>97</v>
      </c>
      <c r="J56" t="s">
        <v>75</v>
      </c>
      <c r="K56" t="s">
        <v>69</v>
      </c>
      <c r="L56" t="s">
        <v>30</v>
      </c>
      <c r="M56" t="s">
        <v>12</v>
      </c>
      <c r="N56" t="s">
        <v>87</v>
      </c>
      <c r="O56" t="s">
        <v>98</v>
      </c>
      <c r="P56">
        <v>339231</v>
      </c>
      <c r="Q56" t="s">
        <v>9</v>
      </c>
      <c r="R56" t="s">
        <v>5</v>
      </c>
      <c r="S56" t="s">
        <v>79</v>
      </c>
      <c r="T56">
        <v>115</v>
      </c>
      <c r="U56">
        <v>0.5</v>
      </c>
      <c r="V56" s="2">
        <v>2.0833333333333332E-2</v>
      </c>
      <c r="W56">
        <v>57.5</v>
      </c>
      <c r="AA56" t="s">
        <v>99</v>
      </c>
      <c r="AC56" t="s">
        <v>76</v>
      </c>
      <c r="AD56" t="s">
        <v>83</v>
      </c>
      <c r="AE56">
        <f t="shared" si="2"/>
        <v>1</v>
      </c>
      <c r="AF56" t="str">
        <f t="shared" si="3"/>
        <v>January</v>
      </c>
    </row>
    <row r="57" spans="1:32" x14ac:dyDescent="0.3">
      <c r="A57" s="1">
        <v>45663</v>
      </c>
      <c r="B57" t="s">
        <v>11</v>
      </c>
      <c r="C57" t="s">
        <v>68</v>
      </c>
      <c r="D57" t="s">
        <v>69</v>
      </c>
      <c r="E57" t="s">
        <v>70</v>
      </c>
      <c r="F57" t="s">
        <v>71</v>
      </c>
      <c r="G57" t="s">
        <v>72</v>
      </c>
      <c r="H57" t="s">
        <v>96</v>
      </c>
      <c r="I57" t="s">
        <v>97</v>
      </c>
      <c r="J57" t="s">
        <v>75</v>
      </c>
      <c r="K57" t="s">
        <v>69</v>
      </c>
      <c r="L57" t="s">
        <v>30</v>
      </c>
      <c r="M57" t="s">
        <v>12</v>
      </c>
      <c r="N57" t="s">
        <v>87</v>
      </c>
      <c r="O57" t="s">
        <v>98</v>
      </c>
      <c r="P57">
        <v>339513</v>
      </c>
      <c r="Q57" t="s">
        <v>9</v>
      </c>
      <c r="R57" t="s">
        <v>5</v>
      </c>
      <c r="S57" t="s">
        <v>79</v>
      </c>
      <c r="T57">
        <v>115</v>
      </c>
      <c r="U57">
        <v>1</v>
      </c>
      <c r="V57" s="2">
        <v>4.1666666666666664E-2</v>
      </c>
      <c r="W57">
        <v>115</v>
      </c>
      <c r="AA57" t="s">
        <v>99</v>
      </c>
      <c r="AC57" t="s">
        <v>76</v>
      </c>
      <c r="AD57" t="s">
        <v>83</v>
      </c>
      <c r="AE57">
        <f t="shared" si="2"/>
        <v>1</v>
      </c>
      <c r="AF57" t="str">
        <f t="shared" si="3"/>
        <v>January</v>
      </c>
    </row>
    <row r="58" spans="1:32" x14ac:dyDescent="0.3">
      <c r="A58" s="1">
        <v>45664</v>
      </c>
      <c r="B58" t="s">
        <v>11</v>
      </c>
      <c r="C58" t="s">
        <v>68</v>
      </c>
      <c r="D58" t="s">
        <v>69</v>
      </c>
      <c r="E58" t="s">
        <v>70</v>
      </c>
      <c r="F58" t="s">
        <v>71</v>
      </c>
      <c r="G58" t="s">
        <v>72</v>
      </c>
      <c r="H58" t="s">
        <v>96</v>
      </c>
      <c r="I58" t="s">
        <v>97</v>
      </c>
      <c r="J58" t="s">
        <v>75</v>
      </c>
      <c r="K58" t="s">
        <v>69</v>
      </c>
      <c r="L58" t="s">
        <v>30</v>
      </c>
      <c r="M58" t="s">
        <v>12</v>
      </c>
      <c r="N58" t="s">
        <v>87</v>
      </c>
      <c r="O58" t="s">
        <v>98</v>
      </c>
      <c r="P58">
        <v>339853</v>
      </c>
      <c r="Q58" t="s">
        <v>9</v>
      </c>
      <c r="R58" t="s">
        <v>5</v>
      </c>
      <c r="S58" t="s">
        <v>79</v>
      </c>
      <c r="T58">
        <v>115</v>
      </c>
      <c r="U58">
        <v>0.25</v>
      </c>
      <c r="V58" s="2">
        <v>1.0416666666666666E-2</v>
      </c>
      <c r="W58">
        <v>28.75</v>
      </c>
      <c r="AA58" t="s">
        <v>99</v>
      </c>
      <c r="AC58" t="s">
        <v>76</v>
      </c>
      <c r="AD58" t="s">
        <v>83</v>
      </c>
      <c r="AE58">
        <f t="shared" si="2"/>
        <v>1</v>
      </c>
      <c r="AF58" t="str">
        <f t="shared" si="3"/>
        <v>January</v>
      </c>
    </row>
    <row r="59" spans="1:32" x14ac:dyDescent="0.3">
      <c r="A59" s="1">
        <v>45665</v>
      </c>
      <c r="B59" t="s">
        <v>11</v>
      </c>
      <c r="C59" t="s">
        <v>68</v>
      </c>
      <c r="D59" t="s">
        <v>69</v>
      </c>
      <c r="E59" t="s">
        <v>70</v>
      </c>
      <c r="F59" t="s">
        <v>71</v>
      </c>
      <c r="G59" t="s">
        <v>72</v>
      </c>
      <c r="H59" t="s">
        <v>96</v>
      </c>
      <c r="I59" t="s">
        <v>97</v>
      </c>
      <c r="J59" t="s">
        <v>75</v>
      </c>
      <c r="K59" t="s">
        <v>69</v>
      </c>
      <c r="L59" t="s">
        <v>30</v>
      </c>
      <c r="M59" t="s">
        <v>12</v>
      </c>
      <c r="N59" t="s">
        <v>87</v>
      </c>
      <c r="O59" t="s">
        <v>98</v>
      </c>
      <c r="P59">
        <v>340245</v>
      </c>
      <c r="Q59" t="s">
        <v>9</v>
      </c>
      <c r="R59" t="s">
        <v>5</v>
      </c>
      <c r="S59" t="s">
        <v>79</v>
      </c>
      <c r="T59">
        <v>115</v>
      </c>
      <c r="U59">
        <v>0.5</v>
      </c>
      <c r="V59" s="2">
        <v>2.0833333333333332E-2</v>
      </c>
      <c r="W59">
        <v>57.5</v>
      </c>
      <c r="AA59" t="s">
        <v>99</v>
      </c>
      <c r="AC59" t="s">
        <v>76</v>
      </c>
      <c r="AD59" t="s">
        <v>83</v>
      </c>
      <c r="AE59">
        <f t="shared" si="2"/>
        <v>1</v>
      </c>
      <c r="AF59" t="str">
        <f t="shared" si="3"/>
        <v>January</v>
      </c>
    </row>
    <row r="60" spans="1:32" x14ac:dyDescent="0.3">
      <c r="A60" s="1">
        <v>45666</v>
      </c>
      <c r="B60" t="s">
        <v>11</v>
      </c>
      <c r="C60" t="s">
        <v>68</v>
      </c>
      <c r="D60" t="s">
        <v>69</v>
      </c>
      <c r="E60" t="s">
        <v>70</v>
      </c>
      <c r="F60" t="s">
        <v>71</v>
      </c>
      <c r="G60" t="s">
        <v>72</v>
      </c>
      <c r="H60" t="s">
        <v>96</v>
      </c>
      <c r="I60" t="s">
        <v>97</v>
      </c>
      <c r="J60" t="s">
        <v>75</v>
      </c>
      <c r="K60" t="s">
        <v>69</v>
      </c>
      <c r="L60" t="s">
        <v>30</v>
      </c>
      <c r="M60" t="s">
        <v>12</v>
      </c>
      <c r="N60" t="s">
        <v>87</v>
      </c>
      <c r="O60" t="s">
        <v>98</v>
      </c>
      <c r="P60">
        <v>340572</v>
      </c>
      <c r="Q60" t="s">
        <v>9</v>
      </c>
      <c r="R60" t="s">
        <v>5</v>
      </c>
      <c r="S60" t="s">
        <v>79</v>
      </c>
      <c r="T60">
        <v>115</v>
      </c>
      <c r="U60">
        <v>3.5</v>
      </c>
      <c r="V60" s="2">
        <v>0.14583333333333334</v>
      </c>
      <c r="W60">
        <v>402.5</v>
      </c>
      <c r="AA60" t="s">
        <v>99</v>
      </c>
      <c r="AC60" t="s">
        <v>76</v>
      </c>
      <c r="AD60" t="s">
        <v>83</v>
      </c>
      <c r="AE60">
        <f t="shared" si="2"/>
        <v>1</v>
      </c>
      <c r="AF60" t="str">
        <f t="shared" si="3"/>
        <v>January</v>
      </c>
    </row>
    <row r="61" spans="1:32" x14ac:dyDescent="0.3">
      <c r="A61" s="1">
        <v>45667</v>
      </c>
      <c r="B61" t="s">
        <v>11</v>
      </c>
      <c r="C61" t="s">
        <v>68</v>
      </c>
      <c r="D61" t="s">
        <v>69</v>
      </c>
      <c r="E61" t="s">
        <v>70</v>
      </c>
      <c r="F61" t="s">
        <v>71</v>
      </c>
      <c r="G61" t="s">
        <v>72</v>
      </c>
      <c r="H61" t="s">
        <v>96</v>
      </c>
      <c r="I61" t="s">
        <v>97</v>
      </c>
      <c r="J61" t="s">
        <v>75</v>
      </c>
      <c r="K61" t="s">
        <v>69</v>
      </c>
      <c r="L61" t="s">
        <v>30</v>
      </c>
      <c r="M61" t="s">
        <v>12</v>
      </c>
      <c r="N61" t="s">
        <v>87</v>
      </c>
      <c r="O61" t="s">
        <v>98</v>
      </c>
      <c r="P61">
        <v>340959</v>
      </c>
      <c r="Q61" t="s">
        <v>9</v>
      </c>
      <c r="R61" t="s">
        <v>5</v>
      </c>
      <c r="S61" t="s">
        <v>79</v>
      </c>
      <c r="T61">
        <v>115</v>
      </c>
      <c r="U61">
        <v>1.25</v>
      </c>
      <c r="V61" s="2">
        <v>5.2083333333333336E-2</v>
      </c>
      <c r="W61">
        <v>143.75</v>
      </c>
      <c r="AA61" t="s">
        <v>99</v>
      </c>
      <c r="AC61" t="s">
        <v>76</v>
      </c>
      <c r="AD61" t="s">
        <v>83</v>
      </c>
      <c r="AE61">
        <f t="shared" si="2"/>
        <v>1</v>
      </c>
      <c r="AF61" t="str">
        <f t="shared" si="3"/>
        <v>January</v>
      </c>
    </row>
    <row r="62" spans="1:32" x14ac:dyDescent="0.3">
      <c r="A62" s="1">
        <v>45644</v>
      </c>
      <c r="B62" t="s">
        <v>36</v>
      </c>
      <c r="C62" t="s">
        <v>95</v>
      </c>
      <c r="D62" t="s">
        <v>69</v>
      </c>
      <c r="E62" t="s">
        <v>86</v>
      </c>
      <c r="F62" t="s">
        <v>71</v>
      </c>
      <c r="G62" t="s">
        <v>72</v>
      </c>
      <c r="H62" t="s">
        <v>96</v>
      </c>
      <c r="I62" t="s">
        <v>97</v>
      </c>
      <c r="J62" t="s">
        <v>75</v>
      </c>
      <c r="K62" t="s">
        <v>69</v>
      </c>
      <c r="L62" t="s">
        <v>30</v>
      </c>
      <c r="M62" t="s">
        <v>12</v>
      </c>
      <c r="N62" t="s">
        <v>12</v>
      </c>
      <c r="O62" t="s">
        <v>98</v>
      </c>
      <c r="P62">
        <v>337493</v>
      </c>
      <c r="Q62" t="s">
        <v>9</v>
      </c>
      <c r="R62" t="s">
        <v>5</v>
      </c>
      <c r="S62" t="s">
        <v>79</v>
      </c>
      <c r="T62">
        <v>115</v>
      </c>
      <c r="U62">
        <v>1</v>
      </c>
      <c r="V62" s="2">
        <v>4.1666666666666664E-2</v>
      </c>
      <c r="W62">
        <v>115</v>
      </c>
      <c r="AA62" t="s">
        <v>99</v>
      </c>
      <c r="AB62" t="s">
        <v>81</v>
      </c>
      <c r="AC62" t="s">
        <v>109</v>
      </c>
      <c r="AD62" t="s">
        <v>83</v>
      </c>
      <c r="AE62">
        <f t="shared" si="2"/>
        <v>12</v>
      </c>
      <c r="AF62" t="str">
        <f t="shared" si="3"/>
        <v>December</v>
      </c>
    </row>
    <row r="63" spans="1:32" x14ac:dyDescent="0.3">
      <c r="A63" s="1">
        <v>45645</v>
      </c>
      <c r="B63" t="s">
        <v>36</v>
      </c>
      <c r="C63" t="s">
        <v>95</v>
      </c>
      <c r="D63" t="s">
        <v>69</v>
      </c>
      <c r="E63" t="s">
        <v>86</v>
      </c>
      <c r="F63" t="s">
        <v>71</v>
      </c>
      <c r="G63" t="s">
        <v>72</v>
      </c>
      <c r="H63" t="s">
        <v>96</v>
      </c>
      <c r="I63" t="s">
        <v>97</v>
      </c>
      <c r="J63" t="s">
        <v>75</v>
      </c>
      <c r="K63" t="s">
        <v>69</v>
      </c>
      <c r="L63" t="s">
        <v>30</v>
      </c>
      <c r="M63" t="s">
        <v>12</v>
      </c>
      <c r="N63" t="s">
        <v>12</v>
      </c>
      <c r="O63" t="s">
        <v>98</v>
      </c>
      <c r="P63">
        <v>337494</v>
      </c>
      <c r="Q63" t="s">
        <v>9</v>
      </c>
      <c r="R63" t="s">
        <v>5</v>
      </c>
      <c r="S63" t="s">
        <v>79</v>
      </c>
      <c r="T63">
        <v>115</v>
      </c>
      <c r="U63">
        <v>1</v>
      </c>
      <c r="V63" s="2">
        <v>4.1666666666666664E-2</v>
      </c>
      <c r="W63">
        <v>115</v>
      </c>
      <c r="AA63" t="s">
        <v>99</v>
      </c>
      <c r="AB63" t="s">
        <v>81</v>
      </c>
      <c r="AC63" t="s">
        <v>110</v>
      </c>
      <c r="AD63" t="s">
        <v>83</v>
      </c>
      <c r="AE63">
        <f t="shared" si="2"/>
        <v>12</v>
      </c>
      <c r="AF63" t="str">
        <f t="shared" si="3"/>
        <v>December</v>
      </c>
    </row>
    <row r="64" spans="1:32" x14ac:dyDescent="0.3">
      <c r="A64" s="1">
        <v>45649</v>
      </c>
      <c r="B64" t="s">
        <v>36</v>
      </c>
      <c r="C64" t="s">
        <v>95</v>
      </c>
      <c r="D64" t="s">
        <v>69</v>
      </c>
      <c r="E64" t="s">
        <v>86</v>
      </c>
      <c r="F64" t="s">
        <v>71</v>
      </c>
      <c r="G64" t="s">
        <v>72</v>
      </c>
      <c r="H64" t="s">
        <v>96</v>
      </c>
      <c r="I64" t="s">
        <v>97</v>
      </c>
      <c r="J64" t="s">
        <v>75</v>
      </c>
      <c r="K64" t="s">
        <v>69</v>
      </c>
      <c r="L64" t="s">
        <v>30</v>
      </c>
      <c r="M64" t="s">
        <v>12</v>
      </c>
      <c r="N64" t="s">
        <v>12</v>
      </c>
      <c r="O64" t="s">
        <v>98</v>
      </c>
      <c r="P64">
        <v>338763</v>
      </c>
      <c r="Q64" t="s">
        <v>9</v>
      </c>
      <c r="R64" t="s">
        <v>5</v>
      </c>
      <c r="S64" t="s">
        <v>79</v>
      </c>
      <c r="T64">
        <v>115</v>
      </c>
      <c r="U64">
        <v>8.5</v>
      </c>
      <c r="V64" s="2">
        <v>0.35416666666666669</v>
      </c>
      <c r="W64">
        <v>977.5</v>
      </c>
      <c r="AA64" t="s">
        <v>99</v>
      </c>
      <c r="AC64" t="s">
        <v>129</v>
      </c>
      <c r="AD64" t="s">
        <v>83</v>
      </c>
      <c r="AE64">
        <f t="shared" si="2"/>
        <v>12</v>
      </c>
      <c r="AF64" t="str">
        <f t="shared" si="3"/>
        <v>December</v>
      </c>
    </row>
    <row r="65" spans="1:32" x14ac:dyDescent="0.3">
      <c r="A65" s="1">
        <v>45650</v>
      </c>
      <c r="B65" t="s">
        <v>36</v>
      </c>
      <c r="C65" t="s">
        <v>95</v>
      </c>
      <c r="D65" t="s">
        <v>69</v>
      </c>
      <c r="E65" t="s">
        <v>86</v>
      </c>
      <c r="F65" t="s">
        <v>71</v>
      </c>
      <c r="G65" t="s">
        <v>72</v>
      </c>
      <c r="H65" t="s">
        <v>96</v>
      </c>
      <c r="I65" t="s">
        <v>97</v>
      </c>
      <c r="J65" t="s">
        <v>75</v>
      </c>
      <c r="K65" t="s">
        <v>69</v>
      </c>
      <c r="L65" t="s">
        <v>30</v>
      </c>
      <c r="M65" t="s">
        <v>12</v>
      </c>
      <c r="N65" t="s">
        <v>12</v>
      </c>
      <c r="O65" t="s">
        <v>98</v>
      </c>
      <c r="P65">
        <v>338764</v>
      </c>
      <c r="Q65" t="s">
        <v>9</v>
      </c>
      <c r="R65" t="s">
        <v>5</v>
      </c>
      <c r="S65" t="s">
        <v>79</v>
      </c>
      <c r="T65">
        <v>115</v>
      </c>
      <c r="U65">
        <v>8.5</v>
      </c>
      <c r="V65" s="2">
        <v>0.35416666666666669</v>
      </c>
      <c r="W65">
        <v>977.5</v>
      </c>
      <c r="AA65" t="s">
        <v>99</v>
      </c>
      <c r="AC65" t="s">
        <v>129</v>
      </c>
      <c r="AD65" t="s">
        <v>83</v>
      </c>
      <c r="AE65">
        <f t="shared" si="2"/>
        <v>12</v>
      </c>
      <c r="AF65" t="str">
        <f t="shared" si="3"/>
        <v>December</v>
      </c>
    </row>
    <row r="66" spans="1:32" x14ac:dyDescent="0.3">
      <c r="A66" s="1">
        <v>45652</v>
      </c>
      <c r="B66" t="s">
        <v>36</v>
      </c>
      <c r="C66" t="s">
        <v>95</v>
      </c>
      <c r="D66" t="s">
        <v>69</v>
      </c>
      <c r="E66" t="s">
        <v>86</v>
      </c>
      <c r="F66" t="s">
        <v>71</v>
      </c>
      <c r="G66" t="s">
        <v>72</v>
      </c>
      <c r="H66" t="s">
        <v>96</v>
      </c>
      <c r="I66" t="s">
        <v>97</v>
      </c>
      <c r="J66" t="s">
        <v>75</v>
      </c>
      <c r="K66" t="s">
        <v>69</v>
      </c>
      <c r="L66" t="s">
        <v>30</v>
      </c>
      <c r="M66" t="s">
        <v>12</v>
      </c>
      <c r="N66" t="s">
        <v>12</v>
      </c>
      <c r="O66" t="s">
        <v>98</v>
      </c>
      <c r="P66">
        <v>338765</v>
      </c>
      <c r="Q66" t="s">
        <v>9</v>
      </c>
      <c r="R66" t="s">
        <v>5</v>
      </c>
      <c r="S66" t="s">
        <v>79</v>
      </c>
      <c r="T66">
        <v>115</v>
      </c>
      <c r="U66">
        <v>8.5</v>
      </c>
      <c r="V66" s="2">
        <v>0.35416666666666669</v>
      </c>
      <c r="W66">
        <v>977.5</v>
      </c>
      <c r="AA66" t="s">
        <v>99</v>
      </c>
      <c r="AC66" t="s">
        <v>130</v>
      </c>
      <c r="AD66" t="s">
        <v>83</v>
      </c>
      <c r="AE66">
        <f t="shared" si="2"/>
        <v>12</v>
      </c>
      <c r="AF66" t="str">
        <f t="shared" si="3"/>
        <v>December</v>
      </c>
    </row>
    <row r="67" spans="1:32" x14ac:dyDescent="0.3">
      <c r="A67" s="1">
        <v>45653</v>
      </c>
      <c r="B67" t="s">
        <v>36</v>
      </c>
      <c r="C67" t="s">
        <v>95</v>
      </c>
      <c r="D67" t="s">
        <v>69</v>
      </c>
      <c r="E67" t="s">
        <v>86</v>
      </c>
      <c r="F67" t="s">
        <v>71</v>
      </c>
      <c r="G67" t="s">
        <v>72</v>
      </c>
      <c r="H67" t="s">
        <v>96</v>
      </c>
      <c r="I67" t="s">
        <v>97</v>
      </c>
      <c r="J67" t="s">
        <v>75</v>
      </c>
      <c r="K67" t="s">
        <v>69</v>
      </c>
      <c r="L67" t="s">
        <v>30</v>
      </c>
      <c r="M67" t="s">
        <v>12</v>
      </c>
      <c r="N67" t="s">
        <v>12</v>
      </c>
      <c r="O67" t="s">
        <v>98</v>
      </c>
      <c r="P67">
        <v>338766</v>
      </c>
      <c r="Q67" t="s">
        <v>9</v>
      </c>
      <c r="R67" t="s">
        <v>5</v>
      </c>
      <c r="S67" t="s">
        <v>79</v>
      </c>
      <c r="T67">
        <v>115</v>
      </c>
      <c r="U67">
        <v>8.5</v>
      </c>
      <c r="V67" s="2">
        <v>0.35416666666666669</v>
      </c>
      <c r="W67">
        <v>977.5</v>
      </c>
      <c r="AA67" t="s">
        <v>99</v>
      </c>
      <c r="AC67" t="s">
        <v>131</v>
      </c>
      <c r="AD67" t="s">
        <v>83</v>
      </c>
      <c r="AE67">
        <f t="shared" si="2"/>
        <v>12</v>
      </c>
      <c r="AF67" t="str">
        <f t="shared" si="3"/>
        <v>December</v>
      </c>
    </row>
    <row r="68" spans="1:32" x14ac:dyDescent="0.3">
      <c r="A68" s="1">
        <v>45656</v>
      </c>
      <c r="B68" t="s">
        <v>36</v>
      </c>
      <c r="C68" t="s">
        <v>95</v>
      </c>
      <c r="D68" t="s">
        <v>69</v>
      </c>
      <c r="E68" t="s">
        <v>86</v>
      </c>
      <c r="F68" t="s">
        <v>71</v>
      </c>
      <c r="G68" t="s">
        <v>72</v>
      </c>
      <c r="H68" t="s">
        <v>96</v>
      </c>
      <c r="I68" t="s">
        <v>97</v>
      </c>
      <c r="J68" t="s">
        <v>75</v>
      </c>
      <c r="K68" t="s">
        <v>69</v>
      </c>
      <c r="L68" t="s">
        <v>30</v>
      </c>
      <c r="M68" t="s">
        <v>12</v>
      </c>
      <c r="N68" t="s">
        <v>12</v>
      </c>
      <c r="O68" t="s">
        <v>98</v>
      </c>
      <c r="P68">
        <v>338770</v>
      </c>
      <c r="Q68" t="s">
        <v>9</v>
      </c>
      <c r="R68" t="s">
        <v>5</v>
      </c>
      <c r="S68" t="s">
        <v>79</v>
      </c>
      <c r="T68">
        <v>115</v>
      </c>
      <c r="U68">
        <v>8.5</v>
      </c>
      <c r="V68" s="2">
        <v>0.35416666666666669</v>
      </c>
      <c r="W68">
        <v>977.5</v>
      </c>
      <c r="AA68" t="s">
        <v>99</v>
      </c>
      <c r="AC68" t="s">
        <v>132</v>
      </c>
      <c r="AD68" t="s">
        <v>83</v>
      </c>
      <c r="AE68">
        <f t="shared" si="2"/>
        <v>12</v>
      </c>
      <c r="AF68" t="str">
        <f t="shared" si="3"/>
        <v>December</v>
      </c>
    </row>
    <row r="69" spans="1:32" x14ac:dyDescent="0.3">
      <c r="A69" s="1">
        <v>45657</v>
      </c>
      <c r="B69" t="s">
        <v>36</v>
      </c>
      <c r="C69" t="s">
        <v>95</v>
      </c>
      <c r="D69" t="s">
        <v>69</v>
      </c>
      <c r="E69" t="s">
        <v>86</v>
      </c>
      <c r="F69" t="s">
        <v>71</v>
      </c>
      <c r="G69" t="s">
        <v>72</v>
      </c>
      <c r="H69" t="s">
        <v>96</v>
      </c>
      <c r="I69" t="s">
        <v>97</v>
      </c>
      <c r="J69" t="s">
        <v>75</v>
      </c>
      <c r="K69" t="s">
        <v>69</v>
      </c>
      <c r="L69" t="s">
        <v>30</v>
      </c>
      <c r="M69" t="s">
        <v>12</v>
      </c>
      <c r="N69" t="s">
        <v>12</v>
      </c>
      <c r="O69" t="s">
        <v>98</v>
      </c>
      <c r="P69">
        <v>338771</v>
      </c>
      <c r="Q69" t="s">
        <v>9</v>
      </c>
      <c r="R69" t="s">
        <v>5</v>
      </c>
      <c r="S69" t="s">
        <v>79</v>
      </c>
      <c r="T69">
        <v>115</v>
      </c>
      <c r="U69">
        <v>8.5</v>
      </c>
      <c r="V69" s="2">
        <v>0.35416666666666669</v>
      </c>
      <c r="W69">
        <v>977.5</v>
      </c>
      <c r="AA69" t="s">
        <v>99</v>
      </c>
      <c r="AC69" t="s">
        <v>133</v>
      </c>
      <c r="AD69" t="s">
        <v>83</v>
      </c>
      <c r="AE69">
        <f t="shared" si="2"/>
        <v>12</v>
      </c>
      <c r="AF69" t="str">
        <f t="shared" si="3"/>
        <v>December</v>
      </c>
    </row>
    <row r="70" spans="1:32" x14ac:dyDescent="0.3">
      <c r="A70" s="1">
        <v>45659</v>
      </c>
      <c r="B70" t="s">
        <v>36</v>
      </c>
      <c r="C70" t="s">
        <v>95</v>
      </c>
      <c r="D70" t="s">
        <v>69</v>
      </c>
      <c r="E70" t="s">
        <v>86</v>
      </c>
      <c r="F70" t="s">
        <v>71</v>
      </c>
      <c r="G70" t="s">
        <v>72</v>
      </c>
      <c r="H70" t="s">
        <v>96</v>
      </c>
      <c r="I70" t="s">
        <v>97</v>
      </c>
      <c r="J70" t="s">
        <v>75</v>
      </c>
      <c r="K70" t="s">
        <v>69</v>
      </c>
      <c r="L70" t="s">
        <v>30</v>
      </c>
      <c r="M70" t="s">
        <v>12</v>
      </c>
      <c r="N70" t="s">
        <v>12</v>
      </c>
      <c r="O70" t="s">
        <v>98</v>
      </c>
      <c r="P70">
        <v>341088</v>
      </c>
      <c r="Q70" t="s">
        <v>9</v>
      </c>
      <c r="R70" t="s">
        <v>5</v>
      </c>
      <c r="S70" t="s">
        <v>79</v>
      </c>
      <c r="T70">
        <v>115</v>
      </c>
      <c r="U70">
        <v>8.5</v>
      </c>
      <c r="V70" s="2">
        <v>0.35416666666666669</v>
      </c>
      <c r="W70">
        <v>977.5</v>
      </c>
      <c r="AA70" t="s">
        <v>99</v>
      </c>
      <c r="AC70" t="s">
        <v>130</v>
      </c>
      <c r="AD70" t="s">
        <v>83</v>
      </c>
      <c r="AE70">
        <f t="shared" si="2"/>
        <v>1</v>
      </c>
      <c r="AF70" t="str">
        <f t="shared" si="3"/>
        <v>January</v>
      </c>
    </row>
    <row r="71" spans="1:32" x14ac:dyDescent="0.3">
      <c r="A71" s="1">
        <v>45660</v>
      </c>
      <c r="B71" t="s">
        <v>36</v>
      </c>
      <c r="C71" t="s">
        <v>95</v>
      </c>
      <c r="D71" t="s">
        <v>69</v>
      </c>
      <c r="E71" t="s">
        <v>86</v>
      </c>
      <c r="F71" t="s">
        <v>71</v>
      </c>
      <c r="G71" t="s">
        <v>72</v>
      </c>
      <c r="H71" t="s">
        <v>96</v>
      </c>
      <c r="I71" t="s">
        <v>97</v>
      </c>
      <c r="J71" t="s">
        <v>75</v>
      </c>
      <c r="K71" t="s">
        <v>69</v>
      </c>
      <c r="L71" t="s">
        <v>30</v>
      </c>
      <c r="M71" t="s">
        <v>12</v>
      </c>
      <c r="N71" t="s">
        <v>12</v>
      </c>
      <c r="O71" t="s">
        <v>98</v>
      </c>
      <c r="P71">
        <v>341089</v>
      </c>
      <c r="Q71" t="s">
        <v>9</v>
      </c>
      <c r="R71" t="s">
        <v>5</v>
      </c>
      <c r="S71" t="s">
        <v>79</v>
      </c>
      <c r="T71">
        <v>115</v>
      </c>
      <c r="U71">
        <v>8.5</v>
      </c>
      <c r="V71" s="2">
        <v>0.35416666666666669</v>
      </c>
      <c r="W71">
        <v>977.5</v>
      </c>
      <c r="AA71" t="s">
        <v>99</v>
      </c>
      <c r="AC71" t="s">
        <v>130</v>
      </c>
      <c r="AD71" t="s">
        <v>83</v>
      </c>
      <c r="AE71">
        <f t="shared" si="2"/>
        <v>1</v>
      </c>
      <c r="AF71" t="str">
        <f t="shared" si="3"/>
        <v>January</v>
      </c>
    </row>
    <row r="72" spans="1:32" x14ac:dyDescent="0.3">
      <c r="A72" s="1">
        <v>45663</v>
      </c>
      <c r="B72" t="s">
        <v>36</v>
      </c>
      <c r="C72" t="s">
        <v>95</v>
      </c>
      <c r="D72" t="s">
        <v>69</v>
      </c>
      <c r="E72" t="s">
        <v>86</v>
      </c>
      <c r="F72" t="s">
        <v>71</v>
      </c>
      <c r="G72" t="s">
        <v>72</v>
      </c>
      <c r="H72" t="s">
        <v>96</v>
      </c>
      <c r="I72" t="s">
        <v>97</v>
      </c>
      <c r="J72" t="s">
        <v>75</v>
      </c>
      <c r="K72" t="s">
        <v>69</v>
      </c>
      <c r="L72" t="s">
        <v>30</v>
      </c>
      <c r="M72" t="s">
        <v>12</v>
      </c>
      <c r="N72" t="s">
        <v>12</v>
      </c>
      <c r="O72" t="s">
        <v>98</v>
      </c>
      <c r="P72">
        <v>341095</v>
      </c>
      <c r="Q72" t="s">
        <v>9</v>
      </c>
      <c r="R72" t="s">
        <v>5</v>
      </c>
      <c r="S72" t="s">
        <v>79</v>
      </c>
      <c r="T72">
        <v>115</v>
      </c>
      <c r="U72">
        <v>8.5</v>
      </c>
      <c r="V72" s="2">
        <v>0.35416666666666669</v>
      </c>
      <c r="W72">
        <v>977.5</v>
      </c>
      <c r="AA72" t="s">
        <v>99</v>
      </c>
      <c r="AC72" t="s">
        <v>134</v>
      </c>
      <c r="AD72" t="s">
        <v>83</v>
      </c>
      <c r="AE72">
        <f t="shared" si="2"/>
        <v>1</v>
      </c>
      <c r="AF72" t="str">
        <f t="shared" si="3"/>
        <v>January</v>
      </c>
    </row>
    <row r="73" spans="1:32" x14ac:dyDescent="0.3">
      <c r="A73" s="1">
        <v>45664</v>
      </c>
      <c r="B73" t="s">
        <v>36</v>
      </c>
      <c r="C73" t="s">
        <v>95</v>
      </c>
      <c r="D73" t="s">
        <v>69</v>
      </c>
      <c r="E73" t="s">
        <v>86</v>
      </c>
      <c r="F73" t="s">
        <v>71</v>
      </c>
      <c r="G73" t="s">
        <v>72</v>
      </c>
      <c r="H73" t="s">
        <v>96</v>
      </c>
      <c r="I73" t="s">
        <v>97</v>
      </c>
      <c r="J73" t="s">
        <v>75</v>
      </c>
      <c r="K73" t="s">
        <v>69</v>
      </c>
      <c r="L73" t="s">
        <v>30</v>
      </c>
      <c r="M73" t="s">
        <v>12</v>
      </c>
      <c r="N73" t="s">
        <v>12</v>
      </c>
      <c r="O73" t="s">
        <v>98</v>
      </c>
      <c r="P73">
        <v>341096</v>
      </c>
      <c r="Q73" t="s">
        <v>9</v>
      </c>
      <c r="R73" t="s">
        <v>5</v>
      </c>
      <c r="S73" t="s">
        <v>79</v>
      </c>
      <c r="T73">
        <v>115</v>
      </c>
      <c r="U73">
        <v>8.5</v>
      </c>
      <c r="V73" s="2">
        <v>0.35416666666666669</v>
      </c>
      <c r="W73">
        <v>977.5</v>
      </c>
      <c r="AA73" t="s">
        <v>99</v>
      </c>
      <c r="AC73" t="s">
        <v>135</v>
      </c>
      <c r="AD73" t="s">
        <v>83</v>
      </c>
      <c r="AE73">
        <f t="shared" si="2"/>
        <v>1</v>
      </c>
      <c r="AF73" t="str">
        <f t="shared" si="3"/>
        <v>January</v>
      </c>
    </row>
    <row r="74" spans="1:32" x14ac:dyDescent="0.3">
      <c r="A74" s="1">
        <v>45665</v>
      </c>
      <c r="B74" t="s">
        <v>36</v>
      </c>
      <c r="C74" t="s">
        <v>95</v>
      </c>
      <c r="D74" t="s">
        <v>69</v>
      </c>
      <c r="E74" t="s">
        <v>86</v>
      </c>
      <c r="F74" t="s">
        <v>71</v>
      </c>
      <c r="G74" t="s">
        <v>72</v>
      </c>
      <c r="H74" t="s">
        <v>96</v>
      </c>
      <c r="I74" t="s">
        <v>97</v>
      </c>
      <c r="J74" t="s">
        <v>75</v>
      </c>
      <c r="K74" t="s">
        <v>69</v>
      </c>
      <c r="L74" t="s">
        <v>30</v>
      </c>
      <c r="M74" t="s">
        <v>12</v>
      </c>
      <c r="N74" t="s">
        <v>12</v>
      </c>
      <c r="O74" t="s">
        <v>98</v>
      </c>
      <c r="P74">
        <v>341097</v>
      </c>
      <c r="Q74" t="s">
        <v>9</v>
      </c>
      <c r="R74" t="s">
        <v>5</v>
      </c>
      <c r="S74" t="s">
        <v>79</v>
      </c>
      <c r="T74">
        <v>115</v>
      </c>
      <c r="U74">
        <v>8.5</v>
      </c>
      <c r="V74" s="2">
        <v>0.35416666666666669</v>
      </c>
      <c r="W74">
        <v>977.5</v>
      </c>
      <c r="AA74" t="s">
        <v>99</v>
      </c>
      <c r="AC74" t="s">
        <v>135</v>
      </c>
      <c r="AD74" t="s">
        <v>83</v>
      </c>
      <c r="AE74">
        <f t="shared" si="2"/>
        <v>1</v>
      </c>
      <c r="AF74" t="str">
        <f t="shared" si="3"/>
        <v>January</v>
      </c>
    </row>
    <row r="75" spans="1:32" x14ac:dyDescent="0.3">
      <c r="A75" s="1">
        <v>45666</v>
      </c>
      <c r="B75" t="s">
        <v>36</v>
      </c>
      <c r="C75" t="s">
        <v>95</v>
      </c>
      <c r="D75" t="s">
        <v>69</v>
      </c>
      <c r="E75" t="s">
        <v>86</v>
      </c>
      <c r="F75" t="s">
        <v>71</v>
      </c>
      <c r="G75" t="s">
        <v>72</v>
      </c>
      <c r="H75" t="s">
        <v>96</v>
      </c>
      <c r="I75" t="s">
        <v>97</v>
      </c>
      <c r="J75" t="s">
        <v>75</v>
      </c>
      <c r="K75" t="s">
        <v>69</v>
      </c>
      <c r="L75" t="s">
        <v>30</v>
      </c>
      <c r="M75" t="s">
        <v>12</v>
      </c>
      <c r="N75" t="s">
        <v>12</v>
      </c>
      <c r="O75" t="s">
        <v>98</v>
      </c>
      <c r="P75">
        <v>341098</v>
      </c>
      <c r="Q75" t="s">
        <v>9</v>
      </c>
      <c r="R75" t="s">
        <v>5</v>
      </c>
      <c r="S75" t="s">
        <v>79</v>
      </c>
      <c r="T75">
        <v>115</v>
      </c>
      <c r="U75">
        <v>8.5</v>
      </c>
      <c r="V75" s="2">
        <v>0.35416666666666669</v>
      </c>
      <c r="W75">
        <v>977.5</v>
      </c>
      <c r="AA75" t="s">
        <v>99</v>
      </c>
      <c r="AC75" t="s">
        <v>135</v>
      </c>
      <c r="AD75" t="s">
        <v>83</v>
      </c>
      <c r="AE75">
        <f t="shared" si="2"/>
        <v>1</v>
      </c>
      <c r="AF75" t="str">
        <f t="shared" si="3"/>
        <v>January</v>
      </c>
    </row>
    <row r="76" spans="1:32" x14ac:dyDescent="0.3">
      <c r="A76" s="1">
        <v>45667</v>
      </c>
      <c r="B76" t="s">
        <v>36</v>
      </c>
      <c r="C76" t="s">
        <v>95</v>
      </c>
      <c r="D76" t="s">
        <v>69</v>
      </c>
      <c r="E76" t="s">
        <v>86</v>
      </c>
      <c r="F76" t="s">
        <v>71</v>
      </c>
      <c r="G76" t="s">
        <v>72</v>
      </c>
      <c r="H76" t="s">
        <v>96</v>
      </c>
      <c r="I76" t="s">
        <v>97</v>
      </c>
      <c r="J76" t="s">
        <v>75</v>
      </c>
      <c r="K76" t="s">
        <v>69</v>
      </c>
      <c r="L76" t="s">
        <v>30</v>
      </c>
      <c r="M76" t="s">
        <v>12</v>
      </c>
      <c r="N76" t="s">
        <v>12</v>
      </c>
      <c r="O76" t="s">
        <v>98</v>
      </c>
      <c r="P76">
        <v>341099</v>
      </c>
      <c r="Q76" t="s">
        <v>9</v>
      </c>
      <c r="R76" t="s">
        <v>5</v>
      </c>
      <c r="S76" t="s">
        <v>79</v>
      </c>
      <c r="T76">
        <v>115</v>
      </c>
      <c r="U76">
        <v>8.5</v>
      </c>
      <c r="V76" s="2">
        <v>0.35416666666666669</v>
      </c>
      <c r="W76">
        <v>977.5</v>
      </c>
      <c r="AA76" t="s">
        <v>99</v>
      </c>
      <c r="AC76" t="s">
        <v>136</v>
      </c>
      <c r="AD76" t="s">
        <v>83</v>
      </c>
      <c r="AE76">
        <f t="shared" si="2"/>
        <v>1</v>
      </c>
      <c r="AF76" t="str">
        <f t="shared" si="3"/>
        <v>January</v>
      </c>
    </row>
    <row r="77" spans="1:32" x14ac:dyDescent="0.3">
      <c r="A77" s="1">
        <v>45632</v>
      </c>
      <c r="B77" t="s">
        <v>12</v>
      </c>
      <c r="C77" t="s">
        <v>68</v>
      </c>
      <c r="D77" t="s">
        <v>69</v>
      </c>
      <c r="E77" t="s">
        <v>86</v>
      </c>
      <c r="F77" t="s">
        <v>71</v>
      </c>
      <c r="G77" t="s">
        <v>72</v>
      </c>
      <c r="H77" t="s">
        <v>96</v>
      </c>
      <c r="I77" t="s">
        <v>97</v>
      </c>
      <c r="J77" t="s">
        <v>75</v>
      </c>
      <c r="K77" t="s">
        <v>69</v>
      </c>
      <c r="L77" t="s">
        <v>30</v>
      </c>
      <c r="M77" t="s">
        <v>12</v>
      </c>
      <c r="N77" t="s">
        <v>76</v>
      </c>
      <c r="O77" t="s">
        <v>98</v>
      </c>
      <c r="P77">
        <v>337900</v>
      </c>
      <c r="Q77" t="s">
        <v>9</v>
      </c>
      <c r="R77" t="s">
        <v>5</v>
      </c>
      <c r="S77" t="s">
        <v>79</v>
      </c>
      <c r="T77">
        <v>115</v>
      </c>
      <c r="U77">
        <v>1</v>
      </c>
      <c r="V77" s="2">
        <v>4.1666666666666664E-2</v>
      </c>
      <c r="W77">
        <v>115</v>
      </c>
      <c r="AA77" t="s">
        <v>99</v>
      </c>
      <c r="AB77" t="s">
        <v>81</v>
      </c>
      <c r="AC77" t="s">
        <v>111</v>
      </c>
      <c r="AD77" t="s">
        <v>83</v>
      </c>
      <c r="AE77">
        <f t="shared" si="2"/>
        <v>12</v>
      </c>
      <c r="AF77" t="str">
        <f t="shared" si="3"/>
        <v>December</v>
      </c>
    </row>
    <row r="78" spans="1:32" x14ac:dyDescent="0.3">
      <c r="A78" s="1">
        <v>45635</v>
      </c>
      <c r="B78" t="s">
        <v>12</v>
      </c>
      <c r="C78" t="s">
        <v>68</v>
      </c>
      <c r="D78" t="s">
        <v>69</v>
      </c>
      <c r="E78" t="s">
        <v>86</v>
      </c>
      <c r="F78" t="s">
        <v>71</v>
      </c>
      <c r="G78" t="s">
        <v>72</v>
      </c>
      <c r="H78" t="s">
        <v>96</v>
      </c>
      <c r="I78" t="s">
        <v>97</v>
      </c>
      <c r="J78" t="s">
        <v>75</v>
      </c>
      <c r="K78" t="s">
        <v>69</v>
      </c>
      <c r="L78" t="s">
        <v>30</v>
      </c>
      <c r="M78" t="s">
        <v>12</v>
      </c>
      <c r="N78" t="s">
        <v>76</v>
      </c>
      <c r="O78" t="s">
        <v>98</v>
      </c>
      <c r="P78">
        <v>337920</v>
      </c>
      <c r="Q78" t="s">
        <v>9</v>
      </c>
      <c r="R78" t="s">
        <v>5</v>
      </c>
      <c r="S78" t="s">
        <v>79</v>
      </c>
      <c r="T78">
        <v>115</v>
      </c>
      <c r="U78">
        <v>1</v>
      </c>
      <c r="V78" s="2">
        <v>4.1666666666666664E-2</v>
      </c>
      <c r="W78">
        <v>115</v>
      </c>
      <c r="AA78" t="s">
        <v>99</v>
      </c>
      <c r="AB78" t="s">
        <v>81</v>
      </c>
      <c r="AC78" t="s">
        <v>111</v>
      </c>
      <c r="AD78" t="s">
        <v>83</v>
      </c>
      <c r="AE78">
        <f t="shared" si="2"/>
        <v>12</v>
      </c>
      <c r="AF78" t="str">
        <f t="shared" si="3"/>
        <v>December</v>
      </c>
    </row>
    <row r="79" spans="1:32" x14ac:dyDescent="0.3">
      <c r="A79" s="1">
        <v>45644</v>
      </c>
      <c r="B79" t="s">
        <v>12</v>
      </c>
      <c r="C79" t="s">
        <v>68</v>
      </c>
      <c r="D79" t="s">
        <v>69</v>
      </c>
      <c r="E79" t="s">
        <v>86</v>
      </c>
      <c r="F79" t="s">
        <v>71</v>
      </c>
      <c r="G79" t="s">
        <v>72</v>
      </c>
      <c r="H79" t="s">
        <v>96</v>
      </c>
      <c r="I79" t="s">
        <v>97</v>
      </c>
      <c r="J79" t="s">
        <v>75</v>
      </c>
      <c r="K79" t="s">
        <v>69</v>
      </c>
      <c r="L79" t="s">
        <v>30</v>
      </c>
      <c r="M79" t="s">
        <v>12</v>
      </c>
      <c r="N79" t="s">
        <v>76</v>
      </c>
      <c r="O79" t="s">
        <v>98</v>
      </c>
      <c r="P79">
        <v>337955</v>
      </c>
      <c r="Q79" t="s">
        <v>9</v>
      </c>
      <c r="R79" t="s">
        <v>5</v>
      </c>
      <c r="S79" t="s">
        <v>79</v>
      </c>
      <c r="T79">
        <v>115</v>
      </c>
      <c r="U79">
        <v>1</v>
      </c>
      <c r="V79" s="2">
        <v>4.1666666666666664E-2</v>
      </c>
      <c r="W79">
        <v>115</v>
      </c>
      <c r="AA79" t="s">
        <v>99</v>
      </c>
      <c r="AB79" t="s">
        <v>81</v>
      </c>
      <c r="AC79" t="s">
        <v>112</v>
      </c>
      <c r="AD79" t="s">
        <v>83</v>
      </c>
      <c r="AE79">
        <f t="shared" si="2"/>
        <v>12</v>
      </c>
      <c r="AF79" t="str">
        <f t="shared" si="3"/>
        <v>December</v>
      </c>
    </row>
    <row r="80" spans="1:32" x14ac:dyDescent="0.3">
      <c r="A80" s="1">
        <v>45645</v>
      </c>
      <c r="B80" t="s">
        <v>12</v>
      </c>
      <c r="C80" t="s">
        <v>68</v>
      </c>
      <c r="D80" t="s">
        <v>69</v>
      </c>
      <c r="E80" t="s">
        <v>86</v>
      </c>
      <c r="F80" t="s">
        <v>71</v>
      </c>
      <c r="G80" t="s">
        <v>72</v>
      </c>
      <c r="H80" t="s">
        <v>96</v>
      </c>
      <c r="I80" t="s">
        <v>97</v>
      </c>
      <c r="J80" t="s">
        <v>75</v>
      </c>
      <c r="K80" t="s">
        <v>69</v>
      </c>
      <c r="L80" t="s">
        <v>30</v>
      </c>
      <c r="M80" t="s">
        <v>12</v>
      </c>
      <c r="N80" t="s">
        <v>76</v>
      </c>
      <c r="O80" t="s">
        <v>98</v>
      </c>
      <c r="P80">
        <v>337956</v>
      </c>
      <c r="Q80" t="s">
        <v>9</v>
      </c>
      <c r="R80" t="s">
        <v>5</v>
      </c>
      <c r="S80" t="s">
        <v>79</v>
      </c>
      <c r="T80">
        <v>115</v>
      </c>
      <c r="U80">
        <v>4</v>
      </c>
      <c r="V80" s="2">
        <v>0.16666666666666666</v>
      </c>
      <c r="W80">
        <v>460</v>
      </c>
      <c r="AA80" t="s">
        <v>99</v>
      </c>
      <c r="AB80" t="s">
        <v>81</v>
      </c>
      <c r="AC80" t="s">
        <v>113</v>
      </c>
      <c r="AD80" t="s">
        <v>83</v>
      </c>
      <c r="AE80">
        <f t="shared" si="2"/>
        <v>12</v>
      </c>
      <c r="AF80" t="str">
        <f t="shared" si="3"/>
        <v>December</v>
      </c>
    </row>
    <row r="81" spans="1:32" x14ac:dyDescent="0.3">
      <c r="A81" s="1">
        <v>45646</v>
      </c>
      <c r="B81" t="s">
        <v>12</v>
      </c>
      <c r="C81" t="s">
        <v>68</v>
      </c>
      <c r="D81" t="s">
        <v>69</v>
      </c>
      <c r="E81" t="s">
        <v>86</v>
      </c>
      <c r="F81" t="s">
        <v>71</v>
      </c>
      <c r="G81" t="s">
        <v>72</v>
      </c>
      <c r="H81" t="s">
        <v>96</v>
      </c>
      <c r="I81" t="s">
        <v>97</v>
      </c>
      <c r="J81" t="s">
        <v>75</v>
      </c>
      <c r="K81" t="s">
        <v>69</v>
      </c>
      <c r="L81" t="s">
        <v>30</v>
      </c>
      <c r="M81" t="s">
        <v>12</v>
      </c>
      <c r="N81" t="s">
        <v>76</v>
      </c>
      <c r="O81" t="s">
        <v>98</v>
      </c>
      <c r="P81">
        <v>337957</v>
      </c>
      <c r="Q81" t="s">
        <v>9</v>
      </c>
      <c r="R81" t="s">
        <v>5</v>
      </c>
      <c r="S81" t="s">
        <v>79</v>
      </c>
      <c r="T81">
        <v>115</v>
      </c>
      <c r="U81">
        <v>4</v>
      </c>
      <c r="V81" s="2">
        <v>0.16666666666666666</v>
      </c>
      <c r="W81">
        <v>460</v>
      </c>
      <c r="AA81" t="s">
        <v>99</v>
      </c>
      <c r="AB81" t="s">
        <v>81</v>
      </c>
      <c r="AC81" t="s">
        <v>113</v>
      </c>
      <c r="AD81" t="s">
        <v>83</v>
      </c>
      <c r="AE81">
        <f t="shared" si="2"/>
        <v>12</v>
      </c>
      <c r="AF81" t="str">
        <f t="shared" si="3"/>
        <v>December</v>
      </c>
    </row>
    <row r="82" spans="1:32" x14ac:dyDescent="0.3">
      <c r="A82" s="1">
        <v>45664</v>
      </c>
      <c r="B82" t="s">
        <v>137</v>
      </c>
      <c r="C82" t="s">
        <v>68</v>
      </c>
      <c r="D82" t="s">
        <v>69</v>
      </c>
      <c r="E82" t="s">
        <v>70</v>
      </c>
      <c r="F82" t="s">
        <v>71</v>
      </c>
      <c r="G82" t="s">
        <v>72</v>
      </c>
      <c r="H82" t="s">
        <v>96</v>
      </c>
      <c r="I82" t="s">
        <v>97</v>
      </c>
      <c r="J82" t="s">
        <v>75</v>
      </c>
      <c r="K82" t="s">
        <v>69</v>
      </c>
      <c r="L82" t="s">
        <v>30</v>
      </c>
      <c r="M82" t="s">
        <v>12</v>
      </c>
      <c r="N82" t="s">
        <v>76</v>
      </c>
      <c r="O82" t="s">
        <v>98</v>
      </c>
      <c r="P82">
        <v>339774</v>
      </c>
      <c r="Q82" t="s">
        <v>9</v>
      </c>
      <c r="R82" t="s">
        <v>5</v>
      </c>
      <c r="S82" t="s">
        <v>79</v>
      </c>
      <c r="T82">
        <v>115</v>
      </c>
      <c r="U82">
        <v>2.5</v>
      </c>
      <c r="V82" s="2">
        <v>0.10416666666666667</v>
      </c>
      <c r="W82">
        <v>287.5</v>
      </c>
      <c r="AA82" t="s">
        <v>99</v>
      </c>
      <c r="AC82" t="s">
        <v>76</v>
      </c>
      <c r="AD82" t="s">
        <v>83</v>
      </c>
      <c r="AE82">
        <f t="shared" si="2"/>
        <v>1</v>
      </c>
      <c r="AF82" t="str">
        <f t="shared" si="3"/>
        <v>January</v>
      </c>
    </row>
    <row r="83" spans="1:32" x14ac:dyDescent="0.3">
      <c r="A83" s="1">
        <v>45665</v>
      </c>
      <c r="B83" t="s">
        <v>137</v>
      </c>
      <c r="C83" t="s">
        <v>68</v>
      </c>
      <c r="D83" t="s">
        <v>69</v>
      </c>
      <c r="E83" t="s">
        <v>70</v>
      </c>
      <c r="F83" t="s">
        <v>71</v>
      </c>
      <c r="G83" t="s">
        <v>72</v>
      </c>
      <c r="H83" t="s">
        <v>96</v>
      </c>
      <c r="I83" t="s">
        <v>97</v>
      </c>
      <c r="J83" t="s">
        <v>75</v>
      </c>
      <c r="K83" t="s">
        <v>69</v>
      </c>
      <c r="L83" t="s">
        <v>30</v>
      </c>
      <c r="M83" t="s">
        <v>12</v>
      </c>
      <c r="N83" t="s">
        <v>76</v>
      </c>
      <c r="O83" t="s">
        <v>98</v>
      </c>
      <c r="P83">
        <v>339973</v>
      </c>
      <c r="Q83" t="s">
        <v>9</v>
      </c>
      <c r="R83" t="s">
        <v>5</v>
      </c>
      <c r="S83" t="s">
        <v>79</v>
      </c>
      <c r="T83">
        <v>115</v>
      </c>
      <c r="U83">
        <v>5</v>
      </c>
      <c r="V83" s="2">
        <v>0.20833333333333334</v>
      </c>
      <c r="W83">
        <v>575</v>
      </c>
      <c r="AA83" t="s">
        <v>99</v>
      </c>
      <c r="AC83" t="s">
        <v>76</v>
      </c>
      <c r="AD83" t="s">
        <v>83</v>
      </c>
      <c r="AE83">
        <f t="shared" si="2"/>
        <v>1</v>
      </c>
      <c r="AF83" t="str">
        <f t="shared" si="3"/>
        <v>January</v>
      </c>
    </row>
    <row r="84" spans="1:32" x14ac:dyDescent="0.3">
      <c r="A84" s="1">
        <v>45666</v>
      </c>
      <c r="B84" t="s">
        <v>137</v>
      </c>
      <c r="C84" t="s">
        <v>68</v>
      </c>
      <c r="D84" t="s">
        <v>69</v>
      </c>
      <c r="E84" t="s">
        <v>70</v>
      </c>
      <c r="F84" t="s">
        <v>71</v>
      </c>
      <c r="G84" t="s">
        <v>72</v>
      </c>
      <c r="H84" t="s">
        <v>96</v>
      </c>
      <c r="I84" t="s">
        <v>97</v>
      </c>
      <c r="J84" t="s">
        <v>75</v>
      </c>
      <c r="K84" t="s">
        <v>69</v>
      </c>
      <c r="L84" t="s">
        <v>30</v>
      </c>
      <c r="M84" t="s">
        <v>12</v>
      </c>
      <c r="N84" t="s">
        <v>76</v>
      </c>
      <c r="O84" t="s">
        <v>98</v>
      </c>
      <c r="P84">
        <v>340611</v>
      </c>
      <c r="Q84" t="s">
        <v>9</v>
      </c>
      <c r="R84" t="s">
        <v>5</v>
      </c>
      <c r="S84" t="s">
        <v>79</v>
      </c>
      <c r="T84">
        <v>115</v>
      </c>
      <c r="U84">
        <v>6.75</v>
      </c>
      <c r="V84" s="2">
        <v>0.28125</v>
      </c>
      <c r="W84">
        <v>776.25</v>
      </c>
      <c r="AA84" t="s">
        <v>99</v>
      </c>
      <c r="AC84" t="s">
        <v>76</v>
      </c>
      <c r="AD84" t="s">
        <v>83</v>
      </c>
      <c r="AE84">
        <f t="shared" si="2"/>
        <v>1</v>
      </c>
      <c r="AF84" t="str">
        <f t="shared" si="3"/>
        <v>January</v>
      </c>
    </row>
    <row r="85" spans="1:32" x14ac:dyDescent="0.3">
      <c r="A85" s="1">
        <v>45667</v>
      </c>
      <c r="B85" t="s">
        <v>137</v>
      </c>
      <c r="C85" t="s">
        <v>68</v>
      </c>
      <c r="D85" t="s">
        <v>69</v>
      </c>
      <c r="E85" t="s">
        <v>70</v>
      </c>
      <c r="F85" t="s">
        <v>71</v>
      </c>
      <c r="G85" t="s">
        <v>72</v>
      </c>
      <c r="H85" t="s">
        <v>96</v>
      </c>
      <c r="I85" t="s">
        <v>97</v>
      </c>
      <c r="J85" t="s">
        <v>75</v>
      </c>
      <c r="K85" t="s">
        <v>69</v>
      </c>
      <c r="L85" t="s">
        <v>30</v>
      </c>
      <c r="M85" t="s">
        <v>12</v>
      </c>
      <c r="N85" t="s">
        <v>76</v>
      </c>
      <c r="O85" t="s">
        <v>98</v>
      </c>
      <c r="P85">
        <v>340884</v>
      </c>
      <c r="Q85" t="s">
        <v>9</v>
      </c>
      <c r="R85" t="s">
        <v>5</v>
      </c>
      <c r="S85" t="s">
        <v>79</v>
      </c>
      <c r="T85">
        <v>115</v>
      </c>
      <c r="U85">
        <v>7</v>
      </c>
      <c r="V85" s="2">
        <v>0.29166666666666669</v>
      </c>
      <c r="W85">
        <v>805</v>
      </c>
      <c r="AA85" t="s">
        <v>99</v>
      </c>
      <c r="AC85" t="s">
        <v>76</v>
      </c>
      <c r="AD85" t="s">
        <v>83</v>
      </c>
      <c r="AE85">
        <f t="shared" si="2"/>
        <v>1</v>
      </c>
      <c r="AF85" t="str">
        <f t="shared" si="3"/>
        <v>January</v>
      </c>
    </row>
    <row r="86" spans="1:32" x14ac:dyDescent="0.3">
      <c r="A86" s="1">
        <v>45643</v>
      </c>
      <c r="B86" t="s">
        <v>30</v>
      </c>
      <c r="C86" t="s">
        <v>68</v>
      </c>
      <c r="D86" t="s">
        <v>69</v>
      </c>
      <c r="E86" t="s">
        <v>86</v>
      </c>
      <c r="F86" t="s">
        <v>71</v>
      </c>
      <c r="G86" t="s">
        <v>72</v>
      </c>
      <c r="H86" t="s">
        <v>96</v>
      </c>
      <c r="I86" t="s">
        <v>97</v>
      </c>
      <c r="J86" t="s">
        <v>75</v>
      </c>
      <c r="K86" t="s">
        <v>69</v>
      </c>
      <c r="L86" t="s">
        <v>30</v>
      </c>
      <c r="M86" t="s">
        <v>12</v>
      </c>
      <c r="N86" t="s">
        <v>76</v>
      </c>
      <c r="O86" t="s">
        <v>98</v>
      </c>
      <c r="P86">
        <v>336419</v>
      </c>
      <c r="Q86" t="s">
        <v>9</v>
      </c>
      <c r="R86" t="s">
        <v>5</v>
      </c>
      <c r="S86" t="s">
        <v>79</v>
      </c>
      <c r="T86">
        <v>115</v>
      </c>
      <c r="U86">
        <v>1.5</v>
      </c>
      <c r="V86" s="2">
        <v>6.25E-2</v>
      </c>
      <c r="W86">
        <v>172.5</v>
      </c>
      <c r="AA86" t="s">
        <v>99</v>
      </c>
      <c r="AB86" t="s">
        <v>81</v>
      </c>
      <c r="AC86" t="s">
        <v>76</v>
      </c>
      <c r="AD86" t="s">
        <v>83</v>
      </c>
      <c r="AE86">
        <f t="shared" si="2"/>
        <v>12</v>
      </c>
      <c r="AF86" t="str">
        <f t="shared" si="3"/>
        <v>December</v>
      </c>
    </row>
    <row r="87" spans="1:32" x14ac:dyDescent="0.3">
      <c r="A87" s="1">
        <v>45644</v>
      </c>
      <c r="B87" t="s">
        <v>30</v>
      </c>
      <c r="C87" t="s">
        <v>68</v>
      </c>
      <c r="D87" t="s">
        <v>69</v>
      </c>
      <c r="E87" t="s">
        <v>86</v>
      </c>
      <c r="F87" t="s">
        <v>71</v>
      </c>
      <c r="G87" t="s">
        <v>72</v>
      </c>
      <c r="H87" t="s">
        <v>96</v>
      </c>
      <c r="I87" t="s">
        <v>97</v>
      </c>
      <c r="J87" t="s">
        <v>75</v>
      </c>
      <c r="K87" t="s">
        <v>69</v>
      </c>
      <c r="L87" t="s">
        <v>30</v>
      </c>
      <c r="M87" t="s">
        <v>12</v>
      </c>
      <c r="N87" t="s">
        <v>76</v>
      </c>
      <c r="O87" t="s">
        <v>98</v>
      </c>
      <c r="P87">
        <v>336414</v>
      </c>
      <c r="Q87" t="s">
        <v>9</v>
      </c>
      <c r="R87" t="s">
        <v>5</v>
      </c>
      <c r="S87" t="s">
        <v>79</v>
      </c>
      <c r="T87">
        <v>115</v>
      </c>
      <c r="U87">
        <v>1</v>
      </c>
      <c r="V87" s="2">
        <v>4.1666666666666664E-2</v>
      </c>
      <c r="W87">
        <v>115</v>
      </c>
      <c r="AA87" t="s">
        <v>99</v>
      </c>
      <c r="AB87" t="s">
        <v>81</v>
      </c>
      <c r="AC87" t="s">
        <v>76</v>
      </c>
      <c r="AD87" t="s">
        <v>83</v>
      </c>
      <c r="AE87">
        <f t="shared" si="2"/>
        <v>12</v>
      </c>
      <c r="AF87" t="str">
        <f t="shared" si="3"/>
        <v>December</v>
      </c>
    </row>
    <row r="88" spans="1:32" x14ac:dyDescent="0.3">
      <c r="A88" s="1">
        <v>45645</v>
      </c>
      <c r="B88" t="s">
        <v>30</v>
      </c>
      <c r="C88" t="s">
        <v>68</v>
      </c>
      <c r="D88" t="s">
        <v>69</v>
      </c>
      <c r="E88" t="s">
        <v>86</v>
      </c>
      <c r="F88" t="s">
        <v>71</v>
      </c>
      <c r="G88" t="s">
        <v>72</v>
      </c>
      <c r="H88" t="s">
        <v>96</v>
      </c>
      <c r="I88" t="s">
        <v>97</v>
      </c>
      <c r="J88" t="s">
        <v>75</v>
      </c>
      <c r="K88" t="s">
        <v>69</v>
      </c>
      <c r="L88" t="s">
        <v>30</v>
      </c>
      <c r="M88" t="s">
        <v>12</v>
      </c>
      <c r="N88" t="s">
        <v>76</v>
      </c>
      <c r="O88" t="s">
        <v>98</v>
      </c>
      <c r="P88">
        <v>337668</v>
      </c>
      <c r="Q88" t="s">
        <v>9</v>
      </c>
      <c r="R88" t="s">
        <v>5</v>
      </c>
      <c r="S88" t="s">
        <v>79</v>
      </c>
      <c r="T88">
        <v>115</v>
      </c>
      <c r="U88">
        <v>1</v>
      </c>
      <c r="V88" s="2">
        <v>4.1666666666666664E-2</v>
      </c>
      <c r="W88">
        <v>115</v>
      </c>
      <c r="AA88" t="s">
        <v>99</v>
      </c>
      <c r="AB88" t="s">
        <v>81</v>
      </c>
      <c r="AC88" t="s">
        <v>76</v>
      </c>
      <c r="AD88" t="s">
        <v>83</v>
      </c>
      <c r="AE88">
        <f t="shared" si="2"/>
        <v>12</v>
      </c>
      <c r="AF88" t="str">
        <f t="shared" si="3"/>
        <v>December</v>
      </c>
    </row>
    <row r="89" spans="1:32" x14ac:dyDescent="0.3">
      <c r="A89" s="1">
        <v>45646</v>
      </c>
      <c r="B89" t="s">
        <v>30</v>
      </c>
      <c r="C89" t="s">
        <v>68</v>
      </c>
      <c r="D89" t="s">
        <v>69</v>
      </c>
      <c r="E89" t="s">
        <v>86</v>
      </c>
      <c r="F89" t="s">
        <v>71</v>
      </c>
      <c r="G89" t="s">
        <v>72</v>
      </c>
      <c r="H89" t="s">
        <v>96</v>
      </c>
      <c r="I89" t="s">
        <v>97</v>
      </c>
      <c r="J89" t="s">
        <v>75</v>
      </c>
      <c r="K89" t="s">
        <v>69</v>
      </c>
      <c r="L89" t="s">
        <v>30</v>
      </c>
      <c r="M89" t="s">
        <v>12</v>
      </c>
      <c r="N89" t="s">
        <v>76</v>
      </c>
      <c r="O89" t="s">
        <v>98</v>
      </c>
      <c r="P89">
        <v>337684</v>
      </c>
      <c r="Q89" t="s">
        <v>9</v>
      </c>
      <c r="R89" t="s">
        <v>5</v>
      </c>
      <c r="S89" t="s">
        <v>79</v>
      </c>
      <c r="T89">
        <v>115</v>
      </c>
      <c r="U89">
        <v>0.75</v>
      </c>
      <c r="V89" s="2">
        <v>3.125E-2</v>
      </c>
      <c r="W89">
        <v>86.25</v>
      </c>
      <c r="AA89" t="s">
        <v>99</v>
      </c>
      <c r="AB89" t="s">
        <v>81</v>
      </c>
      <c r="AC89" t="s">
        <v>76</v>
      </c>
      <c r="AD89" t="s">
        <v>83</v>
      </c>
      <c r="AE89">
        <f t="shared" si="2"/>
        <v>12</v>
      </c>
      <c r="AF89" t="str">
        <f t="shared" si="3"/>
        <v>December</v>
      </c>
    </row>
    <row r="90" spans="1:32" x14ac:dyDescent="0.3">
      <c r="A90" s="1">
        <v>45649</v>
      </c>
      <c r="B90" t="s">
        <v>30</v>
      </c>
      <c r="C90" t="s">
        <v>68</v>
      </c>
      <c r="D90" t="s">
        <v>69</v>
      </c>
      <c r="E90" t="s">
        <v>86</v>
      </c>
      <c r="F90" t="s">
        <v>71</v>
      </c>
      <c r="G90" t="s">
        <v>72</v>
      </c>
      <c r="H90" t="s">
        <v>96</v>
      </c>
      <c r="I90" t="s">
        <v>97</v>
      </c>
      <c r="J90" t="s">
        <v>75</v>
      </c>
      <c r="K90" t="s">
        <v>69</v>
      </c>
      <c r="L90" t="s">
        <v>30</v>
      </c>
      <c r="M90" t="s">
        <v>12</v>
      </c>
      <c r="N90" t="s">
        <v>76</v>
      </c>
      <c r="O90" t="s">
        <v>98</v>
      </c>
      <c r="P90">
        <v>338265</v>
      </c>
      <c r="Q90" t="s">
        <v>9</v>
      </c>
      <c r="R90" t="s">
        <v>5</v>
      </c>
      <c r="S90" t="s">
        <v>79</v>
      </c>
      <c r="T90">
        <v>115</v>
      </c>
      <c r="U90">
        <v>0.25</v>
      </c>
      <c r="V90" s="2">
        <v>1.0416666666666666E-2</v>
      </c>
      <c r="W90">
        <v>28.75</v>
      </c>
      <c r="AA90" t="s">
        <v>99</v>
      </c>
      <c r="AB90" t="s">
        <v>81</v>
      </c>
      <c r="AC90" t="s">
        <v>76</v>
      </c>
      <c r="AD90" t="s">
        <v>83</v>
      </c>
      <c r="AE90">
        <f t="shared" si="2"/>
        <v>12</v>
      </c>
      <c r="AF90" t="str">
        <f t="shared" si="3"/>
        <v>December</v>
      </c>
    </row>
    <row r="91" spans="1:32" x14ac:dyDescent="0.3">
      <c r="A91" s="1">
        <v>45650</v>
      </c>
      <c r="B91" t="s">
        <v>30</v>
      </c>
      <c r="C91" t="s">
        <v>68</v>
      </c>
      <c r="D91" t="s">
        <v>69</v>
      </c>
      <c r="E91" t="s">
        <v>86</v>
      </c>
      <c r="F91" t="s">
        <v>71</v>
      </c>
      <c r="G91" t="s">
        <v>72</v>
      </c>
      <c r="H91" t="s">
        <v>96</v>
      </c>
      <c r="I91" t="s">
        <v>97</v>
      </c>
      <c r="J91" t="s">
        <v>75</v>
      </c>
      <c r="K91" t="s">
        <v>69</v>
      </c>
      <c r="L91" t="s">
        <v>30</v>
      </c>
      <c r="M91" t="s">
        <v>12</v>
      </c>
      <c r="N91" t="s">
        <v>76</v>
      </c>
      <c r="O91" t="s">
        <v>98</v>
      </c>
      <c r="P91">
        <v>338420</v>
      </c>
      <c r="Q91" t="s">
        <v>9</v>
      </c>
      <c r="R91" t="s">
        <v>5</v>
      </c>
      <c r="S91" t="s">
        <v>79</v>
      </c>
      <c r="T91">
        <v>115</v>
      </c>
      <c r="U91">
        <v>0.25</v>
      </c>
      <c r="V91" s="2">
        <v>1.0416666666666666E-2</v>
      </c>
      <c r="W91">
        <v>28.75</v>
      </c>
      <c r="AA91" t="s">
        <v>99</v>
      </c>
      <c r="AB91" t="s">
        <v>81</v>
      </c>
      <c r="AC91" t="s">
        <v>76</v>
      </c>
      <c r="AD91" t="s">
        <v>83</v>
      </c>
      <c r="AE91">
        <f t="shared" si="2"/>
        <v>12</v>
      </c>
      <c r="AF91" t="str">
        <f t="shared" si="3"/>
        <v>December</v>
      </c>
    </row>
    <row r="92" spans="1:32" x14ac:dyDescent="0.3">
      <c r="A92" s="1">
        <v>45649</v>
      </c>
      <c r="B92" t="s">
        <v>30</v>
      </c>
      <c r="C92" t="s">
        <v>68</v>
      </c>
      <c r="D92" t="s">
        <v>69</v>
      </c>
      <c r="E92" t="s">
        <v>86</v>
      </c>
      <c r="F92" t="s">
        <v>71</v>
      </c>
      <c r="G92" t="s">
        <v>72</v>
      </c>
      <c r="H92" t="s">
        <v>96</v>
      </c>
      <c r="I92" t="s">
        <v>97</v>
      </c>
      <c r="J92" t="s">
        <v>75</v>
      </c>
      <c r="K92" t="s">
        <v>69</v>
      </c>
      <c r="L92" t="s">
        <v>30</v>
      </c>
      <c r="M92" t="s">
        <v>12</v>
      </c>
      <c r="N92" t="s">
        <v>76</v>
      </c>
      <c r="O92" t="s">
        <v>98</v>
      </c>
      <c r="P92">
        <v>338265</v>
      </c>
      <c r="Q92" t="s">
        <v>9</v>
      </c>
      <c r="R92" t="s">
        <v>5</v>
      </c>
      <c r="S92" t="s">
        <v>79</v>
      </c>
      <c r="T92">
        <v>115</v>
      </c>
      <c r="U92">
        <v>0.25</v>
      </c>
      <c r="V92" s="2">
        <v>1.0416666666666666E-2</v>
      </c>
      <c r="W92">
        <v>28.75</v>
      </c>
      <c r="AA92" t="s">
        <v>99</v>
      </c>
      <c r="AB92" t="s">
        <v>81</v>
      </c>
      <c r="AC92" t="s">
        <v>76</v>
      </c>
      <c r="AD92" t="s">
        <v>83</v>
      </c>
      <c r="AE92">
        <f t="shared" si="2"/>
        <v>12</v>
      </c>
      <c r="AF92" t="str">
        <f t="shared" si="3"/>
        <v>December</v>
      </c>
    </row>
    <row r="93" spans="1:32" x14ac:dyDescent="0.3">
      <c r="A93" s="1">
        <v>45650</v>
      </c>
      <c r="B93" t="s">
        <v>30</v>
      </c>
      <c r="C93" t="s">
        <v>68</v>
      </c>
      <c r="D93" t="s">
        <v>69</v>
      </c>
      <c r="E93" t="s">
        <v>86</v>
      </c>
      <c r="F93" t="s">
        <v>71</v>
      </c>
      <c r="G93" t="s">
        <v>72</v>
      </c>
      <c r="H93" t="s">
        <v>96</v>
      </c>
      <c r="I93" t="s">
        <v>97</v>
      </c>
      <c r="J93" t="s">
        <v>75</v>
      </c>
      <c r="K93" t="s">
        <v>69</v>
      </c>
      <c r="L93" t="s">
        <v>30</v>
      </c>
      <c r="M93" t="s">
        <v>12</v>
      </c>
      <c r="N93" t="s">
        <v>76</v>
      </c>
      <c r="O93" t="s">
        <v>98</v>
      </c>
      <c r="P93">
        <v>338420</v>
      </c>
      <c r="Q93" t="s">
        <v>9</v>
      </c>
      <c r="R93" t="s">
        <v>5</v>
      </c>
      <c r="S93" t="s">
        <v>79</v>
      </c>
      <c r="T93">
        <v>115</v>
      </c>
      <c r="U93">
        <v>0.25</v>
      </c>
      <c r="V93" s="2">
        <v>1.0416666666666666E-2</v>
      </c>
      <c r="W93">
        <v>28.75</v>
      </c>
      <c r="AA93" t="s">
        <v>99</v>
      </c>
      <c r="AB93" t="s">
        <v>81</v>
      </c>
      <c r="AC93" t="s">
        <v>76</v>
      </c>
      <c r="AD93" t="s">
        <v>83</v>
      </c>
      <c r="AE93">
        <f t="shared" si="2"/>
        <v>12</v>
      </c>
      <c r="AF93" t="str">
        <f t="shared" si="3"/>
        <v>December</v>
      </c>
    </row>
  </sheetData>
  <autoFilter ref="A1:AF93" xr:uid="{15475409-4AF1-4B5F-AAFD-819CEAC11AB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87"/>
  <sheetViews>
    <sheetView topLeftCell="N1" workbookViewId="0">
      <pane ySplit="1" topLeftCell="A2" activePane="bottomLeft" state="frozen"/>
      <selection pane="bottomLeft" activeCell="AE1" sqref="AE1:AF2"/>
    </sheetView>
  </sheetViews>
  <sheetFormatPr defaultRowHeight="14.4" x14ac:dyDescent="0.3"/>
  <cols>
    <col min="1" max="1" width="9.33203125" bestFit="1" customWidth="1"/>
    <col min="2" max="2" width="14" bestFit="1" customWidth="1"/>
    <col min="3" max="3" width="14.44140625" bestFit="1" customWidth="1"/>
    <col min="4" max="4" width="37.33203125" bestFit="1" customWidth="1"/>
    <col min="5" max="5" width="15.4414062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5.5546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4" width="14.33203125" bestFit="1" customWidth="1"/>
    <col min="15" max="15" width="12.33203125" bestFit="1" customWidth="1"/>
    <col min="16" max="16" width="11.88671875" bestFit="1" customWidth="1"/>
    <col min="17" max="17" width="20.5546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14.44140625" bestFit="1" customWidth="1"/>
    <col min="30" max="30" width="15.5546875" bestFit="1" customWidth="1"/>
    <col min="31" max="31" width="6.6640625" bestFit="1" customWidth="1"/>
    <col min="32" max="32" width="10" bestFit="1" customWidth="1"/>
  </cols>
  <sheetData>
    <row r="1" spans="1:35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4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s="3" t="s">
        <v>66</v>
      </c>
      <c r="AF1" s="3" t="s">
        <v>1</v>
      </c>
    </row>
    <row r="2" spans="1:35" x14ac:dyDescent="0.3">
      <c r="A2" s="1">
        <v>45607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69</v>
      </c>
      <c r="L2" t="s">
        <v>30</v>
      </c>
      <c r="M2" t="s">
        <v>12</v>
      </c>
      <c r="N2" t="s">
        <v>76</v>
      </c>
      <c r="O2" t="s">
        <v>0</v>
      </c>
      <c r="P2">
        <v>321638</v>
      </c>
      <c r="Q2" t="s">
        <v>77</v>
      </c>
      <c r="R2" t="s">
        <v>78</v>
      </c>
      <c r="S2" t="s">
        <v>79</v>
      </c>
      <c r="T2">
        <v>0</v>
      </c>
      <c r="U2">
        <v>0.25</v>
      </c>
      <c r="V2" s="2">
        <v>1.0416666666666666E-2</v>
      </c>
      <c r="W2">
        <v>0</v>
      </c>
      <c r="AA2" t="s">
        <v>80</v>
      </c>
      <c r="AB2" t="s">
        <v>81</v>
      </c>
      <c r="AC2" t="s">
        <v>82</v>
      </c>
      <c r="AD2" t="s">
        <v>83</v>
      </c>
      <c r="AE2">
        <f>MONTH(A2)</f>
        <v>11</v>
      </c>
      <c r="AF2" t="str">
        <f>IF(AE2=11,"November",IF(AE2=12,"December",IF(AE2=1,"January",IF(AE2=10,"October",IF(AE2=9,"September")))))</f>
        <v>November</v>
      </c>
      <c r="AI2" s="2"/>
    </row>
    <row r="3" spans="1:35" x14ac:dyDescent="0.3">
      <c r="A3" s="1">
        <v>45614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74</v>
      </c>
      <c r="J3" t="s">
        <v>75</v>
      </c>
      <c r="K3" t="s">
        <v>69</v>
      </c>
      <c r="L3" t="s">
        <v>30</v>
      </c>
      <c r="M3" t="s">
        <v>12</v>
      </c>
      <c r="N3" t="s">
        <v>76</v>
      </c>
      <c r="O3" t="s">
        <v>0</v>
      </c>
      <c r="P3">
        <v>324722</v>
      </c>
      <c r="Q3" t="s">
        <v>77</v>
      </c>
      <c r="R3" t="s">
        <v>78</v>
      </c>
      <c r="S3" t="s">
        <v>79</v>
      </c>
      <c r="T3">
        <v>0</v>
      </c>
      <c r="U3">
        <v>0.25</v>
      </c>
      <c r="V3" s="2">
        <v>1.0416666666666666E-2</v>
      </c>
      <c r="W3">
        <v>0</v>
      </c>
      <c r="AA3" t="s">
        <v>80</v>
      </c>
      <c r="AB3" t="s">
        <v>81</v>
      </c>
      <c r="AC3" t="s">
        <v>84</v>
      </c>
      <c r="AD3" t="s">
        <v>83</v>
      </c>
      <c r="AE3">
        <f t="shared" ref="AE3:AE15" si="0">MONTH(A3)</f>
        <v>11</v>
      </c>
      <c r="AF3" t="str">
        <f t="shared" ref="AF3:AF49" si="1">IF(AE3=11,"November",IF(AE3=12,"December",IF(AE3=1,"January",IF(AE3=10,"October",IF(AE3=9,"September")))))</f>
        <v>November</v>
      </c>
      <c r="AI3" s="2"/>
    </row>
    <row r="4" spans="1:35" x14ac:dyDescent="0.3">
      <c r="A4" s="1">
        <v>45621</v>
      </c>
      <c r="B4" t="s">
        <v>67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H4" t="s">
        <v>73</v>
      </c>
      <c r="I4" t="s">
        <v>74</v>
      </c>
      <c r="J4" t="s">
        <v>75</v>
      </c>
      <c r="K4" t="s">
        <v>69</v>
      </c>
      <c r="L4" t="s">
        <v>30</v>
      </c>
      <c r="M4" t="s">
        <v>12</v>
      </c>
      <c r="N4" t="s">
        <v>76</v>
      </c>
      <c r="O4" t="s">
        <v>0</v>
      </c>
      <c r="P4">
        <v>327721</v>
      </c>
      <c r="Q4" t="s">
        <v>77</v>
      </c>
      <c r="R4" t="s">
        <v>78</v>
      </c>
      <c r="S4" t="s">
        <v>79</v>
      </c>
      <c r="T4">
        <v>0</v>
      </c>
      <c r="U4">
        <v>0.25</v>
      </c>
      <c r="V4" s="2">
        <v>1.0416666666666666E-2</v>
      </c>
      <c r="W4">
        <v>0</v>
      </c>
      <c r="AA4" t="s">
        <v>80</v>
      </c>
      <c r="AB4" t="s">
        <v>81</v>
      </c>
      <c r="AC4" t="s">
        <v>85</v>
      </c>
      <c r="AD4" t="s">
        <v>83</v>
      </c>
      <c r="AE4">
        <f t="shared" si="0"/>
        <v>11</v>
      </c>
      <c r="AF4" t="str">
        <f t="shared" si="1"/>
        <v>November</v>
      </c>
      <c r="AI4" s="2"/>
    </row>
    <row r="5" spans="1:35" x14ac:dyDescent="0.3">
      <c r="A5" s="1">
        <v>45628</v>
      </c>
      <c r="B5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69</v>
      </c>
      <c r="L5" t="s">
        <v>30</v>
      </c>
      <c r="M5" t="s">
        <v>12</v>
      </c>
      <c r="N5" t="s">
        <v>76</v>
      </c>
      <c r="O5" t="s">
        <v>0</v>
      </c>
      <c r="P5">
        <v>330799</v>
      </c>
      <c r="Q5" t="s">
        <v>77</v>
      </c>
      <c r="R5" t="s">
        <v>78</v>
      </c>
      <c r="S5" t="s">
        <v>79</v>
      </c>
      <c r="T5">
        <v>0</v>
      </c>
      <c r="U5">
        <v>0.25</v>
      </c>
      <c r="V5" s="2">
        <v>1.0416666666666666E-2</v>
      </c>
      <c r="W5">
        <v>0</v>
      </c>
      <c r="AA5" t="s">
        <v>80</v>
      </c>
      <c r="AB5" t="s">
        <v>81</v>
      </c>
      <c r="AC5" t="s">
        <v>84</v>
      </c>
      <c r="AD5" t="s">
        <v>83</v>
      </c>
      <c r="AE5">
        <f t="shared" si="0"/>
        <v>12</v>
      </c>
      <c r="AF5" t="str">
        <f t="shared" si="1"/>
        <v>December</v>
      </c>
      <c r="AI5" s="2"/>
    </row>
    <row r="6" spans="1:35" x14ac:dyDescent="0.3">
      <c r="A6" s="1">
        <v>45600</v>
      </c>
      <c r="B6" t="s">
        <v>33</v>
      </c>
      <c r="C6" t="s">
        <v>68</v>
      </c>
      <c r="D6" t="s">
        <v>69</v>
      </c>
      <c r="E6" t="s">
        <v>86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69</v>
      </c>
      <c r="L6" t="s">
        <v>30</v>
      </c>
      <c r="M6" t="s">
        <v>12</v>
      </c>
      <c r="N6" t="s">
        <v>12</v>
      </c>
      <c r="O6" t="s">
        <v>0</v>
      </c>
      <c r="P6">
        <v>318682</v>
      </c>
      <c r="Q6" t="s">
        <v>77</v>
      </c>
      <c r="R6" t="s">
        <v>78</v>
      </c>
      <c r="S6" t="s">
        <v>79</v>
      </c>
      <c r="T6">
        <v>0</v>
      </c>
      <c r="U6">
        <v>1</v>
      </c>
      <c r="V6" s="2">
        <v>4.1666666666666664E-2</v>
      </c>
      <c r="W6">
        <v>0</v>
      </c>
      <c r="AA6" t="s">
        <v>80</v>
      </c>
      <c r="AB6" t="s">
        <v>81</v>
      </c>
      <c r="AC6" t="s">
        <v>76</v>
      </c>
      <c r="AD6" t="s">
        <v>83</v>
      </c>
      <c r="AE6">
        <f t="shared" si="0"/>
        <v>11</v>
      </c>
      <c r="AF6" t="str">
        <f t="shared" si="1"/>
        <v>November</v>
      </c>
      <c r="AI6" s="2"/>
    </row>
    <row r="7" spans="1:35" x14ac:dyDescent="0.3">
      <c r="A7" s="1">
        <v>45602</v>
      </c>
      <c r="B7" t="s">
        <v>33</v>
      </c>
      <c r="C7" t="s">
        <v>68</v>
      </c>
      <c r="D7" t="s">
        <v>69</v>
      </c>
      <c r="E7" t="s">
        <v>86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69</v>
      </c>
      <c r="L7" t="s">
        <v>30</v>
      </c>
      <c r="M7" t="s">
        <v>12</v>
      </c>
      <c r="N7" t="s">
        <v>12</v>
      </c>
      <c r="O7" t="s">
        <v>0</v>
      </c>
      <c r="P7">
        <v>319648</v>
      </c>
      <c r="Q7" t="s">
        <v>77</v>
      </c>
      <c r="R7" t="s">
        <v>78</v>
      </c>
      <c r="S7" t="s">
        <v>79</v>
      </c>
      <c r="T7">
        <v>0</v>
      </c>
      <c r="U7">
        <v>1</v>
      </c>
      <c r="V7" s="2">
        <v>4.1666666666666664E-2</v>
      </c>
      <c r="W7">
        <v>0</v>
      </c>
      <c r="AA7" t="s">
        <v>80</v>
      </c>
      <c r="AB7" t="s">
        <v>81</v>
      </c>
      <c r="AC7" t="s">
        <v>76</v>
      </c>
      <c r="AD7" t="s">
        <v>83</v>
      </c>
      <c r="AE7">
        <f t="shared" si="0"/>
        <v>11</v>
      </c>
      <c r="AF7" t="str">
        <f t="shared" si="1"/>
        <v>November</v>
      </c>
      <c r="AI7" s="2"/>
    </row>
    <row r="8" spans="1:35" x14ac:dyDescent="0.3">
      <c r="A8" s="1">
        <v>45607</v>
      </c>
      <c r="B8" t="s">
        <v>33</v>
      </c>
      <c r="C8" t="s">
        <v>68</v>
      </c>
      <c r="D8" t="s">
        <v>69</v>
      </c>
      <c r="E8" t="s">
        <v>86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  <c r="K8" t="s">
        <v>69</v>
      </c>
      <c r="L8" t="s">
        <v>30</v>
      </c>
      <c r="M8" t="s">
        <v>12</v>
      </c>
      <c r="N8" t="s">
        <v>12</v>
      </c>
      <c r="O8" t="s">
        <v>0</v>
      </c>
      <c r="P8">
        <v>321304</v>
      </c>
      <c r="Q8" t="s">
        <v>77</v>
      </c>
      <c r="R8" t="s">
        <v>78</v>
      </c>
      <c r="S8" t="s">
        <v>79</v>
      </c>
      <c r="T8">
        <v>0</v>
      </c>
      <c r="U8">
        <v>1.5</v>
      </c>
      <c r="V8" s="2">
        <v>6.25E-2</v>
      </c>
      <c r="W8">
        <v>0</v>
      </c>
      <c r="AA8" t="s">
        <v>80</v>
      </c>
      <c r="AB8" t="s">
        <v>81</v>
      </c>
      <c r="AC8" t="s">
        <v>76</v>
      </c>
      <c r="AD8" t="s">
        <v>83</v>
      </c>
      <c r="AE8">
        <f t="shared" si="0"/>
        <v>11</v>
      </c>
      <c r="AF8" t="str">
        <f t="shared" si="1"/>
        <v>November</v>
      </c>
      <c r="AI8" s="2"/>
    </row>
    <row r="9" spans="1:35" x14ac:dyDescent="0.3">
      <c r="A9" s="1">
        <v>45608</v>
      </c>
      <c r="B9" t="s">
        <v>33</v>
      </c>
      <c r="C9" t="s">
        <v>68</v>
      </c>
      <c r="D9" t="s">
        <v>69</v>
      </c>
      <c r="E9" t="s">
        <v>86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69</v>
      </c>
      <c r="L9" t="s">
        <v>30</v>
      </c>
      <c r="M9" t="s">
        <v>12</v>
      </c>
      <c r="N9" t="s">
        <v>12</v>
      </c>
      <c r="O9" t="s">
        <v>0</v>
      </c>
      <c r="P9">
        <v>322607</v>
      </c>
      <c r="Q9" t="s">
        <v>77</v>
      </c>
      <c r="R9" t="s">
        <v>78</v>
      </c>
      <c r="S9" t="s">
        <v>79</v>
      </c>
      <c r="T9">
        <v>0</v>
      </c>
      <c r="U9">
        <v>1</v>
      </c>
      <c r="V9" s="2">
        <v>4.1666666666666664E-2</v>
      </c>
      <c r="W9">
        <v>0</v>
      </c>
      <c r="AA9" t="s">
        <v>80</v>
      </c>
      <c r="AB9" t="s">
        <v>81</v>
      </c>
      <c r="AC9" t="s">
        <v>76</v>
      </c>
      <c r="AD9" t="s">
        <v>83</v>
      </c>
      <c r="AE9">
        <f t="shared" si="0"/>
        <v>11</v>
      </c>
      <c r="AF9" t="str">
        <f t="shared" si="1"/>
        <v>November</v>
      </c>
      <c r="AI9" s="2"/>
    </row>
    <row r="10" spans="1:35" x14ac:dyDescent="0.3">
      <c r="A10" s="1">
        <v>45609</v>
      </c>
      <c r="B10" t="s">
        <v>33</v>
      </c>
      <c r="C10" t="s">
        <v>68</v>
      </c>
      <c r="D10" t="s">
        <v>69</v>
      </c>
      <c r="E10" t="s">
        <v>86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 t="s">
        <v>69</v>
      </c>
      <c r="L10" t="s">
        <v>30</v>
      </c>
      <c r="M10" t="s">
        <v>12</v>
      </c>
      <c r="N10" t="s">
        <v>12</v>
      </c>
      <c r="O10" t="s">
        <v>0</v>
      </c>
      <c r="P10">
        <v>322601</v>
      </c>
      <c r="Q10" t="s">
        <v>77</v>
      </c>
      <c r="R10" t="s">
        <v>78</v>
      </c>
      <c r="S10" t="s">
        <v>79</v>
      </c>
      <c r="T10">
        <v>0</v>
      </c>
      <c r="U10">
        <v>1</v>
      </c>
      <c r="V10" s="2">
        <v>4.1666666666666664E-2</v>
      </c>
      <c r="W10">
        <v>0</v>
      </c>
      <c r="AA10" t="s">
        <v>80</v>
      </c>
      <c r="AB10" t="s">
        <v>81</v>
      </c>
      <c r="AC10" t="s">
        <v>76</v>
      </c>
      <c r="AD10" t="s">
        <v>83</v>
      </c>
      <c r="AE10">
        <f t="shared" si="0"/>
        <v>11</v>
      </c>
      <c r="AF10" t="str">
        <f t="shared" si="1"/>
        <v>November</v>
      </c>
      <c r="AI10" s="2"/>
    </row>
    <row r="11" spans="1:35" x14ac:dyDescent="0.3">
      <c r="A11" s="1">
        <v>45614</v>
      </c>
      <c r="B11" t="s">
        <v>33</v>
      </c>
      <c r="C11" t="s">
        <v>68</v>
      </c>
      <c r="D11" t="s">
        <v>69</v>
      </c>
      <c r="E11" t="s">
        <v>86</v>
      </c>
      <c r="F11" t="s">
        <v>71</v>
      </c>
      <c r="G11" t="s">
        <v>72</v>
      </c>
      <c r="H11" t="s">
        <v>73</v>
      </c>
      <c r="I11" t="s">
        <v>74</v>
      </c>
      <c r="J11" t="s">
        <v>75</v>
      </c>
      <c r="K11" t="s">
        <v>69</v>
      </c>
      <c r="L11" t="s">
        <v>30</v>
      </c>
      <c r="M11" t="s">
        <v>12</v>
      </c>
      <c r="N11" t="s">
        <v>12</v>
      </c>
      <c r="O11" t="s">
        <v>0</v>
      </c>
      <c r="P11">
        <v>324564</v>
      </c>
      <c r="Q11" t="s">
        <v>77</v>
      </c>
      <c r="R11" t="s">
        <v>78</v>
      </c>
      <c r="S11" t="s">
        <v>79</v>
      </c>
      <c r="T11">
        <v>0</v>
      </c>
      <c r="U11">
        <v>2.25</v>
      </c>
      <c r="V11" s="2">
        <v>9.375E-2</v>
      </c>
      <c r="W11">
        <v>0</v>
      </c>
      <c r="AA11" t="s">
        <v>80</v>
      </c>
      <c r="AB11" t="s">
        <v>81</v>
      </c>
      <c r="AC11" t="s">
        <v>76</v>
      </c>
      <c r="AD11" t="s">
        <v>83</v>
      </c>
      <c r="AE11">
        <f t="shared" si="0"/>
        <v>11</v>
      </c>
      <c r="AF11" t="str">
        <f t="shared" si="1"/>
        <v>November</v>
      </c>
      <c r="AI11" s="2"/>
    </row>
    <row r="12" spans="1:35" x14ac:dyDescent="0.3">
      <c r="A12" s="1">
        <v>45616</v>
      </c>
      <c r="B12" t="s">
        <v>33</v>
      </c>
      <c r="C12" t="s">
        <v>68</v>
      </c>
      <c r="D12" t="s">
        <v>69</v>
      </c>
      <c r="E12" t="s">
        <v>86</v>
      </c>
      <c r="F12" t="s">
        <v>71</v>
      </c>
      <c r="G12" t="s">
        <v>72</v>
      </c>
      <c r="H12" t="s">
        <v>73</v>
      </c>
      <c r="I12" t="s">
        <v>74</v>
      </c>
      <c r="J12" t="s">
        <v>75</v>
      </c>
      <c r="K12" t="s">
        <v>69</v>
      </c>
      <c r="L12" t="s">
        <v>30</v>
      </c>
      <c r="M12" t="s">
        <v>12</v>
      </c>
      <c r="N12" t="s">
        <v>12</v>
      </c>
      <c r="O12" t="s">
        <v>0</v>
      </c>
      <c r="P12">
        <v>325531</v>
      </c>
      <c r="Q12" t="s">
        <v>77</v>
      </c>
      <c r="R12" t="s">
        <v>78</v>
      </c>
      <c r="S12" t="s">
        <v>79</v>
      </c>
      <c r="T12">
        <v>0</v>
      </c>
      <c r="U12">
        <v>1</v>
      </c>
      <c r="V12" s="2">
        <v>4.1666666666666664E-2</v>
      </c>
      <c r="W12">
        <v>0</v>
      </c>
      <c r="AA12" t="s">
        <v>80</v>
      </c>
      <c r="AB12" t="s">
        <v>81</v>
      </c>
      <c r="AC12" t="s">
        <v>76</v>
      </c>
      <c r="AD12" t="s">
        <v>83</v>
      </c>
      <c r="AE12">
        <f t="shared" si="0"/>
        <v>11</v>
      </c>
      <c r="AF12" t="str">
        <f t="shared" si="1"/>
        <v>November</v>
      </c>
      <c r="AI12" s="2"/>
    </row>
    <row r="13" spans="1:35" x14ac:dyDescent="0.3">
      <c r="A13" s="1">
        <v>45617</v>
      </c>
      <c r="B13" t="s">
        <v>33</v>
      </c>
      <c r="C13" t="s">
        <v>68</v>
      </c>
      <c r="D13" t="s">
        <v>69</v>
      </c>
      <c r="E13" t="s">
        <v>86</v>
      </c>
      <c r="F13" t="s">
        <v>71</v>
      </c>
      <c r="G13" t="s">
        <v>72</v>
      </c>
      <c r="H13" t="s">
        <v>73</v>
      </c>
      <c r="I13" t="s">
        <v>74</v>
      </c>
      <c r="J13" t="s">
        <v>75</v>
      </c>
      <c r="K13" t="s">
        <v>69</v>
      </c>
      <c r="L13" t="s">
        <v>30</v>
      </c>
      <c r="M13" t="s">
        <v>12</v>
      </c>
      <c r="N13" t="s">
        <v>12</v>
      </c>
      <c r="O13" t="s">
        <v>0</v>
      </c>
      <c r="P13">
        <v>326175</v>
      </c>
      <c r="Q13" t="s">
        <v>77</v>
      </c>
      <c r="R13" t="s">
        <v>78</v>
      </c>
      <c r="S13" t="s">
        <v>79</v>
      </c>
      <c r="T13">
        <v>0</v>
      </c>
      <c r="U13">
        <v>1</v>
      </c>
      <c r="V13" s="2">
        <v>4.1666666666666664E-2</v>
      </c>
      <c r="W13">
        <v>0</v>
      </c>
      <c r="AA13" t="s">
        <v>80</v>
      </c>
      <c r="AB13" t="s">
        <v>81</v>
      </c>
      <c r="AC13" t="s">
        <v>76</v>
      </c>
      <c r="AD13" t="s">
        <v>83</v>
      </c>
      <c r="AE13">
        <f t="shared" si="0"/>
        <v>11</v>
      </c>
      <c r="AF13" t="str">
        <f t="shared" si="1"/>
        <v>November</v>
      </c>
      <c r="AI13" s="2"/>
    </row>
    <row r="14" spans="1:35" x14ac:dyDescent="0.3">
      <c r="A14" s="1">
        <v>45621</v>
      </c>
      <c r="B14" t="s">
        <v>33</v>
      </c>
      <c r="C14" t="s">
        <v>68</v>
      </c>
      <c r="D14" t="s">
        <v>69</v>
      </c>
      <c r="E14" t="s">
        <v>86</v>
      </c>
      <c r="F14" t="s">
        <v>71</v>
      </c>
      <c r="G14" t="s">
        <v>72</v>
      </c>
      <c r="H14" t="s">
        <v>73</v>
      </c>
      <c r="I14" t="s">
        <v>74</v>
      </c>
      <c r="J14" t="s">
        <v>75</v>
      </c>
      <c r="K14" t="s">
        <v>69</v>
      </c>
      <c r="L14" t="s">
        <v>30</v>
      </c>
      <c r="M14" t="s">
        <v>12</v>
      </c>
      <c r="N14" t="s">
        <v>12</v>
      </c>
      <c r="O14" t="s">
        <v>0</v>
      </c>
      <c r="P14">
        <v>327415</v>
      </c>
      <c r="Q14" t="s">
        <v>77</v>
      </c>
      <c r="R14" t="s">
        <v>78</v>
      </c>
      <c r="S14" t="s">
        <v>79</v>
      </c>
      <c r="T14">
        <v>0</v>
      </c>
      <c r="U14">
        <v>1.75</v>
      </c>
      <c r="V14" s="2">
        <v>7.2916666666666671E-2</v>
      </c>
      <c r="W14">
        <v>0</v>
      </c>
      <c r="AA14" t="s">
        <v>80</v>
      </c>
      <c r="AB14" t="s">
        <v>81</v>
      </c>
      <c r="AC14" t="s">
        <v>76</v>
      </c>
      <c r="AD14" t="s">
        <v>83</v>
      </c>
      <c r="AE14">
        <f t="shared" si="0"/>
        <v>11</v>
      </c>
      <c r="AF14" t="str">
        <f t="shared" si="1"/>
        <v>November</v>
      </c>
      <c r="AI14" s="2"/>
    </row>
    <row r="15" spans="1:35" x14ac:dyDescent="0.3">
      <c r="A15" s="1">
        <v>45623</v>
      </c>
      <c r="B15" t="s">
        <v>33</v>
      </c>
      <c r="C15" t="s">
        <v>68</v>
      </c>
      <c r="D15" t="s">
        <v>69</v>
      </c>
      <c r="E15" t="s">
        <v>86</v>
      </c>
      <c r="F15" t="s">
        <v>71</v>
      </c>
      <c r="G15" t="s">
        <v>72</v>
      </c>
      <c r="H15" t="s">
        <v>73</v>
      </c>
      <c r="I15" t="s">
        <v>74</v>
      </c>
      <c r="J15" t="s">
        <v>75</v>
      </c>
      <c r="K15" t="s">
        <v>69</v>
      </c>
      <c r="L15" t="s">
        <v>30</v>
      </c>
      <c r="M15" t="s">
        <v>12</v>
      </c>
      <c r="N15" t="s">
        <v>12</v>
      </c>
      <c r="O15" t="s">
        <v>0</v>
      </c>
      <c r="P15">
        <v>328707</v>
      </c>
      <c r="Q15" t="s">
        <v>77</v>
      </c>
      <c r="R15" t="s">
        <v>78</v>
      </c>
      <c r="S15" t="s">
        <v>79</v>
      </c>
      <c r="T15">
        <v>0</v>
      </c>
      <c r="U15">
        <v>0.5</v>
      </c>
      <c r="V15" s="2">
        <v>2.0833333333333332E-2</v>
      </c>
      <c r="W15">
        <v>0</v>
      </c>
      <c r="AA15" t="s">
        <v>80</v>
      </c>
      <c r="AB15" t="s">
        <v>81</v>
      </c>
      <c r="AC15" t="s">
        <v>76</v>
      </c>
      <c r="AD15" t="s">
        <v>83</v>
      </c>
      <c r="AE15">
        <f t="shared" si="0"/>
        <v>11</v>
      </c>
      <c r="AF15" t="str">
        <f t="shared" si="1"/>
        <v>November</v>
      </c>
      <c r="AI15" s="2"/>
    </row>
    <row r="16" spans="1:35" x14ac:dyDescent="0.3">
      <c r="A16" s="1">
        <v>45628</v>
      </c>
      <c r="B16" t="s">
        <v>33</v>
      </c>
      <c r="C16" t="s">
        <v>68</v>
      </c>
      <c r="D16" t="s">
        <v>69</v>
      </c>
      <c r="E16" t="s">
        <v>86</v>
      </c>
      <c r="F16" t="s">
        <v>71</v>
      </c>
      <c r="G16" t="s">
        <v>72</v>
      </c>
      <c r="H16" t="s">
        <v>73</v>
      </c>
      <c r="I16" t="s">
        <v>74</v>
      </c>
      <c r="J16" t="s">
        <v>75</v>
      </c>
      <c r="K16" t="s">
        <v>69</v>
      </c>
      <c r="L16" t="s">
        <v>30</v>
      </c>
      <c r="M16" t="s">
        <v>12</v>
      </c>
      <c r="N16" t="s">
        <v>12</v>
      </c>
      <c r="O16" t="s">
        <v>0</v>
      </c>
      <c r="P16">
        <v>331407</v>
      </c>
      <c r="Q16" t="s">
        <v>77</v>
      </c>
      <c r="R16" t="s">
        <v>78</v>
      </c>
      <c r="S16" t="s">
        <v>79</v>
      </c>
      <c r="T16">
        <v>0</v>
      </c>
      <c r="U16">
        <v>1.5</v>
      </c>
      <c r="V16" s="2">
        <v>6.25E-2</v>
      </c>
      <c r="W16">
        <v>0</v>
      </c>
      <c r="AA16" t="s">
        <v>80</v>
      </c>
      <c r="AB16" t="s">
        <v>81</v>
      </c>
      <c r="AC16" t="s">
        <v>76</v>
      </c>
      <c r="AD16" t="s">
        <v>83</v>
      </c>
      <c r="AE16">
        <f t="shared" ref="AE16:AE33" si="2">MONTH(A16)</f>
        <v>12</v>
      </c>
      <c r="AF16" t="str">
        <f t="shared" si="1"/>
        <v>December</v>
      </c>
    </row>
    <row r="17" spans="1:32" x14ac:dyDescent="0.3">
      <c r="A17" s="1">
        <v>45597</v>
      </c>
      <c r="B17" t="s">
        <v>11</v>
      </c>
      <c r="C17" t="s">
        <v>68</v>
      </c>
      <c r="D17" t="s">
        <v>69</v>
      </c>
      <c r="E17" t="s">
        <v>70</v>
      </c>
      <c r="F17" t="s">
        <v>71</v>
      </c>
      <c r="G17" t="s">
        <v>72</v>
      </c>
      <c r="H17" t="s">
        <v>73</v>
      </c>
      <c r="I17" t="s">
        <v>74</v>
      </c>
      <c r="J17" t="s">
        <v>75</v>
      </c>
      <c r="K17" t="s">
        <v>69</v>
      </c>
      <c r="L17" t="s">
        <v>30</v>
      </c>
      <c r="M17" t="s">
        <v>12</v>
      </c>
      <c r="N17" t="s">
        <v>87</v>
      </c>
      <c r="O17" t="s">
        <v>0</v>
      </c>
      <c r="P17">
        <v>318298</v>
      </c>
      <c r="Q17" t="s">
        <v>77</v>
      </c>
      <c r="R17" t="s">
        <v>78</v>
      </c>
      <c r="S17" t="s">
        <v>79</v>
      </c>
      <c r="T17">
        <v>0</v>
      </c>
      <c r="U17">
        <v>2.5</v>
      </c>
      <c r="V17" s="2">
        <v>0.10416666666666667</v>
      </c>
      <c r="W17">
        <v>0</v>
      </c>
      <c r="AA17" t="s">
        <v>80</v>
      </c>
      <c r="AB17" t="s">
        <v>81</v>
      </c>
      <c r="AC17" t="s">
        <v>76</v>
      </c>
      <c r="AD17" t="s">
        <v>83</v>
      </c>
      <c r="AE17">
        <f t="shared" si="2"/>
        <v>11</v>
      </c>
      <c r="AF17" t="str">
        <f t="shared" si="1"/>
        <v>November</v>
      </c>
    </row>
    <row r="18" spans="1:32" x14ac:dyDescent="0.3">
      <c r="A18" s="1">
        <v>45600</v>
      </c>
      <c r="B18" t="s">
        <v>11</v>
      </c>
      <c r="C18" t="s">
        <v>68</v>
      </c>
      <c r="D18" t="s">
        <v>69</v>
      </c>
      <c r="E18" t="s">
        <v>70</v>
      </c>
      <c r="F18" t="s">
        <v>71</v>
      </c>
      <c r="G18" t="s">
        <v>72</v>
      </c>
      <c r="H18" t="s">
        <v>73</v>
      </c>
      <c r="I18" t="s">
        <v>74</v>
      </c>
      <c r="J18" t="s">
        <v>75</v>
      </c>
      <c r="K18" t="s">
        <v>69</v>
      </c>
      <c r="L18" t="s">
        <v>30</v>
      </c>
      <c r="M18" t="s">
        <v>12</v>
      </c>
      <c r="N18" t="s">
        <v>87</v>
      </c>
      <c r="O18" t="s">
        <v>0</v>
      </c>
      <c r="P18">
        <v>318619</v>
      </c>
      <c r="Q18" t="s">
        <v>9</v>
      </c>
      <c r="R18" t="s">
        <v>5</v>
      </c>
      <c r="S18" t="s">
        <v>79</v>
      </c>
      <c r="T18">
        <v>90</v>
      </c>
      <c r="U18">
        <v>2.25</v>
      </c>
      <c r="V18" s="2">
        <v>9.375E-2</v>
      </c>
      <c r="W18">
        <v>202.5</v>
      </c>
      <c r="X18">
        <v>337.5</v>
      </c>
      <c r="Y18">
        <v>135</v>
      </c>
      <c r="Z18" t="s">
        <v>88</v>
      </c>
      <c r="AA18" t="s">
        <v>80</v>
      </c>
      <c r="AB18" t="s">
        <v>81</v>
      </c>
      <c r="AC18" t="s">
        <v>76</v>
      </c>
      <c r="AD18" t="s">
        <v>83</v>
      </c>
      <c r="AE18">
        <f t="shared" si="2"/>
        <v>11</v>
      </c>
      <c r="AF18" t="str">
        <f t="shared" si="1"/>
        <v>November</v>
      </c>
    </row>
    <row r="19" spans="1:32" x14ac:dyDescent="0.3">
      <c r="A19" s="1">
        <v>45601</v>
      </c>
      <c r="B19" t="s">
        <v>11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  <c r="J19" t="s">
        <v>75</v>
      </c>
      <c r="K19" t="s">
        <v>69</v>
      </c>
      <c r="L19" t="s">
        <v>30</v>
      </c>
      <c r="M19" t="s">
        <v>12</v>
      </c>
      <c r="N19" t="s">
        <v>87</v>
      </c>
      <c r="O19" t="s">
        <v>0</v>
      </c>
      <c r="P19">
        <v>319087</v>
      </c>
      <c r="Q19" t="s">
        <v>9</v>
      </c>
      <c r="R19" t="s">
        <v>5</v>
      </c>
      <c r="S19" t="s">
        <v>79</v>
      </c>
      <c r="T19">
        <v>90</v>
      </c>
      <c r="U19">
        <v>2.5</v>
      </c>
      <c r="V19" s="2">
        <v>0.10416666666666667</v>
      </c>
      <c r="W19">
        <v>225</v>
      </c>
      <c r="X19">
        <v>375</v>
      </c>
      <c r="Y19">
        <v>150</v>
      </c>
      <c r="Z19" t="s">
        <v>88</v>
      </c>
      <c r="AA19" t="s">
        <v>80</v>
      </c>
      <c r="AB19" t="s">
        <v>81</v>
      </c>
      <c r="AC19" t="s">
        <v>76</v>
      </c>
      <c r="AD19" t="s">
        <v>83</v>
      </c>
      <c r="AE19">
        <f t="shared" si="2"/>
        <v>11</v>
      </c>
      <c r="AF19" t="str">
        <f t="shared" si="1"/>
        <v>November</v>
      </c>
    </row>
    <row r="20" spans="1:32" x14ac:dyDescent="0.3">
      <c r="A20" s="1">
        <v>45602</v>
      </c>
      <c r="B20" t="s">
        <v>11</v>
      </c>
      <c r="C20" t="s">
        <v>68</v>
      </c>
      <c r="D20" t="s">
        <v>69</v>
      </c>
      <c r="E20" t="s">
        <v>70</v>
      </c>
      <c r="F20" t="s">
        <v>71</v>
      </c>
      <c r="G20" t="s">
        <v>72</v>
      </c>
      <c r="H20" t="s">
        <v>73</v>
      </c>
      <c r="I20" t="s">
        <v>74</v>
      </c>
      <c r="J20" t="s">
        <v>75</v>
      </c>
      <c r="K20" t="s">
        <v>69</v>
      </c>
      <c r="L20" t="s">
        <v>30</v>
      </c>
      <c r="M20" t="s">
        <v>12</v>
      </c>
      <c r="N20" t="s">
        <v>87</v>
      </c>
      <c r="O20" t="s">
        <v>0</v>
      </c>
      <c r="P20">
        <v>319663</v>
      </c>
      <c r="Q20" t="s">
        <v>9</v>
      </c>
      <c r="R20" t="s">
        <v>5</v>
      </c>
      <c r="S20" t="s">
        <v>79</v>
      </c>
      <c r="T20">
        <v>90</v>
      </c>
      <c r="U20">
        <v>1.5</v>
      </c>
      <c r="V20" s="2">
        <v>6.25E-2</v>
      </c>
      <c r="W20">
        <v>135</v>
      </c>
      <c r="X20">
        <v>225</v>
      </c>
      <c r="Y20">
        <v>90</v>
      </c>
      <c r="Z20" t="s">
        <v>88</v>
      </c>
      <c r="AA20" t="s">
        <v>80</v>
      </c>
      <c r="AB20" t="s">
        <v>81</v>
      </c>
      <c r="AC20" t="s">
        <v>76</v>
      </c>
      <c r="AD20" t="s">
        <v>83</v>
      </c>
      <c r="AE20">
        <f t="shared" si="2"/>
        <v>11</v>
      </c>
      <c r="AF20" t="str">
        <f t="shared" si="1"/>
        <v>November</v>
      </c>
    </row>
    <row r="21" spans="1:32" x14ac:dyDescent="0.3">
      <c r="A21" s="1">
        <v>45603</v>
      </c>
      <c r="B21" t="s">
        <v>11</v>
      </c>
      <c r="C21" t="s">
        <v>68</v>
      </c>
      <c r="D21" t="s">
        <v>69</v>
      </c>
      <c r="E21" t="s">
        <v>70</v>
      </c>
      <c r="F21" t="s">
        <v>71</v>
      </c>
      <c r="G21" t="s">
        <v>72</v>
      </c>
      <c r="H21" t="s">
        <v>73</v>
      </c>
      <c r="I21" t="s">
        <v>74</v>
      </c>
      <c r="J21" t="s">
        <v>75</v>
      </c>
      <c r="K21" t="s">
        <v>69</v>
      </c>
      <c r="L21" t="s">
        <v>30</v>
      </c>
      <c r="M21" t="s">
        <v>12</v>
      </c>
      <c r="N21" t="s">
        <v>87</v>
      </c>
      <c r="O21" t="s">
        <v>0</v>
      </c>
      <c r="P21">
        <v>320173</v>
      </c>
      <c r="Q21" t="s">
        <v>9</v>
      </c>
      <c r="R21" t="s">
        <v>5</v>
      </c>
      <c r="S21" t="s">
        <v>79</v>
      </c>
      <c r="T21">
        <v>90</v>
      </c>
      <c r="U21">
        <v>4.5</v>
      </c>
      <c r="V21" s="2">
        <v>0.1875</v>
      </c>
      <c r="W21">
        <v>405</v>
      </c>
      <c r="X21">
        <v>675</v>
      </c>
      <c r="Y21">
        <v>270</v>
      </c>
      <c r="Z21" t="s">
        <v>88</v>
      </c>
      <c r="AA21" t="s">
        <v>80</v>
      </c>
      <c r="AB21" t="s">
        <v>81</v>
      </c>
      <c r="AC21" t="s">
        <v>76</v>
      </c>
      <c r="AD21" t="s">
        <v>83</v>
      </c>
      <c r="AE21">
        <f t="shared" si="2"/>
        <v>11</v>
      </c>
      <c r="AF21" t="str">
        <f t="shared" si="1"/>
        <v>November</v>
      </c>
    </row>
    <row r="22" spans="1:32" x14ac:dyDescent="0.3">
      <c r="A22" s="1">
        <v>45604</v>
      </c>
      <c r="B22" t="s">
        <v>11</v>
      </c>
      <c r="C22" t="s">
        <v>68</v>
      </c>
      <c r="D22" t="s">
        <v>69</v>
      </c>
      <c r="E22" t="s">
        <v>70</v>
      </c>
      <c r="F22" t="s">
        <v>71</v>
      </c>
      <c r="G22" t="s">
        <v>72</v>
      </c>
      <c r="H22" t="s">
        <v>73</v>
      </c>
      <c r="I22" t="s">
        <v>74</v>
      </c>
      <c r="J22" t="s">
        <v>75</v>
      </c>
      <c r="K22" t="s">
        <v>69</v>
      </c>
      <c r="L22" t="s">
        <v>30</v>
      </c>
      <c r="M22" t="s">
        <v>12</v>
      </c>
      <c r="N22" t="s">
        <v>87</v>
      </c>
      <c r="O22" t="s">
        <v>0</v>
      </c>
      <c r="P22">
        <v>320704</v>
      </c>
      <c r="Q22" t="s">
        <v>9</v>
      </c>
      <c r="R22" t="s">
        <v>5</v>
      </c>
      <c r="S22" t="s">
        <v>79</v>
      </c>
      <c r="T22">
        <v>90</v>
      </c>
      <c r="U22">
        <v>7.25</v>
      </c>
      <c r="V22" s="2">
        <v>0.30208333333333331</v>
      </c>
      <c r="W22">
        <v>652.5</v>
      </c>
      <c r="X22" s="17">
        <v>1087.5</v>
      </c>
      <c r="Y22">
        <v>435</v>
      </c>
      <c r="Z22" t="s">
        <v>88</v>
      </c>
      <c r="AA22" t="s">
        <v>80</v>
      </c>
      <c r="AB22" t="s">
        <v>81</v>
      </c>
      <c r="AC22" t="s">
        <v>76</v>
      </c>
      <c r="AD22" t="s">
        <v>83</v>
      </c>
      <c r="AE22">
        <f t="shared" si="2"/>
        <v>11</v>
      </c>
      <c r="AF22" t="str">
        <f t="shared" si="1"/>
        <v>November</v>
      </c>
    </row>
    <row r="23" spans="1:32" x14ac:dyDescent="0.3">
      <c r="A23" s="1">
        <v>45607</v>
      </c>
      <c r="B23" t="s">
        <v>11</v>
      </c>
      <c r="C23" t="s">
        <v>68</v>
      </c>
      <c r="D23" t="s">
        <v>69</v>
      </c>
      <c r="E23" t="s">
        <v>70</v>
      </c>
      <c r="F23" t="s">
        <v>71</v>
      </c>
      <c r="G23" t="s">
        <v>72</v>
      </c>
      <c r="H23" t="s">
        <v>73</v>
      </c>
      <c r="I23" t="s">
        <v>74</v>
      </c>
      <c r="J23" t="s">
        <v>75</v>
      </c>
      <c r="K23" t="s">
        <v>69</v>
      </c>
      <c r="L23" t="s">
        <v>30</v>
      </c>
      <c r="M23" t="s">
        <v>12</v>
      </c>
      <c r="N23" t="s">
        <v>87</v>
      </c>
      <c r="O23" t="s">
        <v>0</v>
      </c>
      <c r="P23">
        <v>321468</v>
      </c>
      <c r="Q23" t="s">
        <v>9</v>
      </c>
      <c r="R23" t="s">
        <v>5</v>
      </c>
      <c r="S23" t="s">
        <v>79</v>
      </c>
      <c r="T23">
        <v>90</v>
      </c>
      <c r="U23">
        <v>4</v>
      </c>
      <c r="V23" s="2">
        <v>0.16666666666666666</v>
      </c>
      <c r="W23">
        <v>360</v>
      </c>
      <c r="X23">
        <v>600</v>
      </c>
      <c r="Y23">
        <v>240</v>
      </c>
      <c r="Z23" t="s">
        <v>88</v>
      </c>
      <c r="AA23" t="s">
        <v>80</v>
      </c>
      <c r="AB23" t="s">
        <v>81</v>
      </c>
      <c r="AC23" t="s">
        <v>76</v>
      </c>
      <c r="AD23" t="s">
        <v>83</v>
      </c>
      <c r="AE23">
        <f t="shared" si="2"/>
        <v>11</v>
      </c>
      <c r="AF23" t="str">
        <f t="shared" si="1"/>
        <v>November</v>
      </c>
    </row>
    <row r="24" spans="1:32" x14ac:dyDescent="0.3">
      <c r="A24" s="1">
        <v>45608</v>
      </c>
      <c r="B24" t="s">
        <v>11</v>
      </c>
      <c r="C24" t="s">
        <v>68</v>
      </c>
      <c r="D24" t="s">
        <v>69</v>
      </c>
      <c r="E24" t="s">
        <v>70</v>
      </c>
      <c r="F24" t="s">
        <v>71</v>
      </c>
      <c r="G24" t="s">
        <v>72</v>
      </c>
      <c r="H24" t="s">
        <v>73</v>
      </c>
      <c r="I24" t="s">
        <v>74</v>
      </c>
      <c r="J24" t="s">
        <v>75</v>
      </c>
      <c r="K24" t="s">
        <v>69</v>
      </c>
      <c r="L24" t="s">
        <v>30</v>
      </c>
      <c r="M24" t="s">
        <v>12</v>
      </c>
      <c r="N24" t="s">
        <v>87</v>
      </c>
      <c r="O24" t="s">
        <v>0</v>
      </c>
      <c r="P24">
        <v>322040</v>
      </c>
      <c r="Q24" t="s">
        <v>9</v>
      </c>
      <c r="R24" t="s">
        <v>5</v>
      </c>
      <c r="S24" t="s">
        <v>79</v>
      </c>
      <c r="T24">
        <v>90</v>
      </c>
      <c r="U24">
        <v>7</v>
      </c>
      <c r="V24" s="2">
        <v>0.29166666666666669</v>
      </c>
      <c r="W24">
        <v>630</v>
      </c>
      <c r="X24" s="17">
        <v>1050</v>
      </c>
      <c r="Y24">
        <v>420</v>
      </c>
      <c r="Z24" t="s">
        <v>88</v>
      </c>
      <c r="AA24" t="s">
        <v>80</v>
      </c>
      <c r="AB24" t="s">
        <v>81</v>
      </c>
      <c r="AC24" t="s">
        <v>76</v>
      </c>
      <c r="AD24" t="s">
        <v>83</v>
      </c>
      <c r="AE24">
        <f t="shared" si="2"/>
        <v>11</v>
      </c>
      <c r="AF24" t="str">
        <f t="shared" si="1"/>
        <v>November</v>
      </c>
    </row>
    <row r="25" spans="1:32" x14ac:dyDescent="0.3">
      <c r="A25" s="1">
        <v>45609</v>
      </c>
      <c r="B25" t="s">
        <v>11</v>
      </c>
      <c r="C25" t="s">
        <v>68</v>
      </c>
      <c r="D25" t="s">
        <v>69</v>
      </c>
      <c r="E25" t="s">
        <v>70</v>
      </c>
      <c r="F25" t="s">
        <v>71</v>
      </c>
      <c r="G25" t="s">
        <v>72</v>
      </c>
      <c r="H25" t="s">
        <v>73</v>
      </c>
      <c r="I25" t="s">
        <v>74</v>
      </c>
      <c r="J25" t="s">
        <v>75</v>
      </c>
      <c r="K25" t="s">
        <v>69</v>
      </c>
      <c r="L25" t="s">
        <v>30</v>
      </c>
      <c r="M25" t="s">
        <v>12</v>
      </c>
      <c r="N25" t="s">
        <v>87</v>
      </c>
      <c r="O25" t="s">
        <v>0</v>
      </c>
      <c r="P25">
        <v>322573</v>
      </c>
      <c r="Q25" t="s">
        <v>9</v>
      </c>
      <c r="R25" t="s">
        <v>5</v>
      </c>
      <c r="S25" t="s">
        <v>79</v>
      </c>
      <c r="T25">
        <v>90</v>
      </c>
      <c r="U25">
        <v>6.5</v>
      </c>
      <c r="V25" s="2">
        <v>0.27083333333333331</v>
      </c>
      <c r="W25">
        <v>585</v>
      </c>
      <c r="X25">
        <v>975</v>
      </c>
      <c r="Y25">
        <v>390</v>
      </c>
      <c r="Z25" t="s">
        <v>88</v>
      </c>
      <c r="AA25" t="s">
        <v>80</v>
      </c>
      <c r="AB25" t="s">
        <v>81</v>
      </c>
      <c r="AC25" t="s">
        <v>76</v>
      </c>
      <c r="AD25" t="s">
        <v>83</v>
      </c>
      <c r="AE25">
        <f t="shared" si="2"/>
        <v>11</v>
      </c>
      <c r="AF25" t="str">
        <f t="shared" si="1"/>
        <v>November</v>
      </c>
    </row>
    <row r="26" spans="1:32" x14ac:dyDescent="0.3">
      <c r="A26" s="1">
        <v>45610</v>
      </c>
      <c r="B26" t="s">
        <v>11</v>
      </c>
      <c r="C26" t="s">
        <v>68</v>
      </c>
      <c r="D26" t="s">
        <v>69</v>
      </c>
      <c r="E26" t="s">
        <v>70</v>
      </c>
      <c r="F26" t="s">
        <v>71</v>
      </c>
      <c r="G26" t="s">
        <v>72</v>
      </c>
      <c r="H26" t="s">
        <v>73</v>
      </c>
      <c r="I26" t="s">
        <v>74</v>
      </c>
      <c r="J26" t="s">
        <v>75</v>
      </c>
      <c r="K26" t="s">
        <v>69</v>
      </c>
      <c r="L26" t="s">
        <v>30</v>
      </c>
      <c r="M26" t="s">
        <v>12</v>
      </c>
      <c r="N26" t="s">
        <v>87</v>
      </c>
      <c r="O26" t="s">
        <v>0</v>
      </c>
      <c r="P26">
        <v>323022</v>
      </c>
      <c r="Q26" t="s">
        <v>9</v>
      </c>
      <c r="R26" t="s">
        <v>5</v>
      </c>
      <c r="S26" t="s">
        <v>79</v>
      </c>
      <c r="T26">
        <v>90</v>
      </c>
      <c r="U26">
        <v>4.25</v>
      </c>
      <c r="V26" s="2">
        <v>0.17708333333333334</v>
      </c>
      <c r="W26">
        <v>382.5</v>
      </c>
      <c r="X26">
        <v>637.5</v>
      </c>
      <c r="Y26">
        <v>255</v>
      </c>
      <c r="Z26" t="s">
        <v>88</v>
      </c>
      <c r="AA26" t="s">
        <v>80</v>
      </c>
      <c r="AB26" t="s">
        <v>81</v>
      </c>
      <c r="AC26" t="s">
        <v>76</v>
      </c>
      <c r="AD26" t="s">
        <v>83</v>
      </c>
      <c r="AE26">
        <f t="shared" si="2"/>
        <v>11</v>
      </c>
      <c r="AF26" t="str">
        <f t="shared" si="1"/>
        <v>November</v>
      </c>
    </row>
    <row r="27" spans="1:32" x14ac:dyDescent="0.3">
      <c r="A27" s="1">
        <v>45611</v>
      </c>
      <c r="B27" t="s">
        <v>11</v>
      </c>
      <c r="C27" t="s">
        <v>68</v>
      </c>
      <c r="D27" t="s">
        <v>69</v>
      </c>
      <c r="E27" t="s">
        <v>70</v>
      </c>
      <c r="F27" t="s">
        <v>71</v>
      </c>
      <c r="G27" t="s">
        <v>72</v>
      </c>
      <c r="H27" t="s">
        <v>73</v>
      </c>
      <c r="I27" t="s">
        <v>74</v>
      </c>
      <c r="J27" t="s">
        <v>75</v>
      </c>
      <c r="K27" t="s">
        <v>69</v>
      </c>
      <c r="L27" t="s">
        <v>30</v>
      </c>
      <c r="M27" t="s">
        <v>12</v>
      </c>
      <c r="N27" t="s">
        <v>87</v>
      </c>
      <c r="O27" t="s">
        <v>0</v>
      </c>
      <c r="P27">
        <v>323759</v>
      </c>
      <c r="Q27" t="s">
        <v>9</v>
      </c>
      <c r="R27" t="s">
        <v>5</v>
      </c>
      <c r="S27" t="s">
        <v>79</v>
      </c>
      <c r="T27">
        <v>90</v>
      </c>
      <c r="U27">
        <v>5.5</v>
      </c>
      <c r="V27" s="2">
        <v>0.22916666666666666</v>
      </c>
      <c r="W27">
        <v>495</v>
      </c>
      <c r="X27">
        <v>825</v>
      </c>
      <c r="Y27">
        <v>330</v>
      </c>
      <c r="Z27" t="s">
        <v>88</v>
      </c>
      <c r="AA27" t="s">
        <v>80</v>
      </c>
      <c r="AB27" t="s">
        <v>81</v>
      </c>
      <c r="AC27" t="s">
        <v>76</v>
      </c>
      <c r="AD27" t="s">
        <v>83</v>
      </c>
      <c r="AE27">
        <f t="shared" si="2"/>
        <v>11</v>
      </c>
      <c r="AF27" t="str">
        <f t="shared" si="1"/>
        <v>November</v>
      </c>
    </row>
    <row r="28" spans="1:32" x14ac:dyDescent="0.3">
      <c r="A28" s="1">
        <v>45614</v>
      </c>
      <c r="B28" t="s">
        <v>11</v>
      </c>
      <c r="C28" t="s">
        <v>68</v>
      </c>
      <c r="D28" t="s">
        <v>69</v>
      </c>
      <c r="E28" t="s">
        <v>70</v>
      </c>
      <c r="F28" t="s">
        <v>71</v>
      </c>
      <c r="G28" t="s">
        <v>72</v>
      </c>
      <c r="H28" t="s">
        <v>73</v>
      </c>
      <c r="I28" t="s">
        <v>74</v>
      </c>
      <c r="J28" t="s">
        <v>75</v>
      </c>
      <c r="K28" t="s">
        <v>69</v>
      </c>
      <c r="L28" t="s">
        <v>30</v>
      </c>
      <c r="M28" t="s">
        <v>12</v>
      </c>
      <c r="N28" t="s">
        <v>87</v>
      </c>
      <c r="O28" t="s">
        <v>0</v>
      </c>
      <c r="P28">
        <v>324526</v>
      </c>
      <c r="Q28" t="s">
        <v>9</v>
      </c>
      <c r="R28" t="s">
        <v>5</v>
      </c>
      <c r="S28" t="s">
        <v>79</v>
      </c>
      <c r="T28">
        <v>90</v>
      </c>
      <c r="U28">
        <v>5</v>
      </c>
      <c r="V28" s="2">
        <v>0.20833333333333334</v>
      </c>
      <c r="W28">
        <v>450</v>
      </c>
      <c r="X28">
        <v>750</v>
      </c>
      <c r="Y28">
        <v>300</v>
      </c>
      <c r="Z28" t="s">
        <v>88</v>
      </c>
      <c r="AA28" t="s">
        <v>80</v>
      </c>
      <c r="AB28" t="s">
        <v>81</v>
      </c>
      <c r="AC28" t="s">
        <v>76</v>
      </c>
      <c r="AD28" t="s">
        <v>83</v>
      </c>
      <c r="AE28">
        <f t="shared" si="2"/>
        <v>11</v>
      </c>
      <c r="AF28" t="str">
        <f t="shared" si="1"/>
        <v>November</v>
      </c>
    </row>
    <row r="29" spans="1:32" x14ac:dyDescent="0.3">
      <c r="A29" s="1">
        <v>45615</v>
      </c>
      <c r="B29" t="s">
        <v>11</v>
      </c>
      <c r="C29" t="s">
        <v>68</v>
      </c>
      <c r="D29" t="s">
        <v>69</v>
      </c>
      <c r="E29" t="s">
        <v>70</v>
      </c>
      <c r="F29" t="s">
        <v>71</v>
      </c>
      <c r="G29" t="s">
        <v>72</v>
      </c>
      <c r="H29" t="s">
        <v>73</v>
      </c>
      <c r="I29" t="s">
        <v>74</v>
      </c>
      <c r="J29" t="s">
        <v>75</v>
      </c>
      <c r="K29" t="s">
        <v>69</v>
      </c>
      <c r="L29" t="s">
        <v>30</v>
      </c>
      <c r="M29" t="s">
        <v>12</v>
      </c>
      <c r="N29" t="s">
        <v>87</v>
      </c>
      <c r="O29" t="s">
        <v>0</v>
      </c>
      <c r="P29">
        <v>325122</v>
      </c>
      <c r="Q29" t="s">
        <v>9</v>
      </c>
      <c r="R29" t="s">
        <v>5</v>
      </c>
      <c r="S29" t="s">
        <v>79</v>
      </c>
      <c r="T29">
        <v>90</v>
      </c>
      <c r="U29">
        <v>3.75</v>
      </c>
      <c r="V29" s="2">
        <v>0.15625</v>
      </c>
      <c r="W29">
        <v>337.5</v>
      </c>
      <c r="X29">
        <v>562.5</v>
      </c>
      <c r="Y29">
        <v>225</v>
      </c>
      <c r="Z29" t="s">
        <v>88</v>
      </c>
      <c r="AA29" t="s">
        <v>80</v>
      </c>
      <c r="AB29" t="s">
        <v>81</v>
      </c>
      <c r="AC29" t="s">
        <v>76</v>
      </c>
      <c r="AD29" t="s">
        <v>83</v>
      </c>
      <c r="AE29">
        <f t="shared" si="2"/>
        <v>11</v>
      </c>
      <c r="AF29" t="str">
        <f t="shared" si="1"/>
        <v>November</v>
      </c>
    </row>
    <row r="30" spans="1:32" x14ac:dyDescent="0.3">
      <c r="A30" s="1">
        <v>45616</v>
      </c>
      <c r="B30" t="s">
        <v>11</v>
      </c>
      <c r="C30" t="s">
        <v>68</v>
      </c>
      <c r="D30" t="s">
        <v>69</v>
      </c>
      <c r="E30" t="s">
        <v>70</v>
      </c>
      <c r="F30" t="s">
        <v>71</v>
      </c>
      <c r="G30" t="s">
        <v>72</v>
      </c>
      <c r="H30" t="s">
        <v>73</v>
      </c>
      <c r="I30" t="s">
        <v>74</v>
      </c>
      <c r="J30" t="s">
        <v>75</v>
      </c>
      <c r="K30" t="s">
        <v>69</v>
      </c>
      <c r="L30" t="s">
        <v>30</v>
      </c>
      <c r="M30" t="s">
        <v>12</v>
      </c>
      <c r="N30" t="s">
        <v>87</v>
      </c>
      <c r="O30" t="s">
        <v>0</v>
      </c>
      <c r="P30">
        <v>325597</v>
      </c>
      <c r="Q30" t="s">
        <v>9</v>
      </c>
      <c r="R30" t="s">
        <v>5</v>
      </c>
      <c r="S30" t="s">
        <v>79</v>
      </c>
      <c r="T30">
        <v>90</v>
      </c>
      <c r="U30">
        <v>7.5</v>
      </c>
      <c r="V30" s="2">
        <v>0.3125</v>
      </c>
      <c r="W30">
        <v>675</v>
      </c>
      <c r="X30" s="17">
        <v>1125</v>
      </c>
      <c r="Y30">
        <v>450</v>
      </c>
      <c r="Z30" t="s">
        <v>88</v>
      </c>
      <c r="AA30" t="s">
        <v>80</v>
      </c>
      <c r="AB30" t="s">
        <v>81</v>
      </c>
      <c r="AC30" t="s">
        <v>76</v>
      </c>
      <c r="AD30" t="s">
        <v>83</v>
      </c>
      <c r="AE30">
        <f t="shared" si="2"/>
        <v>11</v>
      </c>
      <c r="AF30" t="str">
        <f t="shared" si="1"/>
        <v>November</v>
      </c>
    </row>
    <row r="31" spans="1:32" x14ac:dyDescent="0.3">
      <c r="A31" s="1">
        <v>45617</v>
      </c>
      <c r="B31" t="s">
        <v>11</v>
      </c>
      <c r="C31" t="s">
        <v>68</v>
      </c>
      <c r="D31" t="s">
        <v>69</v>
      </c>
      <c r="E31" t="s">
        <v>70</v>
      </c>
      <c r="F31" t="s">
        <v>71</v>
      </c>
      <c r="G31" t="s">
        <v>72</v>
      </c>
      <c r="H31" t="s">
        <v>73</v>
      </c>
      <c r="I31" t="s">
        <v>74</v>
      </c>
      <c r="J31" t="s">
        <v>75</v>
      </c>
      <c r="K31" t="s">
        <v>69</v>
      </c>
      <c r="L31" t="s">
        <v>30</v>
      </c>
      <c r="M31" t="s">
        <v>12</v>
      </c>
      <c r="N31" t="s">
        <v>87</v>
      </c>
      <c r="O31" t="s">
        <v>0</v>
      </c>
      <c r="P31">
        <v>326108</v>
      </c>
      <c r="Q31" t="s">
        <v>9</v>
      </c>
      <c r="R31" t="s">
        <v>5</v>
      </c>
      <c r="S31" t="s">
        <v>79</v>
      </c>
      <c r="T31">
        <v>90</v>
      </c>
      <c r="U31">
        <v>7.25</v>
      </c>
      <c r="V31" s="2">
        <v>0.30208333333333331</v>
      </c>
      <c r="W31">
        <v>652.5</v>
      </c>
      <c r="X31" s="17">
        <v>1087.5</v>
      </c>
      <c r="Y31">
        <v>435</v>
      </c>
      <c r="Z31" t="s">
        <v>88</v>
      </c>
      <c r="AA31" t="s">
        <v>80</v>
      </c>
      <c r="AB31" t="s">
        <v>81</v>
      </c>
      <c r="AC31" t="s">
        <v>76</v>
      </c>
      <c r="AD31" t="s">
        <v>83</v>
      </c>
      <c r="AE31">
        <f t="shared" si="2"/>
        <v>11</v>
      </c>
      <c r="AF31" t="str">
        <f t="shared" si="1"/>
        <v>November</v>
      </c>
    </row>
    <row r="32" spans="1:32" x14ac:dyDescent="0.3">
      <c r="A32" s="1">
        <v>45618</v>
      </c>
      <c r="B32" t="s">
        <v>11</v>
      </c>
      <c r="C32" t="s">
        <v>68</v>
      </c>
      <c r="D32" t="s">
        <v>69</v>
      </c>
      <c r="E32" t="s">
        <v>70</v>
      </c>
      <c r="F32" t="s">
        <v>71</v>
      </c>
      <c r="G32" t="s">
        <v>72</v>
      </c>
      <c r="H32" t="s">
        <v>73</v>
      </c>
      <c r="I32" t="s">
        <v>74</v>
      </c>
      <c r="J32" t="s">
        <v>75</v>
      </c>
      <c r="K32" t="s">
        <v>69</v>
      </c>
      <c r="L32" t="s">
        <v>30</v>
      </c>
      <c r="M32" t="s">
        <v>12</v>
      </c>
      <c r="N32" t="s">
        <v>87</v>
      </c>
      <c r="O32" t="s">
        <v>0</v>
      </c>
      <c r="P32">
        <v>326754</v>
      </c>
      <c r="Q32" t="s">
        <v>9</v>
      </c>
      <c r="R32" t="s">
        <v>5</v>
      </c>
      <c r="S32" t="s">
        <v>79</v>
      </c>
      <c r="T32">
        <v>90</v>
      </c>
      <c r="U32">
        <v>4.5</v>
      </c>
      <c r="V32" s="2">
        <v>0.1875</v>
      </c>
      <c r="W32">
        <v>405</v>
      </c>
      <c r="X32">
        <v>675</v>
      </c>
      <c r="Y32">
        <v>270</v>
      </c>
      <c r="Z32" t="s">
        <v>88</v>
      </c>
      <c r="AA32" t="s">
        <v>80</v>
      </c>
      <c r="AB32" t="s">
        <v>81</v>
      </c>
      <c r="AC32" t="s">
        <v>76</v>
      </c>
      <c r="AD32" t="s">
        <v>83</v>
      </c>
      <c r="AE32">
        <f t="shared" si="2"/>
        <v>11</v>
      </c>
      <c r="AF32" t="str">
        <f t="shared" si="1"/>
        <v>November</v>
      </c>
    </row>
    <row r="33" spans="1:32" x14ac:dyDescent="0.3">
      <c r="A33" s="1">
        <v>45621</v>
      </c>
      <c r="B33" t="s">
        <v>11</v>
      </c>
      <c r="C33" t="s">
        <v>68</v>
      </c>
      <c r="D33" t="s">
        <v>69</v>
      </c>
      <c r="E33" t="s">
        <v>70</v>
      </c>
      <c r="F33" t="s">
        <v>71</v>
      </c>
      <c r="G33" t="s">
        <v>72</v>
      </c>
      <c r="H33" t="s">
        <v>73</v>
      </c>
      <c r="I33" t="s">
        <v>74</v>
      </c>
      <c r="J33" t="s">
        <v>75</v>
      </c>
      <c r="K33" t="s">
        <v>69</v>
      </c>
      <c r="L33" t="s">
        <v>30</v>
      </c>
      <c r="M33" t="s">
        <v>12</v>
      </c>
      <c r="N33" t="s">
        <v>87</v>
      </c>
      <c r="O33" t="s">
        <v>0</v>
      </c>
      <c r="P33">
        <v>327557</v>
      </c>
      <c r="Q33" t="s">
        <v>9</v>
      </c>
      <c r="R33" t="s">
        <v>5</v>
      </c>
      <c r="S33" t="s">
        <v>79</v>
      </c>
      <c r="T33">
        <v>90</v>
      </c>
      <c r="U33">
        <v>2.75</v>
      </c>
      <c r="V33" s="2">
        <v>0.11458333333333333</v>
      </c>
      <c r="W33">
        <v>247.5</v>
      </c>
      <c r="X33">
        <v>412.5</v>
      </c>
      <c r="Y33">
        <v>165</v>
      </c>
      <c r="Z33" t="s">
        <v>88</v>
      </c>
      <c r="AA33" t="s">
        <v>80</v>
      </c>
      <c r="AB33" t="s">
        <v>81</v>
      </c>
      <c r="AC33" t="s">
        <v>76</v>
      </c>
      <c r="AD33" t="s">
        <v>83</v>
      </c>
      <c r="AE33">
        <f t="shared" si="2"/>
        <v>11</v>
      </c>
      <c r="AF33" t="str">
        <f t="shared" si="1"/>
        <v>November</v>
      </c>
    </row>
    <row r="34" spans="1:32" x14ac:dyDescent="0.3">
      <c r="A34" s="1">
        <v>45622</v>
      </c>
      <c r="B34" t="s">
        <v>11</v>
      </c>
      <c r="C34" t="s">
        <v>68</v>
      </c>
      <c r="D34" t="s">
        <v>69</v>
      </c>
      <c r="E34" t="s">
        <v>70</v>
      </c>
      <c r="F34" t="s">
        <v>71</v>
      </c>
      <c r="G34" t="s">
        <v>72</v>
      </c>
      <c r="H34" t="s">
        <v>73</v>
      </c>
      <c r="I34" t="s">
        <v>74</v>
      </c>
      <c r="J34" t="s">
        <v>75</v>
      </c>
      <c r="K34" t="s">
        <v>69</v>
      </c>
      <c r="L34" t="s">
        <v>30</v>
      </c>
      <c r="M34" t="s">
        <v>12</v>
      </c>
      <c r="N34" t="s">
        <v>87</v>
      </c>
      <c r="O34" t="s">
        <v>0</v>
      </c>
      <c r="P34">
        <v>328066</v>
      </c>
      <c r="Q34" t="s">
        <v>9</v>
      </c>
      <c r="R34" t="s">
        <v>5</v>
      </c>
      <c r="S34" t="s">
        <v>79</v>
      </c>
      <c r="T34">
        <v>90</v>
      </c>
      <c r="U34">
        <v>5</v>
      </c>
      <c r="V34" s="2">
        <v>0.20833333333333334</v>
      </c>
      <c r="W34">
        <v>450</v>
      </c>
      <c r="X34">
        <v>750</v>
      </c>
      <c r="Y34">
        <v>300</v>
      </c>
      <c r="Z34" t="s">
        <v>88</v>
      </c>
      <c r="AA34" t="s">
        <v>80</v>
      </c>
      <c r="AB34" t="s">
        <v>81</v>
      </c>
      <c r="AC34" t="s">
        <v>76</v>
      </c>
      <c r="AD34" t="s">
        <v>83</v>
      </c>
      <c r="AE34">
        <f t="shared" ref="AE34:AE49" si="3">MONTH(A34)</f>
        <v>11</v>
      </c>
      <c r="AF34" t="str">
        <f t="shared" si="1"/>
        <v>November</v>
      </c>
    </row>
    <row r="35" spans="1:32" x14ac:dyDescent="0.3">
      <c r="A35" s="1">
        <v>45623</v>
      </c>
      <c r="B35" t="s">
        <v>11</v>
      </c>
      <c r="C35" t="s">
        <v>68</v>
      </c>
      <c r="D35" t="s">
        <v>69</v>
      </c>
      <c r="E35" t="s">
        <v>70</v>
      </c>
      <c r="F35" t="s">
        <v>71</v>
      </c>
      <c r="G35" t="s">
        <v>72</v>
      </c>
      <c r="H35" t="s">
        <v>73</v>
      </c>
      <c r="I35" t="s">
        <v>74</v>
      </c>
      <c r="J35" t="s">
        <v>75</v>
      </c>
      <c r="K35" t="s">
        <v>69</v>
      </c>
      <c r="L35" t="s">
        <v>30</v>
      </c>
      <c r="M35" t="s">
        <v>12</v>
      </c>
      <c r="N35" t="s">
        <v>87</v>
      </c>
      <c r="O35" t="s">
        <v>0</v>
      </c>
      <c r="P35">
        <v>328571</v>
      </c>
      <c r="Q35" t="s">
        <v>9</v>
      </c>
      <c r="R35" t="s">
        <v>5</v>
      </c>
      <c r="S35" t="s">
        <v>79</v>
      </c>
      <c r="T35">
        <v>90</v>
      </c>
      <c r="U35">
        <v>7.5</v>
      </c>
      <c r="V35" s="2">
        <v>0.3125</v>
      </c>
      <c r="W35">
        <v>675</v>
      </c>
      <c r="X35" s="17">
        <v>1125</v>
      </c>
      <c r="Y35">
        <v>450</v>
      </c>
      <c r="Z35" t="s">
        <v>88</v>
      </c>
      <c r="AA35" t="s">
        <v>80</v>
      </c>
      <c r="AB35" t="s">
        <v>81</v>
      </c>
      <c r="AC35" t="s">
        <v>76</v>
      </c>
      <c r="AD35" t="s">
        <v>83</v>
      </c>
      <c r="AE35">
        <f t="shared" si="3"/>
        <v>11</v>
      </c>
      <c r="AF35" t="str">
        <f t="shared" si="1"/>
        <v>November</v>
      </c>
    </row>
    <row r="36" spans="1:32" x14ac:dyDescent="0.3">
      <c r="A36" s="1">
        <v>45628</v>
      </c>
      <c r="B36" t="s">
        <v>11</v>
      </c>
      <c r="C36" t="s">
        <v>68</v>
      </c>
      <c r="D36" t="s">
        <v>69</v>
      </c>
      <c r="E36" t="s">
        <v>70</v>
      </c>
      <c r="F36" t="s">
        <v>71</v>
      </c>
      <c r="G36" t="s">
        <v>72</v>
      </c>
      <c r="H36" t="s">
        <v>73</v>
      </c>
      <c r="I36" t="s">
        <v>74</v>
      </c>
      <c r="J36" t="s">
        <v>75</v>
      </c>
      <c r="K36" t="s">
        <v>69</v>
      </c>
      <c r="L36" t="s">
        <v>30</v>
      </c>
      <c r="M36" t="s">
        <v>12</v>
      </c>
      <c r="N36" t="s">
        <v>87</v>
      </c>
      <c r="O36" t="s">
        <v>0</v>
      </c>
      <c r="P36">
        <v>330752</v>
      </c>
      <c r="Q36" t="s">
        <v>9</v>
      </c>
      <c r="R36" t="s">
        <v>5</v>
      </c>
      <c r="S36" t="s">
        <v>79</v>
      </c>
      <c r="T36">
        <v>90</v>
      </c>
      <c r="U36">
        <v>3.75</v>
      </c>
      <c r="V36" s="2">
        <v>0.15625</v>
      </c>
      <c r="W36">
        <v>337.5</v>
      </c>
      <c r="X36">
        <v>0</v>
      </c>
      <c r="Y36">
        <v>0</v>
      </c>
      <c r="Z36" t="s">
        <v>89</v>
      </c>
      <c r="AA36" t="s">
        <v>80</v>
      </c>
      <c r="AB36" t="s">
        <v>81</v>
      </c>
      <c r="AC36" t="s">
        <v>76</v>
      </c>
      <c r="AD36" t="s">
        <v>83</v>
      </c>
      <c r="AE36">
        <f t="shared" si="3"/>
        <v>12</v>
      </c>
      <c r="AF36" t="str">
        <f t="shared" si="1"/>
        <v>December</v>
      </c>
    </row>
    <row r="37" spans="1:32" x14ac:dyDescent="0.3">
      <c r="A37" s="1">
        <v>45629</v>
      </c>
      <c r="B37" t="s">
        <v>11</v>
      </c>
      <c r="C37" t="s">
        <v>68</v>
      </c>
      <c r="D37" t="s">
        <v>69</v>
      </c>
      <c r="E37" t="s">
        <v>70</v>
      </c>
      <c r="F37" t="s">
        <v>71</v>
      </c>
      <c r="G37" t="s">
        <v>72</v>
      </c>
      <c r="H37" t="s">
        <v>73</v>
      </c>
      <c r="I37" t="s">
        <v>74</v>
      </c>
      <c r="J37" t="s">
        <v>75</v>
      </c>
      <c r="K37" t="s">
        <v>69</v>
      </c>
      <c r="L37" t="s">
        <v>30</v>
      </c>
      <c r="M37" t="s">
        <v>12</v>
      </c>
      <c r="N37" t="s">
        <v>87</v>
      </c>
      <c r="O37" t="s">
        <v>0</v>
      </c>
      <c r="P37">
        <v>331283</v>
      </c>
      <c r="Q37" t="s">
        <v>9</v>
      </c>
      <c r="R37" t="s">
        <v>5</v>
      </c>
      <c r="S37" t="s">
        <v>79</v>
      </c>
      <c r="T37">
        <v>90</v>
      </c>
      <c r="U37">
        <v>1</v>
      </c>
      <c r="V37" s="2">
        <v>4.1666666666666664E-2</v>
      </c>
      <c r="W37">
        <v>90</v>
      </c>
      <c r="X37">
        <v>0</v>
      </c>
      <c r="Y37">
        <v>0</v>
      </c>
      <c r="Z37" t="s">
        <v>89</v>
      </c>
      <c r="AA37" t="s">
        <v>80</v>
      </c>
      <c r="AB37" t="s">
        <v>81</v>
      </c>
      <c r="AC37" t="s">
        <v>76</v>
      </c>
      <c r="AD37" t="s">
        <v>83</v>
      </c>
      <c r="AE37">
        <f t="shared" si="3"/>
        <v>12</v>
      </c>
      <c r="AF37" t="str">
        <f t="shared" si="1"/>
        <v>December</v>
      </c>
    </row>
    <row r="38" spans="1:32" x14ac:dyDescent="0.3">
      <c r="A38" s="1">
        <v>45630</v>
      </c>
      <c r="B38" t="s">
        <v>11</v>
      </c>
      <c r="C38" t="s">
        <v>68</v>
      </c>
      <c r="D38" t="s">
        <v>69</v>
      </c>
      <c r="E38" t="s">
        <v>70</v>
      </c>
      <c r="F38" t="s">
        <v>71</v>
      </c>
      <c r="G38" t="s">
        <v>72</v>
      </c>
      <c r="H38" t="s">
        <v>73</v>
      </c>
      <c r="I38" t="s">
        <v>74</v>
      </c>
      <c r="J38" t="s">
        <v>75</v>
      </c>
      <c r="K38" t="s">
        <v>69</v>
      </c>
      <c r="L38" t="s">
        <v>30</v>
      </c>
      <c r="M38" t="s">
        <v>12</v>
      </c>
      <c r="N38" t="s">
        <v>87</v>
      </c>
      <c r="O38" t="s">
        <v>0</v>
      </c>
      <c r="P38">
        <v>331280</v>
      </c>
      <c r="Q38" t="s">
        <v>9</v>
      </c>
      <c r="R38" t="s">
        <v>5</v>
      </c>
      <c r="S38" t="s">
        <v>79</v>
      </c>
      <c r="T38">
        <v>90</v>
      </c>
      <c r="U38">
        <v>5.5</v>
      </c>
      <c r="V38" s="2">
        <v>0.22916666666666666</v>
      </c>
      <c r="W38">
        <v>495</v>
      </c>
      <c r="X38">
        <v>0</v>
      </c>
      <c r="Y38">
        <v>0</v>
      </c>
      <c r="Z38" t="s">
        <v>89</v>
      </c>
      <c r="AA38" t="s">
        <v>80</v>
      </c>
      <c r="AB38" t="s">
        <v>81</v>
      </c>
      <c r="AC38" t="s">
        <v>76</v>
      </c>
      <c r="AD38" t="s">
        <v>83</v>
      </c>
      <c r="AE38">
        <f t="shared" si="3"/>
        <v>12</v>
      </c>
      <c r="AF38" t="str">
        <f t="shared" si="1"/>
        <v>December</v>
      </c>
    </row>
    <row r="39" spans="1:32" x14ac:dyDescent="0.3">
      <c r="A39" s="1">
        <v>45631</v>
      </c>
      <c r="B39" t="s">
        <v>11</v>
      </c>
      <c r="C39" t="s">
        <v>68</v>
      </c>
      <c r="D39" t="s">
        <v>69</v>
      </c>
      <c r="E39" t="s">
        <v>70</v>
      </c>
      <c r="F39" t="s">
        <v>71</v>
      </c>
      <c r="G39" t="s">
        <v>72</v>
      </c>
      <c r="H39" t="s">
        <v>73</v>
      </c>
      <c r="I39" t="s">
        <v>74</v>
      </c>
      <c r="J39" t="s">
        <v>75</v>
      </c>
      <c r="K39" t="s">
        <v>69</v>
      </c>
      <c r="L39" t="s">
        <v>30</v>
      </c>
      <c r="M39" t="s">
        <v>12</v>
      </c>
      <c r="N39" t="s">
        <v>87</v>
      </c>
      <c r="O39" t="s">
        <v>0</v>
      </c>
      <c r="P39">
        <v>331947</v>
      </c>
      <c r="Q39" t="s">
        <v>9</v>
      </c>
      <c r="R39" t="s">
        <v>5</v>
      </c>
      <c r="S39" t="s">
        <v>79</v>
      </c>
      <c r="T39">
        <v>90</v>
      </c>
      <c r="U39">
        <v>6</v>
      </c>
      <c r="V39" s="2">
        <v>0.25</v>
      </c>
      <c r="W39">
        <v>540</v>
      </c>
      <c r="X39">
        <v>0</v>
      </c>
      <c r="Y39">
        <v>0</v>
      </c>
      <c r="Z39" t="s">
        <v>89</v>
      </c>
      <c r="AA39" t="s">
        <v>80</v>
      </c>
      <c r="AB39" t="s">
        <v>81</v>
      </c>
      <c r="AC39" t="s">
        <v>76</v>
      </c>
      <c r="AD39" t="s">
        <v>83</v>
      </c>
      <c r="AE39">
        <f t="shared" si="3"/>
        <v>12</v>
      </c>
      <c r="AF39" t="str">
        <f t="shared" si="1"/>
        <v>December</v>
      </c>
    </row>
    <row r="40" spans="1:32" x14ac:dyDescent="0.3">
      <c r="A40" s="1">
        <v>45632</v>
      </c>
      <c r="B40" t="s">
        <v>11</v>
      </c>
      <c r="C40" t="s">
        <v>68</v>
      </c>
      <c r="D40" t="s">
        <v>69</v>
      </c>
      <c r="E40" t="s">
        <v>70</v>
      </c>
      <c r="F40" t="s">
        <v>71</v>
      </c>
      <c r="G40" t="s">
        <v>72</v>
      </c>
      <c r="H40" t="s">
        <v>73</v>
      </c>
      <c r="I40" t="s">
        <v>74</v>
      </c>
      <c r="J40" t="s">
        <v>75</v>
      </c>
      <c r="K40" t="s">
        <v>69</v>
      </c>
      <c r="L40" t="s">
        <v>30</v>
      </c>
      <c r="M40" t="s">
        <v>12</v>
      </c>
      <c r="N40" t="s">
        <v>87</v>
      </c>
      <c r="O40" t="s">
        <v>0</v>
      </c>
      <c r="P40">
        <v>332839</v>
      </c>
      <c r="Q40" t="s">
        <v>9</v>
      </c>
      <c r="R40" t="s">
        <v>5</v>
      </c>
      <c r="S40" t="s">
        <v>79</v>
      </c>
      <c r="T40">
        <v>90</v>
      </c>
      <c r="U40">
        <v>3.5</v>
      </c>
      <c r="V40" s="2">
        <v>0.14583333333333334</v>
      </c>
      <c r="W40">
        <v>315</v>
      </c>
      <c r="X40">
        <v>0</v>
      </c>
      <c r="Y40">
        <v>0</v>
      </c>
      <c r="Z40" t="s">
        <v>89</v>
      </c>
      <c r="AA40" t="s">
        <v>80</v>
      </c>
      <c r="AB40" t="s">
        <v>81</v>
      </c>
      <c r="AC40" t="s">
        <v>76</v>
      </c>
      <c r="AD40" t="s">
        <v>83</v>
      </c>
      <c r="AE40">
        <f t="shared" si="3"/>
        <v>12</v>
      </c>
      <c r="AF40" t="str">
        <f t="shared" si="1"/>
        <v>December</v>
      </c>
    </row>
    <row r="41" spans="1:32" x14ac:dyDescent="0.3">
      <c r="A41" s="1">
        <v>45635</v>
      </c>
      <c r="B41" t="s">
        <v>11</v>
      </c>
      <c r="C41" t="s">
        <v>68</v>
      </c>
      <c r="D41" t="s">
        <v>69</v>
      </c>
      <c r="E41" t="s">
        <v>70</v>
      </c>
      <c r="F41" t="s">
        <v>71</v>
      </c>
      <c r="G41" t="s">
        <v>72</v>
      </c>
      <c r="H41" t="s">
        <v>73</v>
      </c>
      <c r="I41" t="s">
        <v>74</v>
      </c>
      <c r="J41" t="s">
        <v>75</v>
      </c>
      <c r="K41" t="s">
        <v>69</v>
      </c>
      <c r="L41" t="s">
        <v>30</v>
      </c>
      <c r="M41" t="s">
        <v>12</v>
      </c>
      <c r="N41" t="s">
        <v>87</v>
      </c>
      <c r="O41" t="s">
        <v>0</v>
      </c>
      <c r="P41">
        <v>333066</v>
      </c>
      <c r="Q41" t="s">
        <v>9</v>
      </c>
      <c r="R41" t="s">
        <v>5</v>
      </c>
      <c r="S41" t="s">
        <v>79</v>
      </c>
      <c r="T41">
        <v>90</v>
      </c>
      <c r="U41">
        <v>3.75</v>
      </c>
      <c r="V41" s="2">
        <v>0.15625</v>
      </c>
      <c r="W41">
        <v>337.5</v>
      </c>
      <c r="X41">
        <v>0</v>
      </c>
      <c r="Y41">
        <v>0</v>
      </c>
      <c r="Z41" t="s">
        <v>89</v>
      </c>
      <c r="AA41" t="s">
        <v>80</v>
      </c>
      <c r="AB41" t="s">
        <v>81</v>
      </c>
      <c r="AC41" t="s">
        <v>76</v>
      </c>
      <c r="AD41" t="s">
        <v>83</v>
      </c>
      <c r="AE41">
        <f t="shared" si="3"/>
        <v>12</v>
      </c>
      <c r="AF41" t="str">
        <f t="shared" si="1"/>
        <v>December</v>
      </c>
    </row>
    <row r="42" spans="1:32" x14ac:dyDescent="0.3">
      <c r="A42" s="1">
        <v>45600</v>
      </c>
      <c r="B42" t="s">
        <v>12</v>
      </c>
      <c r="C42" t="s">
        <v>68</v>
      </c>
      <c r="D42" t="s">
        <v>69</v>
      </c>
      <c r="E42" t="s">
        <v>86</v>
      </c>
      <c r="F42" t="s">
        <v>71</v>
      </c>
      <c r="G42" t="s">
        <v>72</v>
      </c>
      <c r="H42" t="s">
        <v>73</v>
      </c>
      <c r="I42" t="s">
        <v>74</v>
      </c>
      <c r="J42" t="s">
        <v>75</v>
      </c>
      <c r="K42" t="s">
        <v>69</v>
      </c>
      <c r="L42" t="s">
        <v>30</v>
      </c>
      <c r="M42" t="s">
        <v>12</v>
      </c>
      <c r="N42" t="s">
        <v>76</v>
      </c>
      <c r="O42" t="s">
        <v>0</v>
      </c>
      <c r="P42">
        <v>323698</v>
      </c>
      <c r="Q42" t="s">
        <v>9</v>
      </c>
      <c r="R42" t="s">
        <v>5</v>
      </c>
      <c r="S42" t="s">
        <v>79</v>
      </c>
      <c r="T42">
        <v>90</v>
      </c>
      <c r="U42">
        <v>0.5</v>
      </c>
      <c r="V42" s="2">
        <v>2.0833333333333332E-2</v>
      </c>
      <c r="W42">
        <v>45</v>
      </c>
      <c r="X42">
        <v>75</v>
      </c>
      <c r="Y42">
        <v>30</v>
      </c>
      <c r="Z42" t="s">
        <v>88</v>
      </c>
      <c r="AA42" t="s">
        <v>80</v>
      </c>
      <c r="AB42" t="s">
        <v>81</v>
      </c>
      <c r="AC42" t="s">
        <v>76</v>
      </c>
      <c r="AD42" t="s">
        <v>83</v>
      </c>
      <c r="AE42">
        <f t="shared" si="3"/>
        <v>11</v>
      </c>
      <c r="AF42" t="str">
        <f t="shared" si="1"/>
        <v>November</v>
      </c>
    </row>
    <row r="43" spans="1:32" x14ac:dyDescent="0.3">
      <c r="A43" s="1">
        <v>45602</v>
      </c>
      <c r="B43" t="s">
        <v>12</v>
      </c>
      <c r="C43" t="s">
        <v>68</v>
      </c>
      <c r="D43" t="s">
        <v>69</v>
      </c>
      <c r="E43" t="s">
        <v>86</v>
      </c>
      <c r="F43" t="s">
        <v>71</v>
      </c>
      <c r="G43" t="s">
        <v>72</v>
      </c>
      <c r="H43" t="s">
        <v>73</v>
      </c>
      <c r="I43" t="s">
        <v>74</v>
      </c>
      <c r="J43" t="s">
        <v>75</v>
      </c>
      <c r="K43" t="s">
        <v>69</v>
      </c>
      <c r="L43" t="s">
        <v>30</v>
      </c>
      <c r="M43" t="s">
        <v>12</v>
      </c>
      <c r="N43" t="s">
        <v>76</v>
      </c>
      <c r="O43" t="s">
        <v>0</v>
      </c>
      <c r="P43">
        <v>323711</v>
      </c>
      <c r="Q43" t="s">
        <v>9</v>
      </c>
      <c r="R43" t="s">
        <v>5</v>
      </c>
      <c r="S43" t="s">
        <v>79</v>
      </c>
      <c r="T43">
        <v>90</v>
      </c>
      <c r="U43">
        <v>0.5</v>
      </c>
      <c r="V43" s="2">
        <v>2.0833333333333332E-2</v>
      </c>
      <c r="W43">
        <v>45</v>
      </c>
      <c r="X43">
        <v>75</v>
      </c>
      <c r="Y43">
        <v>30</v>
      </c>
      <c r="Z43" t="s">
        <v>88</v>
      </c>
      <c r="AA43" t="s">
        <v>80</v>
      </c>
      <c r="AB43" t="s">
        <v>81</v>
      </c>
      <c r="AC43" t="s">
        <v>76</v>
      </c>
      <c r="AD43" t="s">
        <v>83</v>
      </c>
      <c r="AE43">
        <f t="shared" si="3"/>
        <v>11</v>
      </c>
      <c r="AF43" t="str">
        <f t="shared" si="1"/>
        <v>November</v>
      </c>
    </row>
    <row r="44" spans="1:32" x14ac:dyDescent="0.3">
      <c r="A44" s="1">
        <v>45607</v>
      </c>
      <c r="B44" t="s">
        <v>12</v>
      </c>
      <c r="C44" t="s">
        <v>68</v>
      </c>
      <c r="D44" t="s">
        <v>69</v>
      </c>
      <c r="E44" t="s">
        <v>86</v>
      </c>
      <c r="F44" t="s">
        <v>71</v>
      </c>
      <c r="G44" t="s">
        <v>72</v>
      </c>
      <c r="H44" t="s">
        <v>73</v>
      </c>
      <c r="I44" t="s">
        <v>74</v>
      </c>
      <c r="J44" t="s">
        <v>75</v>
      </c>
      <c r="K44" t="s">
        <v>69</v>
      </c>
      <c r="L44" t="s">
        <v>30</v>
      </c>
      <c r="M44" t="s">
        <v>12</v>
      </c>
      <c r="N44" t="s">
        <v>76</v>
      </c>
      <c r="O44" t="s">
        <v>0</v>
      </c>
      <c r="P44">
        <v>323726</v>
      </c>
      <c r="Q44" t="s">
        <v>9</v>
      </c>
      <c r="R44" t="s">
        <v>5</v>
      </c>
      <c r="S44" t="s">
        <v>79</v>
      </c>
      <c r="T44">
        <v>90</v>
      </c>
      <c r="U44">
        <v>1</v>
      </c>
      <c r="V44" s="2">
        <v>4.1666666666666664E-2</v>
      </c>
      <c r="W44">
        <v>90</v>
      </c>
      <c r="X44">
        <v>150</v>
      </c>
      <c r="Y44">
        <v>60</v>
      </c>
      <c r="Z44" t="s">
        <v>88</v>
      </c>
      <c r="AA44" t="s">
        <v>80</v>
      </c>
      <c r="AB44" t="s">
        <v>81</v>
      </c>
      <c r="AC44" t="s">
        <v>76</v>
      </c>
      <c r="AD44" t="s">
        <v>83</v>
      </c>
      <c r="AE44">
        <f t="shared" si="3"/>
        <v>11</v>
      </c>
      <c r="AF44" t="str">
        <f t="shared" si="1"/>
        <v>November</v>
      </c>
    </row>
    <row r="45" spans="1:32" x14ac:dyDescent="0.3">
      <c r="A45" s="1">
        <v>45608</v>
      </c>
      <c r="B45" t="s">
        <v>12</v>
      </c>
      <c r="C45" t="s">
        <v>68</v>
      </c>
      <c r="D45" t="s">
        <v>69</v>
      </c>
      <c r="E45" t="s">
        <v>86</v>
      </c>
      <c r="F45" t="s">
        <v>71</v>
      </c>
      <c r="G45" t="s">
        <v>72</v>
      </c>
      <c r="H45" t="s">
        <v>73</v>
      </c>
      <c r="I45" t="s">
        <v>74</v>
      </c>
      <c r="J45" t="s">
        <v>75</v>
      </c>
      <c r="K45" t="s">
        <v>69</v>
      </c>
      <c r="L45" t="s">
        <v>30</v>
      </c>
      <c r="M45" t="s">
        <v>12</v>
      </c>
      <c r="N45" t="s">
        <v>76</v>
      </c>
      <c r="O45" t="s">
        <v>0</v>
      </c>
      <c r="P45">
        <v>323737</v>
      </c>
      <c r="Q45" t="s">
        <v>9</v>
      </c>
      <c r="R45" t="s">
        <v>5</v>
      </c>
      <c r="S45" t="s">
        <v>79</v>
      </c>
      <c r="T45">
        <v>90</v>
      </c>
      <c r="U45">
        <v>0.5</v>
      </c>
      <c r="V45" s="2">
        <v>2.0833333333333332E-2</v>
      </c>
      <c r="W45">
        <v>45</v>
      </c>
      <c r="X45">
        <v>75</v>
      </c>
      <c r="Y45">
        <v>30</v>
      </c>
      <c r="Z45" t="s">
        <v>88</v>
      </c>
      <c r="AA45" t="s">
        <v>80</v>
      </c>
      <c r="AB45" t="s">
        <v>81</v>
      </c>
      <c r="AC45" t="s">
        <v>90</v>
      </c>
      <c r="AD45" t="s">
        <v>83</v>
      </c>
      <c r="AE45">
        <f t="shared" si="3"/>
        <v>11</v>
      </c>
      <c r="AF45" t="str">
        <f t="shared" si="1"/>
        <v>November</v>
      </c>
    </row>
    <row r="46" spans="1:32" x14ac:dyDescent="0.3">
      <c r="A46" s="1">
        <v>45609</v>
      </c>
      <c r="B46" t="s">
        <v>12</v>
      </c>
      <c r="C46" t="s">
        <v>68</v>
      </c>
      <c r="D46" t="s">
        <v>69</v>
      </c>
      <c r="E46" t="s">
        <v>86</v>
      </c>
      <c r="F46" t="s">
        <v>71</v>
      </c>
      <c r="G46" t="s">
        <v>72</v>
      </c>
      <c r="H46" t="s">
        <v>73</v>
      </c>
      <c r="I46" t="s">
        <v>74</v>
      </c>
      <c r="J46" t="s">
        <v>75</v>
      </c>
      <c r="K46" t="s">
        <v>69</v>
      </c>
      <c r="L46" t="s">
        <v>30</v>
      </c>
      <c r="M46" t="s">
        <v>12</v>
      </c>
      <c r="N46" t="s">
        <v>76</v>
      </c>
      <c r="O46" t="s">
        <v>0</v>
      </c>
      <c r="P46">
        <v>323739</v>
      </c>
      <c r="Q46" t="s">
        <v>9</v>
      </c>
      <c r="R46" t="s">
        <v>5</v>
      </c>
      <c r="S46" t="s">
        <v>79</v>
      </c>
      <c r="T46">
        <v>90</v>
      </c>
      <c r="U46">
        <v>0.5</v>
      </c>
      <c r="V46" s="2">
        <v>2.0833333333333332E-2</v>
      </c>
      <c r="W46">
        <v>45</v>
      </c>
      <c r="X46">
        <v>75</v>
      </c>
      <c r="Y46">
        <v>30</v>
      </c>
      <c r="Z46" t="s">
        <v>88</v>
      </c>
      <c r="AA46" t="s">
        <v>80</v>
      </c>
      <c r="AB46" t="s">
        <v>81</v>
      </c>
      <c r="AC46" t="s">
        <v>76</v>
      </c>
      <c r="AD46" t="s">
        <v>83</v>
      </c>
      <c r="AE46">
        <f t="shared" si="3"/>
        <v>11</v>
      </c>
      <c r="AF46" t="str">
        <f t="shared" si="1"/>
        <v>November</v>
      </c>
    </row>
    <row r="47" spans="1:32" x14ac:dyDescent="0.3">
      <c r="A47" s="1">
        <v>45614</v>
      </c>
      <c r="B47" t="s">
        <v>12</v>
      </c>
      <c r="C47" t="s">
        <v>68</v>
      </c>
      <c r="D47" t="s">
        <v>69</v>
      </c>
      <c r="E47" t="s">
        <v>86</v>
      </c>
      <c r="F47" t="s">
        <v>71</v>
      </c>
      <c r="G47" t="s">
        <v>72</v>
      </c>
      <c r="H47" t="s">
        <v>73</v>
      </c>
      <c r="I47" t="s">
        <v>74</v>
      </c>
      <c r="J47" t="s">
        <v>75</v>
      </c>
      <c r="K47" t="s">
        <v>69</v>
      </c>
      <c r="L47" t="s">
        <v>30</v>
      </c>
      <c r="M47" t="s">
        <v>12</v>
      </c>
      <c r="N47" t="s">
        <v>76</v>
      </c>
      <c r="O47" t="s">
        <v>0</v>
      </c>
      <c r="P47">
        <v>328859</v>
      </c>
      <c r="Q47" t="s">
        <v>9</v>
      </c>
      <c r="R47" t="s">
        <v>5</v>
      </c>
      <c r="S47" t="s">
        <v>79</v>
      </c>
      <c r="T47">
        <v>90</v>
      </c>
      <c r="U47">
        <v>2</v>
      </c>
      <c r="V47" s="2">
        <v>8.3333333333333329E-2</v>
      </c>
      <c r="W47">
        <v>180</v>
      </c>
      <c r="X47">
        <v>300</v>
      </c>
      <c r="Y47">
        <v>120</v>
      </c>
      <c r="Z47" t="s">
        <v>88</v>
      </c>
      <c r="AA47" t="s">
        <v>80</v>
      </c>
      <c r="AB47" t="s">
        <v>81</v>
      </c>
      <c r="AC47" t="s">
        <v>91</v>
      </c>
      <c r="AD47" t="s">
        <v>83</v>
      </c>
      <c r="AE47">
        <f t="shared" si="3"/>
        <v>11</v>
      </c>
      <c r="AF47" t="str">
        <f t="shared" si="1"/>
        <v>November</v>
      </c>
    </row>
    <row r="48" spans="1:32" x14ac:dyDescent="0.3">
      <c r="A48" s="1">
        <v>45617</v>
      </c>
      <c r="B48" t="s">
        <v>12</v>
      </c>
      <c r="C48" t="s">
        <v>68</v>
      </c>
      <c r="D48" t="s">
        <v>69</v>
      </c>
      <c r="E48" t="s">
        <v>86</v>
      </c>
      <c r="F48" t="s">
        <v>71</v>
      </c>
      <c r="G48" t="s">
        <v>72</v>
      </c>
      <c r="H48" t="s">
        <v>73</v>
      </c>
      <c r="I48" t="s">
        <v>74</v>
      </c>
      <c r="J48" t="s">
        <v>75</v>
      </c>
      <c r="K48" t="s">
        <v>69</v>
      </c>
      <c r="L48" t="s">
        <v>30</v>
      </c>
      <c r="M48" t="s">
        <v>12</v>
      </c>
      <c r="N48" t="s">
        <v>76</v>
      </c>
      <c r="O48" t="s">
        <v>0</v>
      </c>
      <c r="P48">
        <v>328860</v>
      </c>
      <c r="Q48" t="s">
        <v>9</v>
      </c>
      <c r="R48" t="s">
        <v>5</v>
      </c>
      <c r="S48" t="s">
        <v>79</v>
      </c>
      <c r="T48">
        <v>90</v>
      </c>
      <c r="U48">
        <v>1</v>
      </c>
      <c r="V48" s="2">
        <v>4.1666666666666664E-2</v>
      </c>
      <c r="W48">
        <v>90</v>
      </c>
      <c r="X48">
        <v>150</v>
      </c>
      <c r="Y48">
        <v>60</v>
      </c>
      <c r="Z48" t="s">
        <v>88</v>
      </c>
      <c r="AA48" t="s">
        <v>80</v>
      </c>
      <c r="AB48" t="s">
        <v>81</v>
      </c>
      <c r="AC48" t="s">
        <v>92</v>
      </c>
      <c r="AD48" t="s">
        <v>83</v>
      </c>
      <c r="AE48">
        <f t="shared" si="3"/>
        <v>11</v>
      </c>
      <c r="AF48" t="str">
        <f t="shared" si="1"/>
        <v>November</v>
      </c>
    </row>
    <row r="49" spans="1:32" x14ac:dyDescent="0.3">
      <c r="A49" s="1">
        <v>45621</v>
      </c>
      <c r="B49" t="s">
        <v>12</v>
      </c>
      <c r="C49" t="s">
        <v>68</v>
      </c>
      <c r="D49" t="s">
        <v>69</v>
      </c>
      <c r="E49" t="s">
        <v>86</v>
      </c>
      <c r="F49" t="s">
        <v>71</v>
      </c>
      <c r="G49" t="s">
        <v>72</v>
      </c>
      <c r="H49" t="s">
        <v>73</v>
      </c>
      <c r="I49" t="s">
        <v>74</v>
      </c>
      <c r="J49" t="s">
        <v>75</v>
      </c>
      <c r="K49" t="s">
        <v>69</v>
      </c>
      <c r="L49" t="s">
        <v>30</v>
      </c>
      <c r="M49" t="s">
        <v>12</v>
      </c>
      <c r="N49" t="s">
        <v>76</v>
      </c>
      <c r="O49" t="s">
        <v>0</v>
      </c>
      <c r="P49">
        <v>328889</v>
      </c>
      <c r="Q49" t="s">
        <v>9</v>
      </c>
      <c r="R49" t="s">
        <v>5</v>
      </c>
      <c r="S49" t="s">
        <v>79</v>
      </c>
      <c r="T49">
        <v>90</v>
      </c>
      <c r="U49">
        <v>1.5</v>
      </c>
      <c r="V49" s="2">
        <v>6.25E-2</v>
      </c>
      <c r="W49">
        <v>135</v>
      </c>
      <c r="X49">
        <v>225</v>
      </c>
      <c r="Y49">
        <v>90</v>
      </c>
      <c r="Z49" t="s">
        <v>88</v>
      </c>
      <c r="AA49" t="s">
        <v>80</v>
      </c>
      <c r="AB49" t="s">
        <v>81</v>
      </c>
      <c r="AC49" t="s">
        <v>93</v>
      </c>
      <c r="AD49" t="s">
        <v>83</v>
      </c>
      <c r="AE49">
        <f t="shared" si="3"/>
        <v>11</v>
      </c>
      <c r="AF49" t="str">
        <f t="shared" si="1"/>
        <v>November</v>
      </c>
    </row>
    <row r="50" spans="1:32" x14ac:dyDescent="0.3">
      <c r="A50" s="1">
        <v>45623</v>
      </c>
      <c r="B50" t="s">
        <v>12</v>
      </c>
      <c r="C50" t="s">
        <v>68</v>
      </c>
      <c r="D50" t="s">
        <v>69</v>
      </c>
      <c r="E50" t="s">
        <v>86</v>
      </c>
      <c r="F50" t="s">
        <v>71</v>
      </c>
      <c r="G50" t="s">
        <v>72</v>
      </c>
      <c r="H50" t="s">
        <v>73</v>
      </c>
      <c r="I50" t="s">
        <v>74</v>
      </c>
      <c r="J50" t="s">
        <v>75</v>
      </c>
      <c r="K50" t="s">
        <v>69</v>
      </c>
      <c r="L50" t="s">
        <v>30</v>
      </c>
      <c r="M50" t="s">
        <v>12</v>
      </c>
      <c r="N50" t="s">
        <v>76</v>
      </c>
      <c r="O50" t="s">
        <v>0</v>
      </c>
      <c r="P50">
        <v>328898</v>
      </c>
      <c r="Q50" t="s">
        <v>9</v>
      </c>
      <c r="R50" t="s">
        <v>5</v>
      </c>
      <c r="S50" t="s">
        <v>79</v>
      </c>
      <c r="T50">
        <v>90</v>
      </c>
      <c r="U50">
        <v>0.5</v>
      </c>
      <c r="V50" s="2">
        <v>2.0833333333333332E-2</v>
      </c>
      <c r="W50">
        <v>45</v>
      </c>
      <c r="X50">
        <v>75</v>
      </c>
      <c r="Y50">
        <v>30</v>
      </c>
      <c r="Z50" t="s">
        <v>88</v>
      </c>
      <c r="AA50" t="s">
        <v>80</v>
      </c>
      <c r="AB50" t="s">
        <v>81</v>
      </c>
      <c r="AC50" t="s">
        <v>94</v>
      </c>
      <c r="AD50" t="s">
        <v>83</v>
      </c>
      <c r="AE50">
        <f t="shared" ref="AE50:AE60" si="4">MONTH(A50)</f>
        <v>11</v>
      </c>
      <c r="AF50" t="str">
        <f t="shared" ref="AF50:AF60" si="5">IF(AE50=11,"November",IF(AE50=12,"December",IF(AE50=1,"January",IF(AE50=10,"October",IF(AE50=9,"September")))))</f>
        <v>November</v>
      </c>
    </row>
    <row r="51" spans="1:32" x14ac:dyDescent="0.3">
      <c r="A51" s="1">
        <v>45562</v>
      </c>
      <c r="B51" t="s">
        <v>30</v>
      </c>
      <c r="C51" t="s">
        <v>68</v>
      </c>
      <c r="D51" t="s">
        <v>69</v>
      </c>
      <c r="E51" t="s">
        <v>86</v>
      </c>
      <c r="F51" t="s">
        <v>71</v>
      </c>
      <c r="G51" t="s">
        <v>72</v>
      </c>
      <c r="H51" t="s">
        <v>73</v>
      </c>
      <c r="I51" t="s">
        <v>74</v>
      </c>
      <c r="J51" t="s">
        <v>75</v>
      </c>
      <c r="K51" t="s">
        <v>69</v>
      </c>
      <c r="L51" t="s">
        <v>30</v>
      </c>
      <c r="M51" t="s">
        <v>12</v>
      </c>
      <c r="N51" t="s">
        <v>76</v>
      </c>
      <c r="O51" t="s">
        <v>0</v>
      </c>
      <c r="P51">
        <v>302333</v>
      </c>
      <c r="Q51" t="s">
        <v>77</v>
      </c>
      <c r="R51" t="s">
        <v>78</v>
      </c>
      <c r="S51" t="s">
        <v>79</v>
      </c>
      <c r="T51">
        <v>0</v>
      </c>
      <c r="U51">
        <v>0.5</v>
      </c>
      <c r="V51" s="2">
        <v>2.0833333333333332E-2</v>
      </c>
      <c r="W51">
        <v>0</v>
      </c>
      <c r="AA51" t="s">
        <v>80</v>
      </c>
      <c r="AB51" t="s">
        <v>81</v>
      </c>
      <c r="AC51" t="s">
        <v>76</v>
      </c>
      <c r="AD51" t="s">
        <v>83</v>
      </c>
      <c r="AE51">
        <f t="shared" si="4"/>
        <v>9</v>
      </c>
      <c r="AF51" t="str">
        <f t="shared" si="5"/>
        <v>September</v>
      </c>
    </row>
    <row r="52" spans="1:32" x14ac:dyDescent="0.3">
      <c r="A52" s="1">
        <v>45565</v>
      </c>
      <c r="B52" t="s">
        <v>30</v>
      </c>
      <c r="C52" t="s">
        <v>68</v>
      </c>
      <c r="D52" t="s">
        <v>69</v>
      </c>
      <c r="E52" t="s">
        <v>86</v>
      </c>
      <c r="F52" t="s">
        <v>71</v>
      </c>
      <c r="G52" t="s">
        <v>72</v>
      </c>
      <c r="H52" t="s">
        <v>73</v>
      </c>
      <c r="I52" t="s">
        <v>74</v>
      </c>
      <c r="J52" t="s">
        <v>75</v>
      </c>
      <c r="K52" t="s">
        <v>69</v>
      </c>
      <c r="L52" t="s">
        <v>30</v>
      </c>
      <c r="M52" t="s">
        <v>12</v>
      </c>
      <c r="N52" t="s">
        <v>76</v>
      </c>
      <c r="O52" t="s">
        <v>0</v>
      </c>
      <c r="P52">
        <v>304735</v>
      </c>
      <c r="Q52" t="s">
        <v>77</v>
      </c>
      <c r="R52" t="s">
        <v>78</v>
      </c>
      <c r="S52" t="s">
        <v>79</v>
      </c>
      <c r="T52">
        <v>0</v>
      </c>
      <c r="U52">
        <v>0.25</v>
      </c>
      <c r="V52" s="2">
        <v>1.0416666666666666E-2</v>
      </c>
      <c r="W52">
        <v>0</v>
      </c>
      <c r="AA52" t="s">
        <v>80</v>
      </c>
      <c r="AB52" t="s">
        <v>81</v>
      </c>
      <c r="AC52" t="s">
        <v>76</v>
      </c>
      <c r="AD52" t="s">
        <v>83</v>
      </c>
      <c r="AE52">
        <f t="shared" si="4"/>
        <v>9</v>
      </c>
      <c r="AF52" t="str">
        <f t="shared" si="5"/>
        <v>September</v>
      </c>
    </row>
    <row r="53" spans="1:32" x14ac:dyDescent="0.3">
      <c r="A53" s="1">
        <v>45595</v>
      </c>
      <c r="B53" t="s">
        <v>30</v>
      </c>
      <c r="C53" t="s">
        <v>68</v>
      </c>
      <c r="D53" t="s">
        <v>69</v>
      </c>
      <c r="E53" t="s">
        <v>86</v>
      </c>
      <c r="F53" t="s">
        <v>71</v>
      </c>
      <c r="G53" t="s">
        <v>72</v>
      </c>
      <c r="H53" t="s">
        <v>73</v>
      </c>
      <c r="I53" t="s">
        <v>74</v>
      </c>
      <c r="J53" t="s">
        <v>75</v>
      </c>
      <c r="K53" t="s">
        <v>69</v>
      </c>
      <c r="L53" t="s">
        <v>30</v>
      </c>
      <c r="M53" t="s">
        <v>12</v>
      </c>
      <c r="N53" t="s">
        <v>76</v>
      </c>
      <c r="O53" t="s">
        <v>0</v>
      </c>
      <c r="P53">
        <v>316721</v>
      </c>
      <c r="Q53" t="s">
        <v>77</v>
      </c>
      <c r="R53" t="s">
        <v>78</v>
      </c>
      <c r="S53" t="s">
        <v>79</v>
      </c>
      <c r="T53">
        <v>0</v>
      </c>
      <c r="U53">
        <v>0.5</v>
      </c>
      <c r="V53" s="2">
        <v>2.0833333333333332E-2</v>
      </c>
      <c r="W53">
        <v>0</v>
      </c>
      <c r="AA53" t="s">
        <v>80</v>
      </c>
      <c r="AB53" t="s">
        <v>81</v>
      </c>
      <c r="AC53" t="s">
        <v>76</v>
      </c>
      <c r="AD53" t="s">
        <v>83</v>
      </c>
      <c r="AE53">
        <f t="shared" si="4"/>
        <v>10</v>
      </c>
      <c r="AF53" t="str">
        <f t="shared" si="5"/>
        <v>October</v>
      </c>
    </row>
    <row r="54" spans="1:32" x14ac:dyDescent="0.3">
      <c r="A54" s="1">
        <v>45600</v>
      </c>
      <c r="B54" t="s">
        <v>30</v>
      </c>
      <c r="C54" t="s">
        <v>68</v>
      </c>
      <c r="D54" t="s">
        <v>69</v>
      </c>
      <c r="E54" t="s">
        <v>86</v>
      </c>
      <c r="F54" t="s">
        <v>71</v>
      </c>
      <c r="G54" t="s">
        <v>72</v>
      </c>
      <c r="H54" t="s">
        <v>73</v>
      </c>
      <c r="I54" t="s">
        <v>74</v>
      </c>
      <c r="J54" t="s">
        <v>75</v>
      </c>
      <c r="K54" t="s">
        <v>69</v>
      </c>
      <c r="L54" t="s">
        <v>30</v>
      </c>
      <c r="M54" t="s">
        <v>12</v>
      </c>
      <c r="N54" t="s">
        <v>76</v>
      </c>
      <c r="O54" t="s">
        <v>0</v>
      </c>
      <c r="P54">
        <v>318740</v>
      </c>
      <c r="Q54" t="s">
        <v>77</v>
      </c>
      <c r="R54" t="s">
        <v>78</v>
      </c>
      <c r="S54" t="s">
        <v>79</v>
      </c>
      <c r="T54">
        <v>0</v>
      </c>
      <c r="U54">
        <v>1.5</v>
      </c>
      <c r="V54" s="2">
        <v>6.25E-2</v>
      </c>
      <c r="W54">
        <v>0</v>
      </c>
      <c r="AA54" t="s">
        <v>80</v>
      </c>
      <c r="AB54" t="s">
        <v>81</v>
      </c>
      <c r="AC54" t="s">
        <v>76</v>
      </c>
      <c r="AD54" t="s">
        <v>83</v>
      </c>
      <c r="AE54">
        <f t="shared" si="4"/>
        <v>11</v>
      </c>
      <c r="AF54" t="str">
        <f t="shared" si="5"/>
        <v>November</v>
      </c>
    </row>
    <row r="55" spans="1:32" x14ac:dyDescent="0.3">
      <c r="A55" s="1">
        <v>45601</v>
      </c>
      <c r="B55" t="s">
        <v>30</v>
      </c>
      <c r="C55" t="s">
        <v>68</v>
      </c>
      <c r="D55" t="s">
        <v>69</v>
      </c>
      <c r="E55" t="s">
        <v>86</v>
      </c>
      <c r="F55" t="s">
        <v>71</v>
      </c>
      <c r="G55" t="s">
        <v>72</v>
      </c>
      <c r="H55" t="s">
        <v>73</v>
      </c>
      <c r="I55" t="s">
        <v>74</v>
      </c>
      <c r="J55" t="s">
        <v>75</v>
      </c>
      <c r="K55" t="s">
        <v>69</v>
      </c>
      <c r="L55" t="s">
        <v>30</v>
      </c>
      <c r="M55" t="s">
        <v>12</v>
      </c>
      <c r="N55" t="s">
        <v>76</v>
      </c>
      <c r="O55" t="s">
        <v>0</v>
      </c>
      <c r="P55">
        <v>319240</v>
      </c>
      <c r="Q55" t="s">
        <v>77</v>
      </c>
      <c r="R55" t="s">
        <v>78</v>
      </c>
      <c r="S55" t="s">
        <v>79</v>
      </c>
      <c r="T55">
        <v>0</v>
      </c>
      <c r="U55">
        <v>0.5</v>
      </c>
      <c r="V55" s="2">
        <v>2.0833333333333332E-2</v>
      </c>
      <c r="W55">
        <v>0</v>
      </c>
      <c r="AA55" t="s">
        <v>80</v>
      </c>
      <c r="AB55" t="s">
        <v>81</v>
      </c>
      <c r="AC55" t="s">
        <v>76</v>
      </c>
      <c r="AD55" t="s">
        <v>83</v>
      </c>
      <c r="AE55">
        <f t="shared" si="4"/>
        <v>11</v>
      </c>
      <c r="AF55" t="str">
        <f t="shared" si="5"/>
        <v>November</v>
      </c>
    </row>
    <row r="56" spans="1:32" x14ac:dyDescent="0.3">
      <c r="A56" s="1">
        <v>45602</v>
      </c>
      <c r="B56" t="s">
        <v>30</v>
      </c>
      <c r="C56" t="s">
        <v>68</v>
      </c>
      <c r="D56" t="s">
        <v>69</v>
      </c>
      <c r="E56" t="s">
        <v>86</v>
      </c>
      <c r="F56" t="s">
        <v>71</v>
      </c>
      <c r="G56" t="s">
        <v>72</v>
      </c>
      <c r="H56" t="s">
        <v>73</v>
      </c>
      <c r="I56" t="s">
        <v>74</v>
      </c>
      <c r="J56" t="s">
        <v>75</v>
      </c>
      <c r="K56" t="s">
        <v>69</v>
      </c>
      <c r="L56" t="s">
        <v>30</v>
      </c>
      <c r="M56" t="s">
        <v>12</v>
      </c>
      <c r="N56" t="s">
        <v>76</v>
      </c>
      <c r="O56" t="s">
        <v>0</v>
      </c>
      <c r="P56">
        <v>319825</v>
      </c>
      <c r="Q56" t="s">
        <v>77</v>
      </c>
      <c r="R56" t="s">
        <v>78</v>
      </c>
      <c r="S56" t="s">
        <v>79</v>
      </c>
      <c r="T56">
        <v>0</v>
      </c>
      <c r="U56">
        <v>0.5</v>
      </c>
      <c r="V56" s="2">
        <v>2.0833333333333332E-2</v>
      </c>
      <c r="W56">
        <v>0</v>
      </c>
      <c r="AA56" t="s">
        <v>80</v>
      </c>
      <c r="AB56" t="s">
        <v>81</v>
      </c>
      <c r="AC56" t="s">
        <v>76</v>
      </c>
      <c r="AD56" t="s">
        <v>83</v>
      </c>
      <c r="AE56">
        <f t="shared" si="4"/>
        <v>11</v>
      </c>
      <c r="AF56" t="str">
        <f t="shared" si="5"/>
        <v>November</v>
      </c>
    </row>
    <row r="57" spans="1:32" x14ac:dyDescent="0.3">
      <c r="A57" s="1">
        <v>45603</v>
      </c>
      <c r="B57" t="s">
        <v>30</v>
      </c>
      <c r="C57" t="s">
        <v>68</v>
      </c>
      <c r="D57" t="s">
        <v>69</v>
      </c>
      <c r="E57" t="s">
        <v>86</v>
      </c>
      <c r="F57" t="s">
        <v>71</v>
      </c>
      <c r="G57" t="s">
        <v>72</v>
      </c>
      <c r="H57" t="s">
        <v>73</v>
      </c>
      <c r="I57" t="s">
        <v>74</v>
      </c>
      <c r="J57" t="s">
        <v>75</v>
      </c>
      <c r="K57" t="s">
        <v>69</v>
      </c>
      <c r="L57" t="s">
        <v>30</v>
      </c>
      <c r="M57" t="s">
        <v>12</v>
      </c>
      <c r="N57" t="s">
        <v>76</v>
      </c>
      <c r="O57" t="s">
        <v>0</v>
      </c>
      <c r="P57">
        <v>320319</v>
      </c>
      <c r="Q57" t="s">
        <v>77</v>
      </c>
      <c r="R57" t="s">
        <v>78</v>
      </c>
      <c r="S57" t="s">
        <v>79</v>
      </c>
      <c r="T57">
        <v>0</v>
      </c>
      <c r="U57">
        <v>0.75</v>
      </c>
      <c r="V57" s="2">
        <v>3.125E-2</v>
      </c>
      <c r="W57">
        <v>0</v>
      </c>
      <c r="AA57" t="s">
        <v>80</v>
      </c>
      <c r="AB57" t="s">
        <v>81</v>
      </c>
      <c r="AC57" t="s">
        <v>76</v>
      </c>
      <c r="AD57" t="s">
        <v>83</v>
      </c>
      <c r="AE57">
        <f t="shared" si="4"/>
        <v>11</v>
      </c>
      <c r="AF57" t="str">
        <f t="shared" si="5"/>
        <v>November</v>
      </c>
    </row>
    <row r="58" spans="1:32" x14ac:dyDescent="0.3">
      <c r="A58" s="1">
        <v>45604</v>
      </c>
      <c r="B58" t="s">
        <v>30</v>
      </c>
      <c r="C58" t="s">
        <v>68</v>
      </c>
      <c r="D58" t="s">
        <v>69</v>
      </c>
      <c r="E58" t="s">
        <v>86</v>
      </c>
      <c r="F58" t="s">
        <v>71</v>
      </c>
      <c r="G58" t="s">
        <v>72</v>
      </c>
      <c r="H58" t="s">
        <v>73</v>
      </c>
      <c r="I58" t="s">
        <v>74</v>
      </c>
      <c r="J58" t="s">
        <v>75</v>
      </c>
      <c r="K58" t="s">
        <v>69</v>
      </c>
      <c r="L58" t="s">
        <v>30</v>
      </c>
      <c r="M58" t="s">
        <v>12</v>
      </c>
      <c r="N58" t="s">
        <v>76</v>
      </c>
      <c r="O58" t="s">
        <v>0</v>
      </c>
      <c r="P58">
        <v>320320</v>
      </c>
      <c r="Q58" t="s">
        <v>77</v>
      </c>
      <c r="R58" t="s">
        <v>78</v>
      </c>
      <c r="S58" t="s">
        <v>79</v>
      </c>
      <c r="T58">
        <v>0</v>
      </c>
      <c r="U58">
        <v>0.5</v>
      </c>
      <c r="V58" s="2">
        <v>2.0833333333333332E-2</v>
      </c>
      <c r="W58">
        <v>0</v>
      </c>
      <c r="AA58" t="s">
        <v>80</v>
      </c>
      <c r="AB58" t="s">
        <v>81</v>
      </c>
      <c r="AC58" t="s">
        <v>76</v>
      </c>
      <c r="AD58" t="s">
        <v>83</v>
      </c>
      <c r="AE58">
        <f t="shared" si="4"/>
        <v>11</v>
      </c>
      <c r="AF58" t="str">
        <f t="shared" si="5"/>
        <v>November</v>
      </c>
    </row>
    <row r="59" spans="1:32" x14ac:dyDescent="0.3">
      <c r="A59" s="1">
        <v>45607</v>
      </c>
      <c r="B59" t="s">
        <v>30</v>
      </c>
      <c r="C59" t="s">
        <v>68</v>
      </c>
      <c r="D59" t="s">
        <v>69</v>
      </c>
      <c r="E59" t="s">
        <v>86</v>
      </c>
      <c r="F59" t="s">
        <v>71</v>
      </c>
      <c r="G59" t="s">
        <v>72</v>
      </c>
      <c r="H59" t="s">
        <v>73</v>
      </c>
      <c r="I59" t="s">
        <v>74</v>
      </c>
      <c r="J59" t="s">
        <v>75</v>
      </c>
      <c r="K59" t="s">
        <v>69</v>
      </c>
      <c r="L59" t="s">
        <v>30</v>
      </c>
      <c r="M59" t="s">
        <v>12</v>
      </c>
      <c r="N59" t="s">
        <v>76</v>
      </c>
      <c r="O59" t="s">
        <v>0</v>
      </c>
      <c r="P59">
        <v>321660</v>
      </c>
      <c r="Q59" t="s">
        <v>77</v>
      </c>
      <c r="R59" t="s">
        <v>78</v>
      </c>
      <c r="S59" t="s">
        <v>79</v>
      </c>
      <c r="T59">
        <v>0</v>
      </c>
      <c r="U59">
        <v>0.5</v>
      </c>
      <c r="V59" s="2">
        <v>2.0833333333333332E-2</v>
      </c>
      <c r="W59">
        <v>0</v>
      </c>
      <c r="AA59" t="s">
        <v>80</v>
      </c>
      <c r="AB59" t="s">
        <v>81</v>
      </c>
      <c r="AC59" t="s">
        <v>76</v>
      </c>
      <c r="AD59" t="s">
        <v>83</v>
      </c>
      <c r="AE59">
        <f t="shared" si="4"/>
        <v>11</v>
      </c>
      <c r="AF59" t="str">
        <f t="shared" si="5"/>
        <v>November</v>
      </c>
    </row>
    <row r="60" spans="1:32" x14ac:dyDescent="0.3">
      <c r="A60" s="1">
        <v>45608</v>
      </c>
      <c r="B60" t="s">
        <v>30</v>
      </c>
      <c r="C60" t="s">
        <v>68</v>
      </c>
      <c r="D60" t="s">
        <v>69</v>
      </c>
      <c r="E60" t="s">
        <v>86</v>
      </c>
      <c r="F60" t="s">
        <v>71</v>
      </c>
      <c r="G60" t="s">
        <v>72</v>
      </c>
      <c r="H60" t="s">
        <v>73</v>
      </c>
      <c r="I60" t="s">
        <v>74</v>
      </c>
      <c r="J60" t="s">
        <v>75</v>
      </c>
      <c r="K60" t="s">
        <v>69</v>
      </c>
      <c r="L60" t="s">
        <v>30</v>
      </c>
      <c r="M60" t="s">
        <v>12</v>
      </c>
      <c r="N60" t="s">
        <v>76</v>
      </c>
      <c r="O60" t="s">
        <v>0</v>
      </c>
      <c r="P60">
        <v>322196</v>
      </c>
      <c r="Q60" t="s">
        <v>77</v>
      </c>
      <c r="R60" t="s">
        <v>78</v>
      </c>
      <c r="S60" t="s">
        <v>79</v>
      </c>
      <c r="T60">
        <v>0</v>
      </c>
      <c r="U60">
        <v>0.5</v>
      </c>
      <c r="V60" s="2">
        <v>2.0833333333333332E-2</v>
      </c>
      <c r="W60">
        <v>0</v>
      </c>
      <c r="AA60" t="s">
        <v>80</v>
      </c>
      <c r="AB60" t="s">
        <v>81</v>
      </c>
      <c r="AC60" t="s">
        <v>76</v>
      </c>
      <c r="AD60" t="s">
        <v>83</v>
      </c>
      <c r="AE60">
        <f t="shared" si="4"/>
        <v>11</v>
      </c>
      <c r="AF60" t="str">
        <f t="shared" si="5"/>
        <v>November</v>
      </c>
    </row>
    <row r="61" spans="1:32" x14ac:dyDescent="0.3">
      <c r="A61" s="1">
        <v>45609</v>
      </c>
      <c r="B61" t="s">
        <v>30</v>
      </c>
      <c r="C61" t="s">
        <v>68</v>
      </c>
      <c r="D61" t="s">
        <v>69</v>
      </c>
      <c r="E61" t="s">
        <v>86</v>
      </c>
      <c r="F61" t="s">
        <v>71</v>
      </c>
      <c r="G61" t="s">
        <v>72</v>
      </c>
      <c r="H61" t="s">
        <v>73</v>
      </c>
      <c r="I61" t="s">
        <v>74</v>
      </c>
      <c r="J61" t="s">
        <v>75</v>
      </c>
      <c r="K61" t="s">
        <v>69</v>
      </c>
      <c r="L61" t="s">
        <v>30</v>
      </c>
      <c r="M61" t="s">
        <v>12</v>
      </c>
      <c r="N61" t="s">
        <v>76</v>
      </c>
      <c r="O61" t="s">
        <v>0</v>
      </c>
      <c r="P61">
        <v>322738</v>
      </c>
      <c r="Q61" t="s">
        <v>77</v>
      </c>
      <c r="R61" t="s">
        <v>78</v>
      </c>
      <c r="S61" t="s">
        <v>79</v>
      </c>
      <c r="T61">
        <v>0</v>
      </c>
      <c r="U61">
        <v>0.5</v>
      </c>
      <c r="V61" s="2">
        <v>2.0833333333333332E-2</v>
      </c>
      <c r="W61">
        <v>0</v>
      </c>
      <c r="AA61" t="s">
        <v>80</v>
      </c>
      <c r="AB61" t="s">
        <v>81</v>
      </c>
      <c r="AC61" t="s">
        <v>76</v>
      </c>
      <c r="AD61" t="s">
        <v>83</v>
      </c>
      <c r="AE61">
        <f t="shared" ref="AE61:AE72" si="6">MONTH(A61)</f>
        <v>11</v>
      </c>
      <c r="AF61" t="str">
        <f t="shared" ref="AF61:AF72" si="7">IF(AE61=11,"November",IF(AE61=12,"December",IF(AE61=1,"January",IF(AE61=10,"October",IF(AE61=9,"September")))))</f>
        <v>November</v>
      </c>
    </row>
    <row r="62" spans="1:32" x14ac:dyDescent="0.3">
      <c r="A62" s="1">
        <v>45610</v>
      </c>
      <c r="B62" t="s">
        <v>30</v>
      </c>
      <c r="C62" t="s">
        <v>68</v>
      </c>
      <c r="D62" t="s">
        <v>69</v>
      </c>
      <c r="E62" t="s">
        <v>86</v>
      </c>
      <c r="F62" t="s">
        <v>71</v>
      </c>
      <c r="G62" t="s">
        <v>72</v>
      </c>
      <c r="H62" t="s">
        <v>73</v>
      </c>
      <c r="I62" t="s">
        <v>74</v>
      </c>
      <c r="J62" t="s">
        <v>75</v>
      </c>
      <c r="K62" t="s">
        <v>69</v>
      </c>
      <c r="L62" t="s">
        <v>30</v>
      </c>
      <c r="M62" t="s">
        <v>12</v>
      </c>
      <c r="N62" t="s">
        <v>76</v>
      </c>
      <c r="O62" t="s">
        <v>0</v>
      </c>
      <c r="P62">
        <v>323217</v>
      </c>
      <c r="Q62" t="s">
        <v>77</v>
      </c>
      <c r="R62" t="s">
        <v>78</v>
      </c>
      <c r="S62" t="s">
        <v>79</v>
      </c>
      <c r="T62">
        <v>0</v>
      </c>
      <c r="U62">
        <v>0.5</v>
      </c>
      <c r="V62" s="2">
        <v>2.0833333333333332E-2</v>
      </c>
      <c r="W62">
        <v>0</v>
      </c>
      <c r="AA62" t="s">
        <v>80</v>
      </c>
      <c r="AB62" t="s">
        <v>81</v>
      </c>
      <c r="AC62" t="s">
        <v>76</v>
      </c>
      <c r="AD62" t="s">
        <v>83</v>
      </c>
      <c r="AE62">
        <f t="shared" si="6"/>
        <v>11</v>
      </c>
      <c r="AF62" t="str">
        <f t="shared" si="7"/>
        <v>November</v>
      </c>
    </row>
    <row r="63" spans="1:32" x14ac:dyDescent="0.3">
      <c r="A63" s="1">
        <v>45611</v>
      </c>
      <c r="B63" t="s">
        <v>30</v>
      </c>
      <c r="C63" t="s">
        <v>68</v>
      </c>
      <c r="D63" t="s">
        <v>69</v>
      </c>
      <c r="E63" t="s">
        <v>86</v>
      </c>
      <c r="F63" t="s">
        <v>71</v>
      </c>
      <c r="G63" t="s">
        <v>72</v>
      </c>
      <c r="H63" t="s">
        <v>73</v>
      </c>
      <c r="I63" t="s">
        <v>74</v>
      </c>
      <c r="J63" t="s">
        <v>75</v>
      </c>
      <c r="K63" t="s">
        <v>69</v>
      </c>
      <c r="L63" t="s">
        <v>30</v>
      </c>
      <c r="M63" t="s">
        <v>12</v>
      </c>
      <c r="N63" t="s">
        <v>76</v>
      </c>
      <c r="O63" t="s">
        <v>0</v>
      </c>
      <c r="P63">
        <v>323869</v>
      </c>
      <c r="Q63" t="s">
        <v>77</v>
      </c>
      <c r="R63" t="s">
        <v>78</v>
      </c>
      <c r="S63" t="s">
        <v>79</v>
      </c>
      <c r="T63">
        <v>0</v>
      </c>
      <c r="U63">
        <v>0.5</v>
      </c>
      <c r="V63" s="2">
        <v>2.0833333333333332E-2</v>
      </c>
      <c r="W63">
        <v>0</v>
      </c>
      <c r="AA63" t="s">
        <v>80</v>
      </c>
      <c r="AB63" t="s">
        <v>81</v>
      </c>
      <c r="AC63" t="s">
        <v>76</v>
      </c>
      <c r="AD63" t="s">
        <v>83</v>
      </c>
      <c r="AE63">
        <f t="shared" si="6"/>
        <v>11</v>
      </c>
      <c r="AF63" t="str">
        <f t="shared" si="7"/>
        <v>November</v>
      </c>
    </row>
    <row r="64" spans="1:32" x14ac:dyDescent="0.3">
      <c r="A64" s="1">
        <v>45614</v>
      </c>
      <c r="B64" t="s">
        <v>30</v>
      </c>
      <c r="C64" t="s">
        <v>68</v>
      </c>
      <c r="D64" t="s">
        <v>69</v>
      </c>
      <c r="E64" t="s">
        <v>86</v>
      </c>
      <c r="F64" t="s">
        <v>71</v>
      </c>
      <c r="G64" t="s">
        <v>72</v>
      </c>
      <c r="H64" t="s">
        <v>73</v>
      </c>
      <c r="I64" t="s">
        <v>74</v>
      </c>
      <c r="J64" t="s">
        <v>75</v>
      </c>
      <c r="K64" t="s">
        <v>69</v>
      </c>
      <c r="L64" t="s">
        <v>30</v>
      </c>
      <c r="M64" t="s">
        <v>12</v>
      </c>
      <c r="N64" t="s">
        <v>76</v>
      </c>
      <c r="O64" t="s">
        <v>0</v>
      </c>
      <c r="P64">
        <v>324582</v>
      </c>
      <c r="Q64" t="s">
        <v>77</v>
      </c>
      <c r="R64" t="s">
        <v>78</v>
      </c>
      <c r="S64" t="s">
        <v>79</v>
      </c>
      <c r="T64">
        <v>0</v>
      </c>
      <c r="U64">
        <v>0.25</v>
      </c>
      <c r="V64" s="2">
        <v>1.0416666666666666E-2</v>
      </c>
      <c r="W64">
        <v>0</v>
      </c>
      <c r="AA64" t="s">
        <v>80</v>
      </c>
      <c r="AB64" t="s">
        <v>81</v>
      </c>
      <c r="AC64" t="s">
        <v>76</v>
      </c>
      <c r="AD64" t="s">
        <v>83</v>
      </c>
      <c r="AE64">
        <f t="shared" si="6"/>
        <v>11</v>
      </c>
      <c r="AF64" t="str">
        <f t="shared" si="7"/>
        <v>November</v>
      </c>
    </row>
    <row r="65" spans="1:32" x14ac:dyDescent="0.3">
      <c r="A65" s="1">
        <v>45616</v>
      </c>
      <c r="B65" t="s">
        <v>30</v>
      </c>
      <c r="C65" t="s">
        <v>68</v>
      </c>
      <c r="D65" t="s">
        <v>69</v>
      </c>
      <c r="E65" t="s">
        <v>86</v>
      </c>
      <c r="F65" t="s">
        <v>71</v>
      </c>
      <c r="G65" t="s">
        <v>72</v>
      </c>
      <c r="H65" t="s">
        <v>73</v>
      </c>
      <c r="I65" t="s">
        <v>74</v>
      </c>
      <c r="J65" t="s">
        <v>75</v>
      </c>
      <c r="K65" t="s">
        <v>69</v>
      </c>
      <c r="L65" t="s">
        <v>30</v>
      </c>
      <c r="M65" t="s">
        <v>12</v>
      </c>
      <c r="N65" t="s">
        <v>76</v>
      </c>
      <c r="O65" t="s">
        <v>0</v>
      </c>
      <c r="P65">
        <v>325824</v>
      </c>
      <c r="Q65" t="s">
        <v>77</v>
      </c>
      <c r="R65" t="s">
        <v>78</v>
      </c>
      <c r="S65" t="s">
        <v>79</v>
      </c>
      <c r="T65">
        <v>0</v>
      </c>
      <c r="U65">
        <v>0.25</v>
      </c>
      <c r="V65" s="2">
        <v>1.0416666666666666E-2</v>
      </c>
      <c r="W65">
        <v>0</v>
      </c>
      <c r="AA65" t="s">
        <v>80</v>
      </c>
      <c r="AB65" t="s">
        <v>81</v>
      </c>
      <c r="AC65" t="s">
        <v>76</v>
      </c>
      <c r="AD65" t="s">
        <v>83</v>
      </c>
      <c r="AE65">
        <f t="shared" si="6"/>
        <v>11</v>
      </c>
      <c r="AF65" t="str">
        <f t="shared" si="7"/>
        <v>November</v>
      </c>
    </row>
    <row r="66" spans="1:32" x14ac:dyDescent="0.3">
      <c r="A66" s="1">
        <v>45617</v>
      </c>
      <c r="B66" t="s">
        <v>30</v>
      </c>
      <c r="C66" t="s">
        <v>68</v>
      </c>
      <c r="D66" t="s">
        <v>69</v>
      </c>
      <c r="E66" t="s">
        <v>86</v>
      </c>
      <c r="F66" t="s">
        <v>71</v>
      </c>
      <c r="G66" t="s">
        <v>72</v>
      </c>
      <c r="H66" t="s">
        <v>73</v>
      </c>
      <c r="I66" t="s">
        <v>74</v>
      </c>
      <c r="J66" t="s">
        <v>75</v>
      </c>
      <c r="K66" t="s">
        <v>69</v>
      </c>
      <c r="L66" t="s">
        <v>30</v>
      </c>
      <c r="M66" t="s">
        <v>12</v>
      </c>
      <c r="N66" t="s">
        <v>76</v>
      </c>
      <c r="O66" t="s">
        <v>0</v>
      </c>
      <c r="P66">
        <v>326248</v>
      </c>
      <c r="Q66" t="s">
        <v>77</v>
      </c>
      <c r="R66" t="s">
        <v>78</v>
      </c>
      <c r="S66" t="s">
        <v>79</v>
      </c>
      <c r="T66">
        <v>0</v>
      </c>
      <c r="U66">
        <v>0.5</v>
      </c>
      <c r="V66" s="2">
        <v>2.0833333333333332E-2</v>
      </c>
      <c r="W66">
        <v>0</v>
      </c>
      <c r="AA66" t="s">
        <v>80</v>
      </c>
      <c r="AB66" t="s">
        <v>81</v>
      </c>
      <c r="AC66" t="s">
        <v>76</v>
      </c>
      <c r="AD66" t="s">
        <v>83</v>
      </c>
      <c r="AE66">
        <f t="shared" si="6"/>
        <v>11</v>
      </c>
      <c r="AF66" t="str">
        <f t="shared" si="7"/>
        <v>November</v>
      </c>
    </row>
    <row r="67" spans="1:32" x14ac:dyDescent="0.3">
      <c r="A67" s="1">
        <v>45618</v>
      </c>
      <c r="B67" t="s">
        <v>30</v>
      </c>
      <c r="C67" t="s">
        <v>68</v>
      </c>
      <c r="D67" t="s">
        <v>69</v>
      </c>
      <c r="E67" t="s">
        <v>86</v>
      </c>
      <c r="F67" t="s">
        <v>71</v>
      </c>
      <c r="G67" t="s">
        <v>72</v>
      </c>
      <c r="H67" t="s">
        <v>73</v>
      </c>
      <c r="I67" t="s">
        <v>74</v>
      </c>
      <c r="J67" t="s">
        <v>75</v>
      </c>
      <c r="K67" t="s">
        <v>69</v>
      </c>
      <c r="L67" t="s">
        <v>30</v>
      </c>
      <c r="M67" t="s">
        <v>12</v>
      </c>
      <c r="N67" t="s">
        <v>76</v>
      </c>
      <c r="O67" t="s">
        <v>0</v>
      </c>
      <c r="P67">
        <v>327241</v>
      </c>
      <c r="Q67" t="s">
        <v>77</v>
      </c>
      <c r="R67" t="s">
        <v>78</v>
      </c>
      <c r="S67" t="s">
        <v>79</v>
      </c>
      <c r="T67">
        <v>0</v>
      </c>
      <c r="U67">
        <v>0.25</v>
      </c>
      <c r="V67" s="2">
        <v>1.0416666666666666E-2</v>
      </c>
      <c r="W67">
        <v>0</v>
      </c>
      <c r="AA67" t="s">
        <v>80</v>
      </c>
      <c r="AB67" t="s">
        <v>81</v>
      </c>
      <c r="AC67" t="s">
        <v>76</v>
      </c>
      <c r="AD67" t="s">
        <v>83</v>
      </c>
      <c r="AE67">
        <f t="shared" si="6"/>
        <v>11</v>
      </c>
      <c r="AF67" t="str">
        <f t="shared" si="7"/>
        <v>November</v>
      </c>
    </row>
    <row r="68" spans="1:32" x14ac:dyDescent="0.3">
      <c r="A68" s="1">
        <v>45621</v>
      </c>
      <c r="B68" t="s">
        <v>30</v>
      </c>
      <c r="C68" t="s">
        <v>68</v>
      </c>
      <c r="D68" t="s">
        <v>69</v>
      </c>
      <c r="E68" t="s">
        <v>86</v>
      </c>
      <c r="F68" t="s">
        <v>71</v>
      </c>
      <c r="G68" t="s">
        <v>72</v>
      </c>
      <c r="H68" t="s">
        <v>73</v>
      </c>
      <c r="I68" t="s">
        <v>74</v>
      </c>
      <c r="J68" t="s">
        <v>75</v>
      </c>
      <c r="K68" t="s">
        <v>69</v>
      </c>
      <c r="L68" t="s">
        <v>30</v>
      </c>
      <c r="M68" t="s">
        <v>12</v>
      </c>
      <c r="N68" t="s">
        <v>76</v>
      </c>
      <c r="O68" t="s">
        <v>0</v>
      </c>
      <c r="P68">
        <v>327234</v>
      </c>
      <c r="Q68" t="s">
        <v>77</v>
      </c>
      <c r="R68" t="s">
        <v>78</v>
      </c>
      <c r="S68" t="s">
        <v>79</v>
      </c>
      <c r="T68">
        <v>0</v>
      </c>
      <c r="U68">
        <v>0.5</v>
      </c>
      <c r="V68" s="2">
        <v>2.0833333333333332E-2</v>
      </c>
      <c r="W68">
        <v>0</v>
      </c>
      <c r="AA68" t="s">
        <v>80</v>
      </c>
      <c r="AB68" t="s">
        <v>81</v>
      </c>
      <c r="AC68" t="s">
        <v>76</v>
      </c>
      <c r="AD68" t="s">
        <v>83</v>
      </c>
      <c r="AE68">
        <f t="shared" si="6"/>
        <v>11</v>
      </c>
      <c r="AF68" t="str">
        <f t="shared" si="7"/>
        <v>November</v>
      </c>
    </row>
    <row r="69" spans="1:32" x14ac:dyDescent="0.3">
      <c r="A69" s="1">
        <v>45628</v>
      </c>
      <c r="B69" t="s">
        <v>30</v>
      </c>
      <c r="C69" t="s">
        <v>68</v>
      </c>
      <c r="D69" t="s">
        <v>69</v>
      </c>
      <c r="E69" t="s">
        <v>86</v>
      </c>
      <c r="F69" t="s">
        <v>71</v>
      </c>
      <c r="G69" t="s">
        <v>72</v>
      </c>
      <c r="H69" t="s">
        <v>73</v>
      </c>
      <c r="I69" t="s">
        <v>74</v>
      </c>
      <c r="J69" t="s">
        <v>75</v>
      </c>
      <c r="K69" t="s">
        <v>69</v>
      </c>
      <c r="L69" t="s">
        <v>30</v>
      </c>
      <c r="M69" t="s">
        <v>12</v>
      </c>
      <c r="N69" t="s">
        <v>76</v>
      </c>
      <c r="O69" t="s">
        <v>0</v>
      </c>
      <c r="P69">
        <v>331080</v>
      </c>
      <c r="Q69" t="s">
        <v>77</v>
      </c>
      <c r="R69" t="s">
        <v>78</v>
      </c>
      <c r="S69" t="s">
        <v>79</v>
      </c>
      <c r="T69">
        <v>0</v>
      </c>
      <c r="U69">
        <v>0.25</v>
      </c>
      <c r="V69" s="2">
        <v>1.0416666666666666E-2</v>
      </c>
      <c r="W69">
        <v>0</v>
      </c>
      <c r="AA69" t="s">
        <v>80</v>
      </c>
      <c r="AB69" t="s">
        <v>81</v>
      </c>
      <c r="AC69" t="s">
        <v>76</v>
      </c>
      <c r="AD69" t="s">
        <v>83</v>
      </c>
      <c r="AE69">
        <f t="shared" si="6"/>
        <v>12</v>
      </c>
      <c r="AF69" t="str">
        <f t="shared" si="7"/>
        <v>December</v>
      </c>
    </row>
    <row r="70" spans="1:32" x14ac:dyDescent="0.3">
      <c r="A70" s="1">
        <v>45629</v>
      </c>
      <c r="B70" t="s">
        <v>30</v>
      </c>
      <c r="C70" t="s">
        <v>68</v>
      </c>
      <c r="D70" t="s">
        <v>69</v>
      </c>
      <c r="E70" t="s">
        <v>86</v>
      </c>
      <c r="F70" t="s">
        <v>71</v>
      </c>
      <c r="G70" t="s">
        <v>72</v>
      </c>
      <c r="H70" t="s">
        <v>73</v>
      </c>
      <c r="I70" t="s">
        <v>74</v>
      </c>
      <c r="J70" t="s">
        <v>75</v>
      </c>
      <c r="K70" t="s">
        <v>69</v>
      </c>
      <c r="L70" t="s">
        <v>30</v>
      </c>
      <c r="M70" t="s">
        <v>12</v>
      </c>
      <c r="N70" t="s">
        <v>76</v>
      </c>
      <c r="O70" t="s">
        <v>0</v>
      </c>
      <c r="P70">
        <v>331090</v>
      </c>
      <c r="Q70" t="s">
        <v>77</v>
      </c>
      <c r="R70" t="s">
        <v>78</v>
      </c>
      <c r="S70" t="s">
        <v>79</v>
      </c>
      <c r="T70">
        <v>0</v>
      </c>
      <c r="U70">
        <v>0.75</v>
      </c>
      <c r="V70" s="2">
        <v>3.125E-2</v>
      </c>
      <c r="W70">
        <v>0</v>
      </c>
      <c r="AA70" t="s">
        <v>80</v>
      </c>
      <c r="AB70" t="s">
        <v>81</v>
      </c>
      <c r="AC70" t="s">
        <v>76</v>
      </c>
      <c r="AD70" t="s">
        <v>83</v>
      </c>
      <c r="AE70">
        <f t="shared" si="6"/>
        <v>12</v>
      </c>
      <c r="AF70" t="str">
        <f t="shared" si="7"/>
        <v>December</v>
      </c>
    </row>
    <row r="71" spans="1:32" x14ac:dyDescent="0.3">
      <c r="A71" s="1">
        <v>45630</v>
      </c>
      <c r="B71" t="s">
        <v>30</v>
      </c>
      <c r="C71" t="s">
        <v>68</v>
      </c>
      <c r="D71" t="s">
        <v>69</v>
      </c>
      <c r="E71" t="s">
        <v>86</v>
      </c>
      <c r="F71" t="s">
        <v>71</v>
      </c>
      <c r="G71" t="s">
        <v>72</v>
      </c>
      <c r="H71" t="s">
        <v>73</v>
      </c>
      <c r="I71" t="s">
        <v>74</v>
      </c>
      <c r="J71" t="s">
        <v>75</v>
      </c>
      <c r="K71" t="s">
        <v>69</v>
      </c>
      <c r="L71" t="s">
        <v>30</v>
      </c>
      <c r="M71" t="s">
        <v>12</v>
      </c>
      <c r="N71" t="s">
        <v>76</v>
      </c>
      <c r="O71" t="s">
        <v>0</v>
      </c>
      <c r="P71">
        <v>331742</v>
      </c>
      <c r="Q71" t="s">
        <v>77</v>
      </c>
      <c r="R71" t="s">
        <v>78</v>
      </c>
      <c r="S71" t="s">
        <v>79</v>
      </c>
      <c r="T71">
        <v>0</v>
      </c>
      <c r="U71">
        <v>1</v>
      </c>
      <c r="V71" s="2">
        <v>4.1666666666666664E-2</v>
      </c>
      <c r="W71">
        <v>0</v>
      </c>
      <c r="AA71" t="s">
        <v>80</v>
      </c>
      <c r="AB71" t="s">
        <v>81</v>
      </c>
      <c r="AC71" t="s">
        <v>76</v>
      </c>
      <c r="AD71" t="s">
        <v>83</v>
      </c>
      <c r="AE71">
        <f t="shared" si="6"/>
        <v>12</v>
      </c>
      <c r="AF71" t="str">
        <f t="shared" si="7"/>
        <v>December</v>
      </c>
    </row>
    <row r="72" spans="1:32" x14ac:dyDescent="0.3">
      <c r="A72" s="1">
        <v>45631</v>
      </c>
      <c r="B72" t="s">
        <v>30</v>
      </c>
      <c r="C72" t="s">
        <v>68</v>
      </c>
      <c r="D72" t="s">
        <v>69</v>
      </c>
      <c r="E72" t="s">
        <v>86</v>
      </c>
      <c r="F72" t="s">
        <v>71</v>
      </c>
      <c r="G72" t="s">
        <v>72</v>
      </c>
      <c r="H72" t="s">
        <v>73</v>
      </c>
      <c r="I72" t="s">
        <v>74</v>
      </c>
      <c r="J72" t="s">
        <v>75</v>
      </c>
      <c r="K72" t="s">
        <v>69</v>
      </c>
      <c r="L72" t="s">
        <v>30</v>
      </c>
      <c r="M72" t="s">
        <v>12</v>
      </c>
      <c r="N72" t="s">
        <v>76</v>
      </c>
      <c r="O72" t="s">
        <v>0</v>
      </c>
      <c r="P72">
        <v>332081</v>
      </c>
      <c r="Q72" t="s">
        <v>77</v>
      </c>
      <c r="R72" t="s">
        <v>78</v>
      </c>
      <c r="S72" t="s">
        <v>79</v>
      </c>
      <c r="T72">
        <v>0</v>
      </c>
      <c r="U72">
        <v>0.5</v>
      </c>
      <c r="V72" s="2">
        <v>2.0833333333333332E-2</v>
      </c>
      <c r="W72">
        <v>0</v>
      </c>
      <c r="AA72" t="s">
        <v>80</v>
      </c>
      <c r="AB72" t="s">
        <v>81</v>
      </c>
      <c r="AC72" t="s">
        <v>76</v>
      </c>
      <c r="AD72" t="s">
        <v>83</v>
      </c>
      <c r="AE72">
        <f t="shared" si="6"/>
        <v>12</v>
      </c>
      <c r="AF72" t="str">
        <f t="shared" si="7"/>
        <v>December</v>
      </c>
    </row>
    <row r="73" spans="1:32" x14ac:dyDescent="0.3">
      <c r="A73" s="1"/>
      <c r="V73" s="2"/>
    </row>
    <row r="74" spans="1:32" x14ac:dyDescent="0.3">
      <c r="A74" s="1"/>
      <c r="V74" s="2"/>
    </row>
    <row r="75" spans="1:32" x14ac:dyDescent="0.3">
      <c r="A75" s="1"/>
      <c r="V75" s="2"/>
    </row>
    <row r="76" spans="1:32" x14ac:dyDescent="0.3">
      <c r="A76" s="1"/>
      <c r="V76" s="2"/>
    </row>
    <row r="77" spans="1:32" x14ac:dyDescent="0.3">
      <c r="A77" s="1"/>
      <c r="V77" s="2"/>
    </row>
    <row r="78" spans="1:32" x14ac:dyDescent="0.3">
      <c r="A78" s="1"/>
      <c r="V78" s="2"/>
    </row>
    <row r="79" spans="1:32" x14ac:dyDescent="0.3">
      <c r="A79" s="1"/>
      <c r="V79" s="2"/>
    </row>
    <row r="80" spans="1:32" x14ac:dyDescent="0.3">
      <c r="A80" s="1"/>
      <c r="V80" s="2"/>
    </row>
    <row r="81" spans="1:22" x14ac:dyDescent="0.3">
      <c r="A81" s="1"/>
      <c r="V81" s="2"/>
    </row>
    <row r="82" spans="1:22" x14ac:dyDescent="0.3">
      <c r="A82" s="1"/>
      <c r="V82" s="2"/>
    </row>
    <row r="83" spans="1:22" x14ac:dyDescent="0.3">
      <c r="A83" s="1"/>
      <c r="V83" s="2"/>
    </row>
    <row r="84" spans="1:22" x14ac:dyDescent="0.3">
      <c r="A84" s="1"/>
      <c r="V84" s="2"/>
    </row>
    <row r="85" spans="1:22" x14ac:dyDescent="0.3">
      <c r="A85" s="1"/>
      <c r="V85" s="2"/>
    </row>
    <row r="86" spans="1:22" x14ac:dyDescent="0.3">
      <c r="A86" s="1"/>
      <c r="V86" s="2"/>
    </row>
    <row r="87" spans="1:22" x14ac:dyDescent="0.3">
      <c r="A87" s="1"/>
      <c r="V87" s="2"/>
    </row>
    <row r="88" spans="1:22" x14ac:dyDescent="0.3">
      <c r="A88" s="1"/>
      <c r="V88" s="2"/>
    </row>
    <row r="89" spans="1:22" x14ac:dyDescent="0.3">
      <c r="A89" s="1"/>
      <c r="V89" s="2"/>
    </row>
    <row r="90" spans="1:22" x14ac:dyDescent="0.3">
      <c r="A90" s="1"/>
      <c r="V90" s="2"/>
    </row>
    <row r="91" spans="1:22" x14ac:dyDescent="0.3">
      <c r="A91" s="1"/>
      <c r="V91" s="2"/>
    </row>
    <row r="92" spans="1:22" x14ac:dyDescent="0.3">
      <c r="A92" s="1"/>
      <c r="V92" s="2"/>
    </row>
    <row r="93" spans="1:22" x14ac:dyDescent="0.3">
      <c r="A93" s="1"/>
      <c r="V93" s="2"/>
    </row>
    <row r="94" spans="1:22" x14ac:dyDescent="0.3">
      <c r="A94" s="1"/>
      <c r="V94" s="2"/>
    </row>
    <row r="95" spans="1:22" x14ac:dyDescent="0.3">
      <c r="A95" s="1"/>
      <c r="V95" s="2"/>
    </row>
    <row r="96" spans="1:22" x14ac:dyDescent="0.3">
      <c r="A96" s="1"/>
      <c r="V96" s="2"/>
    </row>
    <row r="97" spans="1:22" x14ac:dyDescent="0.3">
      <c r="A97" s="1"/>
      <c r="V97" s="2"/>
    </row>
    <row r="98" spans="1:22" x14ac:dyDescent="0.3">
      <c r="A98" s="1"/>
      <c r="V98" s="2"/>
    </row>
    <row r="99" spans="1:22" x14ac:dyDescent="0.3">
      <c r="A99" s="1"/>
      <c r="V99" s="2"/>
    </row>
    <row r="100" spans="1:22" x14ac:dyDescent="0.3">
      <c r="A100" s="1"/>
      <c r="V100" s="2"/>
    </row>
    <row r="101" spans="1:22" x14ac:dyDescent="0.3">
      <c r="A101" s="1"/>
      <c r="V101" s="2"/>
    </row>
    <row r="102" spans="1:22" x14ac:dyDescent="0.3">
      <c r="A102" s="1"/>
      <c r="V102" s="2"/>
    </row>
    <row r="103" spans="1:22" x14ac:dyDescent="0.3">
      <c r="A103" s="1"/>
      <c r="V103" s="2"/>
    </row>
    <row r="104" spans="1:22" x14ac:dyDescent="0.3">
      <c r="A104" s="1"/>
      <c r="V104" s="2"/>
    </row>
    <row r="105" spans="1:22" x14ac:dyDescent="0.3">
      <c r="A105" s="1"/>
      <c r="V105" s="2"/>
    </row>
    <row r="106" spans="1:22" x14ac:dyDescent="0.3">
      <c r="A106" s="1"/>
      <c r="V106" s="2"/>
    </row>
    <row r="107" spans="1:22" x14ac:dyDescent="0.3">
      <c r="A107" s="1"/>
      <c r="V107" s="2"/>
    </row>
    <row r="108" spans="1:22" x14ac:dyDescent="0.3">
      <c r="A108" s="1"/>
      <c r="V108" s="2"/>
    </row>
    <row r="109" spans="1:22" x14ac:dyDescent="0.3">
      <c r="A109" s="1"/>
      <c r="V109" s="2"/>
    </row>
    <row r="110" spans="1:22" x14ac:dyDescent="0.3">
      <c r="A110" s="1"/>
      <c r="V110" s="2"/>
    </row>
    <row r="111" spans="1:22" x14ac:dyDescent="0.3">
      <c r="A111" s="1"/>
      <c r="V111" s="2"/>
    </row>
    <row r="112" spans="1:22" x14ac:dyDescent="0.3">
      <c r="A112" s="1"/>
      <c r="V112" s="2"/>
    </row>
    <row r="113" spans="1:22" x14ac:dyDescent="0.3">
      <c r="A113" s="1"/>
      <c r="V113" s="2"/>
    </row>
    <row r="114" spans="1:22" x14ac:dyDescent="0.3">
      <c r="A114" s="1"/>
      <c r="V114" s="2"/>
    </row>
    <row r="115" spans="1:22" x14ac:dyDescent="0.3">
      <c r="A115" s="1"/>
      <c r="V115" s="2"/>
    </row>
    <row r="116" spans="1:22" x14ac:dyDescent="0.3">
      <c r="A116" s="1"/>
      <c r="V116" s="2"/>
    </row>
    <row r="117" spans="1:22" x14ac:dyDescent="0.3">
      <c r="A117" s="1"/>
      <c r="V117" s="2"/>
    </row>
    <row r="118" spans="1:22" x14ac:dyDescent="0.3">
      <c r="A118" s="1"/>
      <c r="V118" s="2"/>
    </row>
    <row r="119" spans="1:22" x14ac:dyDescent="0.3">
      <c r="A119" s="1"/>
      <c r="V119" s="2"/>
    </row>
    <row r="120" spans="1:22" x14ac:dyDescent="0.3">
      <c r="A120" s="1"/>
      <c r="V120" s="2"/>
    </row>
    <row r="121" spans="1:22" x14ac:dyDescent="0.3">
      <c r="A121" s="1"/>
      <c r="V121" s="2"/>
    </row>
    <row r="122" spans="1:22" x14ac:dyDescent="0.3">
      <c r="A122" s="1"/>
      <c r="V122" s="2"/>
    </row>
    <row r="123" spans="1:22" x14ac:dyDescent="0.3">
      <c r="A123" s="1"/>
      <c r="V123" s="2"/>
    </row>
    <row r="124" spans="1:22" x14ac:dyDescent="0.3">
      <c r="A124" s="1"/>
      <c r="V124" s="2"/>
    </row>
    <row r="125" spans="1:22" x14ac:dyDescent="0.3">
      <c r="A125" s="1"/>
      <c r="V125" s="2"/>
    </row>
    <row r="126" spans="1:22" x14ac:dyDescent="0.3">
      <c r="A126" s="1"/>
      <c r="V126" s="2"/>
    </row>
    <row r="127" spans="1:22" x14ac:dyDescent="0.3">
      <c r="A127" s="1"/>
      <c r="V127" s="2"/>
    </row>
    <row r="128" spans="1:22" x14ac:dyDescent="0.3">
      <c r="A128" s="1"/>
      <c r="V128" s="2"/>
    </row>
    <row r="129" spans="1:22" x14ac:dyDescent="0.3">
      <c r="A129" s="1"/>
      <c r="V129" s="2"/>
    </row>
    <row r="130" spans="1:22" x14ac:dyDescent="0.3">
      <c r="A130" s="1"/>
      <c r="V130" s="2"/>
    </row>
    <row r="131" spans="1:22" x14ac:dyDescent="0.3">
      <c r="A131" s="1"/>
      <c r="V131" s="2"/>
    </row>
    <row r="132" spans="1:22" x14ac:dyDescent="0.3">
      <c r="A132" s="1"/>
      <c r="V132" s="2"/>
    </row>
    <row r="133" spans="1:22" x14ac:dyDescent="0.3">
      <c r="A133" s="1"/>
      <c r="V133" s="2"/>
    </row>
    <row r="134" spans="1:22" x14ac:dyDescent="0.3">
      <c r="A134" s="1"/>
      <c r="V134" s="2"/>
    </row>
    <row r="135" spans="1:22" x14ac:dyDescent="0.3">
      <c r="A135" s="1"/>
      <c r="V135" s="2"/>
    </row>
    <row r="136" spans="1:22" x14ac:dyDescent="0.3">
      <c r="A136" s="1"/>
      <c r="V136" s="2"/>
    </row>
    <row r="137" spans="1:22" x14ac:dyDescent="0.3">
      <c r="A137" s="1"/>
      <c r="V137" s="2"/>
    </row>
    <row r="138" spans="1:22" x14ac:dyDescent="0.3">
      <c r="A138" s="1"/>
      <c r="V138" s="2"/>
    </row>
    <row r="139" spans="1:22" x14ac:dyDescent="0.3">
      <c r="A139" s="1"/>
      <c r="V139" s="2"/>
    </row>
    <row r="140" spans="1:22" x14ac:dyDescent="0.3">
      <c r="A140" s="1"/>
      <c r="V140" s="2"/>
    </row>
    <row r="141" spans="1:22" x14ac:dyDescent="0.3">
      <c r="A141" s="1"/>
      <c r="V141" s="2"/>
    </row>
    <row r="142" spans="1:22" x14ac:dyDescent="0.3">
      <c r="A142" s="1"/>
      <c r="V142" s="2"/>
    </row>
    <row r="143" spans="1:22" x14ac:dyDescent="0.3">
      <c r="A143" s="1"/>
      <c r="V143" s="2"/>
    </row>
    <row r="144" spans="1:22" x14ac:dyDescent="0.3">
      <c r="A144" s="1"/>
      <c r="V144" s="2"/>
    </row>
    <row r="145" spans="1:22" x14ac:dyDescent="0.3">
      <c r="A145" s="1"/>
      <c r="V145" s="2"/>
    </row>
    <row r="146" spans="1:22" x14ac:dyDescent="0.3">
      <c r="A146" s="1"/>
      <c r="V146" s="2"/>
    </row>
    <row r="147" spans="1:22" x14ac:dyDescent="0.3">
      <c r="A147" s="1"/>
      <c r="V147" s="2"/>
    </row>
    <row r="148" spans="1:22" x14ac:dyDescent="0.3">
      <c r="A148" s="1"/>
      <c r="V148" s="2"/>
    </row>
    <row r="149" spans="1:22" x14ac:dyDescent="0.3">
      <c r="A149" s="1"/>
      <c r="V149" s="2"/>
    </row>
    <row r="150" spans="1:22" x14ac:dyDescent="0.3">
      <c r="A150" s="1"/>
      <c r="V150" s="2"/>
    </row>
    <row r="151" spans="1:22" x14ac:dyDescent="0.3">
      <c r="A151" s="1"/>
      <c r="V151" s="2"/>
    </row>
    <row r="152" spans="1:22" x14ac:dyDescent="0.3">
      <c r="A152" s="1"/>
      <c r="V152" s="2"/>
    </row>
    <row r="153" spans="1:22" x14ac:dyDescent="0.3">
      <c r="A153" s="1"/>
      <c r="V153" s="2"/>
    </row>
    <row r="154" spans="1:22" x14ac:dyDescent="0.3">
      <c r="A154" s="1"/>
      <c r="V154" s="2"/>
    </row>
    <row r="155" spans="1:22" x14ac:dyDescent="0.3">
      <c r="A155" s="1"/>
      <c r="V155" s="2"/>
    </row>
    <row r="156" spans="1:22" x14ac:dyDescent="0.3">
      <c r="A156" s="1"/>
      <c r="V156" s="2"/>
    </row>
    <row r="157" spans="1:22" x14ac:dyDescent="0.3">
      <c r="A157" s="1"/>
      <c r="V157" s="2"/>
    </row>
    <row r="158" spans="1:22" x14ac:dyDescent="0.3">
      <c r="A158" s="1"/>
      <c r="V158" s="2"/>
    </row>
    <row r="159" spans="1:22" x14ac:dyDescent="0.3">
      <c r="A159" s="1"/>
      <c r="V159" s="2"/>
    </row>
    <row r="160" spans="1:22" x14ac:dyDescent="0.3">
      <c r="A160" s="1"/>
      <c r="V160" s="2"/>
    </row>
    <row r="161" spans="1:22" x14ac:dyDescent="0.3">
      <c r="A161" s="1"/>
      <c r="V161" s="2"/>
    </row>
    <row r="162" spans="1:22" x14ac:dyDescent="0.3">
      <c r="A162" s="1"/>
      <c r="V162" s="2"/>
    </row>
    <row r="163" spans="1:22" x14ac:dyDescent="0.3">
      <c r="A163" s="1"/>
      <c r="V163" s="2"/>
    </row>
    <row r="164" spans="1:22" x14ac:dyDescent="0.3">
      <c r="A164" s="1"/>
      <c r="V164" s="2"/>
    </row>
    <row r="165" spans="1:22" x14ac:dyDescent="0.3">
      <c r="A165" s="1"/>
      <c r="V165" s="2"/>
    </row>
    <row r="166" spans="1:22" x14ac:dyDescent="0.3">
      <c r="A166" s="1"/>
      <c r="V166" s="2"/>
    </row>
    <row r="167" spans="1:22" x14ac:dyDescent="0.3">
      <c r="A167" s="1"/>
      <c r="V167" s="2"/>
    </row>
    <row r="168" spans="1:22" x14ac:dyDescent="0.3">
      <c r="A168" s="1"/>
      <c r="V168" s="2"/>
    </row>
    <row r="169" spans="1:22" x14ac:dyDescent="0.3">
      <c r="A169" s="1"/>
      <c r="V169" s="2"/>
    </row>
    <row r="170" spans="1:22" x14ac:dyDescent="0.3">
      <c r="A170" s="1"/>
      <c r="V170" s="2"/>
    </row>
    <row r="171" spans="1:22" x14ac:dyDescent="0.3">
      <c r="A171" s="1"/>
      <c r="V171" s="2"/>
    </row>
    <row r="172" spans="1:22" x14ac:dyDescent="0.3">
      <c r="A172" s="1"/>
      <c r="V172" s="2"/>
    </row>
    <row r="173" spans="1:22" x14ac:dyDescent="0.3">
      <c r="A173" s="1"/>
      <c r="V173" s="2"/>
    </row>
    <row r="174" spans="1:22" x14ac:dyDescent="0.3">
      <c r="A174" s="1"/>
      <c r="V174" s="2"/>
    </row>
    <row r="175" spans="1:22" x14ac:dyDescent="0.3">
      <c r="A175" s="1"/>
      <c r="V175" s="2"/>
    </row>
    <row r="176" spans="1:22" x14ac:dyDescent="0.3">
      <c r="A176" s="1"/>
      <c r="V176" s="2"/>
    </row>
    <row r="177" spans="1:22" x14ac:dyDescent="0.3">
      <c r="A177" s="1"/>
      <c r="V177" s="2"/>
    </row>
    <row r="178" spans="1:22" x14ac:dyDescent="0.3">
      <c r="A178" s="1"/>
      <c r="V178" s="2"/>
    </row>
    <row r="179" spans="1:22" x14ac:dyDescent="0.3">
      <c r="A179" s="1"/>
      <c r="V179" s="2"/>
    </row>
    <row r="180" spans="1:22" x14ac:dyDescent="0.3">
      <c r="A180" s="1"/>
      <c r="V180" s="2"/>
    </row>
    <row r="181" spans="1:22" x14ac:dyDescent="0.3">
      <c r="A181" s="1"/>
      <c r="V181" s="2"/>
    </row>
    <row r="182" spans="1:22" x14ac:dyDescent="0.3">
      <c r="A182" s="1"/>
      <c r="V182" s="2"/>
    </row>
    <row r="183" spans="1:22" x14ac:dyDescent="0.3">
      <c r="A183" s="1"/>
      <c r="V183" s="2"/>
    </row>
    <row r="184" spans="1:22" x14ac:dyDescent="0.3">
      <c r="A184" s="1"/>
      <c r="V184" s="2"/>
    </row>
    <row r="185" spans="1:22" x14ac:dyDescent="0.3">
      <c r="A185" s="1"/>
      <c r="V185" s="2"/>
    </row>
    <row r="186" spans="1:22" x14ac:dyDescent="0.3">
      <c r="A186" s="1"/>
      <c r="V186" s="2"/>
    </row>
    <row r="187" spans="1:22" x14ac:dyDescent="0.3">
      <c r="A187" s="1"/>
      <c r="V187" s="2"/>
    </row>
    <row r="188" spans="1:22" x14ac:dyDescent="0.3">
      <c r="A188" s="1"/>
      <c r="V188" s="2"/>
    </row>
    <row r="189" spans="1:22" x14ac:dyDescent="0.3">
      <c r="A189" s="1"/>
      <c r="V189" s="2"/>
    </row>
    <row r="190" spans="1:22" x14ac:dyDescent="0.3">
      <c r="A190" s="1"/>
      <c r="V190" s="2"/>
    </row>
    <row r="191" spans="1:22" x14ac:dyDescent="0.3">
      <c r="A191" s="1"/>
      <c r="V191" s="2"/>
    </row>
    <row r="192" spans="1:22" x14ac:dyDescent="0.3">
      <c r="A192" s="1"/>
      <c r="V192" s="2"/>
    </row>
    <row r="193" spans="1:22" x14ac:dyDescent="0.3">
      <c r="A193" s="1"/>
      <c r="V193" s="2"/>
    </row>
    <row r="194" spans="1:22" x14ac:dyDescent="0.3">
      <c r="A194" s="1"/>
      <c r="V194" s="2"/>
    </row>
    <row r="195" spans="1:22" x14ac:dyDescent="0.3">
      <c r="A195" s="1"/>
      <c r="V195" s="2"/>
    </row>
    <row r="196" spans="1:22" x14ac:dyDescent="0.3">
      <c r="A196" s="1"/>
      <c r="V196" s="2"/>
    </row>
    <row r="197" spans="1:22" x14ac:dyDescent="0.3">
      <c r="A197" s="1"/>
      <c r="V197" s="2"/>
    </row>
    <row r="198" spans="1:22" x14ac:dyDescent="0.3">
      <c r="A198" s="1"/>
      <c r="V198" s="2"/>
    </row>
    <row r="199" spans="1:22" x14ac:dyDescent="0.3">
      <c r="A199" s="1"/>
      <c r="V199" s="2"/>
    </row>
    <row r="200" spans="1:22" x14ac:dyDescent="0.3">
      <c r="A200" s="1"/>
      <c r="V200" s="2"/>
    </row>
    <row r="201" spans="1:22" x14ac:dyDescent="0.3">
      <c r="A201" s="1"/>
      <c r="V201" s="2"/>
    </row>
    <row r="202" spans="1:22" x14ac:dyDescent="0.3">
      <c r="A202" s="1"/>
      <c r="V202" s="2"/>
    </row>
    <row r="203" spans="1:22" x14ac:dyDescent="0.3">
      <c r="A203" s="1"/>
      <c r="V203" s="2"/>
    </row>
    <row r="204" spans="1:22" x14ac:dyDescent="0.3">
      <c r="A204" s="1"/>
      <c r="V204" s="2"/>
    </row>
    <row r="205" spans="1:22" x14ac:dyDescent="0.3">
      <c r="A205" s="1"/>
      <c r="V205" s="2"/>
    </row>
    <row r="206" spans="1:22" x14ac:dyDescent="0.3">
      <c r="A206" s="1"/>
      <c r="V206" s="2"/>
    </row>
    <row r="207" spans="1:22" x14ac:dyDescent="0.3">
      <c r="A207" s="1"/>
      <c r="V207" s="2"/>
    </row>
    <row r="208" spans="1:22" x14ac:dyDescent="0.3">
      <c r="A208" s="1"/>
      <c r="V208" s="2"/>
    </row>
    <row r="209" spans="1:22" x14ac:dyDescent="0.3">
      <c r="A209" s="1"/>
      <c r="V209" s="2"/>
    </row>
    <row r="210" spans="1:22" x14ac:dyDescent="0.3">
      <c r="A210" s="1"/>
      <c r="V210" s="2"/>
    </row>
    <row r="211" spans="1:22" x14ac:dyDescent="0.3">
      <c r="A211" s="1"/>
      <c r="V211" s="2"/>
    </row>
    <row r="212" spans="1:22" x14ac:dyDescent="0.3">
      <c r="A212" s="1"/>
      <c r="V212" s="2"/>
    </row>
    <row r="213" spans="1:22" x14ac:dyDescent="0.3">
      <c r="A213" s="1"/>
      <c r="V213" s="2"/>
    </row>
    <row r="214" spans="1:22" x14ac:dyDescent="0.3">
      <c r="A214" s="1"/>
      <c r="V214" s="2"/>
    </row>
    <row r="215" spans="1:22" x14ac:dyDescent="0.3">
      <c r="A215" s="1"/>
      <c r="V215" s="2"/>
    </row>
    <row r="216" spans="1:22" x14ac:dyDescent="0.3">
      <c r="A216" s="1"/>
      <c r="V216" s="2"/>
    </row>
    <row r="217" spans="1:22" x14ac:dyDescent="0.3">
      <c r="A217" s="1"/>
      <c r="V217" s="2"/>
    </row>
    <row r="218" spans="1:22" x14ac:dyDescent="0.3">
      <c r="A218" s="1"/>
      <c r="V218" s="2"/>
    </row>
    <row r="219" spans="1:22" x14ac:dyDescent="0.3">
      <c r="A219" s="1"/>
      <c r="V219" s="2"/>
    </row>
    <row r="220" spans="1:22" x14ac:dyDescent="0.3">
      <c r="A220" s="1"/>
      <c r="V220" s="2"/>
    </row>
    <row r="221" spans="1:22" x14ac:dyDescent="0.3">
      <c r="A221" s="1"/>
      <c r="V221" s="2"/>
    </row>
    <row r="222" spans="1:22" x14ac:dyDescent="0.3">
      <c r="A222" s="1"/>
      <c r="V222" s="2"/>
    </row>
    <row r="223" spans="1:22" x14ac:dyDescent="0.3">
      <c r="A223" s="1"/>
      <c r="V223" s="2"/>
    </row>
    <row r="224" spans="1:22" x14ac:dyDescent="0.3">
      <c r="A224" s="1"/>
      <c r="V224" s="2"/>
    </row>
    <row r="225" spans="1:22" x14ac:dyDescent="0.3">
      <c r="A225" s="1"/>
      <c r="V225" s="2"/>
    </row>
    <row r="226" spans="1:22" x14ac:dyDescent="0.3">
      <c r="A226" s="1"/>
      <c r="V226" s="2"/>
    </row>
    <row r="227" spans="1:22" x14ac:dyDescent="0.3">
      <c r="A227" s="1"/>
      <c r="V227" s="2"/>
    </row>
    <row r="228" spans="1:22" x14ac:dyDescent="0.3">
      <c r="A228" s="1"/>
      <c r="V228" s="2"/>
    </row>
    <row r="229" spans="1:22" x14ac:dyDescent="0.3">
      <c r="A229" s="1"/>
      <c r="V229" s="2"/>
    </row>
    <row r="230" spans="1:22" x14ac:dyDescent="0.3">
      <c r="A230" s="1"/>
      <c r="V230" s="2"/>
    </row>
    <row r="231" spans="1:22" x14ac:dyDescent="0.3">
      <c r="A231" s="1"/>
      <c r="V231" s="2"/>
    </row>
    <row r="232" spans="1:22" x14ac:dyDescent="0.3">
      <c r="A232" s="1"/>
      <c r="V232" s="2"/>
    </row>
    <row r="233" spans="1:22" x14ac:dyDescent="0.3">
      <c r="A233" s="1"/>
      <c r="V233" s="2"/>
    </row>
    <row r="234" spans="1:22" x14ac:dyDescent="0.3">
      <c r="A234" s="1"/>
      <c r="V234" s="2"/>
    </row>
    <row r="235" spans="1:22" x14ac:dyDescent="0.3">
      <c r="A235" s="1"/>
      <c r="V235" s="2"/>
    </row>
    <row r="236" spans="1:22" x14ac:dyDescent="0.3">
      <c r="A236" s="1"/>
      <c r="V236" s="2"/>
    </row>
    <row r="237" spans="1:22" x14ac:dyDescent="0.3">
      <c r="A237" s="1"/>
      <c r="V237" s="2"/>
    </row>
    <row r="238" spans="1:22" x14ac:dyDescent="0.3">
      <c r="A238" s="1"/>
      <c r="V238" s="2"/>
    </row>
    <row r="239" spans="1:22" x14ac:dyDescent="0.3">
      <c r="A239" s="1"/>
      <c r="V239" s="2"/>
    </row>
    <row r="240" spans="1:22" x14ac:dyDescent="0.3">
      <c r="A240" s="1"/>
      <c r="V240" s="2"/>
    </row>
    <row r="241" spans="1:22" x14ac:dyDescent="0.3">
      <c r="A241" s="1"/>
      <c r="V241" s="2"/>
    </row>
    <row r="242" spans="1:22" x14ac:dyDescent="0.3">
      <c r="A242" s="1"/>
      <c r="V242" s="2"/>
    </row>
    <row r="243" spans="1:22" x14ac:dyDescent="0.3">
      <c r="A243" s="1"/>
      <c r="V243" s="2"/>
    </row>
    <row r="244" spans="1:22" x14ac:dyDescent="0.3">
      <c r="A244" s="1"/>
      <c r="V244" s="2"/>
    </row>
    <row r="245" spans="1:22" x14ac:dyDescent="0.3">
      <c r="A245" s="1"/>
      <c r="V245" s="2"/>
    </row>
    <row r="246" spans="1:22" x14ac:dyDescent="0.3">
      <c r="A246" s="1"/>
      <c r="V246" s="2"/>
    </row>
    <row r="247" spans="1:22" x14ac:dyDescent="0.3">
      <c r="A247" s="1"/>
      <c r="V247" s="2"/>
    </row>
    <row r="248" spans="1:22" x14ac:dyDescent="0.3">
      <c r="A248" s="1"/>
      <c r="V248" s="2"/>
    </row>
    <row r="249" spans="1:22" x14ac:dyDescent="0.3">
      <c r="A249" s="1"/>
      <c r="V249" s="2"/>
    </row>
    <row r="250" spans="1:22" x14ac:dyDescent="0.3">
      <c r="A250" s="1"/>
      <c r="V250" s="2"/>
    </row>
    <row r="251" spans="1:22" x14ac:dyDescent="0.3">
      <c r="A251" s="1"/>
      <c r="V251" s="2"/>
    </row>
    <row r="252" spans="1:22" x14ac:dyDescent="0.3">
      <c r="A252" s="1"/>
      <c r="V252" s="2"/>
    </row>
    <row r="253" spans="1:22" x14ac:dyDescent="0.3">
      <c r="A253" s="1"/>
      <c r="V253" s="2"/>
    </row>
    <row r="254" spans="1:22" x14ac:dyDescent="0.3">
      <c r="A254" s="1"/>
      <c r="V254" s="2"/>
    </row>
    <row r="255" spans="1:22" x14ac:dyDescent="0.3">
      <c r="A255" s="1"/>
      <c r="V255" s="2"/>
    </row>
    <row r="256" spans="1:22" x14ac:dyDescent="0.3">
      <c r="A256" s="1"/>
      <c r="V256" s="2"/>
    </row>
    <row r="257" spans="1:22" x14ac:dyDescent="0.3">
      <c r="A257" s="1"/>
      <c r="V257" s="2"/>
    </row>
    <row r="258" spans="1:22" x14ac:dyDescent="0.3">
      <c r="A258" s="1"/>
      <c r="V258" s="2"/>
    </row>
    <row r="259" spans="1:22" x14ac:dyDescent="0.3">
      <c r="A259" s="1"/>
      <c r="V259" s="2"/>
    </row>
    <row r="260" spans="1:22" x14ac:dyDescent="0.3">
      <c r="A260" s="1"/>
      <c r="V260" s="2"/>
    </row>
    <row r="261" spans="1:22" x14ac:dyDescent="0.3">
      <c r="A261" s="1"/>
      <c r="V261" s="2"/>
    </row>
    <row r="262" spans="1:22" x14ac:dyDescent="0.3">
      <c r="A262" s="1"/>
      <c r="V262" s="2"/>
    </row>
    <row r="263" spans="1:22" x14ac:dyDescent="0.3">
      <c r="A263" s="1"/>
      <c r="V263" s="2"/>
    </row>
    <row r="264" spans="1:22" x14ac:dyDescent="0.3">
      <c r="A264" s="1"/>
      <c r="V264" s="2"/>
    </row>
    <row r="265" spans="1:22" x14ac:dyDescent="0.3">
      <c r="A265" s="1"/>
      <c r="V265" s="2"/>
    </row>
    <row r="266" spans="1:22" x14ac:dyDescent="0.3">
      <c r="A266" s="1"/>
      <c r="V266" s="2"/>
    </row>
    <row r="267" spans="1:22" x14ac:dyDescent="0.3">
      <c r="A267" s="1"/>
      <c r="V267" s="2"/>
    </row>
    <row r="268" spans="1:22" x14ac:dyDescent="0.3">
      <c r="A268" s="1"/>
      <c r="V268" s="2"/>
    </row>
    <row r="269" spans="1:22" x14ac:dyDescent="0.3">
      <c r="A269" s="1"/>
      <c r="V269" s="2"/>
    </row>
    <row r="270" spans="1:22" x14ac:dyDescent="0.3">
      <c r="A270" s="1"/>
      <c r="V270" s="2"/>
    </row>
    <row r="271" spans="1:22" x14ac:dyDescent="0.3">
      <c r="A271" s="1"/>
      <c r="V271" s="2"/>
    </row>
    <row r="272" spans="1:22" x14ac:dyDescent="0.3">
      <c r="A272" s="1"/>
      <c r="V272" s="2"/>
    </row>
    <row r="273" spans="1:22" x14ac:dyDescent="0.3">
      <c r="A273" s="1"/>
      <c r="V273" s="2"/>
    </row>
    <row r="274" spans="1:22" x14ac:dyDescent="0.3">
      <c r="A274" s="1"/>
      <c r="V274" s="2"/>
    </row>
    <row r="275" spans="1:22" x14ac:dyDescent="0.3">
      <c r="A275" s="1"/>
      <c r="V275" s="2"/>
    </row>
    <row r="276" spans="1:22" x14ac:dyDescent="0.3">
      <c r="A276" s="1"/>
      <c r="V276" s="2"/>
    </row>
    <row r="277" spans="1:22" x14ac:dyDescent="0.3">
      <c r="A277" s="1"/>
      <c r="V277" s="2"/>
    </row>
    <row r="278" spans="1:22" x14ac:dyDescent="0.3">
      <c r="A278" s="1"/>
      <c r="V278" s="2"/>
    </row>
    <row r="279" spans="1:22" x14ac:dyDescent="0.3">
      <c r="A279" s="1"/>
      <c r="V279" s="2"/>
    </row>
    <row r="280" spans="1:22" x14ac:dyDescent="0.3">
      <c r="A280" s="1"/>
      <c r="V280" s="2"/>
    </row>
    <row r="281" spans="1:22" x14ac:dyDescent="0.3">
      <c r="A281" s="1"/>
      <c r="V281" s="2"/>
    </row>
    <row r="282" spans="1:22" x14ac:dyDescent="0.3">
      <c r="A282" s="1"/>
      <c r="V282" s="2"/>
    </row>
    <row r="283" spans="1:22" x14ac:dyDescent="0.3">
      <c r="A283" s="1"/>
      <c r="V283" s="2"/>
    </row>
    <row r="284" spans="1:22" x14ac:dyDescent="0.3">
      <c r="A284" s="1"/>
      <c r="V284" s="2"/>
    </row>
    <row r="285" spans="1:22" x14ac:dyDescent="0.3">
      <c r="A285" s="1"/>
      <c r="V285" s="2"/>
    </row>
    <row r="286" spans="1:22" x14ac:dyDescent="0.3">
      <c r="A286" s="1"/>
      <c r="V286" s="2"/>
    </row>
    <row r="287" spans="1:22" x14ac:dyDescent="0.3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CB0DFB-CC9C-46EB-857C-95BCF2E888F7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6AB2261F-A05D-4470-A631-EC568B5DC7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13026E-746A-4710-8E0C-2BD609C11DC4}">
  <ds:schemaRefs>
    <ds:schemaRef ds:uri="http://schemas.microsoft.com/office/2006/documentManagement/types"/>
    <ds:schemaRef ds:uri="http://purl.org/dc/dcmitype/"/>
    <ds:schemaRef ds:uri="1ffbd5dc-7a64-4097-8396-87f6c90b212f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www.w3.org/XML/1998/namespace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3D3988DF-4AA9-4978-9646-CAE57FB1A4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Delivery Timesheets</vt:lpstr>
      <vt:lpstr>Sprint 0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2025-01-20T10:35:45Z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