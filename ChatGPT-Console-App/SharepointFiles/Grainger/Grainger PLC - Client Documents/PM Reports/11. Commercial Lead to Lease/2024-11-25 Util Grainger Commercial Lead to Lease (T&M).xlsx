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128" documentId="8_{167E9527-0BDB-4F80-917D-937C202D374A}" xr6:coauthVersionLast="47" xr6:coauthVersionMax="47" xr10:uidLastSave="{2CA5CD4D-ED37-460B-917C-F64CC6180AB8}"/>
  <bookViews>
    <workbookView xWindow="57480" yWindow="-2040" windowWidth="29040" windowHeight="15720" xr2:uid="{00000000-000D-0000-FFFF-FFFF00000000}"/>
  </bookViews>
  <sheets>
    <sheet name="Pivot" sheetId="2" r:id="rId1"/>
    <sheet name="Sprint 0 Timesheets" sheetId="1" r:id="rId2"/>
    <sheet name="Delivery Timesheets" sheetId="3" r:id="rId3"/>
  </sheets>
  <calcPr calcId="191028"/>
  <pivotCaches>
    <pivotCache cacheId="10" r:id="rId4"/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2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2" i="1"/>
  <c r="M8" i="2" l="1"/>
  <c r="L8" i="2"/>
</calcChain>
</file>

<file path=xl/sharedStrings.xml><?xml version="1.0" encoding="utf-8"?>
<sst xmlns="http://schemas.openxmlformats.org/spreadsheetml/2006/main" count="1076" uniqueCount="77">
  <si>
    <t>Sprint 0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</si>
  <si>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</si>
  <si>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</si>
  <si>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</si>
  <si>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</si>
  <si>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</si>
  <si>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4-5 weeks 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</si>
  <si>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</si>
  <si>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</si>
  <si>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</si>
  <si>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</si>
  <si>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</si>
  <si>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</si>
  <si>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</si>
  <si>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</si>
  <si>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</si>
  <si>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</si>
  <si>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</si>
  <si>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Total</t>
  </si>
  <si>
    <t xml:space="preserve">4-5 weeks </t>
  </si>
  <si>
    <t>Nikki Papenfus</t>
  </si>
  <si>
    <t>Delivery (Non-Billable)</t>
  </si>
  <si>
    <t>Sprint 0 Overrun</t>
  </si>
  <si>
    <t>Shaun Barrett</t>
  </si>
  <si>
    <t>Jacob Smycz</t>
  </si>
  <si>
    <t>Khonani Davhana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</si>
  <si>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</si>
  <si>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</si>
  <si>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</si>
  <si>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</si>
  <si>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</si>
  <si>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</si>
  <si>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</si>
  <si>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</si>
  <si>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</si>
  <si>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</si>
  <si>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</si>
  <si>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</si>
  <si>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</si>
  <si>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</si>
  <si>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</si>
  <si>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</si>
  <si>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</si>
  <si>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</si>
  <si>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</si>
  <si>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</si>
  <si>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</si>
  <si>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</si>
  <si>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</si>
  <si>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</si>
  <si>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</si>
  <si>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</si>
  <si>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</si>
  <si>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</si>
  <si>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</si>
  <si>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</si>
  <si>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</si>
  <si>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</si>
  <si>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</si>
  <si>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SA</t>
  </si>
  <si>
    <t>Grainger PLC</t>
  </si>
  <si>
    <t>OB-000721</t>
  </si>
  <si>
    <t>Commercial Lead to Lease - Sprint 0 (T&amp;M)</t>
  </si>
  <si>
    <t>Billable</t>
  </si>
  <si>
    <t>Non-billable timecode</t>
  </si>
  <si>
    <t>Standard Timecode</t>
  </si>
  <si>
    <t>GBP</t>
  </si>
  <si>
    <t xml:space="preserve"> </t>
  </si>
  <si>
    <t>Not submitted</t>
  </si>
  <si>
    <t>Custom Software</t>
  </si>
  <si>
    <t>Andrew Pollock</t>
  </si>
  <si>
    <t>Period</t>
  </si>
  <si>
    <t>Carami Viljoen</t>
  </si>
  <si>
    <t>Time report</t>
  </si>
  <si>
    <t>Qube discussion</t>
  </si>
  <si>
    <t>time report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</si>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</sst>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£-809]* #,##0.00_-;\-[$£-809]* #,##0.00_-;_-[$£-809]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43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  <xf numFmtId="164" fontId="24" fillId="0" borderId="10" xfId="0" applyNumberFormat="1" applyFont="1" applyBorder="1"/>
    <xf numFmtId="164" fontId="25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57502083336" createdVersion="8" refreshedVersion="8" minRefreshableVersion="3" recordCount="33" xr:uid="{CC18EAD1-0E8D-432A-B24F-1A59AAE458C5}">
  <cacheSource type="worksheet">
    <worksheetSource ref="A1:AF34" sheet="Delivery Timesheets"/>
  </cacheSource>
  <cacheFields count="32">
    <cacheField name="Date" numFmtId="15">
      <sharedItems containsSemiMixedTypes="0" containsNonDate="0" containsDate="1" containsString="0" minDate="2024-10-02T00:00:00" maxDate="2024-10-22T00:00:00"/>
    </cacheField>
    <cacheField name="Person" numFmtId="0">
      <sharedItems count="6">
        <s v="Jacob Smycz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483" maxValue="312545"/>
    </cacheField>
    <cacheField name="Timecode Name" numFmtId="0">
      <sharedItems count="3">
        <s v="Delivery (Non-Billable)"/>
        <s v="Delivery"/>
        <s v="Sprint 0 Overrun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75"/>
    </cacheField>
    <cacheField name="Time" numFmtId="20">
      <sharedItems containsSemiMixedTypes="0" containsNonDate="0" containsDate="1" containsString="0" minDate="1899-12-30T00:15:00" maxDate="1899-12-30T04:45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21.617363310186" createdVersion="8" refreshedVersion="8" minRefreshableVersion="3" recordCount="48" xr:uid="{2F135974-46AF-4B2C-A383-909AE6C57A0D}">
  <cacheSource type="worksheet">
    <worksheetSource ref="A1:AF49" sheet="Sprint 0 Timesheets"/>
  </cacheSource>
  <cacheFields count="32">
    <cacheField name="Date" numFmtId="15">
      <sharedItems containsSemiMixedTypes="0" containsNonDate="0" containsDate="1" containsString="0" minDate="2024-09-27T00:00:00" maxDate="2024-11-23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2333" maxValue="327241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1"/>
    </cacheField>
    <cacheField name="Month" numFmtId="0">
      <sharedItems count="3">
        <s v="November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4-10-08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18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33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10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8431"/>
    <x v="0"/>
    <x v="0"/>
    <s v="Standard Timecode"/>
    <n v="0"/>
    <n v="1.75"/>
    <d v="1899-12-30T01:45:00"/>
    <n v="0"/>
    <m/>
    <m/>
    <m/>
    <s v="GBP"/>
    <s v="Reviewed"/>
    <s v=" "/>
    <s v="Not submitted"/>
    <n v="10"/>
    <x v="0"/>
  </r>
  <r>
    <d v="2024-10-08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6"/>
    <x v="1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09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5"/>
    <x v="1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10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690"/>
    <x v="1"/>
    <x v="1"/>
    <s v="Standard Timecode"/>
    <n v="90"/>
    <n v="2"/>
    <d v="1899-12-30T02:00:00"/>
    <n v="180"/>
    <m/>
    <m/>
    <m/>
    <s v="GBP"/>
    <s v="Reviewed"/>
    <s v=" "/>
    <s v="Not submitted"/>
    <n v="10"/>
    <x v="0"/>
  </r>
  <r>
    <d v="2024-10-02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5483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6897"/>
    <x v="2"/>
    <x v="1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749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0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8468"/>
    <x v="2"/>
    <x v="1"/>
    <s v="Standard Timecode"/>
    <n v="90"/>
    <n v="2.5"/>
    <d v="1899-12-30T02:30:00"/>
    <n v="225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119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4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50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138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63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051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593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2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2097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0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488"/>
    <x v="2"/>
    <x v="1"/>
    <s v="Standard Timecode"/>
    <n v="90"/>
    <n v="1.75"/>
    <d v="1899-12-30T01:45:00"/>
    <n v="157.5"/>
    <m/>
    <m/>
    <m/>
    <s v="GBP"/>
    <s v="Reviewed"/>
    <s v="Story point estimation (1h45)"/>
    <s v="Not submitted"/>
    <n v="10"/>
    <x v="0"/>
  </r>
  <r>
    <d v="2024-10-03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310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6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9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7"/>
    <x v="2"/>
    <x v="1"/>
    <s v="Standard Timecode"/>
    <n v="90"/>
    <n v="1.75"/>
    <d v="1899-12-30T01:45:00"/>
    <n v="157.5"/>
    <m/>
    <m/>
    <m/>
    <s v="GBP"/>
    <s v="Reviewed"/>
    <s v=" "/>
    <s v="Not submitted"/>
    <n v="10"/>
    <x v="0"/>
  </r>
  <r>
    <d v="2024-10-10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5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1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01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675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185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6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85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1171"/>
    <x v="2"/>
    <x v="1"/>
    <s v="Standard Timecode"/>
    <n v="90"/>
    <n v="0.5"/>
    <d v="1899-12-30T00:30:00"/>
    <n v="45"/>
    <m/>
    <m/>
    <m/>
    <s v="GBP"/>
    <m/>
    <s v=" "/>
    <s v="Not submitted"/>
    <n v="10"/>
    <x v="0"/>
  </r>
  <r>
    <d v="2024-10-1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2545"/>
    <x v="2"/>
    <x v="1"/>
    <s v="Standard Timecode"/>
    <n v="90"/>
    <n v="1"/>
    <d v="1899-12-30T01:00:00"/>
    <n v="90"/>
    <m/>
    <m/>
    <m/>
    <s v="GBP"/>
    <m/>
    <s v=" "/>
    <s v="Not submitted"/>
    <n v="10"/>
    <x v="0"/>
  </r>
  <r>
    <d v="2024-10-08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53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0"/>
    <x v="0"/>
    <x v="0"/>
    <s v="Standard Timecode"/>
    <n v="0"/>
    <n v="1"/>
    <d v="1899-12-30T01:00:00"/>
    <n v="0"/>
    <m/>
    <m/>
    <m/>
    <s v="GBP"/>
    <s v="Reviewed"/>
    <s v="Estimation"/>
    <s v="Not submitted"/>
    <n v="10"/>
    <x v="0"/>
  </r>
  <r>
    <d v="2024-10-10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6"/>
    <x v="0"/>
    <x v="0"/>
    <s v="Standard Timecode"/>
    <n v="0"/>
    <n v="1.75"/>
    <d v="1899-12-30T01:45:00"/>
    <n v="0"/>
    <m/>
    <m/>
    <m/>
    <s v="GBP"/>
    <s v="Reviewed"/>
    <s v="Estimation"/>
    <s v="Not submitted"/>
    <n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d v="2024-11-11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38"/>
    <x v="0"/>
    <x v="0"/>
    <s v="Standard Timecode"/>
    <n v="0"/>
    <n v="0.25"/>
    <d v="1899-12-30T00:15:00"/>
    <n v="0"/>
    <m/>
    <m/>
    <m/>
    <s v="GBP"/>
    <m/>
    <s v="Time report"/>
    <s v="Not submitted"/>
    <n v="11"/>
    <x v="0"/>
  </r>
  <r>
    <d v="2024-11-18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722"/>
    <x v="0"/>
    <x v="0"/>
    <s v="Standard Timecode"/>
    <n v="0"/>
    <n v="0.25"/>
    <d v="1899-12-30T00:15:00"/>
    <n v="0"/>
    <m/>
    <m/>
    <m/>
    <s v="GBP"/>
    <m/>
    <s v="Time report"/>
    <s v="Not submitted"/>
    <n v="11"/>
    <x v="0"/>
  </r>
  <r>
    <d v="2024-11-04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06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1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7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3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8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4564"/>
    <x v="0"/>
    <x v="0"/>
    <s v="Standard Timecode"/>
    <n v="0"/>
    <n v="2.25"/>
    <d v="1899-12-30T02:15:00"/>
    <n v="0"/>
    <m/>
    <m/>
    <m/>
    <s v="GBP"/>
    <s v="Reviewed"/>
    <s v=" "/>
    <s v="Not submitted"/>
    <n v="11"/>
    <x v="0"/>
  </r>
  <r>
    <d v="2024-11-20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553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6175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0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s v="Reviewed"/>
    <s v=" "/>
    <s v="Not submitted"/>
    <n v="11"/>
    <x v="0"/>
  </r>
  <r>
    <d v="2024-11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m/>
    <m/>
    <m/>
    <s v="GBP"/>
    <s v="Reviewed"/>
    <s v=" "/>
    <s v="Not submitted"/>
    <n v="11"/>
    <x v="0"/>
  </r>
  <r>
    <d v="2024-11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m/>
    <m/>
    <m/>
    <s v="GBP"/>
    <s v="Reviewed"/>
    <s v=" "/>
    <s v="Not submitted"/>
    <n v="11"/>
    <x v="0"/>
  </r>
  <r>
    <d v="2024-11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m/>
    <m/>
    <m/>
    <s v="GBP"/>
    <s v="Reviewed"/>
    <s v=" "/>
    <s v="Not submitted"/>
    <n v="11"/>
    <x v="0"/>
  </r>
  <r>
    <d v="2024-11-0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m/>
    <m/>
    <m/>
    <s v="GBP"/>
    <s v="Reviewed"/>
    <s v=" "/>
    <s v="Not submitted"/>
    <n v="11"/>
    <x v="0"/>
  </r>
  <r>
    <d v="2024-11-0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m/>
    <m/>
    <m/>
    <s v="GBP"/>
    <s v="Reviewed"/>
    <s v=" "/>
    <s v="Not submitted"/>
    <n v="11"/>
    <x v="0"/>
  </r>
  <r>
    <d v="2024-11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1468"/>
    <x v="1"/>
    <x v="1"/>
    <s v="Standard Timecode"/>
    <n v="90"/>
    <n v="4"/>
    <d v="1899-12-30T04:00:00"/>
    <n v="360"/>
    <m/>
    <m/>
    <m/>
    <s v="GBP"/>
    <s v="Reviewed"/>
    <s v=" "/>
    <s v="Not submitted"/>
    <n v="11"/>
    <x v="0"/>
  </r>
  <r>
    <d v="2024-11-1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040"/>
    <x v="1"/>
    <x v="1"/>
    <s v="Standard Timecode"/>
    <n v="90"/>
    <n v="7"/>
    <d v="1899-12-30T07:00:00"/>
    <n v="630"/>
    <m/>
    <m/>
    <m/>
    <s v="GBP"/>
    <s v="Reviewed"/>
    <s v=" "/>
    <s v="Not submitted"/>
    <n v="11"/>
    <x v="0"/>
  </r>
  <r>
    <d v="2024-11-1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573"/>
    <x v="1"/>
    <x v="1"/>
    <s v="Standard Timecode"/>
    <n v="90"/>
    <n v="6.5"/>
    <d v="1899-12-30T06:30:00"/>
    <n v="585"/>
    <m/>
    <m/>
    <m/>
    <s v="GBP"/>
    <s v="Reviewed"/>
    <s v=" "/>
    <s v="Not submitted"/>
    <n v="11"/>
    <x v="0"/>
  </r>
  <r>
    <d v="2024-11-1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022"/>
    <x v="1"/>
    <x v="1"/>
    <s v="Standard Timecode"/>
    <n v="90"/>
    <n v="4.25"/>
    <d v="1899-12-30T04:15:00"/>
    <n v="382.5"/>
    <m/>
    <m/>
    <m/>
    <s v="GBP"/>
    <s v="Reviewed"/>
    <s v=" "/>
    <s v="Not submitted"/>
    <n v="11"/>
    <x v="0"/>
  </r>
  <r>
    <d v="2024-11-1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759"/>
    <x v="1"/>
    <x v="1"/>
    <s v="Standard Timecode"/>
    <n v="90"/>
    <n v="5.5"/>
    <d v="1899-12-30T05:30:00"/>
    <n v="495"/>
    <m/>
    <m/>
    <m/>
    <s v="GBP"/>
    <s v="Reviewed"/>
    <s v=" "/>
    <s v="Not submitted"/>
    <n v="11"/>
    <x v="0"/>
  </r>
  <r>
    <d v="2024-11-1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4526"/>
    <x v="1"/>
    <x v="1"/>
    <s v="Standard Timecode"/>
    <n v="90"/>
    <n v="5"/>
    <d v="1899-12-30T05:00:00"/>
    <n v="450"/>
    <m/>
    <m/>
    <m/>
    <s v="GBP"/>
    <s v="Reviewed"/>
    <s v=" "/>
    <s v="Not submitted"/>
    <n v="11"/>
    <x v="0"/>
  </r>
  <r>
    <d v="2024-11-1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122"/>
    <x v="1"/>
    <x v="1"/>
    <s v="Standard Timecode"/>
    <n v="90"/>
    <n v="3.75"/>
    <d v="1899-12-30T03:45:00"/>
    <n v="337.5"/>
    <m/>
    <m/>
    <m/>
    <s v="GBP"/>
    <s v="Reviewed"/>
    <s v=" "/>
    <s v="Not submitted"/>
    <n v="11"/>
    <x v="0"/>
  </r>
  <r>
    <d v="2024-11-20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597"/>
    <x v="1"/>
    <x v="1"/>
    <s v="Standard Timecode"/>
    <n v="90"/>
    <n v="7.5"/>
    <d v="1899-12-30T07:30:00"/>
    <n v="675"/>
    <m/>
    <m/>
    <m/>
    <s v="GBP"/>
    <s v="Reviewed"/>
    <s v=" "/>
    <s v="Not submitted"/>
    <n v="11"/>
    <x v="0"/>
  </r>
  <r>
    <d v="2024-11-2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108"/>
    <x v="1"/>
    <x v="1"/>
    <s v="Standard Timecode"/>
    <n v="90"/>
    <n v="7.25"/>
    <d v="1899-12-30T07:15:00"/>
    <n v="652.5"/>
    <m/>
    <m/>
    <m/>
    <s v="GBP"/>
    <s v="Reviewed"/>
    <s v=" "/>
    <s v="Not submitted"/>
    <n v="11"/>
    <x v="0"/>
  </r>
  <r>
    <d v="2024-11-2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754"/>
    <x v="1"/>
    <x v="1"/>
    <s v="Standard Timecode"/>
    <n v="90"/>
    <n v="4.5"/>
    <d v="1899-12-30T04:30:00"/>
    <n v="405"/>
    <m/>
    <m/>
    <m/>
    <s v="GBP"/>
    <m/>
    <s v=" "/>
    <s v="Not submitted"/>
    <n v="11"/>
    <x v="0"/>
  </r>
  <r>
    <d v="2024-11-04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698"/>
    <x v="1"/>
    <x v="1"/>
    <s v="Standard Timecode"/>
    <n v="90"/>
    <n v="0.5"/>
    <d v="1899-12-30T00:30:00"/>
    <n v="45"/>
    <m/>
    <m/>
    <m/>
    <s v="GBP"/>
    <s v="Reviewed"/>
    <s v=" "/>
    <s v="Not submitted"/>
    <n v="11"/>
    <x v="0"/>
  </r>
  <r>
    <d v="2024-11-06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11"/>
    <x v="1"/>
    <x v="1"/>
    <s v="Standard Timecode"/>
    <n v="90"/>
    <n v="0.5"/>
    <d v="1899-12-30T00:30:00"/>
    <n v="45"/>
    <m/>
    <m/>
    <m/>
    <s v="GBP"/>
    <s v="Reviewed"/>
    <s v=" "/>
    <s v="Not submitted"/>
    <n v="11"/>
    <x v="0"/>
  </r>
  <r>
    <d v="2024-11-1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26"/>
    <x v="1"/>
    <x v="1"/>
    <s v="Standard Timecode"/>
    <n v="90"/>
    <n v="1"/>
    <d v="1899-12-30T01:00:00"/>
    <n v="90"/>
    <m/>
    <m/>
    <m/>
    <s v="GBP"/>
    <s v="Reviewed"/>
    <s v=" "/>
    <s v="Not submitted"/>
    <n v="11"/>
    <x v="0"/>
  </r>
  <r>
    <d v="2024-11-12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7"/>
    <x v="1"/>
    <x v="1"/>
    <s v="Standard Timecode"/>
    <n v="90"/>
    <n v="0.5"/>
    <d v="1899-12-30T00:30:00"/>
    <n v="45"/>
    <m/>
    <m/>
    <m/>
    <s v="GBP"/>
    <s v="Reviewed"/>
    <s v="Qube discussion"/>
    <s v="Not submitted"/>
    <n v="11"/>
    <x v="0"/>
  </r>
  <r>
    <d v="2024-11-13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9"/>
    <x v="1"/>
    <x v="1"/>
    <s v="Standard Timecode"/>
    <n v="90"/>
    <n v="0.5"/>
    <d v="1899-12-30T00:30:00"/>
    <n v="45"/>
    <m/>
    <m/>
    <m/>
    <s v="GBP"/>
    <s v="Reviewed"/>
    <s v=" "/>
    <s v="Not submitted"/>
    <n v="11"/>
    <x v="0"/>
  </r>
  <r>
    <d v="2024-09-2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23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1"/>
  </r>
  <r>
    <d v="2024-09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473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1"/>
  </r>
  <r>
    <d v="2024-10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672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2"/>
  </r>
  <r>
    <d v="2024-11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6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0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6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196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73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2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869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582"/>
    <x v="0"/>
    <x v="0"/>
    <s v="Standard Timecode"/>
    <n v="0"/>
    <n v="0.25"/>
    <d v="1899-12-30T00:15:00"/>
    <n v="0"/>
    <m/>
    <m/>
    <m/>
    <s v="GBP"/>
    <m/>
    <s v=" "/>
    <s v="Not submitted"/>
    <n v="11"/>
    <x v="0"/>
  </r>
  <r>
    <d v="2024-11-2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5824"/>
    <x v="0"/>
    <x v="0"/>
    <s v="Standard Timecode"/>
    <n v="0"/>
    <n v="0.25"/>
    <d v="1899-12-30T00:15:00"/>
    <n v="0"/>
    <m/>
    <m/>
    <m/>
    <s v="GBP"/>
    <m/>
    <s v=" "/>
    <s v="Not submitted"/>
    <n v="11"/>
    <x v="0"/>
  </r>
  <r>
    <d v="2024-11-2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6248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2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41"/>
    <x v="0"/>
    <x v="0"/>
    <s v="Standard Timecode"/>
    <n v="0"/>
    <n v="0.25"/>
    <d v="1899-12-30T00:15:00"/>
    <n v="0"/>
    <m/>
    <m/>
    <m/>
    <s v="GBP"/>
    <m/>
    <s v=" "/>
    <s v="Not submitted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6D29-3CF9-4020-895C-E712391205C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7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DA255-BAD6-4A7C-ABF4-7FFFCA707C8D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3">
    <i>
      <x v="2"/>
    </i>
    <i>
      <x v="4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5">
      <pivotArea type="topRight" dataOnly="0" labelOnly="1" outline="0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RowHeight="15" customHeight="1" x14ac:dyDescent="0.3"/>
  <cols>
    <col min="1" max="1" width="16.33203125" bestFit="1" customWidth="1"/>
    <col min="2" max="2" width="18.21875" bestFit="1" customWidth="1"/>
    <col min="3" max="3" width="11" style="8" bestFit="1" customWidth="1"/>
    <col min="4" max="4" width="15.33203125" bestFit="1" customWidth="1"/>
    <col min="5" max="5" width="11" bestFit="1" customWidth="1"/>
    <col min="6" max="6" width="10.5546875" bestFit="1" customWidth="1"/>
    <col min="7" max="7" width="12" customWidth="1"/>
    <col min="8" max="8" width="43.6640625" bestFit="1" customWidth="1"/>
    <col min="9" max="9" width="26.5546875" bestFit="1" customWidth="1"/>
    <col min="10" max="10" width="13.88671875" bestFit="1" customWidth="1"/>
    <col min="11" max="11" width="13.5546875" bestFit="1" customWidth="1"/>
    <col min="12" max="12" width="13.88671875" bestFit="1" customWidth="1"/>
    <col min="13" max="13" width="13.5546875" bestFit="1" customWidth="1"/>
  </cols>
  <sheetData>
    <row r="1" spans="1:13" ht="14.4" x14ac:dyDescent="0.3">
      <c r="A1" s="15" t="s">
        <v>0</v>
      </c>
      <c r="H1" s="11" t="s">
        <v>1</v>
      </c>
      <c r="I1" s="12" t="s">
        <v>2</v>
      </c>
      <c r="J1" s="12" t="s">
        <v>3</v>
      </c>
      <c r="K1" s="12" t="s">
        <v>4</v>
      </c>
      <c r="L1" s="12" t="s">
        <v>3</v>
      </c>
      <c r="M1" s="12" t="s">
        <v>4</v>
      </c>
    </row>
    <row r="2" spans="1:13" ht="14.4" x14ac:dyDescent="0.3">
      <c r="H2" s="13" t="s">
        <v>5</v>
      </c>
      <c r="I2" s="13" t="s">
        <v>6</v>
      </c>
      <c r="J2" s="13">
        <v>80</v>
      </c>
      <c r="K2" s="13">
        <v>120</v>
      </c>
      <c r="L2" s="16">
        <v>12000</v>
      </c>
      <c r="M2" s="16">
        <v>18000</v>
      </c>
    </row>
    <row r="3" spans="1:13" ht="14.4" x14ac:dyDescent="0.3">
      <c r="A3" s="4" t="s">
        <v>7</v>
      </c>
      <c r="B3" t="s">
        <v>8</v>
      </c>
      <c r="D3" s="6" t="s">
        <v>9</v>
      </c>
      <c r="H3" s="13"/>
      <c r="I3" s="13"/>
      <c r="J3" s="13"/>
      <c r="K3" s="13"/>
      <c r="L3" s="13"/>
      <c r="M3" s="13"/>
    </row>
    <row r="4" spans="1:13" ht="14.4" x14ac:dyDescent="0.3">
      <c r="A4" s="4" t="s">
        <v>10</v>
      </c>
      <c r="B4" t="s">
        <v>11</v>
      </c>
      <c r="H4" s="13"/>
      <c r="I4" s="13"/>
      <c r="J4" s="13"/>
      <c r="K4" s="13"/>
      <c r="L4" s="13"/>
      <c r="M4" s="13"/>
    </row>
    <row r="5" spans="1:13" ht="14.4" x14ac:dyDescent="0.3">
      <c r="C5"/>
      <c r="G5" s="7"/>
      <c r="H5" s="13"/>
      <c r="I5" s="13"/>
      <c r="J5" s="13"/>
      <c r="K5" s="13"/>
      <c r="L5" s="13"/>
      <c r="M5" s="13"/>
    </row>
    <row r="6" spans="1:13" ht="14.4" x14ac:dyDescent="0.3">
      <c r="A6" s="4" t="s">
        <v>12</v>
      </c>
      <c r="B6" s="4" t="s">
        <v>13</v>
      </c>
      <c r="H6" s="13"/>
      <c r="I6" s="13"/>
      <c r="J6" s="13"/>
      <c r="K6" s="13"/>
      <c r="L6" s="13"/>
      <c r="M6" s="13"/>
    </row>
    <row r="7" spans="1:13" ht="15.6" x14ac:dyDescent="0.3">
      <c r="A7" s="4" t="s">
        <v>14</v>
      </c>
      <c r="B7" t="s">
        <v>15</v>
      </c>
      <c r="C7" t="s">
        <v>16</v>
      </c>
      <c r="H7" s="10"/>
      <c r="I7" s="10"/>
      <c r="J7" s="10"/>
      <c r="K7" s="10"/>
      <c r="L7" s="10"/>
      <c r="M7" s="10"/>
    </row>
    <row r="8" spans="1:13" ht="15.6" x14ac:dyDescent="0.3">
      <c r="A8" s="5" t="s">
        <v>20</v>
      </c>
      <c r="B8" s="9">
        <v>73.25</v>
      </c>
      <c r="C8" s="9">
        <v>73.25</v>
      </c>
      <c r="H8" s="14" t="s">
        <v>18</v>
      </c>
      <c r="I8" s="14" t="s">
        <v>19</v>
      </c>
      <c r="J8" s="14"/>
      <c r="K8" s="14"/>
      <c r="L8" s="17">
        <f>SUM(L2:L7)</f>
        <v>12000</v>
      </c>
      <c r="M8" s="17">
        <f>SUM(M2:M7)</f>
        <v>18000</v>
      </c>
    </row>
    <row r="9" spans="1:13" ht="14.4" x14ac:dyDescent="0.3">
      <c r="A9" s="5" t="s">
        <v>17</v>
      </c>
      <c r="B9" s="9">
        <v>3</v>
      </c>
      <c r="C9" s="9">
        <v>3</v>
      </c>
    </row>
    <row r="10" spans="1:13" ht="14.4" x14ac:dyDescent="0.3">
      <c r="A10" s="5" t="s">
        <v>16</v>
      </c>
      <c r="B10" s="9">
        <v>76.25</v>
      </c>
      <c r="C10" s="9">
        <v>76.25</v>
      </c>
    </row>
    <row r="11" spans="1:13" ht="14.4" x14ac:dyDescent="0.3">
      <c r="C11"/>
    </row>
    <row r="12" spans="1:13" ht="14.4" x14ac:dyDescent="0.3">
      <c r="C12"/>
    </row>
    <row r="13" spans="1:13" ht="14.4" x14ac:dyDescent="0.3">
      <c r="C13"/>
    </row>
    <row r="14" spans="1:13" ht="14.4" hidden="1" x14ac:dyDescent="0.3">
      <c r="A14" s="15" t="s">
        <v>15</v>
      </c>
      <c r="C14"/>
    </row>
    <row r="15" spans="1:13" ht="14.4" hidden="1" x14ac:dyDescent="0.3">
      <c r="C15"/>
    </row>
    <row r="16" spans="1:13" ht="14.4" hidden="1" x14ac:dyDescent="0.3">
      <c r="A16" s="4" t="s">
        <v>7</v>
      </c>
      <c r="B16" t="s">
        <v>8</v>
      </c>
      <c r="C16"/>
    </row>
    <row r="17" spans="1:5" ht="14.4" hidden="1" x14ac:dyDescent="0.3">
      <c r="A17" s="4" t="s">
        <v>10</v>
      </c>
      <c r="B17" t="s">
        <v>8</v>
      </c>
      <c r="C17"/>
    </row>
    <row r="18" spans="1:5" ht="14.4" hidden="1" x14ac:dyDescent="0.3">
      <c r="C18"/>
    </row>
    <row r="19" spans="1:5" ht="14.4" hidden="1" x14ac:dyDescent="0.3">
      <c r="A19" s="4" t="s">
        <v>12</v>
      </c>
      <c r="B19" s="4" t="s">
        <v>13</v>
      </c>
      <c r="C19"/>
    </row>
    <row r="20" spans="1:5" ht="14.4" hidden="1" x14ac:dyDescent="0.3">
      <c r="A20" s="4" t="s">
        <v>14</v>
      </c>
      <c r="B20" t="s">
        <v>21</v>
      </c>
      <c r="C20" t="s">
        <v>15</v>
      </c>
      <c r="D20" t="s">
        <v>22</v>
      </c>
      <c r="E20" t="s">
        <v>16</v>
      </c>
    </row>
    <row r="21" spans="1:5" ht="14.4" hidden="1" x14ac:dyDescent="0.3">
      <c r="A21" s="5" t="s">
        <v>23</v>
      </c>
      <c r="B21">
        <v>3.75</v>
      </c>
      <c r="C21"/>
      <c r="D21">
        <v>7.25</v>
      </c>
      <c r="E21">
        <v>11</v>
      </c>
    </row>
    <row r="22" spans="1:5" ht="14.4" hidden="1" x14ac:dyDescent="0.3">
      <c r="A22" s="5" t="s">
        <v>24</v>
      </c>
      <c r="B22">
        <v>3.25</v>
      </c>
      <c r="C22"/>
      <c r="E22">
        <v>3.25</v>
      </c>
    </row>
    <row r="23" spans="1:5" ht="14.4" hidden="1" x14ac:dyDescent="0.3">
      <c r="A23" s="5" t="s">
        <v>25</v>
      </c>
      <c r="C23">
        <v>3.5</v>
      </c>
      <c r="E23">
        <v>3.5</v>
      </c>
    </row>
    <row r="24" spans="1:5" ht="14.4" hidden="1" x14ac:dyDescent="0.3">
      <c r="A24" s="5" t="s">
        <v>20</v>
      </c>
      <c r="C24"/>
      <c r="D24">
        <v>12.5</v>
      </c>
      <c r="E24">
        <v>12.5</v>
      </c>
    </row>
    <row r="25" spans="1:5" ht="14.4" hidden="1" x14ac:dyDescent="0.3">
      <c r="A25" s="5" t="s">
        <v>26</v>
      </c>
      <c r="B25">
        <v>3.25</v>
      </c>
      <c r="C25"/>
      <c r="E25">
        <v>3.25</v>
      </c>
    </row>
    <row r="26" spans="1:5" ht="14.4" hidden="1" x14ac:dyDescent="0.3">
      <c r="A26" s="5" t="s">
        <v>17</v>
      </c>
      <c r="C26"/>
      <c r="D26">
        <v>1.75</v>
      </c>
      <c r="E26">
        <v>1.75</v>
      </c>
    </row>
    <row r="27" spans="1:5" ht="14.4" hidden="1" x14ac:dyDescent="0.3">
      <c r="A27" s="5" t="s">
        <v>16</v>
      </c>
      <c r="B27">
        <v>10.25</v>
      </c>
      <c r="C27">
        <v>3.5</v>
      </c>
      <c r="D27">
        <v>21.5</v>
      </c>
      <c r="E27">
        <v>35.25</v>
      </c>
    </row>
    <row r="28" spans="1:5" ht="14.4" hidden="1" x14ac:dyDescent="0.3">
      <c r="C28"/>
    </row>
    <row r="29" spans="1:5" ht="14.4" x14ac:dyDescent="0.3">
      <c r="C29"/>
    </row>
    <row r="30" spans="1:5" ht="14.4" x14ac:dyDescent="0.3">
      <c r="C30"/>
    </row>
    <row r="31" spans="1:5" ht="14.4" x14ac:dyDescent="0.3">
      <c r="C31"/>
    </row>
    <row r="32" spans="1:5" ht="14.4" x14ac:dyDescent="0.3">
      <c r="C32"/>
    </row>
    <row r="33" spans="3:3" ht="14.4" x14ac:dyDescent="0.3">
      <c r="C33"/>
    </row>
    <row r="34" spans="3:3" ht="14.4" x14ac:dyDescent="0.3">
      <c r="C34"/>
    </row>
    <row r="35" spans="3:3" ht="14.4" x14ac:dyDescent="0.3">
      <c r="C35"/>
    </row>
    <row r="36" spans="3:3" ht="14.4" x14ac:dyDescent="0.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topLeftCell="N1" workbookViewId="0">
      <pane ySplit="1" topLeftCell="A13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33203125" bestFit="1" customWidth="1"/>
    <col min="5" max="5" width="15.4414062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5.5546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1.88671875" bestFit="1" customWidth="1"/>
    <col min="17" max="17" width="20.5546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14.44140625" bestFit="1" customWidth="1"/>
    <col min="30" max="30" width="15.5546875" bestFit="1" customWidth="1"/>
    <col min="31" max="31" width="6.6640625" bestFit="1" customWidth="1"/>
    <col min="32" max="32" width="10" bestFit="1" customWidth="1"/>
  </cols>
  <sheetData>
    <row r="1" spans="1:3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10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s="3" t="s">
        <v>71</v>
      </c>
      <c r="AF1" s="3" t="s">
        <v>7</v>
      </c>
    </row>
    <row r="2" spans="1:35" x14ac:dyDescent="0.3">
      <c r="A2" s="1">
        <v>45607</v>
      </c>
      <c r="B2" t="s">
        <v>72</v>
      </c>
      <c r="C2" t="s">
        <v>56</v>
      </c>
      <c r="D2" t="s">
        <v>57</v>
      </c>
      <c r="E2" t="s">
        <v>69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57</v>
      </c>
      <c r="L2" t="s">
        <v>23</v>
      </c>
      <c r="M2" t="s">
        <v>17</v>
      </c>
      <c r="N2" t="s">
        <v>67</v>
      </c>
      <c r="O2" t="s">
        <v>0</v>
      </c>
      <c r="P2">
        <v>321638</v>
      </c>
      <c r="Q2" t="s">
        <v>21</v>
      </c>
      <c r="R2" t="s">
        <v>64</v>
      </c>
      <c r="S2" t="s">
        <v>65</v>
      </c>
      <c r="T2">
        <v>0</v>
      </c>
      <c r="U2">
        <v>0.25</v>
      </c>
      <c r="V2" s="2">
        <v>1.0416666666666666E-2</v>
      </c>
      <c r="W2">
        <v>0</v>
      </c>
      <c r="AA2" t="s">
        <v>66</v>
      </c>
      <c r="AC2" t="s">
        <v>73</v>
      </c>
      <c r="AD2" t="s">
        <v>68</v>
      </c>
      <c r="AE2">
        <f>MONTH(A2)</f>
        <v>11</v>
      </c>
      <c r="AF2" t="str">
        <f>IF(AE2=11,"November",IF(AE2=12,"December",IF(AE2=1,"January",IF(AE2=10,"October",IF(AE2=9,"September")))))</f>
        <v>November</v>
      </c>
      <c r="AI2" s="2"/>
    </row>
    <row r="3" spans="1:35" x14ac:dyDescent="0.3">
      <c r="A3" s="1">
        <v>45614</v>
      </c>
      <c r="B3" t="s">
        <v>72</v>
      </c>
      <c r="C3" t="s">
        <v>56</v>
      </c>
      <c r="D3" t="s">
        <v>57</v>
      </c>
      <c r="E3" t="s">
        <v>69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23</v>
      </c>
      <c r="M3" t="s">
        <v>17</v>
      </c>
      <c r="N3" t="s">
        <v>67</v>
      </c>
      <c r="O3" t="s">
        <v>0</v>
      </c>
      <c r="P3">
        <v>324722</v>
      </c>
      <c r="Q3" t="s">
        <v>21</v>
      </c>
      <c r="R3" t="s">
        <v>64</v>
      </c>
      <c r="S3" t="s">
        <v>65</v>
      </c>
      <c r="T3">
        <v>0</v>
      </c>
      <c r="U3">
        <v>0.25</v>
      </c>
      <c r="V3" s="2">
        <v>1.0416666666666666E-2</v>
      </c>
      <c r="W3">
        <v>0</v>
      </c>
      <c r="AA3" t="s">
        <v>66</v>
      </c>
      <c r="AC3" t="s">
        <v>75</v>
      </c>
      <c r="AD3" t="s">
        <v>68</v>
      </c>
      <c r="AE3">
        <f t="shared" ref="AE3:AE15" si="0">MONTH(A3)</f>
        <v>11</v>
      </c>
      <c r="AF3" t="str">
        <f t="shared" ref="AF3:AF49" si="1">IF(AE3=11,"November",IF(AE3=12,"December",IF(AE3=1,"January",IF(AE3=10,"October",IF(AE3=9,"September")))))</f>
        <v>November</v>
      </c>
      <c r="AI3" s="2"/>
    </row>
    <row r="4" spans="1:35" x14ac:dyDescent="0.3">
      <c r="A4" s="1">
        <v>45600</v>
      </c>
      <c r="B4" t="s">
        <v>24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57</v>
      </c>
      <c r="L4" t="s">
        <v>23</v>
      </c>
      <c r="M4" t="s">
        <v>17</v>
      </c>
      <c r="N4" t="s">
        <v>17</v>
      </c>
      <c r="O4" t="s">
        <v>0</v>
      </c>
      <c r="P4">
        <v>318682</v>
      </c>
      <c r="Q4" t="s">
        <v>21</v>
      </c>
      <c r="R4" t="s">
        <v>64</v>
      </c>
      <c r="S4" t="s">
        <v>65</v>
      </c>
      <c r="T4">
        <v>0</v>
      </c>
      <c r="U4">
        <v>1</v>
      </c>
      <c r="V4" s="2">
        <v>4.1666666666666664E-2</v>
      </c>
      <c r="W4">
        <v>0</v>
      </c>
      <c r="AA4" t="s">
        <v>66</v>
      </c>
      <c r="AB4" t="s">
        <v>76</v>
      </c>
      <c r="AC4" t="s">
        <v>67</v>
      </c>
      <c r="AD4" t="s">
        <v>68</v>
      </c>
      <c r="AE4">
        <f t="shared" si="0"/>
        <v>11</v>
      </c>
      <c r="AF4" t="str">
        <f t="shared" si="1"/>
        <v>November</v>
      </c>
      <c r="AI4" s="2"/>
    </row>
    <row r="5" spans="1:35" x14ac:dyDescent="0.3">
      <c r="A5" s="1">
        <v>45602</v>
      </c>
      <c r="B5" t="s">
        <v>24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57</v>
      </c>
      <c r="L5" t="s">
        <v>23</v>
      </c>
      <c r="M5" t="s">
        <v>17</v>
      </c>
      <c r="N5" t="s">
        <v>17</v>
      </c>
      <c r="O5" t="s">
        <v>0</v>
      </c>
      <c r="P5">
        <v>319648</v>
      </c>
      <c r="Q5" t="s">
        <v>21</v>
      </c>
      <c r="R5" t="s">
        <v>64</v>
      </c>
      <c r="S5" t="s">
        <v>65</v>
      </c>
      <c r="T5">
        <v>0</v>
      </c>
      <c r="U5">
        <v>1</v>
      </c>
      <c r="V5" s="2">
        <v>4.1666666666666664E-2</v>
      </c>
      <c r="W5">
        <v>0</v>
      </c>
      <c r="AA5" t="s">
        <v>66</v>
      </c>
      <c r="AB5" t="s">
        <v>76</v>
      </c>
      <c r="AC5" t="s">
        <v>67</v>
      </c>
      <c r="AD5" t="s">
        <v>68</v>
      </c>
      <c r="AE5">
        <f t="shared" si="0"/>
        <v>11</v>
      </c>
      <c r="AF5" t="str">
        <f t="shared" si="1"/>
        <v>November</v>
      </c>
      <c r="AI5" s="2"/>
    </row>
    <row r="6" spans="1:35" x14ac:dyDescent="0.3">
      <c r="A6" s="1">
        <v>45607</v>
      </c>
      <c r="B6" t="s">
        <v>24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57</v>
      </c>
      <c r="L6" t="s">
        <v>23</v>
      </c>
      <c r="M6" t="s">
        <v>17</v>
      </c>
      <c r="N6" t="s">
        <v>17</v>
      </c>
      <c r="O6" t="s">
        <v>0</v>
      </c>
      <c r="P6">
        <v>321304</v>
      </c>
      <c r="Q6" t="s">
        <v>21</v>
      </c>
      <c r="R6" t="s">
        <v>64</v>
      </c>
      <c r="S6" t="s">
        <v>65</v>
      </c>
      <c r="T6">
        <v>0</v>
      </c>
      <c r="U6">
        <v>1.5</v>
      </c>
      <c r="V6" s="2">
        <v>6.25E-2</v>
      </c>
      <c r="W6">
        <v>0</v>
      </c>
      <c r="AA6" t="s">
        <v>66</v>
      </c>
      <c r="AB6" t="s">
        <v>76</v>
      </c>
      <c r="AC6" t="s">
        <v>67</v>
      </c>
      <c r="AD6" t="s">
        <v>68</v>
      </c>
      <c r="AE6">
        <f t="shared" si="0"/>
        <v>11</v>
      </c>
      <c r="AF6" t="str">
        <f t="shared" si="1"/>
        <v>November</v>
      </c>
      <c r="AI6" s="2"/>
    </row>
    <row r="7" spans="1:35" x14ac:dyDescent="0.3">
      <c r="A7" s="1">
        <v>45608</v>
      </c>
      <c r="B7" t="s">
        <v>24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57</v>
      </c>
      <c r="L7" t="s">
        <v>23</v>
      </c>
      <c r="M7" t="s">
        <v>17</v>
      </c>
      <c r="N7" t="s">
        <v>17</v>
      </c>
      <c r="O7" t="s">
        <v>0</v>
      </c>
      <c r="P7">
        <v>322607</v>
      </c>
      <c r="Q7" t="s">
        <v>21</v>
      </c>
      <c r="R7" t="s">
        <v>64</v>
      </c>
      <c r="S7" t="s">
        <v>65</v>
      </c>
      <c r="T7">
        <v>0</v>
      </c>
      <c r="U7">
        <v>1</v>
      </c>
      <c r="V7" s="2">
        <v>4.1666666666666664E-2</v>
      </c>
      <c r="W7">
        <v>0</v>
      </c>
      <c r="AA7" t="s">
        <v>66</v>
      </c>
      <c r="AB7" t="s">
        <v>76</v>
      </c>
      <c r="AC7" t="s">
        <v>67</v>
      </c>
      <c r="AD7" t="s">
        <v>68</v>
      </c>
      <c r="AE7">
        <f t="shared" si="0"/>
        <v>11</v>
      </c>
      <c r="AF7" t="str">
        <f t="shared" si="1"/>
        <v>November</v>
      </c>
      <c r="AI7" s="2"/>
    </row>
    <row r="8" spans="1:35" x14ac:dyDescent="0.3">
      <c r="A8" s="1">
        <v>45609</v>
      </c>
      <c r="B8" t="s">
        <v>24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57</v>
      </c>
      <c r="L8" t="s">
        <v>23</v>
      </c>
      <c r="M8" t="s">
        <v>17</v>
      </c>
      <c r="N8" t="s">
        <v>17</v>
      </c>
      <c r="O8" t="s">
        <v>0</v>
      </c>
      <c r="P8">
        <v>322601</v>
      </c>
      <c r="Q8" t="s">
        <v>21</v>
      </c>
      <c r="R8" t="s">
        <v>64</v>
      </c>
      <c r="S8" t="s">
        <v>65</v>
      </c>
      <c r="T8">
        <v>0</v>
      </c>
      <c r="U8">
        <v>1</v>
      </c>
      <c r="V8" s="2">
        <v>4.1666666666666664E-2</v>
      </c>
      <c r="W8">
        <v>0</v>
      </c>
      <c r="AA8" t="s">
        <v>66</v>
      </c>
      <c r="AB8" t="s">
        <v>76</v>
      </c>
      <c r="AC8" t="s">
        <v>67</v>
      </c>
      <c r="AD8" t="s">
        <v>68</v>
      </c>
      <c r="AE8">
        <f t="shared" si="0"/>
        <v>11</v>
      </c>
      <c r="AF8" t="str">
        <f t="shared" si="1"/>
        <v>November</v>
      </c>
      <c r="AI8" s="2"/>
    </row>
    <row r="9" spans="1:35" x14ac:dyDescent="0.3">
      <c r="A9" s="1">
        <v>45614</v>
      </c>
      <c r="B9" t="s">
        <v>24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57</v>
      </c>
      <c r="L9" t="s">
        <v>23</v>
      </c>
      <c r="M9" t="s">
        <v>17</v>
      </c>
      <c r="N9" t="s">
        <v>17</v>
      </c>
      <c r="O9" t="s">
        <v>0</v>
      </c>
      <c r="P9">
        <v>324564</v>
      </c>
      <c r="Q9" t="s">
        <v>21</v>
      </c>
      <c r="R9" t="s">
        <v>64</v>
      </c>
      <c r="S9" t="s">
        <v>65</v>
      </c>
      <c r="T9">
        <v>0</v>
      </c>
      <c r="U9">
        <v>2.25</v>
      </c>
      <c r="V9" s="2">
        <v>9.375E-2</v>
      </c>
      <c r="W9">
        <v>0</v>
      </c>
      <c r="AA9" t="s">
        <v>66</v>
      </c>
      <c r="AB9" t="s">
        <v>76</v>
      </c>
      <c r="AC9" t="s">
        <v>67</v>
      </c>
      <c r="AD9" t="s">
        <v>68</v>
      </c>
      <c r="AE9">
        <f t="shared" si="0"/>
        <v>11</v>
      </c>
      <c r="AF9" t="str">
        <f t="shared" si="1"/>
        <v>November</v>
      </c>
      <c r="AI9" s="2"/>
    </row>
    <row r="10" spans="1:35" x14ac:dyDescent="0.3">
      <c r="A10" s="1">
        <v>45616</v>
      </c>
      <c r="B10" t="s">
        <v>24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57</v>
      </c>
      <c r="L10" t="s">
        <v>23</v>
      </c>
      <c r="M10" t="s">
        <v>17</v>
      </c>
      <c r="N10" t="s">
        <v>17</v>
      </c>
      <c r="O10" t="s">
        <v>0</v>
      </c>
      <c r="P10">
        <v>325531</v>
      </c>
      <c r="Q10" t="s">
        <v>21</v>
      </c>
      <c r="R10" t="s">
        <v>64</v>
      </c>
      <c r="S10" t="s">
        <v>65</v>
      </c>
      <c r="T10">
        <v>0</v>
      </c>
      <c r="U10">
        <v>1</v>
      </c>
      <c r="V10" s="2">
        <v>4.1666666666666664E-2</v>
      </c>
      <c r="W10">
        <v>0</v>
      </c>
      <c r="AA10" t="s">
        <v>66</v>
      </c>
      <c r="AB10" t="s">
        <v>76</v>
      </c>
      <c r="AC10" t="s">
        <v>67</v>
      </c>
      <c r="AD10" t="s">
        <v>68</v>
      </c>
      <c r="AE10">
        <f t="shared" si="0"/>
        <v>11</v>
      </c>
      <c r="AF10" t="str">
        <f t="shared" si="1"/>
        <v>November</v>
      </c>
      <c r="AI10" s="2"/>
    </row>
    <row r="11" spans="1:35" x14ac:dyDescent="0.3">
      <c r="A11" s="1">
        <v>45617</v>
      </c>
      <c r="B11" t="s">
        <v>24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57</v>
      </c>
      <c r="L11" t="s">
        <v>23</v>
      </c>
      <c r="M11" t="s">
        <v>17</v>
      </c>
      <c r="N11" t="s">
        <v>17</v>
      </c>
      <c r="O11" t="s">
        <v>0</v>
      </c>
      <c r="P11">
        <v>326175</v>
      </c>
      <c r="Q11" t="s">
        <v>21</v>
      </c>
      <c r="R11" t="s">
        <v>64</v>
      </c>
      <c r="S11" t="s">
        <v>65</v>
      </c>
      <c r="T11">
        <v>0</v>
      </c>
      <c r="U11">
        <v>1</v>
      </c>
      <c r="V11" s="2">
        <v>4.1666666666666664E-2</v>
      </c>
      <c r="W11">
        <v>0</v>
      </c>
      <c r="AA11" t="s">
        <v>66</v>
      </c>
      <c r="AB11" t="s">
        <v>76</v>
      </c>
      <c r="AC11" t="s">
        <v>67</v>
      </c>
      <c r="AD11" t="s">
        <v>68</v>
      </c>
      <c r="AE11">
        <f t="shared" si="0"/>
        <v>11</v>
      </c>
      <c r="AF11" t="str">
        <f t="shared" si="1"/>
        <v>November</v>
      </c>
      <c r="AI11" s="2"/>
    </row>
    <row r="12" spans="1:35" x14ac:dyDescent="0.3">
      <c r="A12" s="1">
        <v>45597</v>
      </c>
      <c r="B12" t="s">
        <v>20</v>
      </c>
      <c r="C12" t="s">
        <v>56</v>
      </c>
      <c r="D12" t="s">
        <v>57</v>
      </c>
      <c r="E12" t="s">
        <v>69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57</v>
      </c>
      <c r="L12" t="s">
        <v>23</v>
      </c>
      <c r="M12" t="s">
        <v>17</v>
      </c>
      <c r="N12" t="s">
        <v>70</v>
      </c>
      <c r="O12" t="s">
        <v>0</v>
      </c>
      <c r="P12">
        <v>318298</v>
      </c>
      <c r="Q12" t="s">
        <v>21</v>
      </c>
      <c r="R12" t="s">
        <v>64</v>
      </c>
      <c r="S12" t="s">
        <v>65</v>
      </c>
      <c r="T12">
        <v>0</v>
      </c>
      <c r="U12">
        <v>2.5</v>
      </c>
      <c r="V12" s="2">
        <v>0.10416666666666667</v>
      </c>
      <c r="W12">
        <v>0</v>
      </c>
      <c r="AA12" t="s">
        <v>66</v>
      </c>
      <c r="AB12" t="s">
        <v>76</v>
      </c>
      <c r="AC12" t="s">
        <v>67</v>
      </c>
      <c r="AD12" t="s">
        <v>68</v>
      </c>
      <c r="AE12">
        <f t="shared" si="0"/>
        <v>11</v>
      </c>
      <c r="AF12" t="str">
        <f t="shared" si="1"/>
        <v>November</v>
      </c>
      <c r="AI12" s="2"/>
    </row>
    <row r="13" spans="1:35" x14ac:dyDescent="0.3">
      <c r="A13" s="1">
        <v>45600</v>
      </c>
      <c r="B13" t="s">
        <v>20</v>
      </c>
      <c r="C13" t="s">
        <v>56</v>
      </c>
      <c r="D13" t="s">
        <v>57</v>
      </c>
      <c r="E13" t="s">
        <v>69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57</v>
      </c>
      <c r="L13" t="s">
        <v>23</v>
      </c>
      <c r="M13" t="s">
        <v>17</v>
      </c>
      <c r="N13" t="s">
        <v>70</v>
      </c>
      <c r="O13" t="s">
        <v>0</v>
      </c>
      <c r="P13">
        <v>318619</v>
      </c>
      <c r="Q13" t="s">
        <v>15</v>
      </c>
      <c r="R13" t="s">
        <v>11</v>
      </c>
      <c r="S13" t="s">
        <v>65</v>
      </c>
      <c r="T13">
        <v>90</v>
      </c>
      <c r="U13">
        <v>2.25</v>
      </c>
      <c r="V13" s="2">
        <v>9.375E-2</v>
      </c>
      <c r="W13">
        <v>202.5</v>
      </c>
      <c r="AA13" t="s">
        <v>66</v>
      </c>
      <c r="AB13" t="s">
        <v>76</v>
      </c>
      <c r="AC13" t="s">
        <v>67</v>
      </c>
      <c r="AD13" t="s">
        <v>68</v>
      </c>
      <c r="AE13">
        <f t="shared" si="0"/>
        <v>11</v>
      </c>
      <c r="AF13" t="str">
        <f t="shared" si="1"/>
        <v>November</v>
      </c>
      <c r="AI13" s="2"/>
    </row>
    <row r="14" spans="1:35" x14ac:dyDescent="0.3">
      <c r="A14" s="1">
        <v>45601</v>
      </c>
      <c r="B14" t="s">
        <v>20</v>
      </c>
      <c r="C14" t="s">
        <v>56</v>
      </c>
      <c r="D14" t="s">
        <v>57</v>
      </c>
      <c r="E14" t="s">
        <v>69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57</v>
      </c>
      <c r="L14" t="s">
        <v>23</v>
      </c>
      <c r="M14" t="s">
        <v>17</v>
      </c>
      <c r="N14" t="s">
        <v>70</v>
      </c>
      <c r="O14" t="s">
        <v>0</v>
      </c>
      <c r="P14">
        <v>319087</v>
      </c>
      <c r="Q14" t="s">
        <v>15</v>
      </c>
      <c r="R14" t="s">
        <v>11</v>
      </c>
      <c r="S14" t="s">
        <v>65</v>
      </c>
      <c r="T14">
        <v>90</v>
      </c>
      <c r="U14">
        <v>2.5</v>
      </c>
      <c r="V14" s="2">
        <v>0.10416666666666667</v>
      </c>
      <c r="W14">
        <v>225</v>
      </c>
      <c r="AA14" t="s">
        <v>66</v>
      </c>
      <c r="AB14" t="s">
        <v>76</v>
      </c>
      <c r="AC14" t="s">
        <v>67</v>
      </c>
      <c r="AD14" t="s">
        <v>68</v>
      </c>
      <c r="AE14">
        <f t="shared" si="0"/>
        <v>11</v>
      </c>
      <c r="AF14" t="str">
        <f t="shared" si="1"/>
        <v>November</v>
      </c>
      <c r="AI14" s="2"/>
    </row>
    <row r="15" spans="1:35" x14ac:dyDescent="0.3">
      <c r="A15" s="1">
        <v>45602</v>
      </c>
      <c r="B15" t="s">
        <v>20</v>
      </c>
      <c r="C15" t="s">
        <v>56</v>
      </c>
      <c r="D15" t="s">
        <v>57</v>
      </c>
      <c r="E15" t="s">
        <v>69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57</v>
      </c>
      <c r="L15" t="s">
        <v>23</v>
      </c>
      <c r="M15" t="s">
        <v>17</v>
      </c>
      <c r="N15" t="s">
        <v>70</v>
      </c>
      <c r="O15" t="s">
        <v>0</v>
      </c>
      <c r="P15">
        <v>319663</v>
      </c>
      <c r="Q15" t="s">
        <v>15</v>
      </c>
      <c r="R15" t="s">
        <v>11</v>
      </c>
      <c r="S15" t="s">
        <v>65</v>
      </c>
      <c r="T15">
        <v>90</v>
      </c>
      <c r="U15">
        <v>1.5</v>
      </c>
      <c r="V15" s="2">
        <v>6.25E-2</v>
      </c>
      <c r="W15">
        <v>135</v>
      </c>
      <c r="AA15" t="s">
        <v>66</v>
      </c>
      <c r="AB15" t="s">
        <v>76</v>
      </c>
      <c r="AC15" t="s">
        <v>67</v>
      </c>
      <c r="AD15" t="s">
        <v>68</v>
      </c>
      <c r="AE15">
        <f t="shared" si="0"/>
        <v>11</v>
      </c>
      <c r="AF15" t="str">
        <f t="shared" si="1"/>
        <v>November</v>
      </c>
      <c r="AI15" s="2"/>
    </row>
    <row r="16" spans="1:35" x14ac:dyDescent="0.3">
      <c r="A16" s="1">
        <v>45603</v>
      </c>
      <c r="B16" t="s">
        <v>20</v>
      </c>
      <c r="C16" t="s">
        <v>56</v>
      </c>
      <c r="D16" t="s">
        <v>57</v>
      </c>
      <c r="E16" t="s">
        <v>69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57</v>
      </c>
      <c r="L16" t="s">
        <v>23</v>
      </c>
      <c r="M16" t="s">
        <v>17</v>
      </c>
      <c r="N16" t="s">
        <v>70</v>
      </c>
      <c r="O16" t="s">
        <v>0</v>
      </c>
      <c r="P16">
        <v>320173</v>
      </c>
      <c r="Q16" t="s">
        <v>15</v>
      </c>
      <c r="R16" t="s">
        <v>11</v>
      </c>
      <c r="S16" t="s">
        <v>65</v>
      </c>
      <c r="T16">
        <v>90</v>
      </c>
      <c r="U16">
        <v>4.5</v>
      </c>
      <c r="V16" s="2">
        <v>0.1875</v>
      </c>
      <c r="W16">
        <v>405</v>
      </c>
      <c r="AA16" t="s">
        <v>66</v>
      </c>
      <c r="AB16" t="s">
        <v>76</v>
      </c>
      <c r="AC16" t="s">
        <v>67</v>
      </c>
      <c r="AD16" t="s">
        <v>68</v>
      </c>
      <c r="AE16">
        <f t="shared" ref="AE16:AE33" si="2">MONTH(A16)</f>
        <v>11</v>
      </c>
      <c r="AF16" t="str">
        <f t="shared" si="1"/>
        <v>November</v>
      </c>
    </row>
    <row r="17" spans="1:32" x14ac:dyDescent="0.3">
      <c r="A17" s="1">
        <v>45604</v>
      </c>
      <c r="B17" t="s">
        <v>20</v>
      </c>
      <c r="C17" t="s">
        <v>56</v>
      </c>
      <c r="D17" t="s">
        <v>57</v>
      </c>
      <c r="E17" t="s">
        <v>69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57</v>
      </c>
      <c r="L17" t="s">
        <v>23</v>
      </c>
      <c r="M17" t="s">
        <v>17</v>
      </c>
      <c r="N17" t="s">
        <v>70</v>
      </c>
      <c r="O17" t="s">
        <v>0</v>
      </c>
      <c r="P17">
        <v>320704</v>
      </c>
      <c r="Q17" t="s">
        <v>15</v>
      </c>
      <c r="R17" t="s">
        <v>11</v>
      </c>
      <c r="S17" t="s">
        <v>65</v>
      </c>
      <c r="T17">
        <v>90</v>
      </c>
      <c r="U17">
        <v>7.25</v>
      </c>
      <c r="V17" s="2">
        <v>0.30208333333333331</v>
      </c>
      <c r="W17">
        <v>652.5</v>
      </c>
      <c r="AA17" t="s">
        <v>66</v>
      </c>
      <c r="AB17" t="s">
        <v>76</v>
      </c>
      <c r="AC17" t="s">
        <v>67</v>
      </c>
      <c r="AD17" t="s">
        <v>68</v>
      </c>
      <c r="AE17">
        <f t="shared" si="2"/>
        <v>11</v>
      </c>
      <c r="AF17" t="str">
        <f t="shared" si="1"/>
        <v>November</v>
      </c>
    </row>
    <row r="18" spans="1:32" x14ac:dyDescent="0.3">
      <c r="A18" s="1">
        <v>45607</v>
      </c>
      <c r="B18" t="s">
        <v>20</v>
      </c>
      <c r="C18" t="s">
        <v>56</v>
      </c>
      <c r="D18" t="s">
        <v>57</v>
      </c>
      <c r="E18" t="s">
        <v>69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57</v>
      </c>
      <c r="L18" t="s">
        <v>23</v>
      </c>
      <c r="M18" t="s">
        <v>17</v>
      </c>
      <c r="N18" t="s">
        <v>70</v>
      </c>
      <c r="O18" t="s">
        <v>0</v>
      </c>
      <c r="P18">
        <v>321468</v>
      </c>
      <c r="Q18" t="s">
        <v>15</v>
      </c>
      <c r="R18" t="s">
        <v>11</v>
      </c>
      <c r="S18" t="s">
        <v>65</v>
      </c>
      <c r="T18">
        <v>90</v>
      </c>
      <c r="U18">
        <v>4</v>
      </c>
      <c r="V18" s="2">
        <v>0.16666666666666666</v>
      </c>
      <c r="W18">
        <v>360</v>
      </c>
      <c r="AA18" t="s">
        <v>66</v>
      </c>
      <c r="AB18" t="s">
        <v>76</v>
      </c>
      <c r="AC18" t="s">
        <v>67</v>
      </c>
      <c r="AD18" t="s">
        <v>68</v>
      </c>
      <c r="AE18">
        <f t="shared" si="2"/>
        <v>11</v>
      </c>
      <c r="AF18" t="str">
        <f t="shared" si="1"/>
        <v>November</v>
      </c>
    </row>
    <row r="19" spans="1:32" x14ac:dyDescent="0.3">
      <c r="A19" s="1">
        <v>45608</v>
      </c>
      <c r="B19" t="s">
        <v>20</v>
      </c>
      <c r="C19" t="s">
        <v>56</v>
      </c>
      <c r="D19" t="s">
        <v>57</v>
      </c>
      <c r="E19" t="s">
        <v>69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57</v>
      </c>
      <c r="L19" t="s">
        <v>23</v>
      </c>
      <c r="M19" t="s">
        <v>17</v>
      </c>
      <c r="N19" t="s">
        <v>70</v>
      </c>
      <c r="O19" t="s">
        <v>0</v>
      </c>
      <c r="P19">
        <v>322040</v>
      </c>
      <c r="Q19" t="s">
        <v>15</v>
      </c>
      <c r="R19" t="s">
        <v>11</v>
      </c>
      <c r="S19" t="s">
        <v>65</v>
      </c>
      <c r="T19">
        <v>90</v>
      </c>
      <c r="U19">
        <v>7</v>
      </c>
      <c r="V19" s="2">
        <v>0.29166666666666669</v>
      </c>
      <c r="W19">
        <v>630</v>
      </c>
      <c r="AA19" t="s">
        <v>66</v>
      </c>
      <c r="AB19" t="s">
        <v>76</v>
      </c>
      <c r="AC19" t="s">
        <v>67</v>
      </c>
      <c r="AD19" t="s">
        <v>68</v>
      </c>
      <c r="AE19">
        <f t="shared" si="2"/>
        <v>11</v>
      </c>
      <c r="AF19" t="str">
        <f t="shared" si="1"/>
        <v>November</v>
      </c>
    </row>
    <row r="20" spans="1:32" x14ac:dyDescent="0.3">
      <c r="A20" s="1">
        <v>45609</v>
      </c>
      <c r="B20" t="s">
        <v>20</v>
      </c>
      <c r="C20" t="s">
        <v>56</v>
      </c>
      <c r="D20" t="s">
        <v>57</v>
      </c>
      <c r="E20" t="s">
        <v>69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57</v>
      </c>
      <c r="L20" t="s">
        <v>23</v>
      </c>
      <c r="M20" t="s">
        <v>17</v>
      </c>
      <c r="N20" t="s">
        <v>70</v>
      </c>
      <c r="O20" t="s">
        <v>0</v>
      </c>
      <c r="P20">
        <v>322573</v>
      </c>
      <c r="Q20" t="s">
        <v>15</v>
      </c>
      <c r="R20" t="s">
        <v>11</v>
      </c>
      <c r="S20" t="s">
        <v>65</v>
      </c>
      <c r="T20">
        <v>90</v>
      </c>
      <c r="U20">
        <v>6.5</v>
      </c>
      <c r="V20" s="2">
        <v>0.27083333333333331</v>
      </c>
      <c r="W20">
        <v>585</v>
      </c>
      <c r="AA20" t="s">
        <v>66</v>
      </c>
      <c r="AB20" t="s">
        <v>76</v>
      </c>
      <c r="AC20" t="s">
        <v>67</v>
      </c>
      <c r="AD20" t="s">
        <v>68</v>
      </c>
      <c r="AE20">
        <f t="shared" si="2"/>
        <v>11</v>
      </c>
      <c r="AF20" t="str">
        <f t="shared" si="1"/>
        <v>November</v>
      </c>
    </row>
    <row r="21" spans="1:32" x14ac:dyDescent="0.3">
      <c r="A21" s="1">
        <v>45610</v>
      </c>
      <c r="B21" t="s">
        <v>20</v>
      </c>
      <c r="C21" t="s">
        <v>56</v>
      </c>
      <c r="D21" t="s">
        <v>57</v>
      </c>
      <c r="E21" t="s">
        <v>69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57</v>
      </c>
      <c r="L21" t="s">
        <v>23</v>
      </c>
      <c r="M21" t="s">
        <v>17</v>
      </c>
      <c r="N21" t="s">
        <v>70</v>
      </c>
      <c r="O21" t="s">
        <v>0</v>
      </c>
      <c r="P21">
        <v>323022</v>
      </c>
      <c r="Q21" t="s">
        <v>15</v>
      </c>
      <c r="R21" t="s">
        <v>11</v>
      </c>
      <c r="S21" t="s">
        <v>65</v>
      </c>
      <c r="T21">
        <v>90</v>
      </c>
      <c r="U21">
        <v>4.25</v>
      </c>
      <c r="V21" s="2">
        <v>0.17708333333333334</v>
      </c>
      <c r="W21">
        <v>382.5</v>
      </c>
      <c r="AA21" t="s">
        <v>66</v>
      </c>
      <c r="AB21" t="s">
        <v>76</v>
      </c>
      <c r="AC21" t="s">
        <v>67</v>
      </c>
      <c r="AD21" t="s">
        <v>68</v>
      </c>
      <c r="AE21">
        <f t="shared" si="2"/>
        <v>11</v>
      </c>
      <c r="AF21" t="str">
        <f t="shared" si="1"/>
        <v>November</v>
      </c>
    </row>
    <row r="22" spans="1:32" x14ac:dyDescent="0.3">
      <c r="A22" s="1">
        <v>45611</v>
      </c>
      <c r="B22" t="s">
        <v>20</v>
      </c>
      <c r="C22" t="s">
        <v>56</v>
      </c>
      <c r="D22" t="s">
        <v>57</v>
      </c>
      <c r="E22" t="s">
        <v>69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57</v>
      </c>
      <c r="L22" t="s">
        <v>23</v>
      </c>
      <c r="M22" t="s">
        <v>17</v>
      </c>
      <c r="N22" t="s">
        <v>70</v>
      </c>
      <c r="O22" t="s">
        <v>0</v>
      </c>
      <c r="P22">
        <v>323759</v>
      </c>
      <c r="Q22" t="s">
        <v>15</v>
      </c>
      <c r="R22" t="s">
        <v>11</v>
      </c>
      <c r="S22" t="s">
        <v>65</v>
      </c>
      <c r="T22">
        <v>90</v>
      </c>
      <c r="U22">
        <v>5.5</v>
      </c>
      <c r="V22" s="2">
        <v>0.22916666666666666</v>
      </c>
      <c r="W22">
        <v>495</v>
      </c>
      <c r="AA22" t="s">
        <v>66</v>
      </c>
      <c r="AB22" t="s">
        <v>76</v>
      </c>
      <c r="AC22" t="s">
        <v>67</v>
      </c>
      <c r="AD22" t="s">
        <v>68</v>
      </c>
      <c r="AE22">
        <f t="shared" si="2"/>
        <v>11</v>
      </c>
      <c r="AF22" t="str">
        <f t="shared" si="1"/>
        <v>November</v>
      </c>
    </row>
    <row r="23" spans="1:32" x14ac:dyDescent="0.3">
      <c r="A23" s="1">
        <v>45614</v>
      </c>
      <c r="B23" t="s">
        <v>20</v>
      </c>
      <c r="C23" t="s">
        <v>56</v>
      </c>
      <c r="D23" t="s">
        <v>57</v>
      </c>
      <c r="E23" t="s">
        <v>69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K23" t="s">
        <v>57</v>
      </c>
      <c r="L23" t="s">
        <v>23</v>
      </c>
      <c r="M23" t="s">
        <v>17</v>
      </c>
      <c r="N23" t="s">
        <v>70</v>
      </c>
      <c r="O23" t="s">
        <v>0</v>
      </c>
      <c r="P23">
        <v>324526</v>
      </c>
      <c r="Q23" t="s">
        <v>15</v>
      </c>
      <c r="R23" t="s">
        <v>11</v>
      </c>
      <c r="S23" t="s">
        <v>65</v>
      </c>
      <c r="T23">
        <v>90</v>
      </c>
      <c r="U23">
        <v>5</v>
      </c>
      <c r="V23" s="2">
        <v>0.20833333333333334</v>
      </c>
      <c r="W23">
        <v>450</v>
      </c>
      <c r="AA23" t="s">
        <v>66</v>
      </c>
      <c r="AB23" t="s">
        <v>76</v>
      </c>
      <c r="AC23" t="s">
        <v>67</v>
      </c>
      <c r="AD23" t="s">
        <v>68</v>
      </c>
      <c r="AE23">
        <f t="shared" si="2"/>
        <v>11</v>
      </c>
      <c r="AF23" t="str">
        <f t="shared" si="1"/>
        <v>November</v>
      </c>
    </row>
    <row r="24" spans="1:32" x14ac:dyDescent="0.3">
      <c r="A24" s="1">
        <v>45615</v>
      </c>
      <c r="B24" t="s">
        <v>20</v>
      </c>
      <c r="C24" t="s">
        <v>56</v>
      </c>
      <c r="D24" t="s">
        <v>57</v>
      </c>
      <c r="E24" t="s">
        <v>69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57</v>
      </c>
      <c r="L24" t="s">
        <v>23</v>
      </c>
      <c r="M24" t="s">
        <v>17</v>
      </c>
      <c r="N24" t="s">
        <v>70</v>
      </c>
      <c r="O24" t="s">
        <v>0</v>
      </c>
      <c r="P24">
        <v>325122</v>
      </c>
      <c r="Q24" t="s">
        <v>15</v>
      </c>
      <c r="R24" t="s">
        <v>11</v>
      </c>
      <c r="S24" t="s">
        <v>65</v>
      </c>
      <c r="T24">
        <v>90</v>
      </c>
      <c r="U24">
        <v>3.75</v>
      </c>
      <c r="V24" s="2">
        <v>0.15625</v>
      </c>
      <c r="W24">
        <v>337.5</v>
      </c>
      <c r="AA24" t="s">
        <v>66</v>
      </c>
      <c r="AB24" t="s">
        <v>76</v>
      </c>
      <c r="AC24" t="s">
        <v>67</v>
      </c>
      <c r="AD24" t="s">
        <v>68</v>
      </c>
      <c r="AE24">
        <f t="shared" si="2"/>
        <v>11</v>
      </c>
      <c r="AF24" t="str">
        <f t="shared" si="1"/>
        <v>November</v>
      </c>
    </row>
    <row r="25" spans="1:32" x14ac:dyDescent="0.3">
      <c r="A25" s="1">
        <v>45616</v>
      </c>
      <c r="B25" t="s">
        <v>20</v>
      </c>
      <c r="C25" t="s">
        <v>56</v>
      </c>
      <c r="D25" t="s">
        <v>57</v>
      </c>
      <c r="E25" t="s">
        <v>69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K25" t="s">
        <v>57</v>
      </c>
      <c r="L25" t="s">
        <v>23</v>
      </c>
      <c r="M25" t="s">
        <v>17</v>
      </c>
      <c r="N25" t="s">
        <v>70</v>
      </c>
      <c r="O25" t="s">
        <v>0</v>
      </c>
      <c r="P25">
        <v>325597</v>
      </c>
      <c r="Q25" t="s">
        <v>15</v>
      </c>
      <c r="R25" t="s">
        <v>11</v>
      </c>
      <c r="S25" t="s">
        <v>65</v>
      </c>
      <c r="T25">
        <v>90</v>
      </c>
      <c r="U25">
        <v>7.5</v>
      </c>
      <c r="V25" s="2">
        <v>0.3125</v>
      </c>
      <c r="W25">
        <v>675</v>
      </c>
      <c r="AA25" t="s">
        <v>66</v>
      </c>
      <c r="AB25" t="s">
        <v>76</v>
      </c>
      <c r="AC25" t="s">
        <v>67</v>
      </c>
      <c r="AD25" t="s">
        <v>68</v>
      </c>
      <c r="AE25">
        <f t="shared" si="2"/>
        <v>11</v>
      </c>
      <c r="AF25" t="str">
        <f t="shared" si="1"/>
        <v>November</v>
      </c>
    </row>
    <row r="26" spans="1:32" x14ac:dyDescent="0.3">
      <c r="A26" s="1">
        <v>45617</v>
      </c>
      <c r="B26" t="s">
        <v>20</v>
      </c>
      <c r="C26" t="s">
        <v>56</v>
      </c>
      <c r="D26" t="s">
        <v>57</v>
      </c>
      <c r="E26" t="s">
        <v>69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K26" t="s">
        <v>57</v>
      </c>
      <c r="L26" t="s">
        <v>23</v>
      </c>
      <c r="M26" t="s">
        <v>17</v>
      </c>
      <c r="N26" t="s">
        <v>70</v>
      </c>
      <c r="O26" t="s">
        <v>0</v>
      </c>
      <c r="P26">
        <v>326108</v>
      </c>
      <c r="Q26" t="s">
        <v>15</v>
      </c>
      <c r="R26" t="s">
        <v>11</v>
      </c>
      <c r="S26" t="s">
        <v>65</v>
      </c>
      <c r="T26">
        <v>90</v>
      </c>
      <c r="U26">
        <v>7.25</v>
      </c>
      <c r="V26" s="2">
        <v>0.30208333333333331</v>
      </c>
      <c r="W26">
        <v>652.5</v>
      </c>
      <c r="AA26" t="s">
        <v>66</v>
      </c>
      <c r="AB26" t="s">
        <v>76</v>
      </c>
      <c r="AC26" t="s">
        <v>67</v>
      </c>
      <c r="AD26" t="s">
        <v>68</v>
      </c>
      <c r="AE26">
        <f t="shared" si="2"/>
        <v>11</v>
      </c>
      <c r="AF26" t="str">
        <f t="shared" si="1"/>
        <v>November</v>
      </c>
    </row>
    <row r="27" spans="1:32" x14ac:dyDescent="0.3">
      <c r="A27" s="1">
        <v>45618</v>
      </c>
      <c r="B27" t="s">
        <v>20</v>
      </c>
      <c r="C27" t="s">
        <v>56</v>
      </c>
      <c r="D27" t="s">
        <v>57</v>
      </c>
      <c r="E27" t="s">
        <v>69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K27" t="s">
        <v>57</v>
      </c>
      <c r="L27" t="s">
        <v>23</v>
      </c>
      <c r="M27" t="s">
        <v>17</v>
      </c>
      <c r="N27" t="s">
        <v>70</v>
      </c>
      <c r="O27" t="s">
        <v>0</v>
      </c>
      <c r="P27">
        <v>326754</v>
      </c>
      <c r="Q27" t="s">
        <v>15</v>
      </c>
      <c r="R27" t="s">
        <v>11</v>
      </c>
      <c r="S27" t="s">
        <v>65</v>
      </c>
      <c r="T27">
        <v>90</v>
      </c>
      <c r="U27">
        <v>4.5</v>
      </c>
      <c r="V27" s="2">
        <v>0.1875</v>
      </c>
      <c r="W27">
        <v>405</v>
      </c>
      <c r="AA27" t="s">
        <v>66</v>
      </c>
      <c r="AC27" t="s">
        <v>67</v>
      </c>
      <c r="AD27" t="s">
        <v>68</v>
      </c>
      <c r="AE27">
        <f t="shared" si="2"/>
        <v>11</v>
      </c>
      <c r="AF27" t="str">
        <f t="shared" si="1"/>
        <v>November</v>
      </c>
    </row>
    <row r="28" spans="1:32" x14ac:dyDescent="0.3">
      <c r="A28" s="1">
        <v>45600</v>
      </c>
      <c r="B28" t="s">
        <v>17</v>
      </c>
      <c r="C28" t="s">
        <v>56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57</v>
      </c>
      <c r="L28" t="s">
        <v>23</v>
      </c>
      <c r="M28" t="s">
        <v>17</v>
      </c>
      <c r="N28" t="s">
        <v>67</v>
      </c>
      <c r="O28" t="s">
        <v>0</v>
      </c>
      <c r="P28">
        <v>323698</v>
      </c>
      <c r="Q28" t="s">
        <v>15</v>
      </c>
      <c r="R28" t="s">
        <v>11</v>
      </c>
      <c r="S28" t="s">
        <v>65</v>
      </c>
      <c r="T28">
        <v>90</v>
      </c>
      <c r="U28">
        <v>0.5</v>
      </c>
      <c r="V28" s="2">
        <v>2.0833333333333332E-2</v>
      </c>
      <c r="W28">
        <v>45</v>
      </c>
      <c r="AA28" t="s">
        <v>66</v>
      </c>
      <c r="AB28" t="s">
        <v>76</v>
      </c>
      <c r="AC28" t="s">
        <v>67</v>
      </c>
      <c r="AD28" t="s">
        <v>68</v>
      </c>
      <c r="AE28">
        <f t="shared" si="2"/>
        <v>11</v>
      </c>
      <c r="AF28" t="str">
        <f t="shared" si="1"/>
        <v>November</v>
      </c>
    </row>
    <row r="29" spans="1:32" x14ac:dyDescent="0.3">
      <c r="A29" s="1">
        <v>45602</v>
      </c>
      <c r="B29" t="s">
        <v>17</v>
      </c>
      <c r="C29" t="s">
        <v>56</v>
      </c>
      <c r="D29" t="s">
        <v>57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57</v>
      </c>
      <c r="L29" t="s">
        <v>23</v>
      </c>
      <c r="M29" t="s">
        <v>17</v>
      </c>
      <c r="N29" t="s">
        <v>67</v>
      </c>
      <c r="O29" t="s">
        <v>0</v>
      </c>
      <c r="P29">
        <v>323711</v>
      </c>
      <c r="Q29" t="s">
        <v>15</v>
      </c>
      <c r="R29" t="s">
        <v>11</v>
      </c>
      <c r="S29" t="s">
        <v>65</v>
      </c>
      <c r="T29">
        <v>90</v>
      </c>
      <c r="U29">
        <v>0.5</v>
      </c>
      <c r="V29" s="2">
        <v>2.0833333333333332E-2</v>
      </c>
      <c r="W29">
        <v>45</v>
      </c>
      <c r="AA29" t="s">
        <v>66</v>
      </c>
      <c r="AB29" t="s">
        <v>76</v>
      </c>
      <c r="AC29" t="s">
        <v>67</v>
      </c>
      <c r="AD29" t="s">
        <v>68</v>
      </c>
      <c r="AE29">
        <f t="shared" si="2"/>
        <v>11</v>
      </c>
      <c r="AF29" t="str">
        <f t="shared" si="1"/>
        <v>November</v>
      </c>
    </row>
    <row r="30" spans="1:32" x14ac:dyDescent="0.3">
      <c r="A30" s="1">
        <v>45607</v>
      </c>
      <c r="B30" t="s">
        <v>17</v>
      </c>
      <c r="C30" t="s">
        <v>56</v>
      </c>
      <c r="D30" t="s">
        <v>57</v>
      </c>
      <c r="E30" t="s">
        <v>58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57</v>
      </c>
      <c r="L30" t="s">
        <v>23</v>
      </c>
      <c r="M30" t="s">
        <v>17</v>
      </c>
      <c r="N30" t="s">
        <v>67</v>
      </c>
      <c r="O30" t="s">
        <v>0</v>
      </c>
      <c r="P30">
        <v>323726</v>
      </c>
      <c r="Q30" t="s">
        <v>15</v>
      </c>
      <c r="R30" t="s">
        <v>11</v>
      </c>
      <c r="S30" t="s">
        <v>65</v>
      </c>
      <c r="T30">
        <v>90</v>
      </c>
      <c r="U30">
        <v>1</v>
      </c>
      <c r="V30" s="2">
        <v>4.1666666666666664E-2</v>
      </c>
      <c r="W30">
        <v>90</v>
      </c>
      <c r="AA30" t="s">
        <v>66</v>
      </c>
      <c r="AB30" t="s">
        <v>76</v>
      </c>
      <c r="AC30" t="s">
        <v>67</v>
      </c>
      <c r="AD30" t="s">
        <v>68</v>
      </c>
      <c r="AE30">
        <f t="shared" si="2"/>
        <v>11</v>
      </c>
      <c r="AF30" t="str">
        <f t="shared" si="1"/>
        <v>November</v>
      </c>
    </row>
    <row r="31" spans="1:32" x14ac:dyDescent="0.3">
      <c r="A31" s="1">
        <v>45608</v>
      </c>
      <c r="B31" t="s">
        <v>17</v>
      </c>
      <c r="C31" t="s">
        <v>56</v>
      </c>
      <c r="D31" t="s">
        <v>57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57</v>
      </c>
      <c r="L31" t="s">
        <v>23</v>
      </c>
      <c r="M31" t="s">
        <v>17</v>
      </c>
      <c r="N31" t="s">
        <v>67</v>
      </c>
      <c r="O31" t="s">
        <v>0</v>
      </c>
      <c r="P31">
        <v>323737</v>
      </c>
      <c r="Q31" t="s">
        <v>15</v>
      </c>
      <c r="R31" t="s">
        <v>11</v>
      </c>
      <c r="S31" t="s">
        <v>65</v>
      </c>
      <c r="T31">
        <v>90</v>
      </c>
      <c r="U31">
        <v>0.5</v>
      </c>
      <c r="V31" s="2">
        <v>2.0833333333333332E-2</v>
      </c>
      <c r="W31">
        <v>45</v>
      </c>
      <c r="AA31" t="s">
        <v>66</v>
      </c>
      <c r="AB31" t="s">
        <v>76</v>
      </c>
      <c r="AC31" t="s">
        <v>74</v>
      </c>
      <c r="AD31" t="s">
        <v>68</v>
      </c>
      <c r="AE31">
        <f t="shared" si="2"/>
        <v>11</v>
      </c>
      <c r="AF31" t="str">
        <f t="shared" si="1"/>
        <v>November</v>
      </c>
    </row>
    <row r="32" spans="1:32" x14ac:dyDescent="0.3">
      <c r="A32" s="1">
        <v>45609</v>
      </c>
      <c r="B32" t="s">
        <v>17</v>
      </c>
      <c r="C32" t="s">
        <v>56</v>
      </c>
      <c r="D32" t="s">
        <v>57</v>
      </c>
      <c r="E32" t="s">
        <v>58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57</v>
      </c>
      <c r="L32" t="s">
        <v>23</v>
      </c>
      <c r="M32" t="s">
        <v>17</v>
      </c>
      <c r="N32" t="s">
        <v>67</v>
      </c>
      <c r="O32" t="s">
        <v>0</v>
      </c>
      <c r="P32">
        <v>323739</v>
      </c>
      <c r="Q32" t="s">
        <v>15</v>
      </c>
      <c r="R32" t="s">
        <v>11</v>
      </c>
      <c r="S32" t="s">
        <v>65</v>
      </c>
      <c r="T32">
        <v>90</v>
      </c>
      <c r="U32">
        <v>0.5</v>
      </c>
      <c r="V32" s="2">
        <v>2.0833333333333332E-2</v>
      </c>
      <c r="W32">
        <v>45</v>
      </c>
      <c r="AA32" t="s">
        <v>66</v>
      </c>
      <c r="AB32" t="s">
        <v>76</v>
      </c>
      <c r="AC32" t="s">
        <v>67</v>
      </c>
      <c r="AD32" t="s">
        <v>68</v>
      </c>
      <c r="AE32">
        <f t="shared" si="2"/>
        <v>11</v>
      </c>
      <c r="AF32" t="str">
        <f t="shared" si="1"/>
        <v>November</v>
      </c>
    </row>
    <row r="33" spans="1:32" x14ac:dyDescent="0.3">
      <c r="A33" s="1">
        <v>45562</v>
      </c>
      <c r="B33" t="s">
        <v>23</v>
      </c>
      <c r="C33" t="s">
        <v>56</v>
      </c>
      <c r="D33" t="s">
        <v>57</v>
      </c>
      <c r="E33" t="s">
        <v>58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57</v>
      </c>
      <c r="L33" t="s">
        <v>23</v>
      </c>
      <c r="M33" t="s">
        <v>17</v>
      </c>
      <c r="N33" t="s">
        <v>67</v>
      </c>
      <c r="O33" t="s">
        <v>0</v>
      </c>
      <c r="P33">
        <v>302333</v>
      </c>
      <c r="Q33" t="s">
        <v>21</v>
      </c>
      <c r="R33" t="s">
        <v>64</v>
      </c>
      <c r="S33" t="s">
        <v>65</v>
      </c>
      <c r="T33">
        <v>0</v>
      </c>
      <c r="U33">
        <v>0.5</v>
      </c>
      <c r="V33" s="2">
        <v>2.0833333333333332E-2</v>
      </c>
      <c r="W33">
        <v>0</v>
      </c>
      <c r="AA33" t="s">
        <v>66</v>
      </c>
      <c r="AB33" t="s">
        <v>76</v>
      </c>
      <c r="AC33" t="s">
        <v>67</v>
      </c>
      <c r="AD33" t="s">
        <v>68</v>
      </c>
      <c r="AE33">
        <f t="shared" si="2"/>
        <v>9</v>
      </c>
      <c r="AF33" t="str">
        <f t="shared" si="1"/>
        <v>September</v>
      </c>
    </row>
    <row r="34" spans="1:32" x14ac:dyDescent="0.3">
      <c r="A34" s="1">
        <v>45565</v>
      </c>
      <c r="B34" t="s">
        <v>23</v>
      </c>
      <c r="C34" t="s">
        <v>56</v>
      </c>
      <c r="D34" t="s">
        <v>57</v>
      </c>
      <c r="E34" t="s">
        <v>58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K34" t="s">
        <v>57</v>
      </c>
      <c r="L34" t="s">
        <v>23</v>
      </c>
      <c r="M34" t="s">
        <v>17</v>
      </c>
      <c r="N34" t="s">
        <v>67</v>
      </c>
      <c r="O34" t="s">
        <v>0</v>
      </c>
      <c r="P34">
        <v>304735</v>
      </c>
      <c r="Q34" t="s">
        <v>21</v>
      </c>
      <c r="R34" t="s">
        <v>64</v>
      </c>
      <c r="S34" t="s">
        <v>65</v>
      </c>
      <c r="T34">
        <v>0</v>
      </c>
      <c r="U34">
        <v>0.25</v>
      </c>
      <c r="V34" s="2">
        <v>1.0416666666666666E-2</v>
      </c>
      <c r="W34">
        <v>0</v>
      </c>
      <c r="AA34" t="s">
        <v>66</v>
      </c>
      <c r="AB34" t="s">
        <v>76</v>
      </c>
      <c r="AC34" t="s">
        <v>67</v>
      </c>
      <c r="AD34" t="s">
        <v>68</v>
      </c>
      <c r="AE34">
        <f t="shared" ref="AE34:AE49" si="3">MONTH(A34)</f>
        <v>9</v>
      </c>
      <c r="AF34" t="str">
        <f t="shared" si="1"/>
        <v>September</v>
      </c>
    </row>
    <row r="35" spans="1:32" x14ac:dyDescent="0.3">
      <c r="A35" s="1">
        <v>45595</v>
      </c>
      <c r="B35" t="s">
        <v>23</v>
      </c>
      <c r="C35" t="s">
        <v>56</v>
      </c>
      <c r="D35" t="s">
        <v>57</v>
      </c>
      <c r="E35" t="s">
        <v>58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K35" t="s">
        <v>57</v>
      </c>
      <c r="L35" t="s">
        <v>23</v>
      </c>
      <c r="M35" t="s">
        <v>17</v>
      </c>
      <c r="N35" t="s">
        <v>67</v>
      </c>
      <c r="O35" t="s">
        <v>0</v>
      </c>
      <c r="P35">
        <v>316721</v>
      </c>
      <c r="Q35" t="s">
        <v>21</v>
      </c>
      <c r="R35" t="s">
        <v>64</v>
      </c>
      <c r="S35" t="s">
        <v>65</v>
      </c>
      <c r="T35">
        <v>0</v>
      </c>
      <c r="U35">
        <v>0.5</v>
      </c>
      <c r="V35" s="2">
        <v>2.0833333333333332E-2</v>
      </c>
      <c r="W35">
        <v>0</v>
      </c>
      <c r="AA35" t="s">
        <v>66</v>
      </c>
      <c r="AB35" t="s">
        <v>76</v>
      </c>
      <c r="AC35" t="s">
        <v>67</v>
      </c>
      <c r="AD35" t="s">
        <v>68</v>
      </c>
      <c r="AE35">
        <f t="shared" si="3"/>
        <v>10</v>
      </c>
      <c r="AF35" t="str">
        <f t="shared" si="1"/>
        <v>October</v>
      </c>
    </row>
    <row r="36" spans="1:32" x14ac:dyDescent="0.3">
      <c r="A36" s="1">
        <v>45600</v>
      </c>
      <c r="B36" t="s">
        <v>23</v>
      </c>
      <c r="C36" t="s">
        <v>56</v>
      </c>
      <c r="D36" t="s">
        <v>57</v>
      </c>
      <c r="E36" t="s">
        <v>58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K36" t="s">
        <v>57</v>
      </c>
      <c r="L36" t="s">
        <v>23</v>
      </c>
      <c r="M36" t="s">
        <v>17</v>
      </c>
      <c r="N36" t="s">
        <v>67</v>
      </c>
      <c r="O36" t="s">
        <v>0</v>
      </c>
      <c r="P36">
        <v>318740</v>
      </c>
      <c r="Q36" t="s">
        <v>21</v>
      </c>
      <c r="R36" t="s">
        <v>64</v>
      </c>
      <c r="S36" t="s">
        <v>65</v>
      </c>
      <c r="T36">
        <v>0</v>
      </c>
      <c r="U36">
        <v>1.5</v>
      </c>
      <c r="V36" s="2">
        <v>6.25E-2</v>
      </c>
      <c r="W36">
        <v>0</v>
      </c>
      <c r="AA36" t="s">
        <v>66</v>
      </c>
      <c r="AB36" t="s">
        <v>76</v>
      </c>
      <c r="AC36" t="s">
        <v>67</v>
      </c>
      <c r="AD36" t="s">
        <v>68</v>
      </c>
      <c r="AE36">
        <f t="shared" si="3"/>
        <v>11</v>
      </c>
      <c r="AF36" t="str">
        <f t="shared" si="1"/>
        <v>November</v>
      </c>
    </row>
    <row r="37" spans="1:32" x14ac:dyDescent="0.3">
      <c r="A37" s="1">
        <v>45601</v>
      </c>
      <c r="B37" t="s">
        <v>23</v>
      </c>
      <c r="C37" t="s">
        <v>56</v>
      </c>
      <c r="D37" t="s">
        <v>57</v>
      </c>
      <c r="E37" t="s">
        <v>58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57</v>
      </c>
      <c r="L37" t="s">
        <v>23</v>
      </c>
      <c r="M37" t="s">
        <v>17</v>
      </c>
      <c r="N37" t="s">
        <v>67</v>
      </c>
      <c r="O37" t="s">
        <v>0</v>
      </c>
      <c r="P37">
        <v>319240</v>
      </c>
      <c r="Q37" t="s">
        <v>21</v>
      </c>
      <c r="R37" t="s">
        <v>64</v>
      </c>
      <c r="S37" t="s">
        <v>65</v>
      </c>
      <c r="T37">
        <v>0</v>
      </c>
      <c r="U37">
        <v>0.5</v>
      </c>
      <c r="V37" s="2">
        <v>2.0833333333333332E-2</v>
      </c>
      <c r="W37">
        <v>0</v>
      </c>
      <c r="AA37" t="s">
        <v>66</v>
      </c>
      <c r="AB37" t="s">
        <v>76</v>
      </c>
      <c r="AC37" t="s">
        <v>67</v>
      </c>
      <c r="AD37" t="s">
        <v>68</v>
      </c>
      <c r="AE37">
        <f t="shared" si="3"/>
        <v>11</v>
      </c>
      <c r="AF37" t="str">
        <f t="shared" si="1"/>
        <v>November</v>
      </c>
    </row>
    <row r="38" spans="1:32" x14ac:dyDescent="0.3">
      <c r="A38" s="1">
        <v>45602</v>
      </c>
      <c r="B38" t="s">
        <v>23</v>
      </c>
      <c r="C38" t="s">
        <v>56</v>
      </c>
      <c r="D38" t="s">
        <v>57</v>
      </c>
      <c r="E38" t="s">
        <v>58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K38" t="s">
        <v>57</v>
      </c>
      <c r="L38" t="s">
        <v>23</v>
      </c>
      <c r="M38" t="s">
        <v>17</v>
      </c>
      <c r="N38" t="s">
        <v>67</v>
      </c>
      <c r="O38" t="s">
        <v>0</v>
      </c>
      <c r="P38">
        <v>319825</v>
      </c>
      <c r="Q38" t="s">
        <v>21</v>
      </c>
      <c r="R38" t="s">
        <v>64</v>
      </c>
      <c r="S38" t="s">
        <v>65</v>
      </c>
      <c r="T38">
        <v>0</v>
      </c>
      <c r="U38">
        <v>0.5</v>
      </c>
      <c r="V38" s="2">
        <v>2.0833333333333332E-2</v>
      </c>
      <c r="W38">
        <v>0</v>
      </c>
      <c r="AA38" t="s">
        <v>66</v>
      </c>
      <c r="AB38" t="s">
        <v>76</v>
      </c>
      <c r="AC38" t="s">
        <v>67</v>
      </c>
      <c r="AD38" t="s">
        <v>68</v>
      </c>
      <c r="AE38">
        <f t="shared" si="3"/>
        <v>11</v>
      </c>
      <c r="AF38" t="str">
        <f t="shared" si="1"/>
        <v>November</v>
      </c>
    </row>
    <row r="39" spans="1:32" x14ac:dyDescent="0.3">
      <c r="A39" s="1">
        <v>45603</v>
      </c>
      <c r="B39" t="s">
        <v>23</v>
      </c>
      <c r="C39" t="s">
        <v>56</v>
      </c>
      <c r="D39" t="s">
        <v>57</v>
      </c>
      <c r="E39" t="s">
        <v>58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K39" t="s">
        <v>57</v>
      </c>
      <c r="L39" t="s">
        <v>23</v>
      </c>
      <c r="M39" t="s">
        <v>17</v>
      </c>
      <c r="N39" t="s">
        <v>67</v>
      </c>
      <c r="O39" t="s">
        <v>0</v>
      </c>
      <c r="P39">
        <v>320319</v>
      </c>
      <c r="Q39" t="s">
        <v>21</v>
      </c>
      <c r="R39" t="s">
        <v>64</v>
      </c>
      <c r="S39" t="s">
        <v>65</v>
      </c>
      <c r="T39">
        <v>0</v>
      </c>
      <c r="U39">
        <v>0.75</v>
      </c>
      <c r="V39" s="2">
        <v>3.125E-2</v>
      </c>
      <c r="W39">
        <v>0</v>
      </c>
      <c r="AA39" t="s">
        <v>66</v>
      </c>
      <c r="AB39" t="s">
        <v>76</v>
      </c>
      <c r="AC39" t="s">
        <v>67</v>
      </c>
      <c r="AD39" t="s">
        <v>68</v>
      </c>
      <c r="AE39">
        <f t="shared" si="3"/>
        <v>11</v>
      </c>
      <c r="AF39" t="str">
        <f t="shared" si="1"/>
        <v>November</v>
      </c>
    </row>
    <row r="40" spans="1:32" x14ac:dyDescent="0.3">
      <c r="A40" s="1">
        <v>45604</v>
      </c>
      <c r="B40" t="s">
        <v>23</v>
      </c>
      <c r="C40" t="s">
        <v>56</v>
      </c>
      <c r="D40" t="s">
        <v>57</v>
      </c>
      <c r="E40" t="s">
        <v>58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K40" t="s">
        <v>57</v>
      </c>
      <c r="L40" t="s">
        <v>23</v>
      </c>
      <c r="M40" t="s">
        <v>17</v>
      </c>
      <c r="N40" t="s">
        <v>67</v>
      </c>
      <c r="O40" t="s">
        <v>0</v>
      </c>
      <c r="P40">
        <v>320320</v>
      </c>
      <c r="Q40" t="s">
        <v>21</v>
      </c>
      <c r="R40" t="s">
        <v>64</v>
      </c>
      <c r="S40" t="s">
        <v>65</v>
      </c>
      <c r="T40">
        <v>0</v>
      </c>
      <c r="U40">
        <v>0.5</v>
      </c>
      <c r="V40" s="2">
        <v>2.0833333333333332E-2</v>
      </c>
      <c r="W40">
        <v>0</v>
      </c>
      <c r="AA40" t="s">
        <v>66</v>
      </c>
      <c r="AB40" t="s">
        <v>76</v>
      </c>
      <c r="AC40" t="s">
        <v>67</v>
      </c>
      <c r="AD40" t="s">
        <v>68</v>
      </c>
      <c r="AE40">
        <f t="shared" si="3"/>
        <v>11</v>
      </c>
      <c r="AF40" t="str">
        <f t="shared" si="1"/>
        <v>November</v>
      </c>
    </row>
    <row r="41" spans="1:32" x14ac:dyDescent="0.3">
      <c r="A41" s="1">
        <v>45607</v>
      </c>
      <c r="B41" t="s">
        <v>23</v>
      </c>
      <c r="C41" t="s">
        <v>56</v>
      </c>
      <c r="D41" t="s">
        <v>57</v>
      </c>
      <c r="E41" t="s">
        <v>58</v>
      </c>
      <c r="F41" t="s">
        <v>59</v>
      </c>
      <c r="G41" t="s">
        <v>60</v>
      </c>
      <c r="H41" t="s">
        <v>61</v>
      </c>
      <c r="I41" t="s">
        <v>62</v>
      </c>
      <c r="J41" t="s">
        <v>63</v>
      </c>
      <c r="K41" t="s">
        <v>57</v>
      </c>
      <c r="L41" t="s">
        <v>23</v>
      </c>
      <c r="M41" t="s">
        <v>17</v>
      </c>
      <c r="N41" t="s">
        <v>67</v>
      </c>
      <c r="O41" t="s">
        <v>0</v>
      </c>
      <c r="P41">
        <v>321660</v>
      </c>
      <c r="Q41" t="s">
        <v>21</v>
      </c>
      <c r="R41" t="s">
        <v>64</v>
      </c>
      <c r="S41" t="s">
        <v>65</v>
      </c>
      <c r="T41">
        <v>0</v>
      </c>
      <c r="U41">
        <v>0.5</v>
      </c>
      <c r="V41" s="2">
        <v>2.0833333333333332E-2</v>
      </c>
      <c r="W41">
        <v>0</v>
      </c>
      <c r="AA41" t="s">
        <v>66</v>
      </c>
      <c r="AB41" t="s">
        <v>76</v>
      </c>
      <c r="AC41" t="s">
        <v>67</v>
      </c>
      <c r="AD41" t="s">
        <v>68</v>
      </c>
      <c r="AE41">
        <f t="shared" si="3"/>
        <v>11</v>
      </c>
      <c r="AF41" t="str">
        <f t="shared" si="1"/>
        <v>November</v>
      </c>
    </row>
    <row r="42" spans="1:32" x14ac:dyDescent="0.3">
      <c r="A42" s="1">
        <v>45608</v>
      </c>
      <c r="B42" t="s">
        <v>23</v>
      </c>
      <c r="C42" t="s">
        <v>56</v>
      </c>
      <c r="D42" t="s">
        <v>57</v>
      </c>
      <c r="E42" t="s">
        <v>58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K42" t="s">
        <v>57</v>
      </c>
      <c r="L42" t="s">
        <v>23</v>
      </c>
      <c r="M42" t="s">
        <v>17</v>
      </c>
      <c r="N42" t="s">
        <v>67</v>
      </c>
      <c r="O42" t="s">
        <v>0</v>
      </c>
      <c r="P42">
        <v>322196</v>
      </c>
      <c r="Q42" t="s">
        <v>21</v>
      </c>
      <c r="R42" t="s">
        <v>64</v>
      </c>
      <c r="S42" t="s">
        <v>65</v>
      </c>
      <c r="T42">
        <v>0</v>
      </c>
      <c r="U42">
        <v>0.5</v>
      </c>
      <c r="V42" s="2">
        <v>2.0833333333333332E-2</v>
      </c>
      <c r="W42">
        <v>0</v>
      </c>
      <c r="AA42" t="s">
        <v>66</v>
      </c>
      <c r="AB42" t="s">
        <v>76</v>
      </c>
      <c r="AC42" t="s">
        <v>67</v>
      </c>
      <c r="AD42" t="s">
        <v>68</v>
      </c>
      <c r="AE42">
        <f t="shared" si="3"/>
        <v>11</v>
      </c>
      <c r="AF42" t="str">
        <f t="shared" si="1"/>
        <v>November</v>
      </c>
    </row>
    <row r="43" spans="1:32" x14ac:dyDescent="0.3">
      <c r="A43" s="1">
        <v>45609</v>
      </c>
      <c r="B43" t="s">
        <v>23</v>
      </c>
      <c r="C43" t="s">
        <v>56</v>
      </c>
      <c r="D43" t="s">
        <v>57</v>
      </c>
      <c r="E43" t="s">
        <v>58</v>
      </c>
      <c r="F43" t="s">
        <v>59</v>
      </c>
      <c r="G43" t="s">
        <v>60</v>
      </c>
      <c r="H43" t="s">
        <v>61</v>
      </c>
      <c r="I43" t="s">
        <v>62</v>
      </c>
      <c r="J43" t="s">
        <v>63</v>
      </c>
      <c r="K43" t="s">
        <v>57</v>
      </c>
      <c r="L43" t="s">
        <v>23</v>
      </c>
      <c r="M43" t="s">
        <v>17</v>
      </c>
      <c r="N43" t="s">
        <v>67</v>
      </c>
      <c r="O43" t="s">
        <v>0</v>
      </c>
      <c r="P43">
        <v>322738</v>
      </c>
      <c r="Q43" t="s">
        <v>21</v>
      </c>
      <c r="R43" t="s">
        <v>64</v>
      </c>
      <c r="S43" t="s">
        <v>65</v>
      </c>
      <c r="T43">
        <v>0</v>
      </c>
      <c r="U43">
        <v>0.5</v>
      </c>
      <c r="V43" s="2">
        <v>2.0833333333333332E-2</v>
      </c>
      <c r="W43">
        <v>0</v>
      </c>
      <c r="AA43" t="s">
        <v>66</v>
      </c>
      <c r="AB43" t="s">
        <v>76</v>
      </c>
      <c r="AC43" t="s">
        <v>67</v>
      </c>
      <c r="AD43" t="s">
        <v>68</v>
      </c>
      <c r="AE43">
        <f t="shared" si="3"/>
        <v>11</v>
      </c>
      <c r="AF43" t="str">
        <f t="shared" si="1"/>
        <v>November</v>
      </c>
    </row>
    <row r="44" spans="1:32" x14ac:dyDescent="0.3">
      <c r="A44" s="1">
        <v>45610</v>
      </c>
      <c r="B44" t="s">
        <v>23</v>
      </c>
      <c r="C44" t="s">
        <v>56</v>
      </c>
      <c r="D44" t="s">
        <v>57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K44" t="s">
        <v>57</v>
      </c>
      <c r="L44" t="s">
        <v>23</v>
      </c>
      <c r="M44" t="s">
        <v>17</v>
      </c>
      <c r="N44" t="s">
        <v>67</v>
      </c>
      <c r="O44" t="s">
        <v>0</v>
      </c>
      <c r="P44">
        <v>323217</v>
      </c>
      <c r="Q44" t="s">
        <v>21</v>
      </c>
      <c r="R44" t="s">
        <v>64</v>
      </c>
      <c r="S44" t="s">
        <v>65</v>
      </c>
      <c r="T44">
        <v>0</v>
      </c>
      <c r="U44">
        <v>0.5</v>
      </c>
      <c r="V44" s="2">
        <v>2.0833333333333332E-2</v>
      </c>
      <c r="W44">
        <v>0</v>
      </c>
      <c r="AA44" t="s">
        <v>66</v>
      </c>
      <c r="AB44" t="s">
        <v>76</v>
      </c>
      <c r="AC44" t="s">
        <v>67</v>
      </c>
      <c r="AD44" t="s">
        <v>68</v>
      </c>
      <c r="AE44">
        <f t="shared" si="3"/>
        <v>11</v>
      </c>
      <c r="AF44" t="str">
        <f t="shared" si="1"/>
        <v>November</v>
      </c>
    </row>
    <row r="45" spans="1:32" x14ac:dyDescent="0.3">
      <c r="A45" s="1">
        <v>45611</v>
      </c>
      <c r="B45" t="s">
        <v>23</v>
      </c>
      <c r="C45" t="s">
        <v>56</v>
      </c>
      <c r="D45" t="s">
        <v>57</v>
      </c>
      <c r="E45" t="s">
        <v>58</v>
      </c>
      <c r="F45" t="s">
        <v>59</v>
      </c>
      <c r="G45" t="s">
        <v>60</v>
      </c>
      <c r="H45" t="s">
        <v>61</v>
      </c>
      <c r="I45" t="s">
        <v>62</v>
      </c>
      <c r="J45" t="s">
        <v>63</v>
      </c>
      <c r="K45" t="s">
        <v>57</v>
      </c>
      <c r="L45" t="s">
        <v>23</v>
      </c>
      <c r="M45" t="s">
        <v>17</v>
      </c>
      <c r="N45" t="s">
        <v>67</v>
      </c>
      <c r="O45" t="s">
        <v>0</v>
      </c>
      <c r="P45">
        <v>323869</v>
      </c>
      <c r="Q45" t="s">
        <v>21</v>
      </c>
      <c r="R45" t="s">
        <v>64</v>
      </c>
      <c r="S45" t="s">
        <v>65</v>
      </c>
      <c r="T45">
        <v>0</v>
      </c>
      <c r="U45">
        <v>0.5</v>
      </c>
      <c r="V45" s="2">
        <v>2.0833333333333332E-2</v>
      </c>
      <c r="W45">
        <v>0</v>
      </c>
      <c r="AA45" t="s">
        <v>66</v>
      </c>
      <c r="AB45" t="s">
        <v>76</v>
      </c>
      <c r="AC45" t="s">
        <v>67</v>
      </c>
      <c r="AD45" t="s">
        <v>68</v>
      </c>
      <c r="AE45">
        <f t="shared" si="3"/>
        <v>11</v>
      </c>
      <c r="AF45" t="str">
        <f t="shared" si="1"/>
        <v>November</v>
      </c>
    </row>
    <row r="46" spans="1:32" x14ac:dyDescent="0.3">
      <c r="A46" s="1">
        <v>45614</v>
      </c>
      <c r="B46" t="s">
        <v>23</v>
      </c>
      <c r="C46" t="s">
        <v>56</v>
      </c>
      <c r="D46" t="s">
        <v>57</v>
      </c>
      <c r="E46" t="s">
        <v>58</v>
      </c>
      <c r="F46" t="s">
        <v>59</v>
      </c>
      <c r="G46" t="s">
        <v>60</v>
      </c>
      <c r="H46" t="s">
        <v>61</v>
      </c>
      <c r="I46" t="s">
        <v>62</v>
      </c>
      <c r="J46" t="s">
        <v>63</v>
      </c>
      <c r="K46" t="s">
        <v>57</v>
      </c>
      <c r="L46" t="s">
        <v>23</v>
      </c>
      <c r="M46" t="s">
        <v>17</v>
      </c>
      <c r="N46" t="s">
        <v>67</v>
      </c>
      <c r="O46" t="s">
        <v>0</v>
      </c>
      <c r="P46">
        <v>324582</v>
      </c>
      <c r="Q46" t="s">
        <v>21</v>
      </c>
      <c r="R46" t="s">
        <v>64</v>
      </c>
      <c r="S46" t="s">
        <v>65</v>
      </c>
      <c r="T46">
        <v>0</v>
      </c>
      <c r="U46">
        <v>0.25</v>
      </c>
      <c r="V46" s="2">
        <v>1.0416666666666666E-2</v>
      </c>
      <c r="W46">
        <v>0</v>
      </c>
      <c r="AA46" t="s">
        <v>66</v>
      </c>
      <c r="AC46" t="s">
        <v>67</v>
      </c>
      <c r="AD46" t="s">
        <v>68</v>
      </c>
      <c r="AE46">
        <f t="shared" si="3"/>
        <v>11</v>
      </c>
      <c r="AF46" t="str">
        <f t="shared" si="1"/>
        <v>November</v>
      </c>
    </row>
    <row r="47" spans="1:32" x14ac:dyDescent="0.3">
      <c r="A47" s="1">
        <v>45616</v>
      </c>
      <c r="B47" t="s">
        <v>23</v>
      </c>
      <c r="C47" t="s">
        <v>56</v>
      </c>
      <c r="D47" t="s">
        <v>57</v>
      </c>
      <c r="E47" t="s">
        <v>58</v>
      </c>
      <c r="F47" t="s">
        <v>59</v>
      </c>
      <c r="G47" t="s">
        <v>60</v>
      </c>
      <c r="H47" t="s">
        <v>61</v>
      </c>
      <c r="I47" t="s">
        <v>62</v>
      </c>
      <c r="J47" t="s">
        <v>63</v>
      </c>
      <c r="K47" t="s">
        <v>57</v>
      </c>
      <c r="L47" t="s">
        <v>23</v>
      </c>
      <c r="M47" t="s">
        <v>17</v>
      </c>
      <c r="N47" t="s">
        <v>67</v>
      </c>
      <c r="O47" t="s">
        <v>0</v>
      </c>
      <c r="P47">
        <v>325824</v>
      </c>
      <c r="Q47" t="s">
        <v>21</v>
      </c>
      <c r="R47" t="s">
        <v>64</v>
      </c>
      <c r="S47" t="s">
        <v>65</v>
      </c>
      <c r="T47">
        <v>0</v>
      </c>
      <c r="U47">
        <v>0.25</v>
      </c>
      <c r="V47" s="2">
        <v>1.0416666666666666E-2</v>
      </c>
      <c r="W47">
        <v>0</v>
      </c>
      <c r="AA47" t="s">
        <v>66</v>
      </c>
      <c r="AC47" t="s">
        <v>67</v>
      </c>
      <c r="AD47" t="s">
        <v>68</v>
      </c>
      <c r="AE47">
        <f t="shared" si="3"/>
        <v>11</v>
      </c>
      <c r="AF47" t="str">
        <f t="shared" si="1"/>
        <v>November</v>
      </c>
    </row>
    <row r="48" spans="1:32" x14ac:dyDescent="0.3">
      <c r="A48" s="1">
        <v>45617</v>
      </c>
      <c r="B48" t="s">
        <v>23</v>
      </c>
      <c r="C48" t="s">
        <v>56</v>
      </c>
      <c r="D48" t="s">
        <v>57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K48" t="s">
        <v>57</v>
      </c>
      <c r="L48" t="s">
        <v>23</v>
      </c>
      <c r="M48" t="s">
        <v>17</v>
      </c>
      <c r="N48" t="s">
        <v>67</v>
      </c>
      <c r="O48" t="s">
        <v>0</v>
      </c>
      <c r="P48">
        <v>326248</v>
      </c>
      <c r="Q48" t="s">
        <v>21</v>
      </c>
      <c r="R48" t="s">
        <v>64</v>
      </c>
      <c r="S48" t="s">
        <v>65</v>
      </c>
      <c r="T48">
        <v>0</v>
      </c>
      <c r="U48">
        <v>0.5</v>
      </c>
      <c r="V48" s="2">
        <v>2.0833333333333332E-2</v>
      </c>
      <c r="W48">
        <v>0</v>
      </c>
      <c r="AA48" t="s">
        <v>66</v>
      </c>
      <c r="AC48" t="s">
        <v>67</v>
      </c>
      <c r="AD48" t="s">
        <v>68</v>
      </c>
      <c r="AE48">
        <f t="shared" si="3"/>
        <v>11</v>
      </c>
      <c r="AF48" t="str">
        <f t="shared" si="1"/>
        <v>November</v>
      </c>
    </row>
    <row r="49" spans="1:32" x14ac:dyDescent="0.3">
      <c r="A49" s="1">
        <v>45618</v>
      </c>
      <c r="B49" t="s">
        <v>23</v>
      </c>
      <c r="C49" t="s">
        <v>56</v>
      </c>
      <c r="D49" t="s">
        <v>57</v>
      </c>
      <c r="E49" t="s">
        <v>58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K49" t="s">
        <v>57</v>
      </c>
      <c r="L49" t="s">
        <v>23</v>
      </c>
      <c r="M49" t="s">
        <v>17</v>
      </c>
      <c r="N49" t="s">
        <v>67</v>
      </c>
      <c r="O49" t="s">
        <v>0</v>
      </c>
      <c r="P49">
        <v>327241</v>
      </c>
      <c r="Q49" t="s">
        <v>21</v>
      </c>
      <c r="R49" t="s">
        <v>64</v>
      </c>
      <c r="S49" t="s">
        <v>65</v>
      </c>
      <c r="T49">
        <v>0</v>
      </c>
      <c r="U49">
        <v>0.25</v>
      </c>
      <c r="V49" s="2">
        <v>1.0416666666666666E-2</v>
      </c>
      <c r="W49">
        <v>0</v>
      </c>
      <c r="AA49" t="s">
        <v>66</v>
      </c>
      <c r="AC49" t="s">
        <v>67</v>
      </c>
      <c r="AD49" t="s">
        <v>68</v>
      </c>
      <c r="AE49">
        <f t="shared" si="3"/>
        <v>11</v>
      </c>
      <c r="AF49" t="str">
        <f t="shared" si="1"/>
        <v>November</v>
      </c>
    </row>
    <row r="50" spans="1:32" x14ac:dyDescent="0.3">
      <c r="A50" s="1"/>
      <c r="V50" s="2"/>
    </row>
    <row r="51" spans="1:32" x14ac:dyDescent="0.3">
      <c r="A51" s="1"/>
      <c r="V51" s="2"/>
    </row>
    <row r="52" spans="1:32" x14ac:dyDescent="0.3">
      <c r="A52" s="1"/>
      <c r="V52" s="2"/>
    </row>
    <row r="53" spans="1:32" x14ac:dyDescent="0.3">
      <c r="A53" s="1"/>
      <c r="V53" s="2"/>
    </row>
    <row r="54" spans="1:32" x14ac:dyDescent="0.3">
      <c r="A54" s="1"/>
      <c r="V54" s="2"/>
    </row>
    <row r="55" spans="1:32" x14ac:dyDescent="0.3">
      <c r="A55" s="1"/>
      <c r="V55" s="2"/>
    </row>
    <row r="56" spans="1:32" x14ac:dyDescent="0.3">
      <c r="A56" s="1"/>
      <c r="V56" s="2"/>
    </row>
    <row r="57" spans="1:32" x14ac:dyDescent="0.3">
      <c r="A57" s="1"/>
      <c r="V57" s="2"/>
    </row>
    <row r="58" spans="1:32" x14ac:dyDescent="0.3">
      <c r="A58" s="1"/>
      <c r="V58" s="2"/>
    </row>
    <row r="59" spans="1:32" x14ac:dyDescent="0.3">
      <c r="A59" s="1"/>
      <c r="V59" s="2"/>
    </row>
    <row r="60" spans="1:32" x14ac:dyDescent="0.3">
      <c r="A60" s="1"/>
      <c r="V60" s="2"/>
    </row>
    <row r="61" spans="1:32" x14ac:dyDescent="0.3">
      <c r="A61" s="1"/>
      <c r="V61" s="2"/>
    </row>
    <row r="62" spans="1:32" x14ac:dyDescent="0.3">
      <c r="A62" s="1"/>
      <c r="V62" s="2"/>
    </row>
    <row r="63" spans="1:32" x14ac:dyDescent="0.3">
      <c r="A63" s="1"/>
      <c r="V63" s="2"/>
    </row>
    <row r="64" spans="1:3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4"/>
  <sheetViews>
    <sheetView workbookViewId="0"/>
  </sheetViews>
  <sheetFormatPr defaultRowHeight="14.4" x14ac:dyDescent="0.3"/>
  <sheetData>
    <row r="1" spans="1:32" x14ac:dyDescent="0.3">
      <c r="AE1" s="3"/>
      <c r="AF1" s="3"/>
    </row>
    <row r="2" spans="1:32" x14ac:dyDescent="0.3">
      <c r="A2" s="1"/>
      <c r="V2" s="2"/>
    </row>
    <row r="3" spans="1:32" x14ac:dyDescent="0.3">
      <c r="A3" s="1"/>
      <c r="V3" s="2"/>
    </row>
    <row r="4" spans="1:32" x14ac:dyDescent="0.3">
      <c r="A4" s="1"/>
      <c r="V4" s="2"/>
    </row>
    <row r="5" spans="1:32" x14ac:dyDescent="0.3">
      <c r="A5" s="1"/>
      <c r="V5" s="2"/>
    </row>
    <row r="6" spans="1:32" x14ac:dyDescent="0.3">
      <c r="A6" s="1"/>
      <c r="V6" s="2"/>
    </row>
    <row r="7" spans="1:32" x14ac:dyDescent="0.3">
      <c r="A7" s="1"/>
      <c r="V7" s="2"/>
    </row>
    <row r="8" spans="1:32" x14ac:dyDescent="0.3">
      <c r="A8" s="1"/>
      <c r="V8" s="2"/>
    </row>
    <row r="9" spans="1:32" x14ac:dyDescent="0.3">
      <c r="A9" s="1"/>
      <c r="V9" s="2"/>
    </row>
    <row r="10" spans="1:32" x14ac:dyDescent="0.3">
      <c r="A10" s="1"/>
      <c r="V10" s="2"/>
    </row>
    <row r="11" spans="1:32" x14ac:dyDescent="0.3">
      <c r="A11" s="1"/>
      <c r="V11" s="2"/>
    </row>
    <row r="12" spans="1:32" x14ac:dyDescent="0.3">
      <c r="A12" s="1"/>
      <c r="V12" s="2"/>
    </row>
    <row r="13" spans="1:32" x14ac:dyDescent="0.3">
      <c r="A13" s="1"/>
      <c r="V13" s="2"/>
    </row>
    <row r="14" spans="1:32" x14ac:dyDescent="0.3">
      <c r="A14" s="1"/>
      <c r="V14" s="2"/>
    </row>
    <row r="15" spans="1:32" x14ac:dyDescent="0.3">
      <c r="A15" s="1"/>
      <c r="V15" s="2"/>
    </row>
    <row r="16" spans="1:32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513026E-746A-4710-8E0C-2BD609C11DC4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ffbd5dc-7a64-4097-8396-87f6c90b212f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Sprint 0 Timesheets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2024-11-25T12:49:08Z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