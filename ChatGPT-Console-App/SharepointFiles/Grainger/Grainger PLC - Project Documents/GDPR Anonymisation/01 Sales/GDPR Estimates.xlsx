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025"/>
  <workbookPr/>
  <mc:AlternateContent xmlns:mc="http://schemas.openxmlformats.org/markup-compatibility/2006">
    <mc:Choice Requires="x15">
      <x15ac:absPath xmlns:x15ac="http://schemas.microsoft.com/office/spreadsheetml/2010/11/ac" url="https://openboxsoftwareweb.sharepoint.com/sites/GraingerPLC/Project Documents/GDPR Anonymisation/01 Sales/"/>
    </mc:Choice>
  </mc:AlternateContent>
  <xr:revisionPtr revIDLastSave="357" documentId="8_{FBE3DEF7-5AEC-8A47-AB85-81D5D0E52365}" xr6:coauthVersionLast="47" xr6:coauthVersionMax="47" xr10:uidLastSave="{ED3489DA-1B59-4004-9CC5-C06194242D81}"/>
  <bookViews>
    <workbookView xWindow="28680" yWindow="-120" windowWidth="29040" windowHeight="15720" activeTab="1" xr2:uid="{C759EEDD-7E8F-E643-AB5C-F2F158F0C2A6}"/>
  </bookViews>
  <sheets>
    <sheet name="Estimate" sheetId="1" r:id="rId1"/>
    <sheet name="Actuals" sheetId="2" r:id="rId2"/>
    <sheet name="Timelines" sheetId="3" r:id="rId3"/>
  </sheets>
  <calcPr calcId="191028" concurrentCalc="0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12" i="2" l="1"/>
  <c r="F11" i="2"/>
  <c r="E7" i="2"/>
  <c r="E8" i="2"/>
  <c r="G7" i="2"/>
  <c r="G5" i="2"/>
  <c r="G4" i="2"/>
  <c r="G3" i="2"/>
  <c r="C3" i="2"/>
  <c r="C7" i="2"/>
  <c r="F7" i="2"/>
  <c r="F5" i="2"/>
  <c r="F4" i="2"/>
  <c r="F3" i="2"/>
  <c r="G17" i="1"/>
  <c r="G21" i="1"/>
  <c r="H21" i="1"/>
  <c r="D6" i="1"/>
  <c r="C23" i="1"/>
  <c r="B25" i="1"/>
  <c r="C18" i="1"/>
  <c r="C26" i="1"/>
  <c r="B13" i="1"/>
  <c r="C6" i="1"/>
  <c r="C12" i="1"/>
  <c r="D5" i="1"/>
  <c r="B12" i="1"/>
  <c r="C5" i="1"/>
  <c r="C11" i="1"/>
  <c r="D4" i="1"/>
  <c r="B11" i="1"/>
  <c r="C4" i="1"/>
  <c r="C10" i="1"/>
  <c r="D3" i="1"/>
  <c r="B10" i="1"/>
  <c r="C3" i="1"/>
  <c r="C9" i="1"/>
  <c r="C15" i="1"/>
  <c r="B9" i="1"/>
  <c r="C2" i="1"/>
  <c r="B15" i="1"/>
  <c r="D2" i="1"/>
  <c r="C7" i="1"/>
  <c r="D7" i="1"/>
  <c r="B7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Shaun Barrett</author>
  </authors>
  <commentList>
    <comment ref="E8" authorId="0" shapeId="0" xr:uid="{07330F08-7607-4AAE-8B66-B6F500DF3BDD}">
      <text>
        <r>
          <rPr>
            <b/>
            <sz val="9"/>
            <color indexed="81"/>
            <rFont val="Tahoma"/>
            <family val="2"/>
          </rPr>
          <t>Shaun Barrett:</t>
        </r>
        <r>
          <rPr>
            <sz val="9"/>
            <color indexed="81"/>
            <rFont val="Tahoma"/>
            <family val="2"/>
          </rPr>
          <t xml:space="preserve">
What we should have invoiced for our effort</t>
        </r>
      </text>
    </comment>
    <comment ref="E12" authorId="0" shapeId="0" xr:uid="{EF5D14D0-DCBE-4C7E-9A5A-7D4054D17DFC}">
      <text>
        <r>
          <rPr>
            <b/>
            <sz val="9"/>
            <color indexed="81"/>
            <rFont val="Tahoma"/>
            <family val="2"/>
          </rPr>
          <t>Shaun Barrett:</t>
        </r>
        <r>
          <rPr>
            <sz val="9"/>
            <color indexed="81"/>
            <rFont val="Tahoma"/>
            <family val="2"/>
          </rPr>
          <t xml:space="preserve">
What we should have invoiced for our effort</t>
        </r>
      </text>
    </comment>
  </commentList>
</comments>
</file>

<file path=xl/sharedStrings.xml><?xml version="1.0" encoding="utf-8"?>
<sst xmlns="http://schemas.openxmlformats.org/spreadsheetml/2006/main" count="93" uniqueCount="67">
  <si>
    <t>Phase</t>
  </si>
  <si>
    <t>Hours</t>
  </si>
  <si>
    <t>Lower Bound</t>
  </si>
  <si>
    <t>Upper Bound</t>
  </si>
  <si>
    <t>Analysis</t>
  </si>
  <si>
    <t>8-10</t>
  </si>
  <si>
    <t>Build</t>
  </si>
  <si>
    <t>40 - 48</t>
  </si>
  <si>
    <t>Project Management</t>
  </si>
  <si>
    <t>4-5</t>
  </si>
  <si>
    <t>UAT</t>
  </si>
  <si>
    <t>Production</t>
  </si>
  <si>
    <t>5 - 6.5</t>
  </si>
  <si>
    <t>Total</t>
  </si>
  <si>
    <t>Actual Hours (up to UAT Kick-off)</t>
  </si>
  <si>
    <t xml:space="preserve">Prod </t>
  </si>
  <si>
    <t>UAT Reforcast</t>
  </si>
  <si>
    <t>- Meetings</t>
  </si>
  <si>
    <t>- UAT Reports</t>
  </si>
  <si>
    <t xml:space="preserve">- UAT Testing Assistance </t>
  </si>
  <si>
    <t>- Other</t>
  </si>
  <si>
    <t>Total Hours</t>
  </si>
  <si>
    <t>Weekly backup prior to anonymization running (12 weeks)</t>
  </si>
  <si>
    <t>Prod Support</t>
  </si>
  <si>
    <t>Original</t>
  </si>
  <si>
    <t>Re-Estimate</t>
  </si>
  <si>
    <t>Production Support</t>
  </si>
  <si>
    <t>Weekly backup (12 weeks)</t>
  </si>
  <si>
    <t>Delivery (complete)</t>
  </si>
  <si>
    <t>Delivery (Analysis, Build, PM)</t>
  </si>
  <si>
    <t>Estimate</t>
  </si>
  <si>
    <t>Actuals</t>
  </si>
  <si>
    <t>Challenges</t>
  </si>
  <si>
    <t>UAT approach required more effort</t>
  </si>
  <si>
    <t>UAT identified issues that we could not pick up in QA</t>
  </si>
  <si>
    <t>several validation rules are preventing certain lead/contact records from being updated</t>
  </si>
  <si>
    <t>Change Control 1</t>
  </si>
  <si>
    <t>Re-estimated on 23 July (due to the stop/start nature of this project, along with the additional effort needed to assist with UAT)</t>
  </si>
  <si>
    <t>Weekly Prod BackUps</t>
  </si>
  <si>
    <t>Util (Original)</t>
  </si>
  <si>
    <t>Util (Re-Estimate)</t>
  </si>
  <si>
    <t>No documentation accounted for in original estimate or re-estimate</t>
  </si>
  <si>
    <t>Week 1</t>
  </si>
  <si>
    <t>Week 2</t>
  </si>
  <si>
    <t>Week 3</t>
  </si>
  <si>
    <t>Week 4</t>
  </si>
  <si>
    <t>Week 5</t>
  </si>
  <si>
    <t>Week 6</t>
  </si>
  <si>
    <t>Week 7</t>
  </si>
  <si>
    <t>Week 8</t>
  </si>
  <si>
    <t>Week 9</t>
  </si>
  <si>
    <t>Week 10</t>
  </si>
  <si>
    <t>Week 11</t>
  </si>
  <si>
    <t>Week 12</t>
  </si>
  <si>
    <t>Hypercare</t>
  </si>
  <si>
    <t>Cost Estimates and "Actuals"</t>
  </si>
  <si>
    <t>SOW</t>
  </si>
  <si>
    <t>Actual</t>
  </si>
  <si>
    <t>Week 13</t>
  </si>
  <si>
    <t>Week 14</t>
  </si>
  <si>
    <t>Week 15</t>
  </si>
  <si>
    <t>Week 16</t>
  </si>
  <si>
    <t>Week 17</t>
  </si>
  <si>
    <t>Week 18</t>
  </si>
  <si>
    <t>Week 19</t>
  </si>
  <si>
    <t>Prod</t>
  </si>
  <si>
    <t xml:space="preserve">Timelines were pushed out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</si>
</sst>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_-[$£-809]* #,##0_-;\-[$£-809]* #,##0_-;_-[$£-809]* &quot;-&quot;??_-;_-@_-"/>
    <numFmt numFmtId="165" formatCode="[$£-809]#,##0.00"/>
  </numFmts>
  <fonts count="8" x14ac:knownFonts="1">
    <font>
      <sz val="12"/>
      <color theme="1"/>
      <name val="Aptos Narrow"/>
      <family val="2"/>
      <scheme val="minor"/>
    </font>
    <font>
      <sz val="10"/>
      <color theme="1"/>
      <name val="Verdana"/>
      <family val="2"/>
    </font>
    <font>
      <b/>
      <sz val="10"/>
      <color rgb="FF000000"/>
      <name val="Verdana"/>
      <family val="2"/>
    </font>
    <font>
      <b/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8"/>
      <name val="Aptos Narrow"/>
      <family val="2"/>
      <scheme val="minor"/>
    </font>
    <font>
      <sz val="9"/>
      <color indexed="81"/>
      <name val="Tahoma"/>
      <family val="2"/>
    </font>
    <font>
      <b/>
      <sz val="9"/>
      <color indexed="81"/>
      <name val="Tahoma"/>
      <family val="2"/>
    </font>
  </fonts>
  <fills count="6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5" tint="0.59999389629810485"/>
        <bgColor indexed="64"/>
      </patternFill>
    </fill>
  </fills>
  <borders count="11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double">
        <color indexed="64"/>
      </bottom>
      <diagonal/>
    </border>
    <border>
      <left/>
      <right style="medium">
        <color indexed="64"/>
      </right>
      <top/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2">
    <xf numFmtId="0" fontId="0" fillId="0" borderId="0"/>
    <xf numFmtId="9" fontId="4" fillId="0" borderId="0" applyFont="0" applyFill="0" applyBorder="0" applyAlignment="0" applyProtection="0"/>
  </cellStyleXfs>
  <cellXfs count="30">
    <xf numFmtId="0" fontId="0" fillId="0" borderId="0" xfId="0"/>
    <xf numFmtId="0" fontId="2" fillId="2" borderId="1" xfId="0" applyFont="1" applyFill="1" applyBorder="1" applyAlignment="1">
      <alignment horizontal="justify" vertical="center"/>
    </xf>
    <xf numFmtId="0" fontId="2" fillId="2" borderId="2" xfId="0" applyFont="1" applyFill="1" applyBorder="1" applyAlignment="1">
      <alignment horizontal="center" vertical="center"/>
    </xf>
    <xf numFmtId="0" fontId="2" fillId="2" borderId="2" xfId="0" applyFont="1" applyFill="1" applyBorder="1" applyAlignment="1">
      <alignment horizontal="justify" vertical="center"/>
    </xf>
    <xf numFmtId="0" fontId="2" fillId="3" borderId="5" xfId="0" applyFont="1" applyFill="1" applyBorder="1" applyAlignment="1">
      <alignment horizontal="justify" vertical="center"/>
    </xf>
    <xf numFmtId="0" fontId="2" fillId="3" borderId="6" xfId="0" applyFont="1" applyFill="1" applyBorder="1" applyAlignment="1">
      <alignment horizontal="center" vertical="center"/>
    </xf>
    <xf numFmtId="0" fontId="1" fillId="0" borderId="3" xfId="0" applyFont="1" applyBorder="1" applyAlignment="1">
      <alignment horizontal="justify" vertical="center"/>
    </xf>
    <xf numFmtId="164" fontId="1" fillId="0" borderId="4" xfId="0" applyNumberFormat="1" applyFont="1" applyBorder="1" applyAlignment="1">
      <alignment horizontal="right" vertical="center"/>
    </xf>
    <xf numFmtId="164" fontId="2" fillId="3" borderId="6" xfId="0" applyNumberFormat="1" applyFont="1" applyFill="1" applyBorder="1" applyAlignment="1">
      <alignment horizontal="right" vertical="center"/>
    </xf>
    <xf numFmtId="49" fontId="1" fillId="0" borderId="4" xfId="0" applyNumberFormat="1" applyFont="1" applyBorder="1" applyAlignment="1">
      <alignment horizontal="center" vertical="center"/>
    </xf>
    <xf numFmtId="0" fontId="0" fillId="0" borderId="7" xfId="0" applyBorder="1"/>
    <xf numFmtId="0" fontId="0" fillId="0" borderId="7" xfId="0" quotePrefix="1" applyBorder="1"/>
    <xf numFmtId="0" fontId="0" fillId="0" borderId="8" xfId="0" applyBorder="1"/>
    <xf numFmtId="0" fontId="3" fillId="0" borderId="7" xfId="0" applyFont="1" applyBorder="1"/>
    <xf numFmtId="0" fontId="3" fillId="2" borderId="7" xfId="0" applyFont="1" applyFill="1" applyBorder="1"/>
    <xf numFmtId="0" fontId="3" fillId="0" borderId="9" xfId="0" applyFont="1" applyBorder="1"/>
    <xf numFmtId="0" fontId="3" fillId="0" borderId="0" xfId="0" applyFont="1"/>
    <xf numFmtId="9" fontId="0" fillId="0" borderId="7" xfId="1" applyFont="1" applyBorder="1"/>
    <xf numFmtId="0" fontId="0" fillId="0" borderId="0" xfId="0" applyAlignment="1">
      <alignment horizontal="left" indent="2"/>
    </xf>
    <xf numFmtId="0" fontId="3" fillId="4" borderId="7" xfId="0" applyFont="1" applyFill="1" applyBorder="1" applyAlignment="1">
      <alignment horizontal="right"/>
    </xf>
    <xf numFmtId="16" fontId="3" fillId="4" borderId="7" xfId="0" applyNumberFormat="1" applyFont="1" applyFill="1" applyBorder="1" applyAlignment="1">
      <alignment horizontal="right"/>
    </xf>
    <xf numFmtId="0" fontId="3" fillId="0" borderId="10" xfId="0" applyFont="1" applyBorder="1"/>
    <xf numFmtId="9" fontId="3" fillId="0" borderId="10" xfId="1" applyFont="1" applyBorder="1"/>
    <xf numFmtId="165" fontId="0" fillId="0" borderId="7" xfId="0" applyNumberFormat="1" applyBorder="1"/>
    <xf numFmtId="0" fontId="3" fillId="4" borderId="7" xfId="0" applyFont="1" applyFill="1" applyBorder="1"/>
    <xf numFmtId="0" fontId="0" fillId="4" borderId="7" xfId="0" applyFill="1" applyBorder="1"/>
    <xf numFmtId="0" fontId="0" fillId="2" borderId="7" xfId="0" applyFill="1" applyBorder="1"/>
    <xf numFmtId="0" fontId="0" fillId="5" borderId="7" xfId="0" applyFill="1" applyBorder="1"/>
    <xf numFmtId="0" fontId="3" fillId="5" borderId="7" xfId="0" applyFont="1" applyFill="1" applyBorder="1" applyAlignment="1">
      <alignment horizontal="center" vertical="center"/>
    </xf>
    <xf numFmtId="0" fontId="3" fillId="2" borderId="7" xfId="0" applyFont="1" applyFill="1" applyBorder="1" applyAlignment="1">
      <alignment horizontal="center" vertical="center"/>
    </xf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11" Type="http://schemas.openxmlformats.org/officeDocument/2006/relationships/customXml" Target="../customXml/item4.xml"/><Relationship Id="rId5" Type="http://schemas.openxmlformats.org/officeDocument/2006/relationships/styles" Target="styles.xml"/><Relationship Id="rId10" Type="http://schemas.openxmlformats.org/officeDocument/2006/relationships/customXml" Target="../customXml/item3.xml"/><Relationship Id="rId4" Type="http://schemas.openxmlformats.org/officeDocument/2006/relationships/theme" Target="theme/theme1.xml"/><Relationship Id="rId9" Type="http://schemas.openxmlformats.org/officeDocument/2006/relationships/customXml" Target="../customXml/item2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19050</xdr:colOff>
      <xdr:row>0</xdr:row>
      <xdr:rowOff>323850</xdr:rowOff>
    </xdr:from>
    <xdr:to>
      <xdr:col>11</xdr:col>
      <xdr:colOff>572401</xdr:colOff>
      <xdr:row>8</xdr:row>
      <xdr:rowOff>190733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9129F76A-7E47-D350-1985-4B0D047CC5B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695950" y="323850"/>
          <a:ext cx="6458851" cy="1667108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514350</xdr:colOff>
      <xdr:row>12</xdr:row>
      <xdr:rowOff>161925</xdr:rowOff>
    </xdr:from>
    <xdr:to>
      <xdr:col>8</xdr:col>
      <xdr:colOff>5764424</xdr:colOff>
      <xdr:row>25</xdr:row>
      <xdr:rowOff>19393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911537E9-F2C3-5BAA-3CC5-EC2019744B6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14350" y="2466975"/>
          <a:ext cx="12889124" cy="2457793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Relationship Id="rId4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41DB89-51BC-CB41-8E68-0C3F95F21058}">
  <dimension ref="A1:H26"/>
  <sheetViews>
    <sheetView workbookViewId="0">
      <selection activeCell="A29" sqref="A29"/>
    </sheetView>
  </sheetViews>
  <sheetFormatPr defaultColWidth="11" defaultRowHeight="15.75" x14ac:dyDescent="0.25"/>
  <cols>
    <col min="1" max="1" width="48" bestFit="1" customWidth="1"/>
    <col min="6" max="6" width="22.5" bestFit="1" customWidth="1"/>
  </cols>
  <sheetData>
    <row r="1" spans="1:8" ht="26.25" thickBot="1" x14ac:dyDescent="0.3">
      <c r="A1" s="1" t="s">
        <v>0</v>
      </c>
      <c r="B1" s="2" t="s">
        <v>1</v>
      </c>
      <c r="C1" s="3" t="s">
        <v>2</v>
      </c>
      <c r="D1" s="3" t="s">
        <v>3</v>
      </c>
    </row>
    <row r="2" spans="1:8" ht="16.5" thickBot="1" x14ac:dyDescent="0.3">
      <c r="A2" s="6" t="s">
        <v>4</v>
      </c>
      <c r="B2" s="9" t="s">
        <v>5</v>
      </c>
      <c r="C2" s="7">
        <f>B9*120</f>
        <v>960</v>
      </c>
      <c r="D2" s="7">
        <f>C9*120</f>
        <v>1200</v>
      </c>
    </row>
    <row r="3" spans="1:8" ht="16.5" thickBot="1" x14ac:dyDescent="0.3">
      <c r="A3" s="6" t="s">
        <v>6</v>
      </c>
      <c r="B3" s="9" t="s">
        <v>7</v>
      </c>
      <c r="C3" s="7">
        <f t="shared" ref="C3:D6" si="0">B10*120</f>
        <v>4800</v>
      </c>
      <c r="D3" s="7">
        <f t="shared" si="0"/>
        <v>5760</v>
      </c>
    </row>
    <row r="4" spans="1:8" ht="16.5" thickBot="1" x14ac:dyDescent="0.3">
      <c r="A4" s="6" t="s">
        <v>8</v>
      </c>
      <c r="B4" s="9" t="s">
        <v>9</v>
      </c>
      <c r="C4" s="7">
        <f t="shared" si="0"/>
        <v>480</v>
      </c>
      <c r="D4" s="7">
        <f t="shared" si="0"/>
        <v>600</v>
      </c>
    </row>
    <row r="5" spans="1:8" ht="16.5" thickBot="1" x14ac:dyDescent="0.3">
      <c r="A5" s="6" t="s">
        <v>10</v>
      </c>
      <c r="B5" s="9" t="s">
        <v>5</v>
      </c>
      <c r="C5" s="7">
        <f t="shared" si="0"/>
        <v>960</v>
      </c>
      <c r="D5" s="7">
        <f t="shared" si="0"/>
        <v>1200</v>
      </c>
    </row>
    <row r="6" spans="1:8" ht="16.5" thickBot="1" x14ac:dyDescent="0.3">
      <c r="A6" s="6" t="s">
        <v>11</v>
      </c>
      <c r="B6" s="9" t="s">
        <v>12</v>
      </c>
      <c r="C6" s="7">
        <f t="shared" si="0"/>
        <v>600</v>
      </c>
      <c r="D6" s="7">
        <f t="shared" si="0"/>
        <v>780</v>
      </c>
    </row>
    <row r="7" spans="1:8" ht="16.5" thickBot="1" x14ac:dyDescent="0.3">
      <c r="A7" s="4" t="s">
        <v>13</v>
      </c>
      <c r="B7" s="5" t="str">
        <f>ROUND(B15,0)&amp;" - "&amp;ROUND(C15,0)</f>
        <v>65 - 80</v>
      </c>
      <c r="C7" s="8">
        <f>SUM(C2:C6)</f>
        <v>7800</v>
      </c>
      <c r="D7" s="8">
        <f>SUM(D2:D6)</f>
        <v>9540</v>
      </c>
    </row>
    <row r="8" spans="1:8" ht="16.5" thickTop="1" x14ac:dyDescent="0.25"/>
    <row r="9" spans="1:8" x14ac:dyDescent="0.25">
      <c r="B9">
        <f>LEFT(B2,FIND("-",B2)-1)*1</f>
        <v>8</v>
      </c>
      <c r="C9">
        <f>MID(B2,FIND("-",B2)+1,LEN(B2)-FIND("-",B2)+1)*1</f>
        <v>10</v>
      </c>
    </row>
    <row r="10" spans="1:8" x14ac:dyDescent="0.25">
      <c r="B10">
        <f t="shared" ref="B10:B13" si="1">LEFT(B3,FIND("-",B3)-1)*1</f>
        <v>40</v>
      </c>
      <c r="C10">
        <f t="shared" ref="C10:C12" si="2">MID(B3,FIND("-",B3)+1,LEN(B3)-FIND("-",B3)+1)*1</f>
        <v>48</v>
      </c>
    </row>
    <row r="11" spans="1:8" x14ac:dyDescent="0.25">
      <c r="B11">
        <f t="shared" si="1"/>
        <v>4</v>
      </c>
      <c r="C11">
        <f t="shared" si="2"/>
        <v>5</v>
      </c>
    </row>
    <row r="12" spans="1:8" x14ac:dyDescent="0.25">
      <c r="B12">
        <f t="shared" si="1"/>
        <v>8</v>
      </c>
      <c r="C12">
        <f t="shared" si="2"/>
        <v>10</v>
      </c>
    </row>
    <row r="13" spans="1:8" x14ac:dyDescent="0.25">
      <c r="B13">
        <f t="shared" si="1"/>
        <v>5</v>
      </c>
      <c r="C13">
        <v>6.5</v>
      </c>
    </row>
    <row r="15" spans="1:8" x14ac:dyDescent="0.25">
      <c r="B15">
        <f>SUM(B9:B13)</f>
        <v>65</v>
      </c>
      <c r="C15">
        <f>SUM(C9:C13)</f>
        <v>79.5</v>
      </c>
    </row>
    <row r="16" spans="1:8" x14ac:dyDescent="0.25">
      <c r="F16" s="14" t="s">
        <v>0</v>
      </c>
      <c r="G16" s="14" t="s">
        <v>24</v>
      </c>
      <c r="H16" s="14" t="s">
        <v>25</v>
      </c>
    </row>
    <row r="17" spans="1:8" x14ac:dyDescent="0.25">
      <c r="A17" s="10" t="s">
        <v>14</v>
      </c>
      <c r="B17" s="10"/>
      <c r="C17" s="10">
        <v>75</v>
      </c>
      <c r="F17" s="10" t="s">
        <v>28</v>
      </c>
      <c r="G17" s="10">
        <f>10+48+5</f>
        <v>63</v>
      </c>
      <c r="H17" s="10">
        <v>75</v>
      </c>
    </row>
    <row r="18" spans="1:8" x14ac:dyDescent="0.25">
      <c r="A18" s="10" t="s">
        <v>16</v>
      </c>
      <c r="B18" s="10"/>
      <c r="C18" s="10">
        <f>SUM(B19:B22)</f>
        <v>22.5</v>
      </c>
      <c r="F18" s="10" t="s">
        <v>10</v>
      </c>
      <c r="G18" s="10">
        <v>10</v>
      </c>
      <c r="H18" s="10">
        <v>22.5</v>
      </c>
    </row>
    <row r="19" spans="1:8" x14ac:dyDescent="0.25">
      <c r="A19" s="11" t="s">
        <v>17</v>
      </c>
      <c r="B19" s="10">
        <v>3</v>
      </c>
      <c r="F19" s="10" t="s">
        <v>26</v>
      </c>
      <c r="G19" s="10">
        <v>6.5</v>
      </c>
      <c r="H19" s="10">
        <v>6.5</v>
      </c>
    </row>
    <row r="20" spans="1:8" x14ac:dyDescent="0.25">
      <c r="A20" s="11" t="s">
        <v>18</v>
      </c>
      <c r="B20" s="10">
        <v>0.5</v>
      </c>
      <c r="F20" s="10" t="s">
        <v>27</v>
      </c>
      <c r="G20" s="10">
        <v>0</v>
      </c>
      <c r="H20" s="10">
        <v>6</v>
      </c>
    </row>
    <row r="21" spans="1:8" ht="16.5" thickBot="1" x14ac:dyDescent="0.3">
      <c r="A21" s="11" t="s">
        <v>19</v>
      </c>
      <c r="B21" s="10">
        <v>16</v>
      </c>
      <c r="F21" s="13" t="s">
        <v>13</v>
      </c>
      <c r="G21" s="15">
        <f>SUM(G17:G20)</f>
        <v>79.5</v>
      </c>
      <c r="H21" s="15">
        <f>SUM(H17:H20)</f>
        <v>110</v>
      </c>
    </row>
    <row r="22" spans="1:8" ht="16.5" thickTop="1" x14ac:dyDescent="0.25">
      <c r="A22" s="11" t="s">
        <v>20</v>
      </c>
      <c r="B22" s="10">
        <v>3</v>
      </c>
    </row>
    <row r="23" spans="1:8" x14ac:dyDescent="0.25">
      <c r="A23" s="10" t="s">
        <v>15</v>
      </c>
      <c r="B23" s="10"/>
      <c r="C23" s="10">
        <f>SUM(B24:B25)</f>
        <v>12.5</v>
      </c>
    </row>
    <row r="24" spans="1:8" x14ac:dyDescent="0.25">
      <c r="A24" s="12" t="s">
        <v>23</v>
      </c>
      <c r="B24" s="12">
        <v>6.5</v>
      </c>
      <c r="C24" s="10"/>
    </row>
    <row r="25" spans="1:8" x14ac:dyDescent="0.25">
      <c r="A25" s="10" t="s">
        <v>22</v>
      </c>
      <c r="B25" s="10">
        <f>0.5*12</f>
        <v>6</v>
      </c>
      <c r="C25" s="10"/>
    </row>
    <row r="26" spans="1:8" x14ac:dyDescent="0.25">
      <c r="A26" s="10" t="s">
        <v>21</v>
      </c>
      <c r="B26" s="10"/>
      <c r="C26" s="10">
        <f>SUM(C17:C23)</f>
        <v>110</v>
      </c>
    </row>
  </sheetData>
  <pageMargins left="0.7" right="0.7" top="0.75" bottom="0.75" header="0.3" footer="0.3"/>
  <pageSetup paperSize="9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0BAA9A-716A-4D72-BE3E-978E04D1EF59}">
  <dimension ref="B1:I12"/>
  <sheetViews>
    <sheetView tabSelected="1" workbookViewId="0">
      <selection activeCell="G30" sqref="G30"/>
    </sheetView>
  </sheetViews>
  <sheetFormatPr defaultRowHeight="15.75" x14ac:dyDescent="0.25"/>
  <cols>
    <col min="1" max="1" width="7" customWidth="1"/>
    <col min="2" max="2" width="24.625" bestFit="1" customWidth="1"/>
    <col min="3" max="3" width="11.25" customWidth="1"/>
    <col min="4" max="4" width="13.625" customWidth="1"/>
    <col min="5" max="5" width="11.5" customWidth="1"/>
    <col min="6" max="6" width="11.75" bestFit="1" customWidth="1"/>
    <col min="7" max="7" width="15.5" bestFit="1" customWidth="1"/>
    <col min="8" max="8" width="5" customWidth="1"/>
    <col min="9" max="9" width="104" bestFit="1" customWidth="1"/>
  </cols>
  <sheetData>
    <row r="1" spans="2:9" ht="8.25" customHeight="1" x14ac:dyDescent="0.25"/>
    <row r="2" spans="2:9" x14ac:dyDescent="0.25">
      <c r="B2" s="13" t="s">
        <v>0</v>
      </c>
      <c r="C2" s="13" t="s">
        <v>30</v>
      </c>
      <c r="D2" s="13" t="s">
        <v>25</v>
      </c>
      <c r="E2" s="13" t="s">
        <v>31</v>
      </c>
      <c r="F2" s="13" t="s">
        <v>39</v>
      </c>
      <c r="G2" s="13" t="s">
        <v>40</v>
      </c>
      <c r="I2" s="16" t="s">
        <v>32</v>
      </c>
    </row>
    <row r="3" spans="2:9" x14ac:dyDescent="0.25">
      <c r="B3" s="10" t="s">
        <v>29</v>
      </c>
      <c r="C3" s="10">
        <f>10+48+5</f>
        <v>63</v>
      </c>
      <c r="D3" s="10">
        <v>75</v>
      </c>
      <c r="E3" s="10">
        <v>235</v>
      </c>
      <c r="F3" s="17">
        <f>E3/C3</f>
        <v>3.7301587301587302</v>
      </c>
      <c r="G3" s="17">
        <f>E3/D3</f>
        <v>3.1333333333333333</v>
      </c>
      <c r="I3" t="s">
        <v>66</v>
      </c>
    </row>
    <row r="4" spans="2:9" x14ac:dyDescent="0.25">
      <c r="B4" s="10" t="s">
        <v>10</v>
      </c>
      <c r="C4" s="10">
        <v>10</v>
      </c>
      <c r="D4" s="10">
        <v>22.25</v>
      </c>
      <c r="E4" s="10">
        <v>20</v>
      </c>
      <c r="F4" s="17">
        <f>E4/C4</f>
        <v>2</v>
      </c>
      <c r="G4" s="17">
        <f>E4/D4</f>
        <v>0.898876404494382</v>
      </c>
      <c r="I4" t="s">
        <v>33</v>
      </c>
    </row>
    <row r="5" spans="2:9" x14ac:dyDescent="0.25">
      <c r="B5" s="10" t="s">
        <v>23</v>
      </c>
      <c r="C5" s="10">
        <v>6.5</v>
      </c>
      <c r="D5" s="10">
        <v>6.5</v>
      </c>
      <c r="E5" s="10">
        <v>0.75</v>
      </c>
      <c r="F5" s="17">
        <f>E5/C5</f>
        <v>0.11538461538461539</v>
      </c>
      <c r="G5" s="17">
        <f>E5/D5</f>
        <v>0.11538461538461539</v>
      </c>
      <c r="I5" t="s">
        <v>41</v>
      </c>
    </row>
    <row r="6" spans="2:9" x14ac:dyDescent="0.25">
      <c r="B6" s="10" t="s">
        <v>38</v>
      </c>
      <c r="C6" s="10"/>
      <c r="D6" s="10">
        <v>6</v>
      </c>
      <c r="E6" s="10"/>
      <c r="F6" s="17"/>
      <c r="G6" s="17"/>
      <c r="I6" t="s">
        <v>34</v>
      </c>
    </row>
    <row r="7" spans="2:9" x14ac:dyDescent="0.25">
      <c r="B7" s="21" t="s">
        <v>21</v>
      </c>
      <c r="C7" s="21">
        <f>SUM(C3:C5)</f>
        <v>79.5</v>
      </c>
      <c r="D7" s="21">
        <v>110</v>
      </c>
      <c r="E7" s="21">
        <f>SUM(E3:E5)</f>
        <v>255.75</v>
      </c>
      <c r="F7" s="22">
        <f>E7/C7</f>
        <v>3.2169811320754715</v>
      </c>
      <c r="G7" s="22">
        <f>E7/D7</f>
        <v>2.3250000000000002</v>
      </c>
      <c r="I7" s="18" t="s">
        <v>35</v>
      </c>
    </row>
    <row r="8" spans="2:9" x14ac:dyDescent="0.25">
      <c r="B8" s="10" t="s">
        <v>55</v>
      </c>
      <c r="C8" s="23">
        <v>9540</v>
      </c>
      <c r="D8" s="23">
        <v>13200</v>
      </c>
      <c r="E8" s="23">
        <f>E7*120</f>
        <v>30690</v>
      </c>
      <c r="F8" s="10"/>
      <c r="G8" s="10"/>
      <c r="I8" s="18" t="s">
        <v>36</v>
      </c>
    </row>
    <row r="9" spans="2:9" x14ac:dyDescent="0.25">
      <c r="I9" t="s">
        <v>37</v>
      </c>
    </row>
    <row r="10" spans="2:9" x14ac:dyDescent="0.25">
      <c r="B10" s="13" t="s">
        <v>0</v>
      </c>
      <c r="C10" s="13" t="s">
        <v>30</v>
      </c>
      <c r="D10" s="24"/>
      <c r="E10" s="13" t="s">
        <v>31</v>
      </c>
      <c r="F10" s="13" t="s">
        <v>39</v>
      </c>
      <c r="G10" s="24"/>
    </row>
    <row r="11" spans="2:9" x14ac:dyDescent="0.25">
      <c r="B11" s="10" t="s">
        <v>36</v>
      </c>
      <c r="C11" s="10">
        <v>14</v>
      </c>
      <c r="D11" s="25"/>
      <c r="E11" s="10">
        <v>37</v>
      </c>
      <c r="F11" s="17">
        <f>E11/C11</f>
        <v>2.6428571428571428</v>
      </c>
      <c r="G11" s="25"/>
    </row>
    <row r="12" spans="2:9" x14ac:dyDescent="0.25">
      <c r="B12" s="10" t="s">
        <v>55</v>
      </c>
      <c r="C12" s="23">
        <v>2100</v>
      </c>
      <c r="D12" s="25"/>
      <c r="E12" s="23">
        <f>E11*150</f>
        <v>5550</v>
      </c>
      <c r="F12" s="10"/>
      <c r="G12" s="25"/>
    </row>
  </sheetData>
  <pageMargins left="0.7" right="0.7" top="0.75" bottom="0.75" header="0.3" footer="0.3"/>
  <pageSetup paperSize="9" orientation="portrait" r:id="rId1"/>
  <drawing r:id="rId2"/>
  <legacyDrawing r:id="rId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41DB61-D514-47C2-91BA-301EA7972ADB}">
  <dimension ref="A2:T13"/>
  <sheetViews>
    <sheetView workbookViewId="0">
      <selection activeCell="I28" sqref="I28"/>
    </sheetView>
  </sheetViews>
  <sheetFormatPr defaultRowHeight="15.75" x14ac:dyDescent="0.25"/>
  <cols>
    <col min="1" max="1" width="14.25" customWidth="1"/>
    <col min="2" max="2" width="7.625" bestFit="1" customWidth="1"/>
    <col min="3" max="4" width="6.875" bestFit="1" customWidth="1"/>
    <col min="5" max="6" width="9.25" bestFit="1" customWidth="1"/>
    <col min="7" max="10" width="6.875" bestFit="1" customWidth="1"/>
    <col min="11" max="13" width="7.875" bestFit="1" customWidth="1"/>
    <col min="17" max="17" width="9.25" bestFit="1" customWidth="1"/>
  </cols>
  <sheetData>
    <row r="2" spans="1:20" x14ac:dyDescent="0.25">
      <c r="B2" s="19" t="s">
        <v>42</v>
      </c>
      <c r="C2" s="19" t="s">
        <v>43</v>
      </c>
      <c r="D2" s="19" t="s">
        <v>44</v>
      </c>
      <c r="E2" s="19" t="s">
        <v>45</v>
      </c>
      <c r="F2" s="19" t="s">
        <v>46</v>
      </c>
      <c r="G2" s="19" t="s">
        <v>47</v>
      </c>
      <c r="H2" s="19" t="s">
        <v>48</v>
      </c>
      <c r="I2" s="19" t="s">
        <v>49</v>
      </c>
      <c r="J2" s="19" t="s">
        <v>50</v>
      </c>
      <c r="K2" s="19" t="s">
        <v>51</v>
      </c>
      <c r="L2" s="19" t="s">
        <v>52</v>
      </c>
      <c r="M2" s="19" t="s">
        <v>53</v>
      </c>
      <c r="N2" s="19" t="s">
        <v>58</v>
      </c>
      <c r="O2" s="19" t="s">
        <v>59</v>
      </c>
      <c r="P2" s="19" t="s">
        <v>60</v>
      </c>
      <c r="Q2" s="19" t="s">
        <v>61</v>
      </c>
      <c r="R2" s="19" t="s">
        <v>62</v>
      </c>
      <c r="S2" s="19" t="s">
        <v>63</v>
      </c>
      <c r="T2" s="19" t="s">
        <v>64</v>
      </c>
    </row>
    <row r="3" spans="1:20" x14ac:dyDescent="0.25">
      <c r="B3" s="20">
        <v>45432</v>
      </c>
      <c r="C3" s="20">
        <v>45439</v>
      </c>
      <c r="D3" s="20">
        <v>45446</v>
      </c>
      <c r="E3" s="20">
        <v>45453</v>
      </c>
      <c r="F3" s="20">
        <v>45460</v>
      </c>
      <c r="G3" s="20">
        <v>45467</v>
      </c>
      <c r="H3" s="20">
        <v>45474</v>
      </c>
      <c r="I3" s="20">
        <v>45481</v>
      </c>
      <c r="J3" s="20">
        <v>45488</v>
      </c>
      <c r="K3" s="20">
        <v>45495</v>
      </c>
      <c r="L3" s="20">
        <v>45502</v>
      </c>
      <c r="M3" s="20">
        <v>45509</v>
      </c>
      <c r="N3" s="20">
        <v>45516</v>
      </c>
      <c r="O3" s="20">
        <v>45523</v>
      </c>
      <c r="P3" s="20">
        <v>45530</v>
      </c>
      <c r="Q3" s="20">
        <v>45537</v>
      </c>
      <c r="R3" s="20">
        <v>45544</v>
      </c>
      <c r="S3" s="20">
        <v>45551</v>
      </c>
      <c r="T3" s="20">
        <v>45558</v>
      </c>
    </row>
    <row r="4" spans="1:20" x14ac:dyDescent="0.25">
      <c r="A4" s="28" t="s">
        <v>56</v>
      </c>
      <c r="B4" s="27" t="s">
        <v>4</v>
      </c>
      <c r="C4" s="27"/>
      <c r="D4" s="27"/>
      <c r="E4" s="27"/>
      <c r="F4" s="27"/>
      <c r="G4" s="10"/>
      <c r="H4" s="10"/>
      <c r="I4" s="10"/>
      <c r="J4" s="10"/>
      <c r="K4" s="10"/>
      <c r="L4" s="10"/>
      <c r="M4" s="10"/>
      <c r="N4" s="10"/>
      <c r="O4" s="10"/>
      <c r="P4" s="10"/>
      <c r="Q4" s="10"/>
      <c r="R4" s="10"/>
      <c r="S4" s="10"/>
      <c r="T4" s="10"/>
    </row>
    <row r="5" spans="1:20" x14ac:dyDescent="0.25">
      <c r="A5" s="28"/>
      <c r="B5" s="27"/>
      <c r="C5" s="27" t="s">
        <v>6</v>
      </c>
      <c r="D5" s="27"/>
      <c r="E5" s="27"/>
      <c r="F5" s="27"/>
      <c r="G5" s="10"/>
      <c r="H5" s="10"/>
      <c r="I5" s="10"/>
      <c r="J5" s="10"/>
      <c r="K5" s="10"/>
      <c r="L5" s="10"/>
      <c r="M5" s="10"/>
      <c r="N5" s="10"/>
      <c r="O5" s="10"/>
      <c r="P5" s="10"/>
      <c r="Q5" s="10"/>
      <c r="R5" s="10"/>
      <c r="S5" s="10"/>
      <c r="T5" s="10"/>
    </row>
    <row r="6" spans="1:20" x14ac:dyDescent="0.25">
      <c r="A6" s="28"/>
      <c r="B6" s="27"/>
      <c r="C6" s="27"/>
      <c r="D6" s="27" t="s">
        <v>10</v>
      </c>
      <c r="E6" s="27"/>
      <c r="F6" s="27"/>
      <c r="G6" s="10"/>
      <c r="H6" s="10"/>
      <c r="I6" s="10"/>
      <c r="J6" s="10"/>
      <c r="K6" s="10"/>
      <c r="L6" s="10"/>
      <c r="M6" s="10"/>
      <c r="N6" s="10"/>
      <c r="O6" s="10"/>
      <c r="P6" s="10"/>
      <c r="Q6" s="10"/>
      <c r="R6" s="10"/>
      <c r="S6" s="10"/>
      <c r="T6" s="10"/>
    </row>
    <row r="7" spans="1:20" x14ac:dyDescent="0.25">
      <c r="A7" s="28"/>
      <c r="B7" s="27"/>
      <c r="C7" s="27"/>
      <c r="D7" s="27"/>
      <c r="E7" s="27" t="s">
        <v>65</v>
      </c>
      <c r="F7" s="27"/>
      <c r="G7" s="10"/>
      <c r="H7" s="10"/>
      <c r="I7" s="10"/>
      <c r="J7" s="10"/>
      <c r="K7" s="10"/>
      <c r="L7" s="10"/>
      <c r="M7" s="10"/>
      <c r="N7" s="10"/>
      <c r="O7" s="10"/>
      <c r="P7" s="10"/>
      <c r="Q7" s="10"/>
      <c r="R7" s="10"/>
      <c r="S7" s="10"/>
      <c r="T7" s="10"/>
    </row>
    <row r="8" spans="1:20" x14ac:dyDescent="0.25">
      <c r="A8" s="28"/>
      <c r="B8" s="27"/>
      <c r="C8" s="27"/>
      <c r="D8" s="27"/>
      <c r="E8" s="27" t="s">
        <v>54</v>
      </c>
      <c r="F8" s="27" t="s">
        <v>54</v>
      </c>
      <c r="G8" s="10"/>
      <c r="H8" s="10"/>
      <c r="I8" s="10"/>
      <c r="J8" s="10"/>
      <c r="K8" s="10"/>
      <c r="L8" s="10"/>
      <c r="M8" s="10"/>
      <c r="N8" s="10"/>
      <c r="O8" s="10"/>
      <c r="P8" s="10"/>
      <c r="Q8" s="10"/>
      <c r="R8" s="10"/>
      <c r="S8" s="10"/>
      <c r="T8" s="10"/>
    </row>
    <row r="9" spans="1:20" x14ac:dyDescent="0.25">
      <c r="A9" s="29" t="s">
        <v>57</v>
      </c>
      <c r="B9" s="26" t="s">
        <v>4</v>
      </c>
      <c r="C9" s="26"/>
      <c r="D9" s="26"/>
      <c r="E9" s="26"/>
      <c r="F9" s="26"/>
      <c r="G9" s="26"/>
      <c r="H9" s="26"/>
      <c r="I9" s="26"/>
      <c r="J9" s="26"/>
      <c r="K9" s="26"/>
      <c r="L9" s="26"/>
      <c r="M9" s="26"/>
      <c r="N9" s="26"/>
      <c r="O9" s="26"/>
      <c r="P9" s="26"/>
      <c r="Q9" s="26"/>
      <c r="R9" s="26"/>
      <c r="S9" s="26"/>
      <c r="T9" s="26"/>
    </row>
    <row r="10" spans="1:20" x14ac:dyDescent="0.25">
      <c r="A10" s="29"/>
      <c r="B10" s="26"/>
      <c r="C10" s="26" t="s">
        <v>6</v>
      </c>
      <c r="D10" s="26"/>
      <c r="E10" s="26" t="s">
        <v>6</v>
      </c>
      <c r="F10" s="26"/>
      <c r="G10" s="26"/>
      <c r="H10" s="26"/>
      <c r="I10" s="26"/>
      <c r="J10" s="26"/>
      <c r="K10" s="26"/>
      <c r="L10" s="26"/>
      <c r="M10" s="26"/>
      <c r="N10" s="26"/>
      <c r="O10" s="26"/>
      <c r="P10" s="26"/>
      <c r="Q10" s="26"/>
      <c r="R10" s="26"/>
      <c r="S10" s="26"/>
      <c r="T10" s="26"/>
    </row>
    <row r="11" spans="1:20" x14ac:dyDescent="0.25">
      <c r="A11" s="29"/>
      <c r="B11" s="26"/>
      <c r="C11" s="26"/>
      <c r="D11" s="26"/>
      <c r="E11" s="26"/>
      <c r="F11" s="26"/>
      <c r="G11" s="26"/>
      <c r="H11" s="26"/>
      <c r="I11" s="26"/>
      <c r="J11" s="26"/>
      <c r="K11" s="26" t="s">
        <v>10</v>
      </c>
      <c r="L11" s="26"/>
      <c r="M11" s="26"/>
      <c r="N11" s="26"/>
      <c r="O11" s="26"/>
      <c r="P11" s="26"/>
      <c r="Q11" s="26"/>
      <c r="R11" s="26"/>
      <c r="S11" s="26"/>
      <c r="T11" s="26"/>
    </row>
    <row r="12" spans="1:20" x14ac:dyDescent="0.25">
      <c r="A12" s="29"/>
      <c r="B12" s="26"/>
      <c r="C12" s="26"/>
      <c r="D12" s="26"/>
      <c r="E12" s="26"/>
      <c r="F12" s="26"/>
      <c r="G12" s="26"/>
      <c r="H12" s="26"/>
      <c r="I12" s="26"/>
      <c r="J12" s="26"/>
      <c r="K12" s="26"/>
      <c r="L12" s="26"/>
      <c r="M12" s="26"/>
      <c r="N12" s="26"/>
      <c r="O12" s="26"/>
      <c r="P12" s="26"/>
      <c r="Q12" s="26" t="s">
        <v>65</v>
      </c>
      <c r="R12" s="26"/>
      <c r="S12" s="26"/>
      <c r="T12" s="26"/>
    </row>
    <row r="13" spans="1:20" x14ac:dyDescent="0.25">
      <c r="A13" s="29"/>
      <c r="B13" s="26"/>
      <c r="C13" s="26"/>
      <c r="D13" s="26"/>
      <c r="E13" s="26"/>
      <c r="F13" s="26"/>
      <c r="G13" s="26"/>
      <c r="H13" s="26"/>
      <c r="I13" s="26"/>
      <c r="J13" s="26"/>
      <c r="K13" s="26"/>
      <c r="L13" s="26"/>
      <c r="M13" s="26"/>
      <c r="N13" s="26"/>
      <c r="O13" s="26"/>
      <c r="P13" s="26"/>
      <c r="Q13" s="26" t="s">
        <v>54</v>
      </c>
      <c r="R13" s="26" t="s">
        <v>54</v>
      </c>
      <c r="S13" s="26"/>
      <c r="T13" s="26"/>
    </row>
  </sheetData>
  <mergeCells count="2">
    <mergeCell ref="A4:A8"/>
    <mergeCell ref="A9:A13"/>
  </mergeCells>
  <phoneticPr fontId="5" type="noConversion"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f0dc22cb723843c1bfbb2e8bcc9db6e4 xmlns="1ffbd5dc-7a64-4097-8396-87f6c90b212f">
      <Terms xmlns="http://schemas.microsoft.com/office/infopath/2007/PartnerControls"/>
    </f0dc22cb723843c1bfbb2e8bcc9db6e4>
    <nae5750f31d8428b9a1182bd8e59d390 xmlns="1ffbd5dc-7a64-4097-8396-87f6c90b212f">
      <Terms xmlns="http://schemas.microsoft.com/office/infopath/2007/PartnerControls">
        <TermInfo xmlns="http://schemas.microsoft.com/office/infopath/2007/PartnerControls">
          <TermName xmlns="http://schemas.microsoft.com/office/infopath/2007/PartnerControls">Enterprise Solutions</TermName>
          <TermId xmlns="http://schemas.microsoft.com/office/infopath/2007/PartnerControls">08c57b01-67e8-4a4f-abc6-ffb3392ace7f</TermId>
        </TermInfo>
      </Terms>
    </nae5750f31d8428b9a1182bd8e59d390>
    <TaxCatchAll xmlns="1ffbd5dc-7a64-4097-8396-87f6c90b212f">
      <Value>6</Value>
      <Value>5</Value>
      <Value>4</Value>
    </TaxCatchAll>
    <k6ebf865df8440b3a55c1aa81c9bae7c xmlns="1ffbd5dc-7a64-4097-8396-87f6c90b212f">
      <Terms xmlns="http://schemas.microsoft.com/office/infopath/2007/PartnerControls">
        <TermInfo xmlns="http://schemas.microsoft.com/office/infopath/2007/PartnerControls">
          <TermName xmlns="http://schemas.microsoft.com/office/infopath/2007/PartnerControls">Generic Project Document</TermName>
          <TermId xmlns="http://schemas.microsoft.com/office/infopath/2007/PartnerControls">258c2ed6-b93b-4ffe-8901-a23f2dc98ec9</TermId>
        </TermInfo>
      </Terms>
    </k6ebf865df8440b3a55c1aa81c9bae7c>
    <ica44df5449d49f98766f83f0bd254a7 xmlns="1ffbd5dc-7a64-4097-8396-87f6c90b212f">
      <Terms xmlns="http://schemas.microsoft.com/office/infopath/2007/PartnerControls">
        <TermInfo xmlns="http://schemas.microsoft.com/office/infopath/2007/PartnerControls">
          <TermName xmlns="http://schemas.microsoft.com/office/infopath/2007/PartnerControls">Grainger PLC</TermName>
          <TermId xmlns="http://schemas.microsoft.com/office/infopath/2007/PartnerControls">a74f1cb5-e995-4f9e-8521-6d52e2c6bf08</TermId>
        </TermInfo>
      </Terms>
    </ica44df5449d49f98766f83f0bd254a7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Client Project Document" ma:contentTypeID="0x010100B16301FA1C2D5E4DB9305F31D037531D02070300B4E123A7400DE24C83BA9D1BFCD12C10" ma:contentTypeVersion="3" ma:contentTypeDescription="A document associated with a project for a client." ma:contentTypeScope="" ma:versionID="9d6581bc5c99e8ea3938d4fa8ba888f5">
  <xsd:schema xmlns:xsd="http://www.w3.org/2001/XMLSchema" xmlns:xs="http://www.w3.org/2001/XMLSchema" xmlns:p="http://schemas.microsoft.com/office/2006/metadata/properties" xmlns:ns2="1ffbd5dc-7a64-4097-8396-87f6c90b212f" targetNamespace="http://schemas.microsoft.com/office/2006/metadata/properties" ma:root="true" ma:fieldsID="a0c1b2c62e26289b034b466cfffa7cd3" ns2:_="">
    <xsd:import namespace="1ffbd5dc-7a64-4097-8396-87f6c90b212f"/>
    <xsd:element name="properties">
      <xsd:complexType>
        <xsd:sequence>
          <xsd:element name="documentManagement">
            <xsd:complexType>
              <xsd:all>
                <xsd:element ref="ns2:TaxCatchAll" minOccurs="0"/>
                <xsd:element ref="ns2:TaxCatchAllLabel" minOccurs="0"/>
                <xsd:element ref="ns2:nae5750f31d8428b9a1182bd8e59d390" minOccurs="0"/>
                <xsd:element ref="ns2:ica44df5449d49f98766f83f0bd254a7" minOccurs="0"/>
                <xsd:element ref="ns2:f0dc22cb723843c1bfbb2e8bcc9db6e4" minOccurs="0"/>
                <xsd:element ref="ns2:k6ebf865df8440b3a55c1aa81c9bae7c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ffbd5dc-7a64-4097-8396-87f6c90b212f" elementFormDefault="qualified">
    <xsd:import namespace="http://schemas.microsoft.com/office/2006/documentManagement/types"/>
    <xsd:import namespace="http://schemas.microsoft.com/office/infopath/2007/PartnerControls"/>
    <xsd:element name="TaxCatchAll" ma:index="8" nillable="true" ma:displayName="Taxonomy Catch All Column" ma:hidden="true" ma:list="{45250ea2-cfef-416b-9e22-46de40794d29}" ma:internalName="TaxCatchAll" ma:showField="CatchAllData" ma:web="025eec05-af72-44fb-9d53-267083c6e741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TaxCatchAllLabel" ma:index="9" nillable="true" ma:displayName="Taxonomy Catch All Column1" ma:hidden="true" ma:list="{45250ea2-cfef-416b-9e22-46de40794d29}" ma:internalName="TaxCatchAllLabel" ma:readOnly="true" ma:showField="CatchAllDataLabel" ma:web="025eec05-af72-44fb-9d53-267083c6e741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nae5750f31d8428b9a1182bd8e59d390" ma:index="10" ma:taxonomy="true" ma:internalName="nae5750f31d8428b9a1182bd8e59d390" ma:taxonomyFieldName="Division" ma:displayName="Division" ma:readOnly="false" ma:default="1;#Custom Software|cecfb662-fc63-4c9e-b6e4-2e3797fe6f4f" ma:fieldId="{7ae5750f-31d8-428b-9a11-82bd8e59d390}" ma:sspId="5676dd91-060c-4b71-810a-dbdca5582071" ma:termSetId="32b39d25-b397-4982-8e8d-74d5df186044" ma:anchorId="00000000-0000-0000-0000-000000000000" ma:open="false" ma:isKeyword="false">
      <xsd:complexType>
        <xsd:sequence>
          <xsd:element ref="pc:Terms" minOccurs="0" maxOccurs="1"/>
        </xsd:sequence>
      </xsd:complexType>
    </xsd:element>
    <xsd:element name="ica44df5449d49f98766f83f0bd254a7" ma:index="12" ma:taxonomy="true" ma:internalName="ica44df5449d49f98766f83f0bd254a7" ma:taxonomyFieldName="Client" ma:displayName="Client" ma:default="6;#Grainger PLC|a74f1cb5-e995-4f9e-8521-6d52e2c6bf08" ma:fieldId="{2ca44df5-449d-49f9-8766-f83f0bd254a7}" ma:sspId="5676dd91-060c-4b71-810a-dbdca5582071" ma:termSetId="26f19758-7225-4257-8796-285d454d16a6" ma:anchorId="00000000-0000-0000-0000-000000000000" ma:open="false" ma:isKeyword="false">
      <xsd:complexType>
        <xsd:sequence>
          <xsd:element ref="pc:Terms" minOccurs="0" maxOccurs="1"/>
        </xsd:sequence>
      </xsd:complexType>
    </xsd:element>
    <xsd:element name="f0dc22cb723843c1bfbb2e8bcc9db6e4" ma:index="14" nillable="true" ma:taxonomy="true" ma:internalName="f0dc22cb723843c1bfbb2e8bcc9db6e4" ma:taxonomyFieldName="Client_x0020_Project" ma:displayName="Client Application" ma:default="" ma:fieldId="{f0dc22cb-7238-43c1-bfbb-2e8bcc9db6e4}" ma:sspId="5676dd91-060c-4b71-810a-dbdca5582071" ma:termSetId="503923a6-a4d2-4c0f-8ec0-fee4966b50a0" ma:anchorId="00000000-0000-0000-0000-000000000000" ma:open="false" ma:isKeyword="false">
      <xsd:complexType>
        <xsd:sequence>
          <xsd:element ref="pc:Terms" minOccurs="0" maxOccurs="1"/>
        </xsd:sequence>
      </xsd:complexType>
    </xsd:element>
    <xsd:element name="k6ebf865df8440b3a55c1aa81c9bae7c" ma:index="16" nillable="true" ma:taxonomy="true" ma:internalName="k6ebf865df8440b3a55c1aa81c9bae7c" ma:taxonomyFieldName="Project_x0020_Document_x0020_Type" ma:displayName="Project Document Type" ma:default="4;#Generic Project Document|258c2ed6-b93b-4ffe-8901-a23f2dc98ec9" ma:fieldId="{46ebf865-df84-40b3-a55c-1aa81c9bae7c}" ma:sspId="5676dd91-060c-4b71-810a-dbdca5582071" ma:termSetId="79e5d870-6e8b-4a88-8554-c2a1e06e1585" ma:anchorId="00000000-0000-0000-0000-000000000000" ma:open="false" ma:isKeyword="false">
      <xsd:complexType>
        <xsd:sequence>
          <xsd:element ref="pc:Terms" minOccurs="0" maxOccurs="1"/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4.xml><?xml version="1.0" encoding="utf-8"?>
<?mso-contentType ?>
<SharedContentType xmlns="Microsoft.SharePoint.Taxonomy.ContentTypeSync" SourceId="5676dd91-060c-4b71-810a-dbdca5582071" ContentTypeId="0x010100B16301FA1C2D5E4DB9305F31D037531D020703" PreviousValue="false"/>
</file>

<file path=customXml/itemProps1.xml><?xml version="1.0" encoding="utf-8"?>
<ds:datastoreItem xmlns:ds="http://schemas.openxmlformats.org/officeDocument/2006/customXml" ds:itemID="{72C64003-5796-4C7D-870A-F1BC5AA925B6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31EAD39E-F8F2-4B13-B9B2-20218E8392DA}">
  <ds:schemaRefs>
    <ds:schemaRef ds:uri="http://www.w3.org/XML/1998/namespace"/>
    <ds:schemaRef ds:uri="1ffbd5dc-7a64-4097-8396-87f6c90b212f"/>
    <ds:schemaRef ds:uri="http://schemas.openxmlformats.org/package/2006/metadata/core-properties"/>
    <ds:schemaRef ds:uri="http://schemas.microsoft.com/office/infopath/2007/PartnerControls"/>
    <ds:schemaRef ds:uri="http://purl.org/dc/dcmitype/"/>
    <ds:schemaRef ds:uri="http://purl.org/dc/elements/1.1/"/>
    <ds:schemaRef ds:uri="http://purl.org/dc/terms/"/>
    <ds:schemaRef ds:uri="http://schemas.microsoft.com/office/2006/metadata/properties"/>
    <ds:schemaRef ds:uri="http://schemas.microsoft.com/office/2006/documentManagement/types"/>
  </ds:schemaRefs>
</ds:datastoreItem>
</file>

<file path=customXml/itemProps3.xml><?xml version="1.0" encoding="utf-8"?>
<ds:datastoreItem xmlns:ds="http://schemas.openxmlformats.org/officeDocument/2006/customXml" ds:itemID="{DF8A4C4F-E854-41EF-A9DD-8A6B18F5BCB8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1ffbd5dc-7a64-4097-8396-87f6c90b212f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4.xml><?xml version="1.0" encoding="utf-8"?>
<ds:datastoreItem xmlns:ds="http://schemas.openxmlformats.org/officeDocument/2006/customXml" ds:itemID="{8D03083B-4A21-424D-B3B9-F573B12850B8}">
  <ds:schemaRefs>
    <ds:schemaRef ds:uri="Microsoft.SharePoint.Taxonomy.ContentTypeSync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Estimate</vt:lpstr>
      <vt:lpstr>Actuals</vt:lpstr>
      <vt:lpstr>Timelines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Sam Duncan</dc:creator>
  <cp:keywords/>
  <dc:description/>
  <cp:lastModifiedBy>Shaun Barrett</cp:lastModifiedBy>
  <cp:revision/>
  <dcterms:created xsi:type="dcterms:W3CDTF">2024-04-05T16:18:14Z</dcterms:created>
  <dcterms:modified xsi:type="dcterms:W3CDTF">2024-09-30T14:09:59Z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Project Document Type">
    <vt:lpwstr>4;#Generic Project Document|258c2ed6-b93b-4ffe-8901-a23f2dc98ec9</vt:lpwstr>
  </property>
  <property fmtid="{D5CDD505-2E9C-101B-9397-08002B2CF9AE}" pid="3" name="ContentTypeId">
    <vt:lpwstr>0x010100B16301FA1C2D5E4DB9305F31D037531D02070300B4E123A7400DE24C83BA9D1BFCD12C10</vt:lpwstr>
  </property>
  <property fmtid="{D5CDD505-2E9C-101B-9397-08002B2CF9AE}" pid="4" name="Division">
    <vt:lpwstr>5;#Enterprise Solutions|08c57b01-67e8-4a4f-abc6-ffb3392ace7f</vt:lpwstr>
  </property>
  <property fmtid="{D5CDD505-2E9C-101B-9397-08002B2CF9AE}" pid="5" name="Client">
    <vt:lpwstr>6;#Grainger PLC|a74f1cb5-e995-4f9e-8521-6d52e2c6bf08</vt:lpwstr>
  </property>
  <property fmtid="{D5CDD505-2E9C-101B-9397-08002B2CF9AE}" pid="6" name="Client Project">
    <vt:lpwstr/>
  </property>
  <property fmtid="{D5CDD505-2E9C-101B-9397-08002B2CF9AE}" pid="7" name="xd_ProgID">
    <vt:lpwstr/>
  </property>
  <property fmtid="{D5CDD505-2E9C-101B-9397-08002B2CF9AE}" pid="8" name="ComplianceAssetId">
    <vt:lpwstr/>
  </property>
  <property fmtid="{D5CDD505-2E9C-101B-9397-08002B2CF9AE}" pid="9" name="TemplateUrl">
    <vt:lpwstr/>
  </property>
  <property fmtid="{D5CDD505-2E9C-101B-9397-08002B2CF9AE}" pid="10" name="_ExtendedDescription">
    <vt:lpwstr/>
  </property>
  <property fmtid="{D5CDD505-2E9C-101B-9397-08002B2CF9AE}" pid="11" name="TriggerFlowInfo">
    <vt:lpwstr/>
  </property>
  <property fmtid="{D5CDD505-2E9C-101B-9397-08002B2CF9AE}" pid="12" name="xd_Signature">
    <vt:bool>false</vt:bool>
  </property>
  <property fmtid="{D5CDD505-2E9C-101B-9397-08002B2CF9AE}" pid="13" name="SharedWithUsers">
    <vt:lpwstr/>
  </property>
  <property fmtid="{D5CDD505-2E9C-101B-9397-08002B2CF9AE}" pid="14" name="MediaServiceImageTags">
    <vt:lpwstr/>
  </property>
  <property fmtid="{D5CDD505-2E9C-101B-9397-08002B2CF9AE}" pid="16" name="lcf76f155ced4ddcb4097134ff3c332f">
    <vt:lpwstr/>
  </property>
  <property fmtid="{D5CDD505-2E9C-101B-9397-08002B2CF9AE}" pid="18" name="Project_x0020_Document_x0020_Type">
    <vt:lpwstr>4;#Generic Project Document|258c2ed6-b93b-4ffe-8901-a23f2dc98ec9</vt:lpwstr>
  </property>
  <property fmtid="{D5CDD505-2E9C-101B-9397-08002B2CF9AE}" pid="19" name="Client_x0020_Project">
    <vt:lpwstr/>
  </property>
</Properties>
</file>