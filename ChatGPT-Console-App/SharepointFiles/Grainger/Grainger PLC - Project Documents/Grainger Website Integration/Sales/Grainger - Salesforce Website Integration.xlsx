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rainger Website Integration/Sales/"/>
    </mc:Choice>
  </mc:AlternateContent>
  <xr:revisionPtr revIDLastSave="787" documentId="8_{3DF7AE86-B219-47AF-B4D2-523F5E82F2A8}" xr6:coauthVersionLast="47" xr6:coauthVersionMax="47" xr10:uidLastSave="{D1F514E4-6A5F-47A1-AC70-F31E91B0350B}"/>
  <bookViews>
    <workbookView xWindow="13095" yWindow="945" windowWidth="15120" windowHeight="11235" firstSheet="7" activeTab="8" xr2:uid="{43EA0AA7-C489-4124-AC31-8D732F135796}"/>
  </bookViews>
  <sheets>
    <sheet name="Automation Questionnaire" sheetId="1" state="hidden" r:id="rId1"/>
    <sheet name="HLQ" sheetId="13" state="hidden" r:id="rId2"/>
    <sheet name="ROI" sheetId="15" state="hidden" r:id="rId3"/>
    <sheet name="2 Week Sprint" sheetId="11" state="hidden" r:id="rId4"/>
    <sheet name="Lookups" sheetId="2" state="hidden" r:id="rId5"/>
    <sheet name="Custom Automation HLQ" sheetId="26" state="hidden" r:id="rId6"/>
    <sheet name="Delivery Cost Estimate" sheetId="17" state="hidden" r:id="rId7"/>
    <sheet name="ROM_Analysis Estimate" sheetId="28" r:id="rId8"/>
    <sheet name="Actuals 18 March" sheetId="29" r:id="rId9"/>
    <sheet name="Project PTA Tasks" sheetId="18" state="hidden" r:id="rId10"/>
  </sheets>
  <definedNames>
    <definedName name="_Toc156926581" localSheetId="7">'ROM_Analysis Estimate'!#REF!</definedName>
    <definedName name="_Toc156926582" localSheetId="7">'ROM_Analysis Estimate'!#REF!</definedName>
    <definedName name="_Toc156926583" localSheetId="7">'ROM_Analysis Estimate'!#REF!</definedName>
    <definedName name="AnalysisActuals">'Delivery Cost Estimate'!$E$27</definedName>
    <definedName name="AnalysisEstimate" localSheetId="5">'Custom Automation HLQ'!$E$25</definedName>
    <definedName name="AnalysisEstimate">'Delivery Cost Estimate'!$E$26</definedName>
    <definedName name="AnalysisHLQ">'Delivery Cost Estimate'!$E$25</definedName>
    <definedName name="BlendedRate" localSheetId="5">'Custom Automation HLQ'!$E$11</definedName>
    <definedName name="BlendedRate" localSheetId="6">'Delivery Cost Estimate'!$E$12</definedName>
    <definedName name="BlendedRateGBP">'2 Week Sprint'!$I$8</definedName>
    <definedName name="BlendedRateUSD">'2 Week Sprint'!$J$8</definedName>
    <definedName name="BuildActuals">'Delivery Cost Estimate'!$E$41</definedName>
    <definedName name="BuildContingency_UnanticipatedComplexity">'Delivery Cost Estimate'!$E$116</definedName>
    <definedName name="BuildDuration">'Custom Automation HLQ'!$E$72</definedName>
    <definedName name="BuildEstimate" localSheetId="5">'Custom Automation HLQ'!$E$37</definedName>
    <definedName name="BuildEstimate">'Delivery Cost Estimate'!$E$40</definedName>
    <definedName name="BuildHLQ">'Delivery Cost Estimate'!$E$39</definedName>
    <definedName name="BuildSprints">'Delivery Cost Estimate'!$D$99</definedName>
    <definedName name="CountBA" localSheetId="5">'Custom Automation HLQ'!$E$18</definedName>
    <definedName name="CountBA">'Delivery Cost Estimate'!$E$19</definedName>
    <definedName name="CountDev" localSheetId="5">'Custom Automation HLQ'!$E$19</definedName>
    <definedName name="CountDev">'Delivery Cost Estimate'!$E$20</definedName>
    <definedName name="CountPM" localSheetId="5">'Custom Automation HLQ'!$E$21</definedName>
    <definedName name="CountPM">'Delivery Cost Estimate'!$E$22</definedName>
    <definedName name="CountQA" localSheetId="5">'Custom Automation HLQ'!$E$6</definedName>
    <definedName name="CountQA">'Delivery Cost Estimate'!$E$7</definedName>
    <definedName name="GoLiveSupportActuals">'Delivery Cost Estimate'!$E$147</definedName>
    <definedName name="GoLiveSupportEstimate" localSheetId="5">'Custom Automation HLQ'!$E$100</definedName>
    <definedName name="GoLiveSupportEstimate">'Delivery Cost Estimate'!$E$146</definedName>
    <definedName name="GoLiveSupportHLQ">'Delivery Cost Estimate'!$E$145</definedName>
    <definedName name="ProjectCostActuals">'Delivery Cost Estimate'!$E$160</definedName>
    <definedName name="ProjectCostEstimate" localSheetId="5">'Custom Automation HLQ'!$E$110</definedName>
    <definedName name="ProjectCostEstimate">'Delivery Cost Estimate'!$E$159</definedName>
    <definedName name="ProjectCostHLQ">'Delivery Cost Estimate'!$E$158</definedName>
    <definedName name="RangeDriver">'Delivery Cost Estimate'!$E$13</definedName>
    <definedName name="SprintDuration">'2 Week Sprint'!$C$2</definedName>
    <definedName name="SumBuildOverheads" localSheetId="5">'Custom Automation HLQ'!$E$71</definedName>
    <definedName name="SumBuildOverheads">'Delivery Cost Estimate'!$E$97</definedName>
    <definedName name="SumFunctionalDevelopment" localSheetId="5">'Custom Automation HLQ'!$E$45</definedName>
    <definedName name="SumFunctionalDevelopment">'Delivery Cost Estimate'!$E$60</definedName>
    <definedName name="SumQA" localSheetId="5">'Custom Automation HLQ'!$E$66</definedName>
    <definedName name="SumQA">'Delivery Cost Estimate'!$E$91</definedName>
    <definedName name="SumTeamSize" localSheetId="5">'Custom Automation HLQ'!$E$17</definedName>
    <definedName name="SumTeamSize">'Delivery Cost Estimate'!$E$18</definedName>
    <definedName name="UserAcceptanceTestingActuals">'Delivery Cost Estimate'!$E$121</definedName>
    <definedName name="UserAcceptanceTestingEstimate" localSheetId="5">'Custom Automation HLQ'!$E$78</definedName>
    <definedName name="UserAcceptanceTestingEstimate">'Delivery Cost Estimate'!$E$120</definedName>
    <definedName name="UserAcceptanceTestingHLQ">'Delivery Cost Estimate'!$E$119</definedName>
  </definedNames>
  <calcPr calcId="191028"/>
  <pivotCaches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" i="29" l="1"/>
  <c r="Q34" i="29"/>
  <c r="T31" i="29"/>
  <c r="J31" i="28"/>
  <c r="K31" i="28"/>
  <c r="T32" i="29"/>
  <c r="T33" i="29" s="1"/>
  <c r="T35" i="29" s="1"/>
  <c r="T36" i="29"/>
  <c r="S30" i="29"/>
  <c r="R30" i="29"/>
  <c r="I35" i="28"/>
  <c r="J34" i="28"/>
  <c r="I16" i="28"/>
  <c r="C17" i="28"/>
  <c r="D15" i="28" s="1"/>
  <c r="C11" i="28"/>
  <c r="C10" i="28"/>
  <c r="C9" i="28"/>
  <c r="D8" i="28" s="1"/>
  <c r="J30" i="28" s="1"/>
  <c r="K30" i="28" s="1"/>
  <c r="C24" i="28"/>
  <c r="D20" i="28" s="1"/>
  <c r="J32" i="28" s="1"/>
  <c r="K32" i="28" s="1"/>
  <c r="D3" i="28"/>
  <c r="J29" i="28" s="1"/>
  <c r="K29" i="28" s="1"/>
  <c r="P10" i="28"/>
  <c r="R9" i="28" s="1"/>
  <c r="D26" i="28"/>
  <c r="J33" i="28" s="1"/>
  <c r="K33" i="28" s="1"/>
  <c r="T26" i="29"/>
  <c r="T25" i="29"/>
  <c r="T27" i="29"/>
  <c r="Q18" i="29"/>
  <c r="T30" i="29" l="1"/>
  <c r="K40" i="28"/>
  <c r="J40" i="28"/>
  <c r="R7" i="28"/>
  <c r="D32" i="28"/>
  <c r="Q7" i="28"/>
  <c r="Q8" i="28"/>
  <c r="Q9" i="28"/>
  <c r="R8" i="28"/>
  <c r="E35" i="28"/>
  <c r="I8" i="28" l="1"/>
  <c r="I9" i="28" s="1"/>
  <c r="R10" i="28"/>
  <c r="Q10" i="28"/>
  <c r="I34" i="28" l="1"/>
  <c r="J8" i="28"/>
  <c r="J9" i="28" s="1"/>
  <c r="J121" i="26"/>
  <c r="J171" i="17"/>
  <c r="E124" i="17" l="1"/>
  <c r="E130" i="17"/>
  <c r="F11" i="13" l="1"/>
  <c r="E18" i="17" l="1"/>
  <c r="E101" i="17" s="1"/>
  <c r="E17" i="26"/>
  <c r="E55" i="17" l="1"/>
  <c r="E50" i="17"/>
  <c r="E66" i="26" l="1"/>
  <c r="D17" i="11"/>
  <c r="E9" i="13"/>
  <c r="E8" i="13"/>
  <c r="F8" i="13" l="1"/>
  <c r="F10" i="13"/>
  <c r="E12" i="17" l="1"/>
  <c r="E11" i="26"/>
  <c r="C10" i="11" l="1"/>
  <c r="C9" i="11"/>
  <c r="C4" i="11"/>
  <c r="E160" i="17" l="1"/>
  <c r="E45" i="26" l="1"/>
  <c r="E72" i="26" s="1"/>
  <c r="E81" i="26"/>
  <c r="F15" i="26"/>
  <c r="E118" i="26"/>
  <c r="F118" i="26" s="1"/>
  <c r="E117" i="26"/>
  <c r="F117" i="26" s="1"/>
  <c r="E100" i="26"/>
  <c r="E92" i="26"/>
  <c r="F16" i="26"/>
  <c r="F17" i="17"/>
  <c r="E60" i="17"/>
  <c r="E91" i="17"/>
  <c r="E107" i="17" l="1"/>
  <c r="E75" i="26"/>
  <c r="E74" i="26"/>
  <c r="E73" i="26"/>
  <c r="E28" i="26"/>
  <c r="E115" i="26" s="1"/>
  <c r="F115" i="26" s="1"/>
  <c r="F100" i="26"/>
  <c r="G118" i="26" s="1"/>
  <c r="H118" i="26" s="1"/>
  <c r="E78" i="26"/>
  <c r="F66" i="26"/>
  <c r="E116" i="17"/>
  <c r="E98" i="17" s="1"/>
  <c r="E108" i="17"/>
  <c r="E111" i="17"/>
  <c r="E110" i="17"/>
  <c r="E109" i="17"/>
  <c r="F91" i="17"/>
  <c r="E116" i="26" l="1"/>
  <c r="E71" i="26"/>
  <c r="E37" i="26" s="1"/>
  <c r="E25" i="26"/>
  <c r="F25" i="26" s="1"/>
  <c r="G115" i="26" s="1"/>
  <c r="H115" i="26" s="1"/>
  <c r="F78" i="26"/>
  <c r="G117" i="26" s="1"/>
  <c r="H117" i="26" s="1"/>
  <c r="F160" i="17"/>
  <c r="F147" i="17"/>
  <c r="F121" i="17"/>
  <c r="F41" i="17"/>
  <c r="F27" i="17"/>
  <c r="E119" i="26" l="1"/>
  <c r="F116" i="26"/>
  <c r="F119" i="26" s="1"/>
  <c r="F37" i="26"/>
  <c r="G116" i="26" s="1"/>
  <c r="H116" i="26" s="1"/>
  <c r="E110" i="26"/>
  <c r="E19" i="11"/>
  <c r="E18" i="11"/>
  <c r="K19" i="11"/>
  <c r="K18" i="11"/>
  <c r="K16" i="11"/>
  <c r="K15" i="11"/>
  <c r="I19" i="11"/>
  <c r="I18" i="11"/>
  <c r="I16" i="11"/>
  <c r="I15" i="11"/>
  <c r="G19" i="11"/>
  <c r="G18" i="11"/>
  <c r="G16" i="11"/>
  <c r="G15" i="11"/>
  <c r="E16" i="11"/>
  <c r="E15" i="11"/>
  <c r="M15" i="11" l="1"/>
  <c r="M20" i="11"/>
  <c r="L15" i="11" s="1"/>
  <c r="F110" i="26"/>
  <c r="E30" i="17"/>
  <c r="E26" i="17" s="1"/>
  <c r="F26" i="17" s="1"/>
  <c r="G165" i="17" s="1"/>
  <c r="H27" i="17" l="1"/>
  <c r="G27" i="17" l="1"/>
  <c r="M16" i="11" l="1"/>
  <c r="N16" i="11" s="1"/>
  <c r="J7" i="11"/>
  <c r="I7" i="11"/>
  <c r="C5" i="11"/>
  <c r="C3" i="11"/>
  <c r="O15" i="11" l="1"/>
  <c r="Q15" i="11" s="1"/>
  <c r="N15" i="11"/>
  <c r="P15" i="11" s="1"/>
  <c r="O16" i="11"/>
  <c r="F165" i="17"/>
  <c r="C20" i="11" l="1"/>
  <c r="E136" i="17" l="1"/>
  <c r="E45" i="17" l="1"/>
  <c r="E44" i="17" s="1"/>
  <c r="E103" i="17"/>
  <c r="E102" i="17"/>
  <c r="E100" i="17" l="1"/>
  <c r="E146" i="17"/>
  <c r="H147" i="17" l="1"/>
  <c r="F146" i="17"/>
  <c r="E120" i="17"/>
  <c r="F120" i="17" s="1"/>
  <c r="E168" i="17"/>
  <c r="F168" i="17" s="1"/>
  <c r="E167" i="17"/>
  <c r="F167" i="17" l="1"/>
  <c r="H121" i="17"/>
  <c r="C7" i="11"/>
  <c r="C6" i="11"/>
  <c r="M18" i="11" l="1"/>
  <c r="M19" i="11"/>
  <c r="O19" i="11" l="1"/>
  <c r="N19" i="11"/>
  <c r="P19" i="11" s="1"/>
  <c r="O18" i="11"/>
  <c r="Q18" i="11" s="1"/>
  <c r="N18" i="11"/>
  <c r="P18" i="11" s="1"/>
  <c r="G147" i="17"/>
  <c r="G168" i="17"/>
  <c r="H168" i="17" s="1"/>
  <c r="Q19" i="11" l="1"/>
  <c r="F7" i="1"/>
  <c r="G19" i="1"/>
  <c r="F19" i="1"/>
  <c r="G10" i="1"/>
  <c r="G12" i="1"/>
  <c r="G13" i="1"/>
  <c r="G14" i="1"/>
  <c r="G15" i="1"/>
  <c r="G16" i="1"/>
  <c r="G17" i="1"/>
  <c r="G18" i="1"/>
  <c r="G6" i="1"/>
  <c r="G7" i="1"/>
  <c r="G9" i="1"/>
  <c r="F10" i="1"/>
  <c r="F9" i="1"/>
  <c r="F11" i="1"/>
  <c r="F12" i="1"/>
  <c r="F15" i="1"/>
  <c r="F16" i="1"/>
  <c r="F17" i="1"/>
  <c r="F18" i="1"/>
  <c r="F20" i="1"/>
  <c r="F21" i="1"/>
  <c r="R9" i="15"/>
  <c r="R10" i="15" s="1"/>
  <c r="R11" i="15" s="1"/>
  <c r="K7" i="15"/>
  <c r="K14" i="15" s="1"/>
  <c r="F8" i="15"/>
  <c r="R16" i="15"/>
  <c r="R21" i="15" s="1"/>
  <c r="R20" i="15"/>
  <c r="R37" i="15" s="1"/>
  <c r="E17" i="11"/>
  <c r="H24" i="1"/>
  <c r="H23" i="1"/>
  <c r="H22" i="1"/>
  <c r="H5" i="1"/>
  <c r="H6" i="1"/>
  <c r="H7" i="1"/>
  <c r="H8" i="1"/>
  <c r="H9" i="1"/>
  <c r="H10" i="1"/>
  <c r="H11" i="1"/>
  <c r="A26" i="2"/>
  <c r="A11" i="2"/>
  <c r="A56" i="2"/>
  <c r="A71" i="2"/>
  <c r="A41" i="2"/>
  <c r="A81" i="2"/>
  <c r="A66" i="2"/>
  <c r="A61" i="2"/>
  <c r="A51" i="2"/>
  <c r="A46" i="2"/>
  <c r="A36" i="2"/>
  <c r="A31" i="2"/>
  <c r="A21" i="2"/>
  <c r="A16" i="2"/>
  <c r="A6" i="2"/>
  <c r="A1" i="2"/>
  <c r="H28" i="1" l="1"/>
  <c r="F28" i="1"/>
  <c r="G11" i="13"/>
  <c r="H17" i="11"/>
  <c r="I17" i="11" s="1"/>
  <c r="J17" i="11"/>
  <c r="K17" i="11" s="1"/>
  <c r="F17" i="11"/>
  <c r="G17" i="11" s="1"/>
  <c r="H27" i="1"/>
  <c r="H29" i="1" s="1"/>
  <c r="R38" i="15"/>
  <c r="F7" i="15" s="1"/>
  <c r="F26" i="1"/>
  <c r="H26" i="1"/>
  <c r="G27" i="1"/>
  <c r="R25" i="15"/>
  <c r="F27" i="1"/>
  <c r="F29" i="1" s="1"/>
  <c r="G28" i="1"/>
  <c r="G26" i="1"/>
  <c r="M17" i="11" l="1"/>
  <c r="G29" i="1"/>
  <c r="H4" i="1" s="1"/>
  <c r="R33" i="15"/>
  <c r="F14" i="15" s="1"/>
  <c r="R32" i="15"/>
  <c r="F6" i="15" s="1"/>
  <c r="F9" i="15" s="1"/>
  <c r="F15" i="15" s="1"/>
  <c r="K20" i="11" l="1"/>
  <c r="I20" i="11"/>
  <c r="F4" i="1"/>
  <c r="H5" i="13" s="1"/>
  <c r="G4" i="1"/>
  <c r="E5" i="13" s="1"/>
  <c r="E10" i="13" l="1"/>
  <c r="G8" i="13"/>
  <c r="F9" i="13"/>
  <c r="H11" i="13"/>
  <c r="E145" i="17" s="1"/>
  <c r="F145" i="17" s="1"/>
  <c r="G146" i="17" s="1"/>
  <c r="G20" i="11"/>
  <c r="H10" i="13"/>
  <c r="E119" i="17" s="1"/>
  <c r="G10" i="13"/>
  <c r="E20" i="11"/>
  <c r="E11" i="13"/>
  <c r="H146" i="17" l="1"/>
  <c r="F119" i="17"/>
  <c r="N17" i="11"/>
  <c r="P16" i="11" s="1"/>
  <c r="O17" i="11"/>
  <c r="Q16" i="11" s="1"/>
  <c r="H8" i="13"/>
  <c r="E25" i="17" s="1"/>
  <c r="H120" i="17" l="1"/>
  <c r="L17" i="11"/>
  <c r="O20" i="11"/>
  <c r="H9" i="13"/>
  <c r="E39" i="17" s="1"/>
  <c r="L16" i="11"/>
  <c r="L18" i="11"/>
  <c r="L19" i="11"/>
  <c r="N20" i="11"/>
  <c r="F25" i="17" l="1"/>
  <c r="H26" i="17"/>
  <c r="F39" i="17"/>
  <c r="G9" i="13"/>
  <c r="G12" i="13" s="1"/>
  <c r="H12" i="13"/>
  <c r="L20" i="11"/>
  <c r="E158" i="17" l="1"/>
  <c r="G26" i="17"/>
  <c r="F158" i="17"/>
  <c r="H165" i="17"/>
  <c r="K6" i="15"/>
  <c r="H119" i="26" l="1"/>
  <c r="G119" i="26"/>
  <c r="F19" i="15"/>
  <c r="F18" i="15"/>
  <c r="H18" i="15" s="1"/>
  <c r="K9" i="15"/>
  <c r="K15" i="15" s="1"/>
  <c r="F20" i="15" s="1"/>
  <c r="H20" i="15" s="1"/>
  <c r="G121" i="17"/>
  <c r="G120" i="17"/>
  <c r="G167" i="17"/>
  <c r="I122" i="26" l="1"/>
  <c r="I121" i="26"/>
  <c r="I123" i="26" s="1"/>
  <c r="I124" i="26" s="1"/>
  <c r="H167" i="17"/>
  <c r="E112" i="17" l="1"/>
  <c r="E106" i="17" s="1"/>
  <c r="E115" i="17" l="1"/>
  <c r="D99" i="17"/>
  <c r="E99" i="17" s="1"/>
  <c r="E166" i="17" l="1"/>
  <c r="E97" i="17"/>
  <c r="E40" i="17" s="1"/>
  <c r="H41" i="17" l="1"/>
  <c r="E159" i="17"/>
  <c r="F40" i="17"/>
  <c r="G166" i="17" s="1"/>
  <c r="H40" i="17"/>
  <c r="E169" i="17"/>
  <c r="F166" i="17"/>
  <c r="F169" i="17" s="1"/>
  <c r="H166" i="17" l="1"/>
  <c r="H169" i="17" s="1"/>
  <c r="G169" i="17"/>
  <c r="H160" i="17"/>
  <c r="H159" i="17"/>
  <c r="G40" i="17"/>
  <c r="G41" i="17"/>
  <c r="F159" i="17"/>
  <c r="I172" i="17" l="1"/>
  <c r="I173" i="17" s="1"/>
  <c r="I174" i="17" s="1"/>
  <c r="I171" i="17"/>
  <c r="G160" i="17"/>
  <c r="G15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tc={D8FA8E23-9BEB-454F-846B-34B8AC1DB379}</author>
    <author>tc={AAD3A82F-0954-41C6-A4F9-3460C74BD17C}</author>
  </authors>
  <commentList>
    <comment ref="G8" authorId="0" shapeId="0" xr:uid="{D8FA8E23-9BEB-454F-846B-34B8AC1DB37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for all cost calculations.</t>
      </text>
    </comment>
    <comment ref="E25" authorId="1" shapeId="0" xr:uid="{AAD3A82F-0954-41C6-A4F9-3460C74BD17C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UAT duration is 2 weeks  as 1 week has proven impratical for typical projects.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tc={AE56CDBD-1566-4B5F-9F69-818EE644F94B}</author>
  </authors>
  <commentList>
    <comment ref="F114" authorId="0" shapeId="0" xr:uid="{AE56CDBD-1566-4B5F-9F69-818EE644F9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not affect cost.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tc={C693D1C5-30F0-4FAA-AD27-5ECF61B5B2D2}</author>
  </authors>
  <commentList>
    <comment ref="F164" authorId="0" shapeId="0" xr:uid="{C693D1C5-30F0-4FAA-AD27-5ECF61B5B2D2}">
      <text>
        <t>[Threaded comment]
Your version of Excel allows you to read this threaded comment; however, any edits to it will get removed if the file is opened in a newer version of Excel. Learn more: https://go.microsoft.com/fwlink/?linkid=870924
Comment:
    Solution Design Document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tc={7C943404-F32B-4FE7-A3B4-9F7EC4012925}</author>
    <author>tc={995EE494-0229-4B72-8756-6CCB84F30B8D}</author>
    <author>tc={BCA90512-842E-49A2-845E-1AACA4CDD8B8}</author>
  </authors>
  <commentList>
    <comment ref="H4" authorId="0" shapeId="0" xr:uid="{7C943404-F32B-4FE7-A3B4-9F7EC40129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if Analysis estimate</t>
      </text>
    </comment>
    <comment ref="B37" authorId="1" shapeId="0" xr:uid="{995EE494-0229-4B72-8756-6CCB84F30B8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>
      </text>
    </comment>
    <comment ref="B40" authorId="2" shapeId="0" xr:uid="{BCA90512-842E-49A2-845E-1AACA4CDD8B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>
      </text>
    </comment>
  </commentList>
</comments>
</file>

<file path=xl/sharedStrings.xml><?xml version="1.0" encoding="utf-8"?>
<sst xmlns="http://schemas.openxmlformats.org/spreadsheetml/2006/main" count="787" uniqueCount="474">
  <si>
    <t>High Level Description</t>
  </si>
  <si>
    <t>High level description of the process</t>
  </si>
  <si>
    <t>Risk</t>
  </si>
  <si>
    <t>Complexity</t>
  </si>
  <si>
    <t>Value</t>
  </si>
  <si>
    <t xml:space="preserve">Please select an option </t>
  </si>
  <si>
    <t>Details</t>
  </si>
  <si>
    <t>Frequency</t>
  </si>
  <si>
    <t>How often is this process performed?</t>
  </si>
  <si>
    <t>1. Low - quarterly or annually</t>
  </si>
  <si>
    <t>Volume</t>
  </si>
  <si>
    <t>How high is the volume of records, data or iterations to be processed? E.g. ten reports per month, hundreds of invoices per day, thousands of transactions per file</t>
  </si>
  <si>
    <t>1. Tens of records</t>
  </si>
  <si>
    <t>Time</t>
  </si>
  <si>
    <t>How much time does the process take on average each time it's performed?</t>
  </si>
  <si>
    <t>1. An hour or less</t>
  </si>
  <si>
    <t>Headcount</t>
  </si>
  <si>
    <t>How many Full Time Equivalent people does this process take to execute in total?</t>
  </si>
  <si>
    <t>1. 1-2 FTEs</t>
  </si>
  <si>
    <t>Seniority</t>
  </si>
  <si>
    <t>What's the seniority of the typical FTE working on this process?</t>
  </si>
  <si>
    <t>1. Junior</t>
  </si>
  <si>
    <t>Scope</t>
  </si>
  <si>
    <t>How broad is the geographical scope of the process?</t>
  </si>
  <si>
    <t>1. Country-specific</t>
  </si>
  <si>
    <t>Cost of delays</t>
  </si>
  <si>
    <t>How critical is it that the process is completed accurately and on time?</t>
  </si>
  <si>
    <t xml:space="preserve">1. Low - process currently completed as time allows
</t>
  </si>
  <si>
    <t>Input type</t>
  </si>
  <si>
    <t>What is the typical format of the data or information that forms the input into the process?</t>
  </si>
  <si>
    <t xml:space="preserve">1. Fully digital/structured e.g. PDF, Excel, report
</t>
  </si>
  <si>
    <t>Document Scanning</t>
  </si>
  <si>
    <t>Will the input need to be read via Optical Character Recognition or AI?</t>
  </si>
  <si>
    <t>1. No</t>
  </si>
  <si>
    <t>Input quality</t>
  </si>
  <si>
    <t>What level of validation would need to be performed on the input data prior to use?</t>
  </si>
  <si>
    <t xml:space="preserve">1. Basic - Required fields and formats
</t>
  </si>
  <si>
    <t>Process Documentation</t>
  </si>
  <si>
    <t>How well documented is the current process? Are there clear SOPs or does the process knowledge reside in the heads of a small number of individuals?</t>
  </si>
  <si>
    <t xml:space="preserve">1. Well documented/Clear SOPs
</t>
  </si>
  <si>
    <t>Human intervention</t>
  </si>
  <si>
    <t>How likely is it for the process to include decision points that cannot be mapped and need to be handed off to a human to make a judgement call? E.g. free text that can't be mapped to a code</t>
  </si>
  <si>
    <t>1. Unlikely</t>
  </si>
  <si>
    <t>Number of systems</t>
  </si>
  <si>
    <t xml:space="preserve">How many systems or sites are involved in the end-to-end process (not counting tools like Excel). </t>
  </si>
  <si>
    <t>1. 1 system</t>
  </si>
  <si>
    <t>System access</t>
  </si>
  <si>
    <t xml:space="preserve">What is the nature of the systems involved and how are they accessed? </t>
  </si>
  <si>
    <t>1. SaaS/External</t>
  </si>
  <si>
    <t>Test Data Availability</t>
  </si>
  <si>
    <t>What sort of test data will be available? Is there a test environment that mirrors live? Any privacy or data sharing concerns that would impact the ability to use live data?</t>
  </si>
  <si>
    <t>1. Test environment and/or live data</t>
  </si>
  <si>
    <t>System Change Landscape</t>
  </si>
  <si>
    <t>How frequently are the applications involved in the process undergoing change?</t>
  </si>
  <si>
    <t xml:space="preserve">1. System is essentially stable
</t>
  </si>
  <si>
    <t>Stakeholder Availability</t>
  </si>
  <si>
    <t>How available are service leads, process owners and SMEs likely to be? Consider other commitments like ongoing high priority projects in their service line.</t>
  </si>
  <si>
    <t xml:space="preserve">1. Time has been committed
</t>
  </si>
  <si>
    <t xml:space="preserve">Client Impact </t>
  </si>
  <si>
    <t>What is the likely positive impact this automation will have on client satisfaction, retention or new client acquisition?</t>
  </si>
  <si>
    <t>1. Low</t>
  </si>
  <si>
    <t>Staff Retention</t>
  </si>
  <si>
    <t>What is the likely positive impact this automation will have on staff satisfaction or staff retention?</t>
  </si>
  <si>
    <t>Risk Reduction</t>
  </si>
  <si>
    <t>What is the likely positive impact this automation will have on reducing operational risk, fraud loss, regulatory risk or penalties and fees?</t>
  </si>
  <si>
    <t>Other Considerations</t>
  </si>
  <si>
    <t>Any other considerations that would affect scoring</t>
  </si>
  <si>
    <t>Score</t>
  </si>
  <si>
    <t>Minimum (Excl Other)</t>
  </si>
  <si>
    <t>Max (Excl Other)</t>
  </si>
  <si>
    <t>Bucket size</t>
  </si>
  <si>
    <t>High Level Quote</t>
  </si>
  <si>
    <t>Currency</t>
  </si>
  <si>
    <t>USD</t>
  </si>
  <si>
    <t>Complexity:</t>
  </si>
  <si>
    <t>Risk:</t>
  </si>
  <si>
    <t>Phase</t>
  </si>
  <si>
    <t>Recommended Duration (w)</t>
  </si>
  <si>
    <t>Quoted Duration (w)</t>
  </si>
  <si>
    <t>Cost From</t>
  </si>
  <si>
    <t>Cost To</t>
  </si>
  <si>
    <t>Analysis</t>
  </si>
  <si>
    <t>Build</t>
  </si>
  <si>
    <t>UAT</t>
  </si>
  <si>
    <t>Support</t>
  </si>
  <si>
    <t>Total</t>
  </si>
  <si>
    <t>High Level Scope</t>
  </si>
  <si>
    <t>Item</t>
  </si>
  <si>
    <t>Name</t>
  </si>
  <si>
    <t>Description</t>
  </si>
  <si>
    <t>Assumptions</t>
  </si>
  <si>
    <t>Frequency &amp; Volume</t>
  </si>
  <si>
    <t>Pre-requisites</t>
  </si>
  <si>
    <t>Dependencies</t>
  </si>
  <si>
    <t>Risks</t>
  </si>
  <si>
    <t>Exclusions</t>
  </si>
  <si>
    <t>Cost Benefit Analysis</t>
  </si>
  <si>
    <t>Benefit Calculations</t>
  </si>
  <si>
    <t>Year 1 Benefit</t>
  </si>
  <si>
    <t>Year 1 Costs</t>
  </si>
  <si>
    <t>Process Hours Recovered</t>
  </si>
  <si>
    <t>Bottom Line Savings</t>
  </si>
  <si>
    <t>Total Capital Cost</t>
  </si>
  <si>
    <t>Current Process Effort (h)</t>
  </si>
  <si>
    <t>(average hours to run the process each time)</t>
  </si>
  <si>
    <t>Reinvested Capacity</t>
  </si>
  <si>
    <t>Year 1 Operating Cost</t>
  </si>
  <si>
    <t>Volume p.m.</t>
  </si>
  <si>
    <t>(average times per month the process is run)</t>
  </si>
  <si>
    <t>Increased Revenue</t>
  </si>
  <si>
    <t>Other Annual Costs</t>
  </si>
  <si>
    <t xml:space="preserve">Automation Coverage </t>
  </si>
  <si>
    <t>(percentage of the process that can be automated)</t>
  </si>
  <si>
    <t>Total Annual Benefit</t>
  </si>
  <si>
    <t>Total Year 1 Cost</t>
  </si>
  <si>
    <t>Hours Recovered p.m.</t>
  </si>
  <si>
    <t>(total hours recovered by automation per month)</t>
  </si>
  <si>
    <t>Hours Recovered p.a.</t>
  </si>
  <si>
    <t>(total hours recovered by automation per annum)</t>
  </si>
  <si>
    <t>Years of Operation</t>
  </si>
  <si>
    <t>FTEs Recovered p.a.</t>
  </si>
  <si>
    <t>(=hours recovered / effective hours p.a.)</t>
  </si>
  <si>
    <t>Ongoing Benefit</t>
  </si>
  <si>
    <t>Ongoing Costs</t>
  </si>
  <si>
    <t>Current FTE Costs</t>
  </si>
  <si>
    <t>Ongoing Annual Benefit</t>
  </si>
  <si>
    <t>Ongoing Annual Cost</t>
  </si>
  <si>
    <t>Annual Salary</t>
  </si>
  <si>
    <t>(average salary of FTE currently performing process)</t>
  </si>
  <si>
    <t>Total Benefit</t>
  </si>
  <si>
    <t xml:space="preserve">Total Cost of Ownership </t>
  </si>
  <si>
    <t>Overhead multiplier</t>
  </si>
  <si>
    <t>(estimate of overheads - benefits, infrastructure, etc.)</t>
  </si>
  <si>
    <t>Annual Cost to Company</t>
  </si>
  <si>
    <t>Return on Investment</t>
  </si>
  <si>
    <t>Effective working days p.a.</t>
  </si>
  <si>
    <t>(accounting for leave, illness, holidays, etc.)</t>
  </si>
  <si>
    <t xml:space="preserve">ROI vs Capital Investment </t>
  </si>
  <si>
    <t>Working hours per day</t>
  </si>
  <si>
    <t>Capital Payback Month</t>
  </si>
  <si>
    <t>Efficiency multiplier</t>
  </si>
  <si>
    <t>(accounting for admin, meetings, breaks, etc.)</t>
  </si>
  <si>
    <t>ROI vs Total Cost of Ownership</t>
  </si>
  <si>
    <t>Effective hours p.a.</t>
  </si>
  <si>
    <t>(total hours of effective processing per FTE)</t>
  </si>
  <si>
    <t>Cost per effective hour</t>
  </si>
  <si>
    <t>Number of FTEs to be reduced</t>
  </si>
  <si>
    <t>(if objective is to reduce headcount)</t>
  </si>
  <si>
    <t>FTE cost reduction</t>
  </si>
  <si>
    <t>(=FTE reduction x annual cost to company)</t>
  </si>
  <si>
    <t>Avoided penalty costs</t>
  </si>
  <si>
    <t>(if objective includes improving accuracy/reducing operational risk)</t>
  </si>
  <si>
    <t>New Hires avoided</t>
  </si>
  <si>
    <t>(if automation avoids cost of hiring additional FTEs)</t>
  </si>
  <si>
    <t>Recruitment cost - new hire</t>
  </si>
  <si>
    <t>Annual salary - new hire</t>
  </si>
  <si>
    <t>(may be different from FTE as new hire could be part time)</t>
  </si>
  <si>
    <t>Licensing or Software Savings</t>
  </si>
  <si>
    <t>(if objective includes removing current technical solution or reducing licenses)</t>
  </si>
  <si>
    <t>Any other savings</t>
  </si>
  <si>
    <t>Bottom Line Savings - Year 1</t>
  </si>
  <si>
    <t>Annual Savings thereafter</t>
  </si>
  <si>
    <t>(excluding one-off recruitment cost)</t>
  </si>
  <si>
    <t>Number of FTEs to be reinvested</t>
  </si>
  <si>
    <t>(if objective is to free up capacity for other value add work)</t>
  </si>
  <si>
    <t>Effective hours reinvested p.a.</t>
  </si>
  <si>
    <t>(FTEs x annual effective hours)</t>
  </si>
  <si>
    <t>Value of reinvested capacity</t>
  </si>
  <si>
    <t>(hours x cost per effective hour)</t>
  </si>
  <si>
    <t>Estimated annual revenue increase</t>
  </si>
  <si>
    <t>(if objective includes increasing fee income, sales, etc.)</t>
  </si>
  <si>
    <t>Sprint Duration</t>
  </si>
  <si>
    <t>weeks</t>
  </si>
  <si>
    <t>Team Composition</t>
  </si>
  <si>
    <t>Hourly Rate</t>
  </si>
  <si>
    <t>FTE Hours per Sprint</t>
  </si>
  <si>
    <t>hours</t>
  </si>
  <si>
    <t>BA</t>
  </si>
  <si>
    <t>Standups</t>
  </si>
  <si>
    <t>PM</t>
  </si>
  <si>
    <t>Planning</t>
  </si>
  <si>
    <t>DEV</t>
  </si>
  <si>
    <t>Review</t>
  </si>
  <si>
    <t>QA</t>
  </si>
  <si>
    <t>Retro</t>
  </si>
  <si>
    <t>Weighted AVG</t>
  </si>
  <si>
    <t>Deployments</t>
  </si>
  <si>
    <t>Blended Rate</t>
  </si>
  <si>
    <t>Review blended rate with role specific rates when we carry out the next few estimates</t>
  </si>
  <si>
    <t>Total overheads</t>
  </si>
  <si>
    <t>Overhead %</t>
  </si>
  <si>
    <t>Model Project</t>
  </si>
  <si>
    <t>Grand Total</t>
  </si>
  <si>
    <t>Weekly Cost</t>
  </si>
  <si>
    <t>Duration (w)</t>
  </si>
  <si>
    <t>% Allocation</t>
  </si>
  <si>
    <t>Total Hours</t>
  </si>
  <si>
    <t>GBP</t>
  </si>
  <si>
    <t>Sprint Overheads</t>
  </si>
  <si>
    <t>Included in Build Phase</t>
  </si>
  <si>
    <t>Build &amp; Test</t>
  </si>
  <si>
    <t>Risk Modifier</t>
  </si>
  <si>
    <t>Contingency</t>
  </si>
  <si>
    <t>Sprint Timeboxing (SCRUM recommended maximum)</t>
  </si>
  <si>
    <t>2. Medium - monthly or weekly</t>
  </si>
  <si>
    <t>mins per day</t>
  </si>
  <si>
    <t>3. High - daily</t>
  </si>
  <si>
    <t>hours per 4 weeks</t>
  </si>
  <si>
    <t>2. Hundreds of records</t>
  </si>
  <si>
    <t>3. Thousands of records</t>
  </si>
  <si>
    <t>2. Several hours</t>
  </si>
  <si>
    <t>3. Several days</t>
  </si>
  <si>
    <t>2. Region-specific (e.g. EMEA/APAC/NA)</t>
  </si>
  <si>
    <t>3. Global</t>
  </si>
  <si>
    <t>2. 2-5 FTEs</t>
  </si>
  <si>
    <t>3. 6+ FTEs</t>
  </si>
  <si>
    <t>2. Mid-Level</t>
  </si>
  <si>
    <t>3. Senior</t>
  </si>
  <si>
    <t xml:space="preserve">2. Medium - business impact increases with delays
</t>
  </si>
  <si>
    <t xml:space="preserve">3. High - process is time sensitive/business critical </t>
  </si>
  <si>
    <t xml:space="preserve">2. Somewhat structured or digital but needs work 
</t>
  </si>
  <si>
    <t>3. Paper-based or in unstructured/unstandardised</t>
  </si>
  <si>
    <t>2. Yes, with only one layout</t>
  </si>
  <si>
    <t>3. Yes, with multiple layouts</t>
  </si>
  <si>
    <t xml:space="preserve">2. Medium - Simple logic or lookups
</t>
  </si>
  <si>
    <t xml:space="preserve">3. High - Complex logic or lookups </t>
  </si>
  <si>
    <t xml:space="preserve">2. Documented with some gaps
</t>
  </si>
  <si>
    <t>3. Poorly or un-documented</t>
  </si>
  <si>
    <t>2. Somewhat likely</t>
  </si>
  <si>
    <t>3. Highly likely</t>
  </si>
  <si>
    <t xml:space="preserve">2. Somewhat available with notice
</t>
  </si>
  <si>
    <t>3. Limited Availability</t>
  </si>
  <si>
    <t>2. 2-3 systems</t>
  </si>
  <si>
    <t>3. 4+ systems</t>
  </si>
  <si>
    <t>2. VPN/Inside Network</t>
  </si>
  <si>
    <t>3. Citrix</t>
  </si>
  <si>
    <t>2. Test environment and/or live-like data</t>
  </si>
  <si>
    <t>3. No test environment/test data only</t>
  </si>
  <si>
    <t xml:space="preserve">2. System undergoes regular maintenance
</t>
  </si>
  <si>
    <t>3. Enhancements are in progress</t>
  </si>
  <si>
    <t>Client Impact/Staff Retention/Risk Reduction</t>
  </si>
  <si>
    <t>2. Medium</t>
  </si>
  <si>
    <t>3. High</t>
  </si>
  <si>
    <t>Instructions</t>
  </si>
  <si>
    <t>1. This template should only be used to calculate a high level quote (HLQ) for an automation solution that does not utilise Blue Prism / UiPath.</t>
  </si>
  <si>
    <t>2. Review HLQ variables, notably the Blended Project Rate/Hour.</t>
  </si>
  <si>
    <t>Project Contingency is applied to all phases.</t>
  </si>
  <si>
    <t>3. Only white cells should be edited.</t>
  </si>
  <si>
    <t>&gt; High Level Quote Variables</t>
  </si>
  <si>
    <t>Billing</t>
  </si>
  <si>
    <t>Blended Project Rate/Hour</t>
  </si>
  <si>
    <t>Team Assumptions</t>
  </si>
  <si>
    <t>Projected Work Output</t>
  </si>
  <si>
    <t>Analysis Hours/BA/Week</t>
  </si>
  <si>
    <t>Functional Development Hours/Dev/Week</t>
  </si>
  <si>
    <t>Developer</t>
  </si>
  <si>
    <t>Project Contingency (Range Driver)</t>
  </si>
  <si>
    <t>Applied to all project phases</t>
  </si>
  <si>
    <t>1. Analysis</t>
  </si>
  <si>
    <t>Hours</t>
  </si>
  <si>
    <t>Cost</t>
  </si>
  <si>
    <t xml:space="preserve">High Level Quote </t>
  </si>
  <si>
    <t>Analysis Tasks</t>
  </si>
  <si>
    <t>Documentation</t>
  </si>
  <si>
    <t>Analysis Documentation</t>
  </si>
  <si>
    <t>Client Communication</t>
  </si>
  <si>
    <t>2. Development and Testing</t>
  </si>
  <si>
    <t>Build Tasks</t>
  </si>
  <si>
    <t>Project Onboarding</t>
  </si>
  <si>
    <t>Team familiarization (BA Handover Session, Documentation review), Application Access Testing &amp; Troubleshooting, etc.</t>
  </si>
  <si>
    <t>Framework &amp; Foundation</t>
  </si>
  <si>
    <t>Client Demo (Mid Projet)</t>
  </si>
  <si>
    <t>QA Planning</t>
  </si>
  <si>
    <t>Test Plan/Cases, Scenario Analysis</t>
  </si>
  <si>
    <t>Creation of Test Data</t>
  </si>
  <si>
    <t>Functional Development</t>
  </si>
  <si>
    <t>Process 1</t>
  </si>
  <si>
    <t>Tasks</t>
  </si>
  <si>
    <t>Process 2</t>
  </si>
  <si>
    <t>Quality Assurance</t>
  </si>
  <si>
    <t>Process 1 Testing</t>
  </si>
  <si>
    <t>Process 2 Testing</t>
  </si>
  <si>
    <t>Build Overheads</t>
  </si>
  <si>
    <t>Calculated Build Duration (Weeks)</t>
  </si>
  <si>
    <t>Team Meetings (Hours/Person/Day)</t>
  </si>
  <si>
    <t>BA Support</t>
  </si>
  <si>
    <t>Project Management</t>
  </si>
  <si>
    <t>3. User Acceptance Testing</t>
  </si>
  <si>
    <t>UAT Tasks</t>
  </si>
  <si>
    <t>Variables</t>
  </si>
  <si>
    <t>Staging</t>
  </si>
  <si>
    <t>UAT Duration (weeks)</t>
  </si>
  <si>
    <t>Environment Configuration</t>
  </si>
  <si>
    <t>Deployments &amp; Smoke Test</t>
  </si>
  <si>
    <t>UAT User Guide</t>
  </si>
  <si>
    <t>UAT User Guide Walkthrough</t>
  </si>
  <si>
    <t>UAT Register</t>
  </si>
  <si>
    <t>Issue Investigation &amp; Resolution</t>
  </si>
  <si>
    <t>Client and Internal Management</t>
  </si>
  <si>
    <t>Production</t>
  </si>
  <si>
    <t>User Guide</t>
  </si>
  <si>
    <t>4. Go Live Support</t>
  </si>
  <si>
    <t>Go Live Support Tasks</t>
  </si>
  <si>
    <t>Support Duration (weeks)</t>
  </si>
  <si>
    <t>Issue Resolution</t>
  </si>
  <si>
    <t>Client Management</t>
  </si>
  <si>
    <t>Total Project Cost</t>
  </si>
  <si>
    <t>Phase Cost and Timelines</t>
  </si>
  <si>
    <t>Quoted
Duration (w)</t>
  </si>
  <si>
    <t>Lower</t>
  </si>
  <si>
    <t>Upper</t>
  </si>
  <si>
    <t>Mid</t>
  </si>
  <si>
    <t>Mid vs. Cost To</t>
  </si>
  <si>
    <t>1. This template should be used to calculate a final delivery cost for an automation solution.</t>
  </si>
  <si>
    <t>2. By default, all High Level Quote lines will be populated with the upper bound hours estimate from the HLQ sheet.</t>
  </si>
  <si>
    <t>Where the Custom Automation HLQ sheet was used, all High Level Quote lines will need to be manually updated.</t>
  </si>
  <si>
    <t>3. Review Project variables, notably the Blended Project Rate/Hour which should match that used for the HLQ.</t>
  </si>
  <si>
    <t>4. Only white cells should be edited.</t>
  </si>
  <si>
    <t>&gt; Project Variables</t>
  </si>
  <si>
    <t>Range Driver</t>
  </si>
  <si>
    <t>Only required when using this template to calculate delivery cost during sales phase (e.g. Statement of Work)</t>
  </si>
  <si>
    <t>Difference</t>
  </si>
  <si>
    <t>Util %</t>
  </si>
  <si>
    <t>Estimate</t>
  </si>
  <si>
    <t>Actuals</t>
  </si>
  <si>
    <t>Business Process Definition</t>
  </si>
  <si>
    <t>Functional Requirements Definition</t>
  </si>
  <si>
    <t>Solution Design Document</t>
  </si>
  <si>
    <t>2. Build</t>
  </si>
  <si>
    <t>Team Familiarization (Hours/Person)</t>
  </si>
  <si>
    <t>BA Handover Session, Documentation review, etc.</t>
  </si>
  <si>
    <t>DevOps Setup</t>
  </si>
  <si>
    <t>Application Access Testing &amp; Troubleshooting</t>
  </si>
  <si>
    <t xml:space="preserve">Client Demonstration (Mid Project) </t>
  </si>
  <si>
    <t>Technical Consulting (Consultant / Infra / Lead Dev)</t>
  </si>
  <si>
    <t>Process Setup</t>
  </si>
  <si>
    <t>Environment Setup/Configuration</t>
  </si>
  <si>
    <t>Test Plan/Cases</t>
  </si>
  <si>
    <t>Creation of test data</t>
  </si>
  <si>
    <t xml:space="preserve">Preparation of production ready data </t>
  </si>
  <si>
    <t>Process Design Document</t>
  </si>
  <si>
    <t>Object Design Document</t>
  </si>
  <si>
    <t>Initiation</t>
  </si>
  <si>
    <t>Step 1</t>
  </si>
  <si>
    <t>Step 2</t>
  </si>
  <si>
    <t>Completion</t>
  </si>
  <si>
    <t>Alerts</t>
  </si>
  <si>
    <t>Process 3</t>
  </si>
  <si>
    <t>Process 3 Testing</t>
  </si>
  <si>
    <t>Number of Sprints</t>
  </si>
  <si>
    <t>Calculated</t>
  </si>
  <si>
    <t>Override calculated number of sprints if required</t>
  </si>
  <si>
    <t>Per Sprint Overheads</t>
  </si>
  <si>
    <t>Standups (Hours/Person/Day)</t>
  </si>
  <si>
    <t>Planning (Hours/Person)</t>
  </si>
  <si>
    <t>Retro (Hours/Person)</t>
  </si>
  <si>
    <t>General Overheads</t>
  </si>
  <si>
    <t>Affects build cost, not duration</t>
  </si>
  <si>
    <t>Bug Fixing (% Functional Dev)</t>
  </si>
  <si>
    <t>Bug Fixing (% QA)</t>
  </si>
  <si>
    <t>Client Reporting (PM Reviews, Other Reporting)</t>
  </si>
  <si>
    <t>General Team Management</t>
  </si>
  <si>
    <t>Code Reviews, Mentorship &amp; Developer Leadership (% Functional Dev)</t>
  </si>
  <si>
    <t>Contingencies</t>
  </si>
  <si>
    <t>Affects build cost and duration</t>
  </si>
  <si>
    <t>Unanticipated Complexity</t>
  </si>
  <si>
    <t>3. UAT</t>
  </si>
  <si>
    <t>Including Application Access Testing &amp; Troubleshooting</t>
  </si>
  <si>
    <t>Deployments &amp; Smoke Test (multiple deployments)</t>
  </si>
  <si>
    <t>User Guide walkthrough</t>
  </si>
  <si>
    <t>UAT Support</t>
  </si>
  <si>
    <t>Controller Configuration Document</t>
  </si>
  <si>
    <t>Production User Guide</t>
  </si>
  <si>
    <t>4. Support</t>
  </si>
  <si>
    <t>Calculated Duration (w)</t>
  </si>
  <si>
    <t>SDD
Duration (w)</t>
  </si>
  <si>
    <t>Calculated
Cost</t>
  </si>
  <si>
    <t>SDD
Cost</t>
  </si>
  <si>
    <t>-</t>
  </si>
  <si>
    <t>Mid vs. SDD cost</t>
  </si>
  <si>
    <t>Task</t>
  </si>
  <si>
    <t>%</t>
  </si>
  <si>
    <t>Notes</t>
  </si>
  <si>
    <t>Rate</t>
  </si>
  <si>
    <t>Analysis Phase</t>
  </si>
  <si>
    <t>1 week</t>
  </si>
  <si>
    <t>Initial Analysis, Solution Architecture &amp; Backlog creation</t>
  </si>
  <si>
    <t>Dev Hours</t>
  </si>
  <si>
    <t>Lower Bound</t>
  </si>
  <si>
    <t>Upper Bound</t>
  </si>
  <si>
    <t>Lower bound</t>
  </si>
  <si>
    <t>Email Alerts - Logic Apps</t>
  </si>
  <si>
    <t>Build Phase</t>
  </si>
  <si>
    <t>3 weeks</t>
  </si>
  <si>
    <t>Default Tags - Custom Web</t>
  </si>
  <si>
    <t>Dev</t>
  </si>
  <si>
    <t>Wachlist - Custom Web</t>
  </si>
  <si>
    <t>Communicated Costs</t>
  </si>
  <si>
    <t>Bug Fixing - included above</t>
  </si>
  <si>
    <t>Testing - included above</t>
  </si>
  <si>
    <t>Project Admin Phase</t>
  </si>
  <si>
    <t>EoT</t>
  </si>
  <si>
    <t>Team familiarization</t>
  </si>
  <si>
    <t>Homelet</t>
  </si>
  <si>
    <t>Implementation Phase</t>
  </si>
  <si>
    <t>Deployments - included above</t>
  </si>
  <si>
    <t>Smoke Test - included above</t>
  </si>
  <si>
    <t>Support / Training Manual</t>
  </si>
  <si>
    <t xml:space="preserve">UAT Support </t>
  </si>
  <si>
    <t>SOW</t>
  </si>
  <si>
    <t>Smoke Test</t>
  </si>
  <si>
    <t>Prod Support</t>
  </si>
  <si>
    <t>2 week</t>
  </si>
  <si>
    <t>40 - 52</t>
  </si>
  <si>
    <t>180 - 234</t>
  </si>
  <si>
    <t>Project Review</t>
  </si>
  <si>
    <t>12 - 15.6</t>
  </si>
  <si>
    <t>20 - 26</t>
  </si>
  <si>
    <t>5 - 6.5</t>
  </si>
  <si>
    <t>Assupmtions</t>
  </si>
  <si>
    <t>257 - 334</t>
  </si>
  <si>
    <t>Client Hierarchy - Client</t>
  </si>
  <si>
    <t>Client Hierarchy - Project</t>
  </si>
  <si>
    <t>Client Hierarchy - Section</t>
  </si>
  <si>
    <t>Client Hierarchy - Task</t>
  </si>
  <si>
    <t>Sum of Hours</t>
  </si>
  <si>
    <t>Employee</t>
  </si>
  <si>
    <t>Grainger PLC</t>
  </si>
  <si>
    <t>Website Integration (T&amp;M)</t>
  </si>
  <si>
    <t>Analysis &amp; Build</t>
  </si>
  <si>
    <t>Delivery</t>
  </si>
  <si>
    <t>Anjali Salecha</t>
  </si>
  <si>
    <t>Khonani Davhana</t>
  </si>
  <si>
    <t>Matthew Cornfield</t>
  </si>
  <si>
    <t>Nikki Papenfus</t>
  </si>
  <si>
    <t>Sachin  Deshmukh</t>
  </si>
  <si>
    <t>Sam Duncan</t>
  </si>
  <si>
    <t>Shaun Barrett</t>
  </si>
  <si>
    <t>Sum of Sum of Hours</t>
  </si>
  <si>
    <t>Column Labels</t>
  </si>
  <si>
    <t>Row Labels</t>
  </si>
  <si>
    <t>Less Matts time</t>
  </si>
  <si>
    <t>Actuals/Forecast</t>
  </si>
  <si>
    <t>As at 18 March</t>
  </si>
  <si>
    <t>+ 12 hours Sachine has not logged - Matts time</t>
  </si>
  <si>
    <t>Estimated remaining effort</t>
  </si>
  <si>
    <t>2 days for 3 people</t>
  </si>
  <si>
    <t>Reforecasted Total</t>
  </si>
  <si>
    <t>Reforecasted Cost</t>
  </si>
  <si>
    <t>Delta from upper bound</t>
  </si>
  <si>
    <t>Section</t>
  </si>
  <si>
    <t>Definition</t>
  </si>
  <si>
    <t>BPD</t>
  </si>
  <si>
    <t>FRD</t>
  </si>
  <si>
    <t>SDD</t>
  </si>
  <si>
    <t>Pre-Build</t>
  </si>
  <si>
    <t>Onboarding (BA &amp; Dev handovers etc)</t>
  </si>
  <si>
    <t>BA Assistance</t>
  </si>
  <si>
    <t>Development</t>
  </si>
  <si>
    <t>Code Reviews</t>
  </si>
  <si>
    <t>Testing</t>
  </si>
  <si>
    <t>UAT Feedback</t>
  </si>
  <si>
    <t>Go Live Support / Hypercare</t>
  </si>
  <si>
    <t>Investigation</t>
  </si>
  <si>
    <t>Program Management</t>
  </si>
  <si>
    <t>Client Reporting</t>
  </si>
  <si>
    <t>Weekly PM Review</t>
  </si>
  <si>
    <t>Other Reporting</t>
  </si>
  <si>
    <t>Team Management</t>
  </si>
  <si>
    <t>Standup</t>
  </si>
  <si>
    <t>Spring Planning</t>
  </si>
  <si>
    <t>Sprint Retro</t>
  </si>
  <si>
    <t>Backlog Grooming</t>
  </si>
  <si>
    <t>General 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</si>
</sst>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[$£-809]* #,##0.00_-;\-[$£-809]* #,##0.00_-;_-[$£-809]* &quot;-&quot;??_-;_-@_-"/>
    <numFmt numFmtId="165" formatCode="_-[$$-409]* #,##0.00_ ;_-[$$-409]* \-#,##0.00\ ;_-[$$-409]* &quot;-&quot;??_ ;_-@_ "/>
    <numFmt numFmtId="166" formatCode="#,##0.0"/>
    <numFmt numFmtId="167" formatCode="[$$-409]#,##0"/>
    <numFmt numFmtId="168" formatCode="[$£-809]#,##0"/>
    <numFmt numFmtId="169" formatCode="0.0%"/>
    <numFmt numFmtId="170" formatCode="_-[$$-409]* #,##0_ ;_-[$$-409]* \-#,##0\ ;_-[$$-409]* &quot;-&quot;??_ ;_-@_ "/>
    <numFmt numFmtId="171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8B432"/>
        <bgColor indexed="64"/>
      </patternFill>
    </fill>
    <fill>
      <patternFill patternType="solid">
        <fgColor rgb="FFCFE09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BD36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indexed="64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indexed="64"/>
      </bottom>
      <diagonal/>
    </border>
    <border>
      <left/>
      <right/>
      <top style="thin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/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indexed="64"/>
      </top>
      <bottom style="thin">
        <color theme="1" tint="0.24997711111789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vertical="top" wrapText="1"/>
    </xf>
    <xf numFmtId="0" fontId="0" fillId="5" borderId="6" xfId="0" applyFill="1" applyBorder="1"/>
    <xf numFmtId="0" fontId="0" fillId="5" borderId="7" xfId="0" applyFill="1" applyBorder="1"/>
    <xf numFmtId="0" fontId="2" fillId="5" borderId="7" xfId="0" applyFont="1" applyFill="1" applyBorder="1" applyAlignment="1">
      <alignment horizontal="right"/>
    </xf>
    <xf numFmtId="0" fontId="2" fillId="5" borderId="8" xfId="0" applyFont="1" applyFill="1" applyBorder="1" applyAlignment="1">
      <alignment horizontal="right"/>
    </xf>
    <xf numFmtId="0" fontId="0" fillId="5" borderId="9" xfId="0" applyFill="1" applyBorder="1"/>
    <xf numFmtId="0" fontId="0" fillId="5" borderId="10" xfId="0" applyFill="1" applyBorder="1"/>
    <xf numFmtId="0" fontId="2" fillId="5" borderId="10" xfId="0" applyFont="1" applyFill="1" applyBorder="1"/>
    <xf numFmtId="0" fontId="0" fillId="3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5" borderId="2" xfId="0" applyFill="1" applyBorder="1"/>
    <xf numFmtId="0" fontId="1" fillId="5" borderId="2" xfId="0" applyFont="1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vertical="top" wrapText="1"/>
    </xf>
    <xf numFmtId="0" fontId="2" fillId="5" borderId="11" xfId="0" applyFont="1" applyFill="1" applyBorder="1"/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/>
    </xf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/>
    <xf numFmtId="9" fontId="0" fillId="0" borderId="1" xfId="1" applyFont="1" applyBorder="1"/>
    <xf numFmtId="0" fontId="0" fillId="0" borderId="12" xfId="0" applyBorder="1"/>
    <xf numFmtId="0" fontId="1" fillId="0" borderId="1" xfId="0" applyFont="1" applyBorder="1"/>
    <xf numFmtId="165" fontId="0" fillId="0" borderId="1" xfId="0" applyNumberForma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7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9" fontId="0" fillId="0" borderId="0" xfId="0" applyNumberFormat="1"/>
    <xf numFmtId="164" fontId="1" fillId="7" borderId="1" xfId="0" applyNumberFormat="1" applyFont="1" applyFill="1" applyBorder="1"/>
    <xf numFmtId="0" fontId="1" fillId="2" borderId="0" xfId="0" applyFont="1" applyFill="1"/>
    <xf numFmtId="0" fontId="0" fillId="5" borderId="0" xfId="0" applyFill="1"/>
    <xf numFmtId="0" fontId="2" fillId="5" borderId="0" xfId="0" applyFont="1" applyFill="1"/>
    <xf numFmtId="0" fontId="4" fillId="6" borderId="13" xfId="0" applyFont="1" applyFill="1" applyBorder="1"/>
    <xf numFmtId="3" fontId="4" fillId="6" borderId="13" xfId="0" applyNumberFormat="1" applyFont="1" applyFill="1" applyBorder="1"/>
    <xf numFmtId="0" fontId="2" fillId="5" borderId="0" xfId="0" applyFont="1" applyFill="1" applyAlignment="1">
      <alignment horizontal="left"/>
    </xf>
    <xf numFmtId="0" fontId="1" fillId="5" borderId="0" xfId="0" applyFont="1" applyFill="1"/>
    <xf numFmtId="0" fontId="0" fillId="4" borderId="14" xfId="0" applyFill="1" applyBorder="1"/>
    <xf numFmtId="3" fontId="0" fillId="4" borderId="14" xfId="0" applyNumberFormat="1" applyFill="1" applyBorder="1"/>
    <xf numFmtId="0" fontId="0" fillId="2" borderId="15" xfId="0" applyFill="1" applyBorder="1"/>
    <xf numFmtId="0" fontId="4" fillId="6" borderId="0" xfId="0" applyFont="1" applyFill="1" applyAlignment="1">
      <alignment horizontal="right" wrapText="1"/>
    </xf>
    <xf numFmtId="0" fontId="0" fillId="6" borderId="0" xfId="0" applyFill="1"/>
    <xf numFmtId="0" fontId="4" fillId="6" borderId="0" xfId="0" applyFont="1" applyFill="1"/>
    <xf numFmtId="0" fontId="0" fillId="3" borderId="1" xfId="0" applyFill="1" applyBorder="1"/>
    <xf numFmtId="0" fontId="6" fillId="5" borderId="0" xfId="0" applyFont="1" applyFill="1"/>
    <xf numFmtId="0" fontId="7" fillId="6" borderId="0" xfId="0" applyFont="1" applyFill="1"/>
    <xf numFmtId="9" fontId="8" fillId="2" borderId="1" xfId="1" applyFont="1" applyFill="1" applyBorder="1"/>
    <xf numFmtId="0" fontId="1" fillId="6" borderId="0" xfId="0" applyFont="1" applyFill="1"/>
    <xf numFmtId="3" fontId="0" fillId="2" borderId="1" xfId="0" applyNumberFormat="1" applyFill="1" applyBorder="1"/>
    <xf numFmtId="3" fontId="0" fillId="3" borderId="1" xfId="0" applyNumberFormat="1" applyFill="1" applyBorder="1"/>
    <xf numFmtId="166" fontId="0" fillId="3" borderId="1" xfId="0" applyNumberFormat="1" applyFill="1" applyBorder="1"/>
    <xf numFmtId="0" fontId="8" fillId="3" borderId="1" xfId="0" applyFont="1" applyFill="1" applyBorder="1"/>
    <xf numFmtId="9" fontId="8" fillId="3" borderId="1" xfId="0" applyNumberFormat="1" applyFont="1" applyFill="1" applyBorder="1"/>
    <xf numFmtId="1" fontId="8" fillId="3" borderId="1" xfId="0" applyNumberFormat="1" applyFont="1" applyFill="1" applyBorder="1"/>
    <xf numFmtId="0" fontId="9" fillId="6" borderId="0" xfId="0" applyFont="1" applyFill="1"/>
    <xf numFmtId="3" fontId="1" fillId="3" borderId="22" xfId="0" applyNumberFormat="1" applyFont="1" applyFill="1" applyBorder="1"/>
    <xf numFmtId="9" fontId="10" fillId="5" borderId="0" xfId="1" applyFont="1" applyFill="1" applyAlignment="1">
      <alignment horizontal="left"/>
    </xf>
    <xf numFmtId="0" fontId="0" fillId="5" borderId="0" xfId="0" applyFill="1" applyAlignment="1">
      <alignment horizontal="left"/>
    </xf>
    <xf numFmtId="1" fontId="0" fillId="3" borderId="1" xfId="0" applyNumberFormat="1" applyFill="1" applyBorder="1"/>
    <xf numFmtId="0" fontId="0" fillId="2" borderId="23" xfId="0" applyFill="1" applyBorder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0" fontId="0" fillId="2" borderId="28" xfId="0" applyFill="1" applyBorder="1"/>
    <xf numFmtId="0" fontId="0" fillId="2" borderId="26" xfId="0" applyFill="1" applyBorder="1" applyAlignment="1">
      <alignment horizontal="left" indent="2"/>
    </xf>
    <xf numFmtId="0" fontId="0" fillId="2" borderId="31" xfId="0" applyFill="1" applyBorder="1" applyAlignment="1">
      <alignment horizontal="left" indent="2"/>
    </xf>
    <xf numFmtId="0" fontId="0" fillId="4" borderId="33" xfId="0" applyFill="1" applyBorder="1"/>
    <xf numFmtId="0" fontId="11" fillId="0" borderId="0" xfId="0" applyFont="1"/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left" indent="2"/>
    </xf>
    <xf numFmtId="9" fontId="0" fillId="0" borderId="0" xfId="1" applyFont="1" applyAlignment="1">
      <alignment horizontal="left"/>
    </xf>
    <xf numFmtId="0" fontId="0" fillId="2" borderId="13" xfId="0" applyFill="1" applyBorder="1" applyAlignment="1">
      <alignment horizontal="left" indent="2"/>
    </xf>
    <xf numFmtId="0" fontId="0" fillId="2" borderId="34" xfId="0" applyFill="1" applyBorder="1" applyAlignment="1">
      <alignment horizontal="left" indent="2"/>
    </xf>
    <xf numFmtId="0" fontId="0" fillId="0" borderId="1" xfId="0" applyBorder="1" applyAlignment="1">
      <alignment vertical="top"/>
    </xf>
    <xf numFmtId="3" fontId="0" fillId="4" borderId="1" xfId="0" applyNumberFormat="1" applyFill="1" applyBorder="1"/>
    <xf numFmtId="0" fontId="0" fillId="4" borderId="16" xfId="0" applyFill="1" applyBorder="1" applyAlignment="1">
      <alignment horizontal="left" indent="1"/>
    </xf>
    <xf numFmtId="3" fontId="0" fillId="4" borderId="36" xfId="0" applyNumberFormat="1" applyFill="1" applyBorder="1"/>
    <xf numFmtId="0" fontId="8" fillId="4" borderId="37" xfId="0" applyFont="1" applyFill="1" applyBorder="1" applyAlignment="1">
      <alignment horizontal="left" indent="1"/>
    </xf>
    <xf numFmtId="0" fontId="0" fillId="2" borderId="37" xfId="0" applyFill="1" applyBorder="1" applyAlignment="1">
      <alignment horizontal="left" indent="2"/>
    </xf>
    <xf numFmtId="0" fontId="0" fillId="2" borderId="38" xfId="0" applyFill="1" applyBorder="1" applyAlignment="1">
      <alignment horizontal="left" indent="2"/>
    </xf>
    <xf numFmtId="0" fontId="0" fillId="2" borderId="36" xfId="0" applyFill="1" applyBorder="1" applyAlignment="1">
      <alignment horizontal="left" indent="2"/>
    </xf>
    <xf numFmtId="0" fontId="12" fillId="0" borderId="0" xfId="0" applyFont="1"/>
    <xf numFmtId="10" fontId="1" fillId="0" borderId="1" xfId="1" applyNumberFormat="1" applyFont="1" applyBorder="1"/>
    <xf numFmtId="2" fontId="0" fillId="0" borderId="1" xfId="0" applyNumberFormat="1" applyBorder="1"/>
    <xf numFmtId="2" fontId="0" fillId="0" borderId="12" xfId="0" applyNumberForma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3" fontId="0" fillId="2" borderId="0" xfId="0" applyNumberFormat="1" applyFill="1"/>
    <xf numFmtId="3" fontId="13" fillId="0" borderId="0" xfId="0" applyNumberFormat="1" applyFont="1"/>
    <xf numFmtId="0" fontId="0" fillId="4" borderId="38" xfId="0" applyFill="1" applyBorder="1"/>
    <xf numFmtId="0" fontId="0" fillId="4" borderId="25" xfId="0" applyFill="1" applyBorder="1"/>
    <xf numFmtId="0" fontId="0" fillId="4" borderId="38" xfId="0" applyFill="1" applyBorder="1" applyAlignment="1">
      <alignment horizontal="right"/>
    </xf>
    <xf numFmtId="0" fontId="0" fillId="4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" fillId="4" borderId="1" xfId="0" applyFont="1" applyFill="1" applyBorder="1" applyAlignment="1">
      <alignment vertical="top"/>
    </xf>
    <xf numFmtId="169" fontId="0" fillId="0" borderId="1" xfId="1" applyNumberFormat="1" applyFont="1" applyBorder="1" applyAlignment="1">
      <alignment vertical="top"/>
    </xf>
    <xf numFmtId="2" fontId="0" fillId="0" borderId="1" xfId="0" applyNumberFormat="1" applyBorder="1" applyAlignment="1">
      <alignment vertical="top"/>
    </xf>
    <xf numFmtId="2" fontId="0" fillId="4" borderId="1" xfId="0" applyNumberForma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7" borderId="16" xfId="0" applyFont="1" applyFill="1" applyBorder="1" applyAlignment="1">
      <alignment vertical="top"/>
    </xf>
    <xf numFmtId="169" fontId="0" fillId="0" borderId="1" xfId="0" applyNumberFormat="1" applyBorder="1" applyAlignment="1">
      <alignment vertical="top"/>
    </xf>
    <xf numFmtId="1" fontId="1" fillId="3" borderId="1" xfId="0" applyNumberFormat="1" applyFont="1" applyFill="1" applyBorder="1" applyAlignment="1">
      <alignment vertical="top"/>
    </xf>
    <xf numFmtId="9" fontId="1" fillId="3" borderId="1" xfId="0" applyNumberFormat="1" applyFont="1" applyFill="1" applyBorder="1" applyAlignment="1">
      <alignment vertical="top"/>
    </xf>
    <xf numFmtId="2" fontId="1" fillId="3" borderId="1" xfId="0" applyNumberFormat="1" applyFont="1" applyFill="1" applyBorder="1" applyAlignment="1">
      <alignment vertical="top"/>
    </xf>
    <xf numFmtId="169" fontId="1" fillId="3" borderId="1" xfId="0" applyNumberFormat="1" applyFont="1" applyFill="1" applyBorder="1" applyAlignment="1">
      <alignment vertical="top"/>
    </xf>
    <xf numFmtId="168" fontId="1" fillId="3" borderId="1" xfId="0" applyNumberFormat="1" applyFont="1" applyFill="1" applyBorder="1" applyAlignment="1">
      <alignment vertical="top"/>
    </xf>
    <xf numFmtId="167" fontId="1" fillId="3" borderId="1" xfId="0" applyNumberFormat="1" applyFont="1" applyFill="1" applyBorder="1" applyAlignment="1">
      <alignment vertical="top"/>
    </xf>
    <xf numFmtId="0" fontId="1" fillId="4" borderId="1" xfId="0" applyFont="1" applyFill="1" applyBorder="1" applyAlignment="1">
      <alignment horizontal="left" vertical="top" indent="1"/>
    </xf>
    <xf numFmtId="169" fontId="0" fillId="4" borderId="1" xfId="1" applyNumberFormat="1" applyFont="1" applyFill="1" applyBorder="1" applyAlignment="1">
      <alignment vertical="top"/>
    </xf>
    <xf numFmtId="0" fontId="8" fillId="0" borderId="0" xfId="0" applyFont="1"/>
    <xf numFmtId="0" fontId="5" fillId="5" borderId="0" xfId="0" applyFont="1" applyFill="1"/>
    <xf numFmtId="0" fontId="0" fillId="2" borderId="30" xfId="0" applyFill="1" applyBorder="1"/>
    <xf numFmtId="0" fontId="1" fillId="4" borderId="25" xfId="0" applyFont="1" applyFill="1" applyBorder="1"/>
    <xf numFmtId="0" fontId="1" fillId="4" borderId="16" xfId="0" applyFont="1" applyFill="1" applyBorder="1"/>
    <xf numFmtId="0" fontId="0" fillId="2" borderId="39" xfId="0" applyFill="1" applyBorder="1" applyAlignment="1">
      <alignment horizontal="left" indent="1"/>
    </xf>
    <xf numFmtId="4" fontId="0" fillId="0" borderId="0" xfId="0" applyNumberFormat="1" applyAlignment="1">
      <alignment vertical="center" wrapText="1"/>
    </xf>
    <xf numFmtId="0" fontId="1" fillId="4" borderId="16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0" fillId="2" borderId="1" xfId="0" applyFill="1" applyBorder="1"/>
    <xf numFmtId="3" fontId="0" fillId="4" borderId="0" xfId="0" applyNumberFormat="1" applyFill="1"/>
    <xf numFmtId="3" fontId="0" fillId="4" borderId="0" xfId="0" applyNumberFormat="1" applyFill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2" borderId="40" xfId="0" applyFill="1" applyBorder="1"/>
    <xf numFmtId="0" fontId="0" fillId="2" borderId="0" xfId="0" applyFill="1" applyAlignment="1">
      <alignment horizontal="left" indent="1"/>
    </xf>
    <xf numFmtId="9" fontId="13" fillId="0" borderId="0" xfId="1" applyFont="1"/>
    <xf numFmtId="9" fontId="0" fillId="0" borderId="1" xfId="0" applyNumberFormat="1" applyBorder="1"/>
    <xf numFmtId="0" fontId="0" fillId="0" borderId="15" xfId="0" applyBorder="1"/>
    <xf numFmtId="9" fontId="0" fillId="0" borderId="36" xfId="0" applyNumberFormat="1" applyBorder="1"/>
    <xf numFmtId="0" fontId="0" fillId="0" borderId="0" xfId="0" quotePrefix="1" applyAlignment="1">
      <alignment horizontal="left" indent="1"/>
    </xf>
    <xf numFmtId="0" fontId="0" fillId="0" borderId="30" xfId="0" applyBorder="1"/>
    <xf numFmtId="3" fontId="1" fillId="4" borderId="25" xfId="0" applyNumberFormat="1" applyFont="1" applyFill="1" applyBorder="1"/>
    <xf numFmtId="0" fontId="0" fillId="0" borderId="0" xfId="0" applyAlignment="1">
      <alignment horizontal="left" indent="2"/>
    </xf>
    <xf numFmtId="0" fontId="14" fillId="0" borderId="0" xfId="0" applyFont="1"/>
    <xf numFmtId="4" fontId="0" fillId="4" borderId="1" xfId="0" applyNumberFormat="1" applyFill="1" applyBorder="1" applyAlignment="1">
      <alignment vertical="center" wrapText="1"/>
    </xf>
    <xf numFmtId="0" fontId="0" fillId="0" borderId="28" xfId="0" applyBorder="1"/>
    <xf numFmtId="169" fontId="0" fillId="9" borderId="1" xfId="0" applyNumberFormat="1" applyFill="1" applyBorder="1" applyAlignment="1">
      <alignment vertical="top"/>
    </xf>
    <xf numFmtId="168" fontId="0" fillId="3" borderId="1" xfId="0" applyNumberFormat="1" applyFill="1" applyBorder="1" applyAlignment="1">
      <alignment vertical="top"/>
    </xf>
    <xf numFmtId="167" fontId="0" fillId="7" borderId="1" xfId="0" applyNumberFormat="1" applyFill="1" applyBorder="1" applyAlignment="1">
      <alignment vertical="top"/>
    </xf>
    <xf numFmtId="0" fontId="0" fillId="0" borderId="23" xfId="0" applyBorder="1"/>
    <xf numFmtId="0" fontId="0" fillId="0" borderId="0" xfId="0" applyAlignment="1">
      <alignment horizontal="center"/>
    </xf>
    <xf numFmtId="0" fontId="0" fillId="2" borderId="16" xfId="0" applyFill="1" applyBorder="1" applyAlignment="1">
      <alignment horizontal="left" indent="1"/>
    </xf>
    <xf numFmtId="0" fontId="0" fillId="2" borderId="33" xfId="0" applyFill="1" applyBorder="1" applyAlignment="1">
      <alignment horizontal="left" indent="1"/>
    </xf>
    <xf numFmtId="0" fontId="4" fillId="6" borderId="0" xfId="0" applyFont="1" applyFill="1" applyAlignment="1">
      <alignment horizontal="left"/>
    </xf>
    <xf numFmtId="0" fontId="0" fillId="2" borderId="26" xfId="0" applyFill="1" applyBorder="1" applyAlignment="1">
      <alignment horizontal="left" indent="1"/>
    </xf>
    <xf numFmtId="0" fontId="0" fillId="2" borderId="29" xfId="0" applyFill="1" applyBorder="1" applyAlignment="1">
      <alignment horizontal="left" indent="2"/>
    </xf>
    <xf numFmtId="0" fontId="0" fillId="2" borderId="14" xfId="0" applyFill="1" applyBorder="1" applyAlignment="1">
      <alignment horizontal="left" indent="2"/>
    </xf>
    <xf numFmtId="0" fontId="0" fillId="2" borderId="24" xfId="0" applyFill="1" applyBorder="1" applyAlignment="1">
      <alignment horizontal="left" indent="2"/>
    </xf>
    <xf numFmtId="0" fontId="1" fillId="2" borderId="27" xfId="0" applyFont="1" applyFill="1" applyBorder="1" applyAlignment="1">
      <alignment horizontal="left" indent="1"/>
    </xf>
    <xf numFmtId="0" fontId="0" fillId="2" borderId="29" xfId="0" applyFill="1" applyBorder="1" applyAlignment="1">
      <alignment horizontal="left" indent="1"/>
    </xf>
    <xf numFmtId="0" fontId="0" fillId="2" borderId="32" xfId="0" applyFill="1" applyBorder="1" applyAlignment="1">
      <alignment horizontal="left" indent="1"/>
    </xf>
    <xf numFmtId="0" fontId="0" fillId="2" borderId="13" xfId="0" applyFill="1" applyBorder="1" applyAlignment="1">
      <alignment horizontal="left" indent="1"/>
    </xf>
    <xf numFmtId="0" fontId="0" fillId="2" borderId="27" xfId="0" applyFill="1" applyBorder="1" applyAlignment="1">
      <alignment horizontal="left" indent="1"/>
    </xf>
    <xf numFmtId="170" fontId="0" fillId="0" borderId="0" xfId="0" applyNumberFormat="1"/>
    <xf numFmtId="9" fontId="0" fillId="2" borderId="40" xfId="0" applyNumberFormat="1" applyFill="1" applyBorder="1"/>
    <xf numFmtId="0" fontId="0" fillId="0" borderId="0" xfId="0" applyAlignment="1">
      <alignment horizontal="left"/>
    </xf>
    <xf numFmtId="3" fontId="0" fillId="0" borderId="0" xfId="0" applyNumberFormat="1" applyAlignment="1">
      <alignment vertical="center" wrapText="1"/>
    </xf>
    <xf numFmtId="9" fontId="0" fillId="0" borderId="0" xfId="1" applyFont="1"/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1" fillId="10" borderId="1" xfId="0" applyFont="1" applyFill="1" applyBorder="1"/>
    <xf numFmtId="0" fontId="0" fillId="10" borderId="1" xfId="0" applyFill="1" applyBorder="1"/>
    <xf numFmtId="0" fontId="0" fillId="0" borderId="44" xfId="0" applyBorder="1"/>
    <xf numFmtId="165" fontId="0" fillId="0" borderId="0" xfId="0" applyNumberFormat="1"/>
    <xf numFmtId="0" fontId="0" fillId="7" borderId="1" xfId="0" applyFill="1" applyBorder="1"/>
    <xf numFmtId="9" fontId="0" fillId="0" borderId="0" xfId="1" applyFont="1" applyBorder="1"/>
    <xf numFmtId="0" fontId="16" fillId="0" borderId="0" xfId="0" applyFont="1" applyAlignment="1">
      <alignment horizontal="left" vertical="center" indent="2"/>
    </xf>
    <xf numFmtId="165" fontId="0" fillId="0" borderId="44" xfId="0" applyNumberFormat="1" applyBorder="1"/>
    <xf numFmtId="165" fontId="14" fillId="0" borderId="0" xfId="0" applyNumberFormat="1" applyFont="1"/>
    <xf numFmtId="0" fontId="15" fillId="0" borderId="1" xfId="0" applyFont="1" applyBorder="1"/>
    <xf numFmtId="0" fontId="16" fillId="0" borderId="1" xfId="0" applyFont="1" applyBorder="1" applyAlignment="1">
      <alignment horizontal="left" vertical="center" indent="2"/>
    </xf>
    <xf numFmtId="0" fontId="16" fillId="0" borderId="1" xfId="0" applyFont="1" applyBorder="1" applyAlignment="1">
      <alignment horizontal="left" vertical="center" indent="3"/>
    </xf>
    <xf numFmtId="171" fontId="0" fillId="0" borderId="1" xfId="0" applyNumberFormat="1" applyBorder="1"/>
    <xf numFmtId="0" fontId="0" fillId="0" borderId="22" xfId="0" applyBorder="1"/>
    <xf numFmtId="171" fontId="0" fillId="0" borderId="22" xfId="0" applyNumberFormat="1" applyBorder="1"/>
    <xf numFmtId="0" fontId="8" fillId="11" borderId="16" xfId="0" applyFont="1" applyFill="1" applyBorder="1" applyAlignment="1">
      <alignment horizontal="left"/>
    </xf>
    <xf numFmtId="0" fontId="8" fillId="12" borderId="16" xfId="0" applyFont="1" applyFill="1" applyBorder="1" applyAlignment="1">
      <alignment horizontal="left"/>
    </xf>
    <xf numFmtId="0" fontId="8" fillId="13" borderId="16" xfId="0" applyFont="1" applyFill="1" applyBorder="1" applyAlignment="1">
      <alignment horizontal="left"/>
    </xf>
    <xf numFmtId="164" fontId="14" fillId="0" borderId="0" xfId="0" applyNumberFormat="1" applyFont="1"/>
    <xf numFmtId="0" fontId="1" fillId="0" borderId="1" xfId="0" applyFont="1" applyBorder="1" applyAlignment="1">
      <alignment horizontal="left"/>
    </xf>
    <xf numFmtId="16" fontId="0" fillId="0" borderId="1" xfId="0" quotePrefix="1" applyNumberFormat="1" applyBorder="1"/>
    <xf numFmtId="0" fontId="0" fillId="0" borderId="16" xfId="0" applyBorder="1"/>
    <xf numFmtId="164" fontId="0" fillId="0" borderId="25" xfId="0" applyNumberFormat="1" applyBorder="1"/>
    <xf numFmtId="164" fontId="1" fillId="0" borderId="45" xfId="0" applyNumberFormat="1" applyFont="1" applyBorder="1"/>
    <xf numFmtId="164" fontId="1" fillId="0" borderId="22" xfId="0" applyNumberFormat="1" applyFont="1" applyBorder="1"/>
    <xf numFmtId="0" fontId="1" fillId="10" borderId="28" xfId="0" applyFont="1" applyFill="1" applyBorder="1"/>
    <xf numFmtId="0" fontId="0" fillId="0" borderId="0" xfId="0" pivotButton="1"/>
    <xf numFmtId="0" fontId="0" fillId="14" borderId="1" xfId="0" applyFill="1" applyBorder="1"/>
    <xf numFmtId="0" fontId="1" fillId="14" borderId="16" xfId="0" applyFont="1" applyFill="1" applyBorder="1" applyAlignment="1">
      <alignment horizontal="right"/>
    </xf>
    <xf numFmtId="0" fontId="0" fillId="14" borderId="16" xfId="0" applyFill="1" applyBorder="1"/>
    <xf numFmtId="0" fontId="1" fillId="15" borderId="1" xfId="0" applyFont="1" applyFill="1" applyBorder="1"/>
    <xf numFmtId="0" fontId="0" fillId="15" borderId="1" xfId="0" applyFill="1" applyBorder="1"/>
    <xf numFmtId="164" fontId="0" fillId="15" borderId="1" xfId="0" applyNumberFormat="1" applyFill="1" applyBorder="1"/>
    <xf numFmtId="0" fontId="1" fillId="3" borderId="1" xfId="0" applyFont="1" applyFill="1" applyBorder="1" applyAlignment="1">
      <alignment horizontal="right"/>
    </xf>
    <xf numFmtId="164" fontId="0" fillId="3" borderId="1" xfId="0" applyNumberFormat="1" applyFill="1" applyBorder="1"/>
    <xf numFmtId="164" fontId="1" fillId="3" borderId="22" xfId="0" applyNumberFormat="1" applyFont="1" applyFill="1" applyBorder="1"/>
    <xf numFmtId="0" fontId="0" fillId="0" borderId="1" xfId="0" quotePrefix="1" applyBorder="1"/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9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0" fillId="2" borderId="17" xfId="0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2" borderId="21" xfId="0" applyFill="1" applyBorder="1" applyAlignment="1">
      <alignment vertical="top"/>
    </xf>
    <xf numFmtId="0" fontId="0" fillId="2" borderId="18" xfId="0" applyFill="1" applyBorder="1" applyAlignment="1">
      <alignment vertical="top"/>
    </xf>
    <xf numFmtId="0" fontId="5" fillId="5" borderId="0" xfId="0" applyFont="1" applyFill="1"/>
    <xf numFmtId="0" fontId="4" fillId="6" borderId="0" xfId="0" applyFont="1" applyFill="1"/>
    <xf numFmtId="0" fontId="0" fillId="0" borderId="0" xfId="0" applyAlignment="1">
      <alignment horizontal="center"/>
    </xf>
    <xf numFmtId="0" fontId="1" fillId="7" borderId="16" xfId="0" applyFont="1" applyFill="1" applyBorder="1" applyAlignment="1">
      <alignment horizontal="center" vertical="top"/>
    </xf>
    <xf numFmtId="0" fontId="1" fillId="7" borderId="33" xfId="0" applyFont="1" applyFill="1" applyBorder="1" applyAlignment="1">
      <alignment horizontal="center" vertical="top"/>
    </xf>
    <xf numFmtId="0" fontId="1" fillId="7" borderId="25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168" fontId="0" fillId="4" borderId="16" xfId="0" applyNumberFormat="1" applyFill="1" applyBorder="1" applyAlignment="1">
      <alignment horizontal="center" vertical="top"/>
    </xf>
    <xf numFmtId="168" fontId="0" fillId="4" borderId="25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left" indent="1"/>
    </xf>
    <xf numFmtId="0" fontId="0" fillId="2" borderId="41" xfId="0" applyFill="1" applyBorder="1" applyAlignment="1">
      <alignment horizontal="left" indent="1"/>
    </xf>
    <xf numFmtId="0" fontId="0" fillId="2" borderId="42" xfId="0" applyFill="1" applyBorder="1" applyAlignment="1">
      <alignment horizontal="left" indent="1"/>
    </xf>
    <xf numFmtId="0" fontId="0" fillId="2" borderId="43" xfId="0" applyFill="1" applyBorder="1" applyAlignment="1">
      <alignment horizontal="left" indent="1"/>
    </xf>
    <xf numFmtId="0" fontId="4" fillId="6" borderId="0" xfId="0" applyFont="1" applyFill="1" applyAlignment="1">
      <alignment horizontal="left"/>
    </xf>
    <xf numFmtId="0" fontId="0" fillId="2" borderId="32" xfId="0" applyFill="1" applyBorder="1" applyAlignment="1">
      <alignment horizontal="left" indent="1"/>
    </xf>
    <xf numFmtId="0" fontId="0" fillId="2" borderId="13" xfId="0" applyFill="1" applyBorder="1" applyAlignment="1">
      <alignment horizontal="left" indent="1"/>
    </xf>
    <xf numFmtId="0" fontId="0" fillId="2" borderId="27" xfId="0" applyFill="1" applyBorder="1" applyAlignment="1">
      <alignment horizontal="left" indent="1"/>
    </xf>
    <xf numFmtId="0" fontId="1" fillId="2" borderId="29" xfId="0" applyFont="1" applyFill="1" applyBorder="1" applyAlignment="1">
      <alignment horizontal="left" indent="1"/>
    </xf>
    <xf numFmtId="0" fontId="1" fillId="2" borderId="14" xfId="0" applyFont="1" applyFill="1" applyBorder="1" applyAlignment="1">
      <alignment horizontal="left" indent="1"/>
    </xf>
    <xf numFmtId="0" fontId="1" fillId="2" borderId="24" xfId="0" applyFont="1" applyFill="1" applyBorder="1" applyAlignment="1">
      <alignment horizontal="left" indent="1"/>
    </xf>
    <xf numFmtId="0" fontId="1" fillId="2" borderId="32" xfId="0" applyFont="1" applyFill="1" applyBorder="1" applyAlignment="1">
      <alignment horizontal="left" indent="1"/>
    </xf>
    <xf numFmtId="0" fontId="1" fillId="2" borderId="13" xfId="0" applyFont="1" applyFill="1" applyBorder="1" applyAlignment="1">
      <alignment horizontal="left" indent="1"/>
    </xf>
    <xf numFmtId="0" fontId="1" fillId="2" borderId="27" xfId="0" applyFont="1" applyFill="1" applyBorder="1" applyAlignment="1">
      <alignment horizontal="left" indent="1"/>
    </xf>
    <xf numFmtId="0" fontId="0" fillId="2" borderId="29" xfId="0" applyFill="1" applyBorder="1" applyAlignment="1">
      <alignment horizontal="left" indent="2"/>
    </xf>
    <xf numFmtId="0" fontId="0" fillId="2" borderId="14" xfId="0" applyFill="1" applyBorder="1" applyAlignment="1">
      <alignment horizontal="left" indent="2"/>
    </xf>
    <xf numFmtId="0" fontId="0" fillId="2" borderId="24" xfId="0" applyFill="1" applyBorder="1" applyAlignment="1">
      <alignment horizontal="left" indent="2"/>
    </xf>
    <xf numFmtId="0" fontId="0" fillId="2" borderId="16" xfId="0" applyFill="1" applyBorder="1" applyAlignment="1">
      <alignment horizontal="left" indent="1"/>
    </xf>
    <xf numFmtId="0" fontId="0" fillId="2" borderId="33" xfId="0" applyFill="1" applyBorder="1" applyAlignment="1">
      <alignment horizontal="left" indent="1"/>
    </xf>
    <xf numFmtId="0" fontId="0" fillId="2" borderId="25" xfId="0" applyFill="1" applyBorder="1" applyAlignment="1">
      <alignment horizontal="left" indent="1"/>
    </xf>
    <xf numFmtId="0" fontId="0" fillId="2" borderId="29" xfId="0" applyFill="1" applyBorder="1" applyAlignment="1">
      <alignment horizontal="left" indent="1"/>
    </xf>
    <xf numFmtId="0" fontId="0" fillId="2" borderId="14" xfId="0" applyFill="1" applyBorder="1" applyAlignment="1">
      <alignment horizontal="left" indent="1"/>
    </xf>
    <xf numFmtId="0" fontId="0" fillId="2" borderId="24" xfId="0" applyFill="1" applyBorder="1" applyAlignment="1">
      <alignment horizontal="left" indent="1"/>
    </xf>
    <xf numFmtId="0" fontId="0" fillId="2" borderId="28" xfId="0" applyFill="1" applyBorder="1" applyAlignment="1">
      <alignment horizontal="left" indent="1"/>
    </xf>
    <xf numFmtId="0" fontId="0" fillId="2" borderId="26" xfId="0" applyFill="1" applyBorder="1" applyAlignment="1">
      <alignment horizontal="left" indent="1"/>
    </xf>
    <xf numFmtId="0" fontId="0" fillId="2" borderId="34" xfId="0" applyFill="1" applyBorder="1" applyAlignment="1">
      <alignment horizontal="left" indent="1"/>
    </xf>
    <xf numFmtId="0" fontId="0" fillId="2" borderId="31" xfId="0" applyFill="1" applyBorder="1" applyAlignment="1">
      <alignment horizontal="left" indent="1"/>
    </xf>
    <xf numFmtId="0" fontId="1" fillId="8" borderId="16" xfId="0" applyFont="1" applyFill="1" applyBorder="1" applyAlignment="1">
      <alignment vertical="center" wrapText="1"/>
    </xf>
    <xf numFmtId="0" fontId="1" fillId="8" borderId="33" xfId="0" applyFont="1" applyFill="1" applyBorder="1" applyAlignment="1">
      <alignment vertical="center" wrapText="1"/>
    </xf>
    <xf numFmtId="0" fontId="1" fillId="8" borderId="25" xfId="0" applyFont="1" applyFill="1" applyBorder="1" applyAlignment="1">
      <alignment vertical="center" wrapText="1"/>
    </xf>
    <xf numFmtId="0" fontId="0" fillId="4" borderId="16" xfId="0" applyFill="1" applyBorder="1" applyAlignment="1">
      <alignment vertical="center" wrapText="1"/>
    </xf>
    <xf numFmtId="0" fontId="0" fillId="4" borderId="33" xfId="0" applyFill="1" applyBorder="1" applyAlignment="1">
      <alignment vertical="center" wrapText="1"/>
    </xf>
    <xf numFmtId="0" fontId="0" fillId="4" borderId="25" xfId="0" applyFill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1" fillId="4" borderId="33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0" fontId="0" fillId="0" borderId="32" xfId="0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0" borderId="29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24" xfId="0" applyBorder="1" applyAlignment="1">
      <alignment horizontal="left" indent="1"/>
    </xf>
    <xf numFmtId="0" fontId="0" fillId="0" borderId="26" xfId="0" applyBorder="1" applyAlignment="1">
      <alignment horizontal="left" indent="1"/>
    </xf>
    <xf numFmtId="0" fontId="0" fillId="0" borderId="34" xfId="0" applyBorder="1" applyAlignment="1">
      <alignment horizontal="left" indent="1"/>
    </xf>
    <xf numFmtId="0" fontId="0" fillId="0" borderId="31" xfId="0" applyBorder="1" applyAlignment="1">
      <alignment horizontal="left" indent="1"/>
    </xf>
    <xf numFmtId="0" fontId="4" fillId="6" borderId="35" xfId="0" applyFont="1" applyFill="1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2" borderId="1" xfId="0" applyFill="1" applyBorder="1" applyAlignment="1">
      <alignment horizontal="left" indent="2"/>
    </xf>
    <xf numFmtId="0" fontId="0" fillId="2" borderId="16" xfId="0" applyFill="1" applyBorder="1" applyAlignment="1">
      <alignment horizontal="left" indent="2"/>
    </xf>
    <xf numFmtId="0" fontId="0" fillId="2" borderId="25" xfId="0" applyFill="1" applyBorder="1" applyAlignment="1">
      <alignment horizontal="left" indent="2"/>
    </xf>
    <xf numFmtId="0" fontId="1" fillId="10" borderId="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2">
    <cellStyle name="Normal" xfId="0" builtinId="0"/>
    <cellStyle name="Percent" xfId="1" builtinId="5"/>
  </cellStyles>
  <dxfs count="44">
    <dxf>
      <numFmt numFmtId="168" formatCode="[$£-809]#,##0"/>
    </dxf>
    <dxf>
      <numFmt numFmtId="167" formatCode="[$$-409]#,##0"/>
    </dxf>
    <dxf>
      <numFmt numFmtId="167" formatCode="[$$-409]#,##0"/>
    </dxf>
    <dxf>
      <numFmt numFmtId="168" formatCode="[$£-809]#,##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£-809]#,##0"/>
    </dxf>
    <dxf>
      <numFmt numFmtId="167" formatCode="[$$-409]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£-809]#,##0"/>
    </dxf>
    <dxf>
      <numFmt numFmtId="167" formatCode="[$$-409]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7" formatCode="[$$-409]#,##0"/>
    </dxf>
    <dxf>
      <numFmt numFmtId="168" formatCode="[$£-809]#,##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7" formatCode="[$$-409]#,##0"/>
    </dxf>
    <dxf>
      <numFmt numFmtId="168" formatCode="[$£-809]#,##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  <dxf>
      <numFmt numFmtId="167" formatCode="[$$-409]#,##0"/>
    </dxf>
    <dxf>
      <numFmt numFmtId="168" formatCode="[$£-809]#,##0"/>
    </dxf>
  </dxfs>
  <tableStyles count="0" defaultTableStyle="TableStyleMedium2" defaultPivotStyle="PivotStyleLight16"/>
  <colors>
    <mruColors>
      <color rgb="FFBBD361"/>
      <color rgb="FFD7EDF1"/>
      <color rgb="FF98B432"/>
      <color rgb="FF0093B2"/>
      <color rgb="FFCFE090"/>
      <color rgb="FFC1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13</xdr:col>
      <xdr:colOff>581067</xdr:colOff>
      <xdr:row>10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AA4B4-FEE6-5F28-8D4D-04850E2F2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505867" cy="19240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10</xdr:row>
      <xdr:rowOff>85726</xdr:rowOff>
    </xdr:from>
    <xdr:to>
      <xdr:col>13</xdr:col>
      <xdr:colOff>590550</xdr:colOff>
      <xdr:row>20</xdr:row>
      <xdr:rowOff>72786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C22CE-D177-FA41-9577-7E1A16FE1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1990726"/>
          <a:ext cx="8505825" cy="1892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</xdr:rowOff>
    </xdr:from>
    <xdr:to>
      <xdr:col>13</xdr:col>
      <xdr:colOff>581025</xdr:colOff>
      <xdr:row>30</xdr:row>
      <xdr:rowOff>199106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C0E26E-E956-1E87-DA3C-A0FE6EF62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00501"/>
          <a:ext cx="8505825" cy="19231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aun Barrett" id="{1BE6B073-66D3-43DB-BD15-17050CB65531}" userId="S::sbarrett@openboxsoftware.com::2e21295b-21c9-4734-b4c8-23b29a1a1ba3" providerId="AD"/>
  <person displayName="Craig Mackintosh" id="{C4E209E5-E616-413F-B870-FE168CAEAE35}" userId="S::cmackintosh@openboxsoftware.com::60563cfe-5481-48be-93e8-059b7c3b7ec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Barrett" refreshedDate="45370.499730787036" createdVersion="8" refreshedVersion="8" minRefreshableVersion="3" recordCount="7" xr:uid="{2544064A-E56C-4DC8-87E0-FF372787DA09}">
  <cacheSource type="worksheet">
    <worksheetSource name="Table1"/>
  </cacheSource>
  <cacheFields count="6">
    <cacheField name="Client Hierarchy - Client" numFmtId="0">
      <sharedItems/>
    </cacheField>
    <cacheField name="Client Hierarchy - Project" numFmtId="0">
      <sharedItems/>
    </cacheField>
    <cacheField name="Client Hierarchy - Section" numFmtId="0">
      <sharedItems/>
    </cacheField>
    <cacheField name="Client Hierarchy - Task" numFmtId="0">
      <sharedItems count="1">
        <s v="Delivery"/>
      </sharedItems>
    </cacheField>
    <cacheField name="Sum of Hours" numFmtId="0">
      <sharedItems containsSemiMixedTypes="0" containsString="0" containsNumber="1" minValue="3.75" maxValue="99"/>
    </cacheField>
    <cacheField name="Employee" numFmtId="0">
      <sharedItems count="7">
        <s v="Anjali Salecha"/>
        <s v="Khonani Davhana"/>
        <s v="Matthew Cornfield"/>
        <s v="Nikki Papenfus"/>
        <s v="Sachin  Deshmukh"/>
        <s v="Sam Duncan"/>
        <s v="Shaun Barret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Grainger PLC"/>
    <s v="Website Integration (T&amp;M)"/>
    <s v="Analysis &amp; Build"/>
    <x v="0"/>
    <n v="99"/>
    <x v="0"/>
  </r>
  <r>
    <s v="Grainger PLC"/>
    <s v="Website Integration (T&amp;M)"/>
    <s v="Analysis &amp; Build"/>
    <x v="0"/>
    <n v="36"/>
    <x v="1"/>
  </r>
  <r>
    <s v="Grainger PLC"/>
    <s v="Website Integration (T&amp;M)"/>
    <s v="Analysis &amp; Build"/>
    <x v="0"/>
    <n v="71"/>
    <x v="2"/>
  </r>
  <r>
    <s v="Grainger PLC"/>
    <s v="Website Integration (T&amp;M)"/>
    <s v="Analysis &amp; Build"/>
    <x v="0"/>
    <n v="53.25"/>
    <x v="3"/>
  </r>
  <r>
    <s v="Grainger PLC"/>
    <s v="Website Integration (T&amp;M)"/>
    <s v="Analysis &amp; Build"/>
    <x v="0"/>
    <n v="89.5"/>
    <x v="4"/>
  </r>
  <r>
    <s v="Grainger PLC"/>
    <s v="Website Integration (T&amp;M)"/>
    <s v="Analysis &amp; Build"/>
    <x v="0"/>
    <n v="11.75"/>
    <x v="5"/>
  </r>
  <r>
    <s v="Grainger PLC"/>
    <s v="Website Integration (T&amp;M)"/>
    <s v="Analysis &amp; Build"/>
    <x v="0"/>
    <n v="3.7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97274-6DE1-4F6E-87E3-BBFB41ECFBA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2:X15" firstHeaderRow="1" firstDataRow="2" firstDataCol="1"/>
  <pivotFields count="6">
    <pivotField showAll="0"/>
    <pivotField showAll="0"/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2">
    <i>
      <x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um of Hou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77486-A62A-4326-892C-8BEEBD7D73E0}" name="Table1" displayName="Table1" ref="P1:U8">
  <autoFilter ref="P1:U8" xr:uid="{32177486-A62A-4326-892C-8BEEBD7D73E0}"/>
  <tableColumns count="6">
    <tableColumn id="1" xr3:uid="{7F247950-2AE7-4431-BBA7-36584F7B1439}" name="Client Hierarchy - Client"/>
    <tableColumn id="2" xr3:uid="{A71273CE-B47F-4359-AE57-72F5087964C0}" name="Client Hierarchy - Project"/>
    <tableColumn id="3" xr3:uid="{732ACB92-3EB5-4789-B1AB-6471B5080644}" name="Client Hierarchy - Section"/>
    <tableColumn id="4" xr3:uid="{E33F5225-D50C-43CF-9252-0238ED52836E}" name="Client Hierarchy - Task"/>
    <tableColumn id="5" xr3:uid="{8A1E8E87-4534-4840-9F6F-166034E797E4}" name="Sum of Hours"/>
    <tableColumn id="6" xr3:uid="{4404CD4D-A8A6-4BBB-8C1B-242E3077A786}" name="Employe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696B6B"/>
      </a:dk2>
      <a:lt2>
        <a:srgbClr val="969696"/>
      </a:lt2>
      <a:accent1>
        <a:srgbClr val="003865"/>
      </a:accent1>
      <a:accent2>
        <a:srgbClr val="0093B2"/>
      </a:accent2>
      <a:accent3>
        <a:srgbClr val="9BD3DD"/>
      </a:accent3>
      <a:accent4>
        <a:srgbClr val="E4002B"/>
      </a:accent4>
      <a:accent5>
        <a:srgbClr val="A6192E"/>
      </a:accent5>
      <a:accent6>
        <a:srgbClr val="B5BD00"/>
      </a:accent6>
      <a:hlink>
        <a:srgbClr val="0093B2"/>
      </a:hlink>
      <a:folHlink>
        <a:srgbClr val="00386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0-05-07T10:17:28.00" personId="{C4E209E5-E616-413F-B870-FE168CAEAE35}" id="{D8FA8E23-9BEB-454F-846B-34B8AC1DB379}">
    <text>Used for all cost calculations.</text>
  </threadedComment>
  <threadedComment ref="E25" dT="2020-05-07T10:18:22.12" personId="{C4E209E5-E616-413F-B870-FE168CAEAE35}" id="{AAD3A82F-0954-41C6-A4F9-3460C74BD17C}">
    <text>Minimum UAT duration is 2 weeks  as 1 week has proven impratical for typical projects.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4" dT="2020-05-12T10:51:34.62" personId="{C4E209E5-E616-413F-B870-FE168CAEAE35}" id="{AE56CDBD-1566-4B5F-9F69-818EE644F94B}">
    <text>Does not affect cost.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64" dT="2020-05-12T10:50:59.47" personId="{C4E209E5-E616-413F-B870-FE168CAEAE35}" id="{C693D1C5-30F0-4FAA-AD27-5ECF61B5B2D2}">
    <text>Solution Design Document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4" dT="2022-01-18T14:35:10.05" personId="{1BE6B073-66D3-43DB-BD15-17050CB65531}" id="{7C943404-F32B-4FE7-A3B4-9F7EC4012925}">
    <text>Remove if Analysis estimate</text>
  </threadedComment>
  <threadedComment ref="B37" dT="2022-01-18T14:22:49.37" personId="{1BE6B073-66D3-43DB-BD15-17050CB65531}" id="{995EE494-0229-4B72-8756-6CCB84F30B8D}">
    <text>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ext>
  </threadedComment>
  <threadedComment ref="B40" dT="2022-01-18T14:22:49.37" personId="{1BE6B073-66D3-43DB-BD15-17050CB65531}" id="{BCA90512-842E-49A2-845E-1AACA4CDD8B8}">
    <text>For example:
- There will only be 1 environment - Produciton. This may impact support and live use. 
- This will be a supervised solution (ie user will need to be logged in)
- Project will be billed T&amp;M @ a rate of xxx
- Client will add a user with the appropriate licenses in Azure AD - (Power Automate RPA)
- Licensing is $40 p/m per environment (Power Automate with RPA)
- Production support xxx
- A new account will be set up for the Automation to access xxxx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BD361"/>
  </sheetPr>
  <dimension ref="B2:J29"/>
  <sheetViews>
    <sheetView workbookViewId="0">
      <selection activeCell="H6" sqref="H6"/>
    </sheetView>
  </sheetViews>
  <sheetFormatPr defaultColWidth="9.140625" defaultRowHeight="15" x14ac:dyDescent="0.25"/>
  <cols>
    <col min="1" max="1" width="3.5703125" style="3" customWidth="1"/>
    <col min="2" max="2" width="27.140625" style="3" customWidth="1"/>
    <col min="3" max="3" width="60.85546875" style="3" customWidth="1"/>
    <col min="4" max="4" width="39.5703125" style="3" customWidth="1"/>
    <col min="5" max="5" width="48" style="3" customWidth="1"/>
    <col min="6" max="6" width="10.140625" style="3" customWidth="1"/>
    <col min="7" max="7" width="12.140625" style="3" customWidth="1"/>
    <col min="8" max="8" width="8.85546875" style="3" customWidth="1"/>
    <col min="9" max="9" width="4" style="3" customWidth="1"/>
    <col min="10" max="16384" width="9.140625" style="3"/>
  </cols>
  <sheetData>
    <row r="2" spans="2:10" ht="85.5" customHeight="1" x14ac:dyDescent="0.25">
      <c r="B2" s="22" t="s">
        <v>0</v>
      </c>
      <c r="C2" s="208" t="s">
        <v>1</v>
      </c>
      <c r="D2" s="209"/>
      <c r="E2" s="209"/>
      <c r="F2" s="209"/>
      <c r="G2" s="209"/>
      <c r="H2" s="210"/>
    </row>
    <row r="3" spans="2:10" x14ac:dyDescent="0.25">
      <c r="B3" s="7"/>
      <c r="C3" s="8"/>
      <c r="D3" s="8"/>
      <c r="E3" s="8"/>
      <c r="F3" s="9" t="s">
        <v>2</v>
      </c>
      <c r="G3" s="9" t="s">
        <v>3</v>
      </c>
      <c r="H3" s="10" t="s">
        <v>4</v>
      </c>
      <c r="J3" s="38"/>
    </row>
    <row r="4" spans="2:10" x14ac:dyDescent="0.25">
      <c r="B4" s="11"/>
      <c r="C4" s="12"/>
      <c r="D4" s="13" t="s">
        <v>5</v>
      </c>
      <c r="E4" s="13" t="s">
        <v>6</v>
      </c>
      <c r="F4" s="13">
        <f>IF(F$26&gt;(F$28-$G29),5,ROUNDDOWN((F$26-F$27)/F$29+1,0))</f>
        <v>1</v>
      </c>
      <c r="G4" s="13">
        <f>IF(G$26&gt;(G$28-$G29),5,ROUNDDOWN((G$26-G$27)/G$29+1,0))</f>
        <v>1</v>
      </c>
      <c r="H4" s="21">
        <f>IF(H$26&gt;(H$28-$G29),5,ROUNDDOWN((H$26-H$27)/H$29+1,0))</f>
        <v>1</v>
      </c>
    </row>
    <row r="5" spans="2:10" x14ac:dyDescent="0.25">
      <c r="B5" s="22" t="s">
        <v>7</v>
      </c>
      <c r="C5" s="14" t="s">
        <v>8</v>
      </c>
      <c r="D5" s="15" t="s">
        <v>9</v>
      </c>
      <c r="E5" s="15"/>
      <c r="F5" s="6"/>
      <c r="G5" s="6"/>
      <c r="H5" s="16">
        <f t="shared" ref="H5:H11" si="0">IF(ISBLANK(D5),0,_xlfn.NUMBERVALUE(LEFT(D5,1)))</f>
        <v>1</v>
      </c>
    </row>
    <row r="6" spans="2:10" ht="45" x14ac:dyDescent="0.25">
      <c r="B6" s="22" t="s">
        <v>10</v>
      </c>
      <c r="C6" s="14" t="s">
        <v>11</v>
      </c>
      <c r="D6" s="15" t="s">
        <v>12</v>
      </c>
      <c r="E6" s="15"/>
      <c r="F6" s="6"/>
      <c r="G6" s="16">
        <f>IF(ISBLANK(D6),0,_xlfn.NUMBERVALUE(LEFT(D6,1)))</f>
        <v>1</v>
      </c>
      <c r="H6" s="16">
        <f t="shared" si="0"/>
        <v>1</v>
      </c>
    </row>
    <row r="7" spans="2:10" ht="30" x14ac:dyDescent="0.25">
      <c r="B7" s="22" t="s">
        <v>13</v>
      </c>
      <c r="C7" s="14" t="s">
        <v>14</v>
      </c>
      <c r="D7" s="15" t="s">
        <v>15</v>
      </c>
      <c r="E7" s="15"/>
      <c r="F7" s="16">
        <f>IF(ISBLANK(D7),0,_xlfn.NUMBERVALUE(LEFT(D7,1)))</f>
        <v>1</v>
      </c>
      <c r="G7" s="16">
        <f>IF(ISBLANK(D7),0,_xlfn.NUMBERVALUE(LEFT(D7,1)))</f>
        <v>1</v>
      </c>
      <c r="H7" s="16">
        <f t="shared" si="0"/>
        <v>1</v>
      </c>
    </row>
    <row r="8" spans="2:10" ht="30" x14ac:dyDescent="0.25">
      <c r="B8" s="22" t="s">
        <v>16</v>
      </c>
      <c r="C8" s="14" t="s">
        <v>17</v>
      </c>
      <c r="D8" s="15" t="s">
        <v>18</v>
      </c>
      <c r="E8" s="15"/>
      <c r="F8" s="6"/>
      <c r="G8" s="6"/>
      <c r="H8" s="16">
        <f t="shared" si="0"/>
        <v>1</v>
      </c>
    </row>
    <row r="9" spans="2:10" x14ac:dyDescent="0.25">
      <c r="B9" s="22" t="s">
        <v>19</v>
      </c>
      <c r="C9" s="14" t="s">
        <v>20</v>
      </c>
      <c r="D9" s="15" t="s">
        <v>21</v>
      </c>
      <c r="E9" s="15"/>
      <c r="F9" s="16">
        <f>IF(ISBLANK(D9),0,_xlfn.NUMBERVALUE(LEFT(D9,1)))</f>
        <v>1</v>
      </c>
      <c r="G9" s="16">
        <f>IF(ISBLANK(D9),0,_xlfn.NUMBERVALUE(LEFT(D9,1)))</f>
        <v>1</v>
      </c>
      <c r="H9" s="16">
        <f t="shared" si="0"/>
        <v>1</v>
      </c>
    </row>
    <row r="10" spans="2:10" x14ac:dyDescent="0.25">
      <c r="B10" s="22" t="s">
        <v>22</v>
      </c>
      <c r="C10" s="14" t="s">
        <v>23</v>
      </c>
      <c r="D10" s="15" t="s">
        <v>24</v>
      </c>
      <c r="E10" s="15"/>
      <c r="F10" s="16">
        <f>IF(ISBLANK(D10),0,_xlfn.NUMBERVALUE(LEFT(D10,1)))</f>
        <v>1</v>
      </c>
      <c r="G10" s="16">
        <f>IF(ISBLANK(D10),0,_xlfn.NUMBERVALUE(LEFT(D10,1)))</f>
        <v>1</v>
      </c>
      <c r="H10" s="16">
        <f t="shared" si="0"/>
        <v>1</v>
      </c>
    </row>
    <row r="11" spans="2:10" ht="31.5" customHeight="1" x14ac:dyDescent="0.25">
      <c r="B11" s="23" t="s">
        <v>25</v>
      </c>
      <c r="C11" s="14" t="s">
        <v>26</v>
      </c>
      <c r="D11" s="15" t="s">
        <v>27</v>
      </c>
      <c r="E11" s="15"/>
      <c r="F11" s="16">
        <f>IF(ISBLANK(D11),0,_xlfn.NUMBERVALUE(LEFT(D11,1)))</f>
        <v>1</v>
      </c>
      <c r="G11" s="6"/>
      <c r="H11" s="16">
        <f t="shared" si="0"/>
        <v>1</v>
      </c>
    </row>
    <row r="12" spans="2:10" ht="34.5" customHeight="1" x14ac:dyDescent="0.25">
      <c r="B12" s="22" t="s">
        <v>28</v>
      </c>
      <c r="C12" s="14" t="s">
        <v>29</v>
      </c>
      <c r="D12" s="15" t="s">
        <v>30</v>
      </c>
      <c r="E12" s="15"/>
      <c r="F12" s="16">
        <f>IF(ISBLANK(D12),0,_xlfn.NUMBERVALUE(LEFT(D12,1)))</f>
        <v>1</v>
      </c>
      <c r="G12" s="16">
        <f>IF(ISBLANK(D12),0,_xlfn.NUMBERVALUE(LEFT(D12,1)))</f>
        <v>1</v>
      </c>
      <c r="H12" s="6"/>
    </row>
    <row r="13" spans="2:10" ht="30" x14ac:dyDescent="0.25">
      <c r="B13" s="22" t="s">
        <v>31</v>
      </c>
      <c r="C13" s="14" t="s">
        <v>32</v>
      </c>
      <c r="D13" s="15" t="s">
        <v>33</v>
      </c>
      <c r="E13" s="15"/>
      <c r="F13" s="6"/>
      <c r="G13" s="16">
        <f t="shared" ref="G13:G18" si="1">IF(ISBLANK(D13),0,_xlfn.NUMBERVALUE(LEFT(D13,1)))</f>
        <v>1</v>
      </c>
      <c r="H13" s="6"/>
    </row>
    <row r="14" spans="2:10" ht="30" x14ac:dyDescent="0.25">
      <c r="B14" s="22" t="s">
        <v>34</v>
      </c>
      <c r="C14" s="14" t="s">
        <v>35</v>
      </c>
      <c r="D14" s="15" t="s">
        <v>36</v>
      </c>
      <c r="E14" s="15"/>
      <c r="F14" s="6"/>
      <c r="G14" s="16">
        <f t="shared" si="1"/>
        <v>1</v>
      </c>
      <c r="H14" s="6"/>
    </row>
    <row r="15" spans="2:10" ht="45" x14ac:dyDescent="0.25">
      <c r="B15" s="23" t="s">
        <v>37</v>
      </c>
      <c r="C15" s="14" t="s">
        <v>38</v>
      </c>
      <c r="D15" s="15" t="s">
        <v>39</v>
      </c>
      <c r="E15" s="15"/>
      <c r="F15" s="16">
        <f t="shared" ref="F15:F21" si="2">IF(ISBLANK(D15),0,_xlfn.NUMBERVALUE(LEFT(D15,1)))</f>
        <v>1</v>
      </c>
      <c r="G15" s="16">
        <f t="shared" si="1"/>
        <v>1</v>
      </c>
      <c r="H15" s="6"/>
    </row>
    <row r="16" spans="2:10" ht="45" x14ac:dyDescent="0.25">
      <c r="B16" s="22" t="s">
        <v>40</v>
      </c>
      <c r="C16" s="14" t="s">
        <v>41</v>
      </c>
      <c r="D16" s="15" t="s">
        <v>42</v>
      </c>
      <c r="E16" s="15"/>
      <c r="F16" s="16">
        <f t="shared" si="2"/>
        <v>1</v>
      </c>
      <c r="G16" s="16">
        <f t="shared" si="1"/>
        <v>1</v>
      </c>
      <c r="H16" s="6"/>
    </row>
    <row r="17" spans="2:8" ht="30" x14ac:dyDescent="0.25">
      <c r="B17" s="22" t="s">
        <v>43</v>
      </c>
      <c r="C17" s="14" t="s">
        <v>44</v>
      </c>
      <c r="D17" s="15" t="s">
        <v>45</v>
      </c>
      <c r="E17" s="15"/>
      <c r="F17" s="16">
        <f t="shared" si="2"/>
        <v>1</v>
      </c>
      <c r="G17" s="16">
        <f t="shared" si="1"/>
        <v>1</v>
      </c>
      <c r="H17" s="6"/>
    </row>
    <row r="18" spans="2:8" ht="30" x14ac:dyDescent="0.25">
      <c r="B18" s="22" t="s">
        <v>46</v>
      </c>
      <c r="C18" s="14" t="s">
        <v>47</v>
      </c>
      <c r="D18" s="15" t="s">
        <v>48</v>
      </c>
      <c r="E18" s="15"/>
      <c r="F18" s="16">
        <f t="shared" si="2"/>
        <v>1</v>
      </c>
      <c r="G18" s="16">
        <f t="shared" si="1"/>
        <v>1</v>
      </c>
      <c r="H18" s="6"/>
    </row>
    <row r="19" spans="2:8" ht="45" x14ac:dyDescent="0.25">
      <c r="B19" s="22" t="s">
        <v>49</v>
      </c>
      <c r="C19" s="14" t="s">
        <v>50</v>
      </c>
      <c r="D19" s="15" t="s">
        <v>51</v>
      </c>
      <c r="E19" s="15"/>
      <c r="F19" s="16">
        <f t="shared" ref="F19" si="3">IF(ISBLANK(D19),0,_xlfn.NUMBERVALUE(LEFT(D19,1)))</f>
        <v>1</v>
      </c>
      <c r="G19" s="16">
        <f t="shared" ref="G19" si="4">IF(ISBLANK(D19),0,_xlfn.NUMBERVALUE(LEFT(D19,1)))</f>
        <v>1</v>
      </c>
      <c r="H19" s="6"/>
    </row>
    <row r="20" spans="2:8" ht="30" x14ac:dyDescent="0.25">
      <c r="B20" s="22" t="s">
        <v>52</v>
      </c>
      <c r="C20" s="14" t="s">
        <v>53</v>
      </c>
      <c r="D20" s="15" t="s">
        <v>54</v>
      </c>
      <c r="E20" s="15"/>
      <c r="F20" s="16">
        <f t="shared" si="2"/>
        <v>1</v>
      </c>
      <c r="G20" s="6"/>
      <c r="H20" s="6"/>
    </row>
    <row r="21" spans="2:8" ht="45" x14ac:dyDescent="0.25">
      <c r="B21" s="23" t="s">
        <v>55</v>
      </c>
      <c r="C21" s="14" t="s">
        <v>56</v>
      </c>
      <c r="D21" s="15" t="s">
        <v>57</v>
      </c>
      <c r="E21" s="15"/>
      <c r="F21" s="16">
        <f t="shared" si="2"/>
        <v>1</v>
      </c>
      <c r="G21" s="6"/>
      <c r="H21" s="6"/>
    </row>
    <row r="22" spans="2:8" ht="30" x14ac:dyDescent="0.25">
      <c r="B22" s="23" t="s">
        <v>58</v>
      </c>
      <c r="C22" s="14" t="s">
        <v>59</v>
      </c>
      <c r="D22" s="15" t="s">
        <v>60</v>
      </c>
      <c r="E22" s="15"/>
      <c r="F22" s="6"/>
      <c r="G22" s="6"/>
      <c r="H22" s="16">
        <f t="shared" ref="H22" si="5">IF(ISBLANK(D22),0,_xlfn.NUMBERVALUE(LEFT(D22,1)))</f>
        <v>1</v>
      </c>
    </row>
    <row r="23" spans="2:8" ht="30" x14ac:dyDescent="0.25">
      <c r="B23" s="23" t="s">
        <v>61</v>
      </c>
      <c r="C23" s="14" t="s">
        <v>62</v>
      </c>
      <c r="D23" s="15" t="s">
        <v>60</v>
      </c>
      <c r="E23" s="15"/>
      <c r="F23" s="6"/>
      <c r="G23" s="6"/>
      <c r="H23" s="16">
        <f t="shared" ref="H23:H24" si="6">IF(ISBLANK(D23),0,_xlfn.NUMBERVALUE(LEFT(D23,1)))</f>
        <v>1</v>
      </c>
    </row>
    <row r="24" spans="2:8" ht="45" x14ac:dyDescent="0.25">
      <c r="B24" s="23" t="s">
        <v>63</v>
      </c>
      <c r="C24" s="14" t="s">
        <v>64</v>
      </c>
      <c r="D24" s="15" t="s">
        <v>60</v>
      </c>
      <c r="E24" s="15"/>
      <c r="F24" s="6"/>
      <c r="G24" s="6"/>
      <c r="H24" s="16">
        <f t="shared" si="6"/>
        <v>1</v>
      </c>
    </row>
    <row r="25" spans="2:8" ht="43.5" customHeight="1" x14ac:dyDescent="0.25">
      <c r="B25" s="23" t="s">
        <v>65</v>
      </c>
      <c r="C25" s="14" t="s">
        <v>66</v>
      </c>
      <c r="D25" s="6"/>
      <c r="E25" s="15"/>
      <c r="F25" s="16"/>
      <c r="G25" s="16"/>
      <c r="H25" s="16"/>
    </row>
    <row r="26" spans="2:8" x14ac:dyDescent="0.25">
      <c r="B26" s="17"/>
      <c r="C26" s="17"/>
      <c r="D26" s="18"/>
      <c r="E26" s="19" t="s">
        <v>67</v>
      </c>
      <c r="F26" s="20">
        <f>SUM(F5:F25)</f>
        <v>12</v>
      </c>
      <c r="G26" s="20">
        <f>SUM(G5:G25)</f>
        <v>12</v>
      </c>
      <c r="H26" s="20">
        <f>SUM(H5:H25)</f>
        <v>10</v>
      </c>
    </row>
    <row r="27" spans="2:8" x14ac:dyDescent="0.25">
      <c r="E27" s="3" t="s">
        <v>68</v>
      </c>
      <c r="F27" s="3">
        <f>COUNTA(F5:F24)</f>
        <v>12</v>
      </c>
      <c r="G27" s="3">
        <f>COUNTA(G5:G24)</f>
        <v>12</v>
      </c>
      <c r="H27" s="3">
        <f>COUNTA(H5:H24)</f>
        <v>10</v>
      </c>
    </row>
    <row r="28" spans="2:8" x14ac:dyDescent="0.25">
      <c r="E28" s="3" t="s">
        <v>69</v>
      </c>
      <c r="F28" s="3">
        <f>COUNTA(F5:F24)*3</f>
        <v>36</v>
      </c>
      <c r="G28" s="3">
        <f>COUNTA(G5:G24)*3</f>
        <v>36</v>
      </c>
      <c r="H28" s="3">
        <f>COUNTA(H5:H24)*3</f>
        <v>30</v>
      </c>
    </row>
    <row r="29" spans="2:8" x14ac:dyDescent="0.25">
      <c r="E29" s="3" t="s">
        <v>70</v>
      </c>
      <c r="F29" s="3">
        <f>ROUNDDOWN((F28-F27+1)/5,0)</f>
        <v>5</v>
      </c>
      <c r="G29" s="3">
        <f t="shared" ref="G29:H29" si="7">ROUNDDOWN((G28-G27+1)/5,0)</f>
        <v>5</v>
      </c>
      <c r="H29" s="3">
        <f t="shared" si="7"/>
        <v>4</v>
      </c>
    </row>
  </sheetData>
  <mergeCells count="1">
    <mergeCell ref="C2:H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798" yWindow="400" count="20">
        <x14:dataValidation type="list" allowBlank="1" showInputMessage="1" showErrorMessage="1" xr:uid="{00000000-0002-0000-0000-000000000000}">
          <x14:formula1>
            <xm:f>Lookups!$A$17:$A$19</xm:f>
          </x14:formula1>
          <xm:sqref>D10</xm:sqref>
        </x14:dataValidation>
        <x14:dataValidation type="list" allowBlank="1" showInputMessage="1" showErrorMessage="1" prompt="Please use the Details field to enter the exact frequency if known" xr:uid="{00000000-0002-0000-0000-000001000000}">
          <x14:formula1>
            <xm:f>Lookups!$A$2:$A$4</xm:f>
          </x14:formula1>
          <xm:sqref>D5</xm:sqref>
        </x14:dataValidation>
        <x14:dataValidation type="list" allowBlank="1" showInputMessage="1" showErrorMessage="1" prompt="Please use the Details field to enter an average number of records if known" xr:uid="{00000000-0002-0000-0000-000002000000}">
          <x14:formula1>
            <xm:f>Lookups!$A$7:$A$9</xm:f>
          </x14:formula1>
          <xm:sqref>D6</xm:sqref>
        </x14:dataValidation>
        <x14:dataValidation type="list" allowBlank="1" showInputMessage="1" showErrorMessage="1" prompt="Please specify the countries in the Details field " xr:uid="{00000000-0002-0000-0000-000003000000}">
          <x14:formula1>
            <xm:f>Lookups!$A$17:$A$19</xm:f>
          </x14:formula1>
          <xm:sqref>D10</xm:sqref>
        </x14:dataValidation>
        <x14:dataValidation type="list" allowBlank="1" showInputMessage="1" showErrorMessage="1" prompt="If there are known risks or penalties please specify in the Details field" xr:uid="{00000000-0002-0000-0000-000004000000}">
          <x14:formula1>
            <xm:f>Lookups!$A$32:$A$34</xm:f>
          </x14:formula1>
          <xm:sqref>D11</xm:sqref>
        </x14:dataValidation>
        <x14:dataValidation type="list" allowBlank="1" showInputMessage="1" showErrorMessage="1" prompt="Please provide a brief description of the inputs in the Details field" xr:uid="{00000000-0002-0000-0000-000005000000}">
          <x14:formula1>
            <xm:f>Lookups!$A$37:$A$39</xm:f>
          </x14:formula1>
          <xm:sqref>D12</xm:sqref>
        </x14:dataValidation>
        <x14:dataValidation type="list" allowBlank="1" showInputMessage="1" showErrorMessage="1" prompt="Use the Details field to call out any specific examples of key error sources" xr:uid="{00000000-0002-0000-0000-000006000000}">
          <x14:formula1>
            <xm:f>Lookups!$A$47:$A$49</xm:f>
          </x14:formula1>
          <xm:sqref>D14</xm:sqref>
        </x14:dataValidation>
        <x14:dataValidation type="list" allowBlank="1" showInputMessage="1" showErrorMessage="1" prompt="Use the Details field to give more information if available" xr:uid="{00000000-0002-0000-0000-000007000000}">
          <x14:formula1>
            <xm:f>Lookups!$A$52:$A$54</xm:f>
          </x14:formula1>
          <xm:sqref>D15</xm:sqref>
        </x14:dataValidation>
        <x14:dataValidation type="list" allowBlank="1" showInputMessage="1" showErrorMessage="1" prompt="Specify any known clashes or commitments in the Details field" xr:uid="{00000000-0002-0000-0000-000008000000}">
          <x14:formula1>
            <xm:f>Lookups!$A$62:$A$64</xm:f>
          </x14:formula1>
          <xm:sqref>D21</xm:sqref>
        </x14:dataValidation>
        <x14:dataValidation type="list" allowBlank="1" showInputMessage="1" showErrorMessage="1" prompt="Please list the systems in the Details field" xr:uid="{00000000-0002-0000-0000-000009000000}">
          <x14:formula1>
            <xm:f>Lookups!$A$67:$A$69</xm:f>
          </x14:formula1>
          <xm:sqref>D17</xm:sqref>
        </x14:dataValidation>
        <x14:dataValidation type="list" allowBlank="1" showInputMessage="1" showErrorMessage="1" prompt="Please add any information on known maintenance schedules or upcoming enhancements in the Details field" xr:uid="{00000000-0002-0000-0000-00000A000000}">
          <x14:formula1>
            <xm:f>Lookups!$A$82:$A$84</xm:f>
          </x14:formula1>
          <xm:sqref>D20:D21</xm:sqref>
        </x14:dataValidation>
        <x14:dataValidation type="list" allowBlank="1" showInputMessage="1" showErrorMessage="1" prompt="If Yes and multiple, please specify the number in the Details field if known" xr:uid="{00000000-0002-0000-0000-00000B000000}">
          <x14:formula1>
            <xm:f>Lookups!$A$42:$A$44</xm:f>
          </x14:formula1>
          <xm:sqref>D13</xm:sqref>
        </x14:dataValidation>
        <x14:dataValidation type="list" allowBlank="1" showInputMessage="1" showErrorMessage="1" prompt="If there are multiple systems, please choose the lowest value option from the list that applies. Use the Detail field to specify per system if it differs." xr:uid="{00000000-0002-0000-0000-00000C000000}">
          <x14:formula1>
            <xm:f>Lookups!$A$72:$A$74</xm:f>
          </x14:formula1>
          <xm:sqref>D18</xm:sqref>
        </x14:dataValidation>
        <x14:dataValidation type="list" allowBlank="1" showInputMessage="1" showErrorMessage="1" prompt="Provide an example of steps that are likely to required human intervention in the Details field if known" xr:uid="{00000000-0002-0000-0000-00000D000000}">
          <x14:formula1>
            <xm:f>Lookups!$A$57:$A$59</xm:f>
          </x14:formula1>
          <xm:sqref>D16</xm:sqref>
        </x14:dataValidation>
        <x14:dataValidation type="list" allowBlank="1" showInputMessage="1" showErrorMessage="1" prompt="Please use the Details field to enter an average time if known" xr:uid="{00000000-0002-0000-0000-00000E000000}">
          <x14:formula1>
            <xm:f>Lookups!$A$12:$A$14</xm:f>
          </x14:formula1>
          <xm:sqref>D7</xm:sqref>
        </x14:dataValidation>
        <x14:dataValidation type="list" allowBlank="1" showInputMessage="1" showErrorMessage="1" prompt="Please enter the average level if mixed. You can use the Details field to provide a more detailed breakdown if necessary." xr:uid="{00000000-0002-0000-0000-00000F000000}">
          <x14:formula1>
            <xm:f>Lookups!$A$27:$A$29</xm:f>
          </x14:formula1>
          <xm:sqref>D9</xm:sqref>
        </x14:dataValidation>
        <x14:dataValidation type="list" allowBlank="1" showInputMessage="1" showErrorMessage="1" prompt="Please use the Details field to enter an exact number of FTEs if known" xr:uid="{00000000-0002-0000-0000-000010000000}">
          <x14:formula1>
            <xm:f>Lookups!$A$22:$A$24</xm:f>
          </x14:formula1>
          <xm:sqref>D8</xm:sqref>
        </x14:dataValidation>
        <x14:dataValidation type="list" allowBlank="1" showInputMessage="1" showErrorMessage="1" prompt="Specify the expected impact in the Details field" xr:uid="{C7FCBB61-2D8A-463D-BF3C-93E4D31B2542}">
          <x14:formula1>
            <xm:f>Lookups!$A$87:$A$89</xm:f>
          </x14:formula1>
          <xm:sqref>D22:D24</xm:sqref>
        </x14:dataValidation>
        <x14:dataValidation type="list" allowBlank="1" showInputMessage="1" showErrorMessage="1" prompt="Please add any information on how the client will be impacted positively" xr:uid="{2E8B0EA2-443F-43F2-8194-F7F117C69D6B}">
          <x14:formula1>
            <xm:f>Lookups!$A$87:$A$89</xm:f>
          </x14:formula1>
          <xm:sqref>D22:D24</xm:sqref>
        </x14:dataValidation>
        <x14:dataValidation type="list" allowBlank="1" showInputMessage="1" showErrorMessage="1" prompt="If there are multiple systems, please choose the lowest value option from the list that applies. Use the Detail field to specify per system if it differs." xr:uid="{A55CB064-9B47-473D-A9B6-5BED0EC9A951}">
          <x14:formula1>
            <xm:f>Lookups!$A$77:$A$79</xm:f>
          </x14:formula1>
          <xm:sqref>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3DB3-93D1-49AE-9496-B773FD0ADAA5}">
  <sheetPr>
    <tabColor rgb="FFBBD361"/>
  </sheetPr>
  <dimension ref="A1:AO38"/>
  <sheetViews>
    <sheetView workbookViewId="0">
      <selection activeCell="O9" sqref="O9"/>
    </sheetView>
  </sheetViews>
  <sheetFormatPr defaultRowHeight="15" x14ac:dyDescent="0.25"/>
  <cols>
    <col min="1" max="1" width="3.5703125" style="3" customWidth="1"/>
    <col min="2" max="2" width="1.85546875" customWidth="1"/>
    <col min="3" max="3" width="5.7109375" customWidth="1"/>
    <col min="4" max="4" width="5.85546875" customWidth="1"/>
    <col min="5" max="5" width="14.7109375" customWidth="1"/>
    <col min="6" max="6" width="12.5703125" customWidth="1"/>
    <col min="7" max="7" width="11.85546875" customWidth="1"/>
    <col min="8" max="8" width="11.42578125" customWidth="1"/>
    <col min="9" max="9" width="1.85546875" customWidth="1"/>
    <col min="10" max="10" width="43.140625" style="3" customWidth="1"/>
    <col min="11" max="41" width="9.140625" style="3"/>
  </cols>
  <sheetData>
    <row r="1" spans="2:14" s="3" customFormat="1" x14ac:dyDescent="0.25"/>
    <row r="2" spans="2:14" ht="5.25" customHeight="1" x14ac:dyDescent="0.25">
      <c r="B2" s="39"/>
      <c r="C2" s="39"/>
      <c r="D2" s="39"/>
      <c r="E2" s="39"/>
      <c r="F2" s="39"/>
      <c r="G2" s="39"/>
      <c r="H2" s="39"/>
      <c r="I2" s="39"/>
    </row>
    <row r="3" spans="2:14" ht="18.75" x14ac:dyDescent="0.3">
      <c r="B3" s="39"/>
      <c r="C3" s="120" t="s">
        <v>71</v>
      </c>
      <c r="D3" s="120"/>
      <c r="E3" s="39"/>
      <c r="F3" s="39"/>
      <c r="G3" s="40" t="s">
        <v>72</v>
      </c>
      <c r="H3" s="3" t="s">
        <v>73</v>
      </c>
      <c r="I3" s="39"/>
    </row>
    <row r="4" spans="2:14" ht="7.5" customHeight="1" x14ac:dyDescent="0.25">
      <c r="B4" s="39"/>
      <c r="C4" s="39"/>
      <c r="D4" s="39"/>
      <c r="E4" s="39"/>
      <c r="F4" s="39"/>
      <c r="G4" s="39"/>
      <c r="H4" s="39"/>
      <c r="I4" s="39"/>
    </row>
    <row r="5" spans="2:14" x14ac:dyDescent="0.25">
      <c r="B5" s="39"/>
      <c r="C5" s="40" t="s">
        <v>74</v>
      </c>
      <c r="D5" s="40"/>
      <c r="E5" s="43">
        <f>'Automation Questionnaire'!G4</f>
        <v>1</v>
      </c>
      <c r="F5" s="44"/>
      <c r="G5" s="40" t="s">
        <v>75</v>
      </c>
      <c r="H5" s="43">
        <f>'Automation Questionnaire'!F4</f>
        <v>1</v>
      </c>
      <c r="I5" s="39"/>
    </row>
    <row r="6" spans="2:14" ht="5.25" customHeight="1" x14ac:dyDescent="0.25">
      <c r="B6" s="39"/>
      <c r="C6" s="39"/>
      <c r="D6" s="39"/>
      <c r="E6" s="39"/>
      <c r="F6" s="39"/>
      <c r="G6" s="39"/>
      <c r="H6" s="39"/>
      <c r="I6" s="39"/>
    </row>
    <row r="7" spans="2:14" ht="30" x14ac:dyDescent="0.25">
      <c r="B7" s="39"/>
      <c r="C7" s="50" t="s">
        <v>76</v>
      </c>
      <c r="D7" s="50"/>
      <c r="E7" s="48" t="s">
        <v>77</v>
      </c>
      <c r="F7" s="48" t="s">
        <v>78</v>
      </c>
      <c r="G7" s="48" t="s">
        <v>79</v>
      </c>
      <c r="H7" s="48" t="s">
        <v>80</v>
      </c>
      <c r="I7" s="39"/>
    </row>
    <row r="8" spans="2:14" x14ac:dyDescent="0.25">
      <c r="B8" s="39"/>
      <c r="C8" s="45" t="s">
        <v>81</v>
      </c>
      <c r="D8" s="45"/>
      <c r="E8" s="45">
        <f>VLOOKUP($E$5,'2 Week Sprint'!$B$24:$F$29,2,FALSE)+VLOOKUP($H$5,'2 Week Sprint'!$B$32:$G$37,2,FALSE)</f>
        <v>2</v>
      </c>
      <c r="F8" s="47">
        <f>E8</f>
        <v>2</v>
      </c>
      <c r="G8" s="46">
        <f>IF($H$3="GBP",$F8*'2 Week Sprint'!$P15,$F8*'2 Week Sprint'!$Q15)</f>
        <v>5200</v>
      </c>
      <c r="H8" s="46">
        <f>ROUND(IF($H$3="GBP",$F8*'2 Week Sprint'!$P15,$F8*'2 Week Sprint'!$Q15)*(1+VLOOKUP($H$5,'2 Week Sprint'!$B$32:$G$37,6,FALSE)),-2)</f>
        <v>6200</v>
      </c>
      <c r="I8" s="39"/>
      <c r="N8" s="97"/>
    </row>
    <row r="9" spans="2:14" x14ac:dyDescent="0.25">
      <c r="B9" s="39"/>
      <c r="C9" s="45" t="s">
        <v>82</v>
      </c>
      <c r="D9" s="45"/>
      <c r="E9" s="45">
        <f>VLOOKUP($E$5,'2 Week Sprint'!$B$24:$F$29,3,FALSE)+VLOOKUP($H$5,'2 Week Sprint'!$B$32:$G$37,3,FALSE)</f>
        <v>2</v>
      </c>
      <c r="F9" s="47">
        <f t="shared" ref="F9" si="0">E9</f>
        <v>2</v>
      </c>
      <c r="G9" s="46">
        <f>IF($H$3="GBP",$F9*'2 Week Sprint'!$P16,$F9*'2 Week Sprint'!$Q16)</f>
        <v>13400</v>
      </c>
      <c r="H9" s="46">
        <f>ROUND(IF($H$3="GBP",$F9*'2 Week Sprint'!$P16,$F9*'2 Week Sprint'!$Q16)*(1+VLOOKUP($H$5,'2 Week Sprint'!$B$32:$G$37,6,FALSE)),-2)</f>
        <v>16100</v>
      </c>
      <c r="I9" s="39"/>
      <c r="N9" s="97"/>
    </row>
    <row r="10" spans="2:14" x14ac:dyDescent="0.25">
      <c r="B10" s="39"/>
      <c r="C10" s="45" t="s">
        <v>83</v>
      </c>
      <c r="D10" s="45"/>
      <c r="E10" s="45">
        <f>VLOOKUP($E$5,'2 Week Sprint'!$B$24:$F$29,4,FALSE)+VLOOKUP($H$5,'2 Week Sprint'!$B$32:$G$37,4,FALSE)</f>
        <v>2</v>
      </c>
      <c r="F10" s="47">
        <f>E10</f>
        <v>2</v>
      </c>
      <c r="G10" s="46">
        <f>IF($H$3="GBP",$F10*'2 Week Sprint'!$P18,$F10*'2 Week Sprint'!$Q18)</f>
        <v>7200</v>
      </c>
      <c r="H10" s="46">
        <f>ROUND(IF($H$3="GBP",$F10*'2 Week Sprint'!$P18,$F10*'2 Week Sprint'!$Q18)*(1+VLOOKUP($H$5,'2 Week Sprint'!$B$32:$G$37,6,FALSE)),-2)</f>
        <v>8600</v>
      </c>
      <c r="I10" s="39"/>
      <c r="N10" s="97"/>
    </row>
    <row r="11" spans="2:14" x14ac:dyDescent="0.25">
      <c r="B11" s="39"/>
      <c r="C11" s="45" t="s">
        <v>84</v>
      </c>
      <c r="D11" s="45"/>
      <c r="E11" s="45">
        <f>VLOOKUP($E$5,'2 Week Sprint'!$B$24:$F$29,5,FALSE)+VLOOKUP($H$5,'2 Week Sprint'!$B$32:$G$37,5,FALSE)</f>
        <v>0</v>
      </c>
      <c r="F11" s="47">
        <f>E11</f>
        <v>0</v>
      </c>
      <c r="G11" s="46">
        <f>IF($H$3="GBP",$F11*'2 Week Sprint'!$P19,$F11*'2 Week Sprint'!$Q19)</f>
        <v>0</v>
      </c>
      <c r="H11" s="46">
        <f>ROUND(IF($H$3="GBP",$F11*'2 Week Sprint'!$P19,$F11*'2 Week Sprint'!$Q19)*(1+VLOOKUP($H$5,'2 Week Sprint'!$B$32:$G$37,6,FALSE)),-2)</f>
        <v>0</v>
      </c>
      <c r="I11" s="39"/>
      <c r="N11" s="97"/>
    </row>
    <row r="12" spans="2:14" x14ac:dyDescent="0.25">
      <c r="B12" s="39"/>
      <c r="C12" s="41" t="s">
        <v>85</v>
      </c>
      <c r="D12" s="41"/>
      <c r="E12" s="41"/>
      <c r="F12" s="41"/>
      <c r="G12" s="42">
        <f>SUM(G8:G11)</f>
        <v>25800</v>
      </c>
      <c r="H12" s="42">
        <f>SUM(H8:H11)</f>
        <v>30900</v>
      </c>
      <c r="I12" s="39"/>
      <c r="N12" s="97"/>
    </row>
    <row r="13" spans="2:14" x14ac:dyDescent="0.25">
      <c r="B13" s="39"/>
      <c r="C13" s="39"/>
      <c r="D13" s="39"/>
      <c r="E13" s="39"/>
      <c r="F13" s="39"/>
      <c r="G13" s="39"/>
      <c r="H13" s="39"/>
      <c r="I13" s="39"/>
    </row>
    <row r="14" spans="2:14" s="3" customFormat="1" x14ac:dyDescent="0.25"/>
    <row r="15" spans="2:14" s="3" customFormat="1" ht="18.75" x14ac:dyDescent="0.3">
      <c r="B15" s="39"/>
      <c r="C15" s="120" t="s">
        <v>86</v>
      </c>
      <c r="D15" s="120"/>
      <c r="E15" s="120"/>
      <c r="F15" s="120"/>
      <c r="G15" s="219"/>
      <c r="H15" s="219"/>
      <c r="I15" s="219"/>
      <c r="J15" s="219"/>
    </row>
    <row r="16" spans="2:14" s="3" customFormat="1" x14ac:dyDescent="0.25"/>
    <row r="17" spans="2:10" s="3" customFormat="1" x14ac:dyDescent="0.25">
      <c r="B17" s="153" t="s">
        <v>87</v>
      </c>
      <c r="C17" s="50"/>
      <c r="D17" s="50" t="s">
        <v>88</v>
      </c>
      <c r="E17" s="50"/>
      <c r="F17" s="50"/>
      <c r="G17" s="220" t="s">
        <v>89</v>
      </c>
      <c r="H17" s="220"/>
      <c r="I17" s="220"/>
      <c r="J17" s="220"/>
    </row>
    <row r="18" spans="2:10" s="3" customFormat="1" x14ac:dyDescent="0.25">
      <c r="B18" s="211">
        <v>1</v>
      </c>
      <c r="C18" s="211"/>
      <c r="D18" s="211"/>
      <c r="E18" s="211"/>
      <c r="F18" s="211"/>
      <c r="G18" s="212"/>
      <c r="H18" s="212"/>
      <c r="I18" s="212"/>
      <c r="J18" s="212"/>
    </row>
    <row r="19" spans="2:10" s="3" customFormat="1" x14ac:dyDescent="0.25">
      <c r="B19" s="211">
        <v>2</v>
      </c>
      <c r="C19" s="211"/>
      <c r="D19" s="211"/>
      <c r="E19" s="211"/>
      <c r="F19" s="211"/>
      <c r="G19" s="212"/>
      <c r="H19" s="212"/>
      <c r="I19" s="212"/>
      <c r="J19" s="212"/>
    </row>
    <row r="20" spans="2:10" s="3" customFormat="1" x14ac:dyDescent="0.25">
      <c r="B20" s="211">
        <v>3</v>
      </c>
      <c r="C20" s="211"/>
      <c r="D20" s="211"/>
      <c r="E20" s="211"/>
      <c r="F20" s="211"/>
      <c r="G20" s="212"/>
      <c r="H20" s="212"/>
      <c r="I20" s="212"/>
      <c r="J20" s="212"/>
    </row>
    <row r="21" spans="2:10" s="3" customFormat="1" x14ac:dyDescent="0.25">
      <c r="B21" s="211">
        <v>4</v>
      </c>
      <c r="C21" s="211"/>
      <c r="D21" s="211"/>
      <c r="E21" s="211"/>
      <c r="F21" s="211"/>
      <c r="G21" s="212"/>
      <c r="H21" s="212"/>
      <c r="I21" s="212"/>
      <c r="J21" s="212"/>
    </row>
    <row r="22" spans="2:10" s="3" customFormat="1" x14ac:dyDescent="0.25">
      <c r="B22" s="211">
        <v>5</v>
      </c>
      <c r="C22" s="211"/>
      <c r="D22" s="211"/>
      <c r="E22" s="211"/>
      <c r="F22" s="211"/>
      <c r="G22" s="212"/>
      <c r="H22" s="212"/>
      <c r="I22" s="212"/>
      <c r="J22" s="212"/>
    </row>
    <row r="23" spans="2:10" s="3" customFormat="1" x14ac:dyDescent="0.25">
      <c r="B23" s="211">
        <v>6</v>
      </c>
      <c r="C23" s="211"/>
      <c r="D23" s="211"/>
      <c r="E23" s="211"/>
      <c r="F23" s="211"/>
      <c r="G23" s="212"/>
      <c r="H23" s="212"/>
      <c r="I23" s="212"/>
      <c r="J23" s="212"/>
    </row>
    <row r="24" spans="2:10" s="3" customFormat="1" x14ac:dyDescent="0.25">
      <c r="B24" s="211">
        <v>7</v>
      </c>
      <c r="C24" s="211"/>
      <c r="D24" s="211"/>
      <c r="E24" s="211"/>
      <c r="F24" s="211"/>
      <c r="G24" s="212"/>
      <c r="H24" s="212"/>
      <c r="I24" s="212"/>
      <c r="J24" s="212"/>
    </row>
    <row r="25" spans="2:10" s="3" customFormat="1" x14ac:dyDescent="0.25"/>
    <row r="26" spans="2:10" s="3" customFormat="1" x14ac:dyDescent="0.25"/>
    <row r="27" spans="2:10" s="3" customFormat="1" ht="18.75" x14ac:dyDescent="0.3">
      <c r="B27" s="39"/>
      <c r="C27" s="120" t="s">
        <v>90</v>
      </c>
      <c r="D27" s="120"/>
      <c r="E27" s="120"/>
      <c r="F27" s="120"/>
      <c r="G27" s="219"/>
      <c r="H27" s="219"/>
      <c r="I27" s="219"/>
      <c r="J27" s="219"/>
    </row>
    <row r="28" spans="2:10" s="3" customFormat="1" x14ac:dyDescent="0.25"/>
    <row r="29" spans="2:10" s="3" customFormat="1" x14ac:dyDescent="0.25">
      <c r="B29" s="49"/>
      <c r="C29" s="50" t="s">
        <v>87</v>
      </c>
      <c r="D29" s="50"/>
      <c r="E29" s="50" t="s">
        <v>88</v>
      </c>
      <c r="F29" s="50"/>
      <c r="G29" s="220" t="s">
        <v>89</v>
      </c>
      <c r="H29" s="220"/>
      <c r="I29" s="220"/>
      <c r="J29" s="220"/>
    </row>
    <row r="30" spans="2:10" s="3" customFormat="1" x14ac:dyDescent="0.25">
      <c r="B30" s="211">
        <v>1</v>
      </c>
      <c r="C30" s="211"/>
      <c r="D30" s="213" t="s">
        <v>91</v>
      </c>
      <c r="E30" s="214"/>
      <c r="F30" s="215"/>
      <c r="G30" s="212"/>
      <c r="H30" s="212"/>
      <c r="I30" s="212"/>
      <c r="J30" s="212"/>
    </row>
    <row r="31" spans="2:10" s="3" customFormat="1" x14ac:dyDescent="0.25">
      <c r="B31" s="211">
        <v>2</v>
      </c>
      <c r="C31" s="211"/>
      <c r="D31" s="213" t="s">
        <v>22</v>
      </c>
      <c r="E31" s="214"/>
      <c r="F31" s="215"/>
      <c r="G31" s="212"/>
      <c r="H31" s="212"/>
      <c r="I31" s="212"/>
      <c r="J31" s="212"/>
    </row>
    <row r="32" spans="2:10" s="3" customFormat="1" x14ac:dyDescent="0.25">
      <c r="B32" s="211">
        <v>3</v>
      </c>
      <c r="C32" s="211"/>
      <c r="D32" s="213" t="s">
        <v>92</v>
      </c>
      <c r="E32" s="214"/>
      <c r="F32" s="215"/>
      <c r="G32" s="212"/>
      <c r="H32" s="212"/>
      <c r="I32" s="212"/>
      <c r="J32" s="212"/>
    </row>
    <row r="33" spans="2:10" s="3" customFormat="1" x14ac:dyDescent="0.25">
      <c r="B33" s="211">
        <v>4</v>
      </c>
      <c r="C33" s="211"/>
      <c r="D33" s="213" t="s">
        <v>93</v>
      </c>
      <c r="E33" s="214"/>
      <c r="F33" s="215"/>
      <c r="G33" s="212"/>
      <c r="H33" s="212"/>
      <c r="I33" s="212"/>
      <c r="J33" s="212"/>
    </row>
    <row r="34" spans="2:10" s="3" customFormat="1" x14ac:dyDescent="0.25">
      <c r="B34" s="211">
        <v>5</v>
      </c>
      <c r="C34" s="211"/>
      <c r="D34" s="213" t="s">
        <v>94</v>
      </c>
      <c r="E34" s="214"/>
      <c r="F34" s="215"/>
      <c r="G34" s="212"/>
      <c r="H34" s="212"/>
      <c r="I34" s="212"/>
      <c r="J34" s="212"/>
    </row>
    <row r="35" spans="2:10" s="3" customFormat="1" x14ac:dyDescent="0.25">
      <c r="B35" s="211">
        <v>6</v>
      </c>
      <c r="C35" s="211"/>
      <c r="D35" s="216" t="s">
        <v>95</v>
      </c>
      <c r="E35" s="217"/>
      <c r="F35" s="218"/>
      <c r="G35" s="212"/>
      <c r="H35" s="212"/>
      <c r="I35" s="212"/>
      <c r="J35" s="212"/>
    </row>
    <row r="36" spans="2:10" s="3" customFormat="1" x14ac:dyDescent="0.25"/>
    <row r="37" spans="2:10" s="3" customFormat="1" x14ac:dyDescent="0.25"/>
    <row r="38" spans="2:10" s="3" customFormat="1" x14ac:dyDescent="0.25"/>
  </sheetData>
  <mergeCells count="43">
    <mergeCell ref="G21:J21"/>
    <mergeCell ref="G15:J15"/>
    <mergeCell ref="G17:J17"/>
    <mergeCell ref="G18:J18"/>
    <mergeCell ref="G19:J19"/>
    <mergeCell ref="G20:J20"/>
    <mergeCell ref="G27:J27"/>
    <mergeCell ref="G29:J29"/>
    <mergeCell ref="G30:J30"/>
    <mergeCell ref="D30:F30"/>
    <mergeCell ref="G22:J22"/>
    <mergeCell ref="G23:J23"/>
    <mergeCell ref="G24:J24"/>
    <mergeCell ref="B30:C30"/>
    <mergeCell ref="G34:J34"/>
    <mergeCell ref="G35:J35"/>
    <mergeCell ref="D34:F34"/>
    <mergeCell ref="D35:F35"/>
    <mergeCell ref="G31:J31"/>
    <mergeCell ref="G32:J32"/>
    <mergeCell ref="G33:J33"/>
    <mergeCell ref="D31:F31"/>
    <mergeCell ref="D32:F32"/>
    <mergeCell ref="D33:F33"/>
    <mergeCell ref="B31:C31"/>
    <mergeCell ref="B32:C32"/>
    <mergeCell ref="B33:C33"/>
    <mergeCell ref="B34:C34"/>
    <mergeCell ref="B35:C35"/>
    <mergeCell ref="B24:C24"/>
    <mergeCell ref="D18:F18"/>
    <mergeCell ref="D19:F19"/>
    <mergeCell ref="D20:F20"/>
    <mergeCell ref="D21:F21"/>
    <mergeCell ref="D22:F22"/>
    <mergeCell ref="D23:F23"/>
    <mergeCell ref="D24:F24"/>
    <mergeCell ref="B18:C18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sqref="H3" xr:uid="{0F25AA1C-B1BD-44BE-A17B-83ACEC625EEF}">
      <formula1>"USD, GBP"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B9B2-1F80-42B2-A309-BBD51B487795}">
  <sheetPr>
    <tabColor rgb="FFBBD361"/>
  </sheetPr>
  <dimension ref="B2:W42"/>
  <sheetViews>
    <sheetView topLeftCell="C1" workbookViewId="0">
      <selection activeCell="K14" sqref="K14"/>
    </sheetView>
  </sheetViews>
  <sheetFormatPr defaultRowHeight="15" x14ac:dyDescent="0.25"/>
  <cols>
    <col min="1" max="1" width="3.5703125" customWidth="1"/>
    <col min="2" max="2" width="1.7109375" customWidth="1"/>
    <col min="5" max="5" width="11.7109375" customWidth="1"/>
    <col min="6" max="6" width="17.140625" customWidth="1"/>
    <col min="7" max="7" width="3.5703125" customWidth="1"/>
    <col min="10" max="10" width="4.140625" customWidth="1"/>
    <col min="11" max="11" width="16.85546875" customWidth="1"/>
    <col min="12" max="12" width="1.7109375" customWidth="1"/>
    <col min="15" max="15" width="2.7109375" customWidth="1"/>
    <col min="16" max="16" width="24" customWidth="1"/>
    <col min="17" max="17" width="7.5703125" customWidth="1"/>
    <col min="18" max="18" width="11.42578125" customWidth="1"/>
    <col min="22" max="22" width="20" customWidth="1"/>
    <col min="23" max="23" width="29.42578125" customWidth="1"/>
  </cols>
  <sheetData>
    <row r="2" spans="2:23" ht="6.75" customHeight="1" x14ac:dyDescent="0.25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23" ht="18.75" x14ac:dyDescent="0.3">
      <c r="B3" s="39"/>
      <c r="C3" s="120" t="s">
        <v>96</v>
      </c>
      <c r="D3" s="39"/>
      <c r="E3" s="39"/>
      <c r="F3" s="39"/>
      <c r="G3" s="39"/>
      <c r="H3" s="40" t="s">
        <v>72</v>
      </c>
      <c r="I3" s="3" t="s">
        <v>73</v>
      </c>
      <c r="J3" s="39"/>
      <c r="K3" s="39"/>
      <c r="L3" s="39"/>
      <c r="O3" s="39"/>
      <c r="P3" s="120" t="s">
        <v>97</v>
      </c>
      <c r="Q3" s="120"/>
      <c r="R3" s="120"/>
      <c r="S3" s="120"/>
      <c r="T3" s="219"/>
      <c r="U3" s="219"/>
      <c r="V3" s="219"/>
      <c r="W3" s="219"/>
    </row>
    <row r="4" spans="2:23" ht="10.5" customHeight="1" x14ac:dyDescent="0.25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O4" s="49"/>
      <c r="P4" s="49"/>
      <c r="Q4" s="49"/>
      <c r="R4" s="49"/>
      <c r="S4" s="49"/>
      <c r="T4" s="49"/>
      <c r="U4" s="49"/>
      <c r="V4" s="49"/>
      <c r="W4" s="49"/>
    </row>
    <row r="5" spans="2:23" x14ac:dyDescent="0.25">
      <c r="B5" s="39"/>
      <c r="C5" s="40" t="s">
        <v>98</v>
      </c>
      <c r="D5" s="39"/>
      <c r="E5" s="39"/>
      <c r="F5" s="52"/>
      <c r="G5" s="39"/>
      <c r="H5" s="40" t="s">
        <v>99</v>
      </c>
      <c r="I5" s="39"/>
      <c r="J5" s="39"/>
      <c r="K5" s="52"/>
      <c r="L5" s="39"/>
      <c r="O5" s="49"/>
      <c r="P5" s="55" t="s">
        <v>100</v>
      </c>
      <c r="Q5" s="49"/>
      <c r="R5" s="49"/>
      <c r="S5" s="53"/>
      <c r="T5" s="49"/>
      <c r="U5" s="49"/>
      <c r="V5" s="49"/>
      <c r="W5" s="49"/>
    </row>
    <row r="6" spans="2:23" x14ac:dyDescent="0.25">
      <c r="B6" s="39"/>
      <c r="C6" s="62" t="s">
        <v>101</v>
      </c>
      <c r="D6" s="62"/>
      <c r="E6" s="62"/>
      <c r="F6" s="57">
        <f>R32</f>
        <v>25000</v>
      </c>
      <c r="G6" s="39"/>
      <c r="H6" s="62" t="s">
        <v>102</v>
      </c>
      <c r="I6" s="62"/>
      <c r="J6" s="62"/>
      <c r="K6" s="57">
        <f>HLQ!H12</f>
        <v>30900</v>
      </c>
      <c r="L6" s="39"/>
      <c r="O6" s="49"/>
      <c r="P6" s="49" t="s">
        <v>103</v>
      </c>
      <c r="Q6" s="49"/>
      <c r="R6" s="56">
        <v>8</v>
      </c>
      <c r="S6" s="53" t="s">
        <v>104</v>
      </c>
      <c r="T6" s="49"/>
      <c r="U6" s="49"/>
      <c r="V6" s="49"/>
      <c r="W6" s="49"/>
    </row>
    <row r="7" spans="2:23" x14ac:dyDescent="0.25">
      <c r="B7" s="39"/>
      <c r="C7" s="62" t="s">
        <v>105</v>
      </c>
      <c r="D7" s="62"/>
      <c r="E7" s="62"/>
      <c r="F7" s="57">
        <f>R38</f>
        <v>27000</v>
      </c>
      <c r="G7" s="39"/>
      <c r="H7" s="62" t="s">
        <v>106</v>
      </c>
      <c r="I7" s="62"/>
      <c r="J7" s="62"/>
      <c r="K7" s="56">
        <f>1200*12</f>
        <v>14400</v>
      </c>
      <c r="L7" s="39"/>
      <c r="O7" s="49"/>
      <c r="P7" s="49" t="s">
        <v>107</v>
      </c>
      <c r="Q7" s="49"/>
      <c r="R7" s="56">
        <v>20</v>
      </c>
      <c r="S7" s="53" t="s">
        <v>108</v>
      </c>
      <c r="T7" s="49"/>
      <c r="U7" s="49"/>
      <c r="V7" s="49"/>
      <c r="W7" s="49"/>
    </row>
    <row r="8" spans="2:23" x14ac:dyDescent="0.25">
      <c r="B8" s="39"/>
      <c r="C8" s="62" t="s">
        <v>109</v>
      </c>
      <c r="D8" s="62"/>
      <c r="E8" s="62"/>
      <c r="F8" s="57">
        <f>R41</f>
        <v>0</v>
      </c>
      <c r="G8" s="39"/>
      <c r="H8" s="62" t="s">
        <v>110</v>
      </c>
      <c r="I8" s="62"/>
      <c r="J8" s="62"/>
      <c r="K8" s="56">
        <v>0</v>
      </c>
      <c r="L8" s="39"/>
      <c r="O8" s="49"/>
      <c r="P8" s="49" t="s">
        <v>111</v>
      </c>
      <c r="Q8" s="49"/>
      <c r="R8" s="54">
        <v>0.7</v>
      </c>
      <c r="S8" s="53" t="s">
        <v>112</v>
      </c>
      <c r="T8" s="49"/>
      <c r="U8" s="49"/>
      <c r="V8" s="49"/>
      <c r="W8" s="49"/>
    </row>
    <row r="9" spans="2:23" ht="15.75" thickBot="1" x14ac:dyDescent="0.3">
      <c r="B9" s="39"/>
      <c r="C9" s="50" t="s">
        <v>113</v>
      </c>
      <c r="D9" s="62"/>
      <c r="E9" s="62"/>
      <c r="F9" s="63">
        <f>SUM(F6:F8)</f>
        <v>52000</v>
      </c>
      <c r="G9" s="39"/>
      <c r="H9" s="50" t="s">
        <v>114</v>
      </c>
      <c r="I9" s="62"/>
      <c r="J9" s="62"/>
      <c r="K9" s="63">
        <f>SUM(K6:K8)</f>
        <v>45300</v>
      </c>
      <c r="L9" s="39"/>
      <c r="O9" s="49"/>
      <c r="P9" s="49" t="s">
        <v>115</v>
      </c>
      <c r="Q9" s="49"/>
      <c r="R9" s="57">
        <f>R6*R7*R8</f>
        <v>112</v>
      </c>
      <c r="S9" s="53" t="s">
        <v>116</v>
      </c>
      <c r="T9" s="49"/>
      <c r="U9" s="49"/>
      <c r="V9" s="49"/>
      <c r="W9" s="49"/>
    </row>
    <row r="10" spans="2:23" ht="15.75" thickTop="1" x14ac:dyDescent="0.25">
      <c r="B10" s="39"/>
      <c r="C10" s="52"/>
      <c r="D10" s="39"/>
      <c r="E10" s="39"/>
      <c r="F10" s="39"/>
      <c r="G10" s="39"/>
      <c r="H10" s="39"/>
      <c r="I10" s="39"/>
      <c r="J10" s="39"/>
      <c r="K10" s="39"/>
      <c r="L10" s="39"/>
      <c r="O10" s="49"/>
      <c r="P10" s="49" t="s">
        <v>117</v>
      </c>
      <c r="Q10" s="49"/>
      <c r="R10" s="57">
        <f>R9*12</f>
        <v>1344</v>
      </c>
      <c r="S10" s="53" t="s">
        <v>118</v>
      </c>
      <c r="T10" s="49"/>
      <c r="U10" s="49"/>
      <c r="V10" s="49"/>
      <c r="W10" s="49"/>
    </row>
    <row r="11" spans="2:23" x14ac:dyDescent="0.25">
      <c r="B11" s="39"/>
      <c r="C11" s="62" t="s">
        <v>119</v>
      </c>
      <c r="D11" s="62"/>
      <c r="E11" s="62"/>
      <c r="F11" s="51">
        <v>0</v>
      </c>
      <c r="G11" s="39"/>
      <c r="H11" s="39"/>
      <c r="I11" s="39"/>
      <c r="J11" s="39"/>
      <c r="K11" s="39"/>
      <c r="L11" s="39"/>
      <c r="O11" s="49"/>
      <c r="P11" s="49" t="s">
        <v>120</v>
      </c>
      <c r="Q11" s="49"/>
      <c r="R11" s="58">
        <f>R10/R20</f>
        <v>1.1061728395061727</v>
      </c>
      <c r="S11" s="53" t="s">
        <v>121</v>
      </c>
      <c r="T11" s="49"/>
      <c r="U11" s="49"/>
      <c r="V11" s="49"/>
      <c r="W11" s="49"/>
    </row>
    <row r="12" spans="2:23" x14ac:dyDescent="0.25">
      <c r="B12" s="39"/>
      <c r="C12" s="52"/>
      <c r="D12" s="39"/>
      <c r="E12" s="39"/>
      <c r="F12" s="39"/>
      <c r="G12" s="39"/>
      <c r="H12" s="39"/>
      <c r="I12" s="39"/>
      <c r="J12" s="39"/>
      <c r="K12" s="39"/>
      <c r="L12" s="39"/>
      <c r="O12" s="49"/>
      <c r="P12" s="55"/>
      <c r="Q12" s="49"/>
      <c r="R12" s="49"/>
      <c r="S12" s="49"/>
      <c r="T12" s="49"/>
      <c r="U12" s="49"/>
      <c r="V12" s="49"/>
      <c r="W12" s="49"/>
    </row>
    <row r="13" spans="2:23" x14ac:dyDescent="0.25">
      <c r="B13" s="39"/>
      <c r="C13" s="40" t="s">
        <v>122</v>
      </c>
      <c r="D13" s="40"/>
      <c r="E13" s="40"/>
      <c r="F13" s="40"/>
      <c r="G13" s="40"/>
      <c r="H13" s="40" t="s">
        <v>123</v>
      </c>
      <c r="I13" s="40"/>
      <c r="J13" s="40"/>
      <c r="K13" s="40"/>
      <c r="L13" s="39"/>
      <c r="O13" s="49"/>
      <c r="P13" s="55" t="s">
        <v>124</v>
      </c>
      <c r="Q13" s="49"/>
      <c r="R13" s="49"/>
      <c r="S13" s="49"/>
      <c r="T13" s="49"/>
      <c r="U13" s="49"/>
      <c r="V13" s="49"/>
      <c r="W13" s="49"/>
    </row>
    <row r="14" spans="2:23" x14ac:dyDescent="0.25">
      <c r="B14" s="39"/>
      <c r="C14" s="62" t="s">
        <v>125</v>
      </c>
      <c r="D14" s="62"/>
      <c r="E14" s="62"/>
      <c r="F14" s="57">
        <f>R33+F7+F8</f>
        <v>47000</v>
      </c>
      <c r="G14" s="39"/>
      <c r="H14" s="62" t="s">
        <v>126</v>
      </c>
      <c r="I14" s="62"/>
      <c r="J14" s="62"/>
      <c r="K14" s="57">
        <f>K7+K8</f>
        <v>14400</v>
      </c>
      <c r="L14" s="39"/>
      <c r="O14" s="49"/>
      <c r="P14" s="49" t="s">
        <v>127</v>
      </c>
      <c r="Q14" s="49"/>
      <c r="R14" s="56">
        <v>30000</v>
      </c>
      <c r="S14" s="53" t="s">
        <v>128</v>
      </c>
      <c r="T14" s="53"/>
      <c r="U14" s="49"/>
      <c r="V14" s="49"/>
      <c r="W14" s="49"/>
    </row>
    <row r="15" spans="2:23" ht="15.75" thickBot="1" x14ac:dyDescent="0.3">
      <c r="B15" s="39"/>
      <c r="C15" s="50" t="s">
        <v>129</v>
      </c>
      <c r="D15" s="62"/>
      <c r="E15" s="62"/>
      <c r="F15" s="63">
        <f>F9+F14*F11</f>
        <v>52000</v>
      </c>
      <c r="G15" s="39"/>
      <c r="H15" s="50" t="s">
        <v>130</v>
      </c>
      <c r="I15" s="62"/>
      <c r="J15" s="62"/>
      <c r="K15" s="63">
        <f>K9+K14*F11</f>
        <v>45300</v>
      </c>
      <c r="L15" s="39"/>
      <c r="O15" s="49"/>
      <c r="P15" s="49" t="s">
        <v>131</v>
      </c>
      <c r="Q15" s="49"/>
      <c r="R15" s="58">
        <v>1.5</v>
      </c>
      <c r="S15" s="53" t="s">
        <v>132</v>
      </c>
      <c r="T15" s="53"/>
      <c r="U15" s="49"/>
      <c r="V15" s="49"/>
      <c r="W15" s="49"/>
    </row>
    <row r="16" spans="2:23" ht="15.75" thickTop="1" x14ac:dyDescent="0.2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O16" s="49"/>
      <c r="P16" s="49" t="s">
        <v>133</v>
      </c>
      <c r="Q16" s="49"/>
      <c r="R16" s="57">
        <f>R14*R15</f>
        <v>45000</v>
      </c>
      <c r="S16" s="53"/>
      <c r="T16" s="53"/>
      <c r="U16" s="49"/>
      <c r="V16" s="49"/>
      <c r="W16" s="49"/>
    </row>
    <row r="17" spans="2:23" x14ac:dyDescent="0.25">
      <c r="B17" s="39"/>
      <c r="C17" s="40" t="s">
        <v>134</v>
      </c>
      <c r="D17" s="39"/>
      <c r="E17" s="39"/>
      <c r="F17" s="39"/>
      <c r="G17" s="39"/>
      <c r="H17" s="39"/>
      <c r="I17" s="39"/>
      <c r="J17" s="39"/>
      <c r="K17" s="39"/>
      <c r="L17" s="39"/>
      <c r="O17" s="49"/>
      <c r="P17" s="49" t="s">
        <v>135</v>
      </c>
      <c r="Q17" s="49"/>
      <c r="R17" s="59">
        <v>216</v>
      </c>
      <c r="S17" s="53" t="s">
        <v>136</v>
      </c>
      <c r="T17" s="53"/>
      <c r="U17" s="49"/>
      <c r="V17" s="49"/>
      <c r="W17" s="49"/>
    </row>
    <row r="18" spans="2:23" ht="15.75" x14ac:dyDescent="0.25">
      <c r="B18" s="39"/>
      <c r="C18" s="62" t="s">
        <v>137</v>
      </c>
      <c r="D18" s="62"/>
      <c r="E18" s="62"/>
      <c r="F18" s="57">
        <f>F15-K6</f>
        <v>21100</v>
      </c>
      <c r="G18" s="39"/>
      <c r="H18" s="64">
        <f>F18/K6</f>
        <v>0.68284789644012944</v>
      </c>
      <c r="I18" s="39"/>
      <c r="J18" s="39"/>
      <c r="K18" s="39"/>
      <c r="L18" s="39"/>
      <c r="O18" s="49"/>
      <c r="P18" s="49" t="s">
        <v>138</v>
      </c>
      <c r="Q18" s="49"/>
      <c r="R18" s="59">
        <v>7.5</v>
      </c>
      <c r="S18" s="53"/>
      <c r="T18" s="53"/>
      <c r="U18" s="49"/>
      <c r="V18" s="49"/>
      <c r="W18" s="49"/>
    </row>
    <row r="19" spans="2:23" x14ac:dyDescent="0.25">
      <c r="B19" s="39"/>
      <c r="C19" s="62" t="s">
        <v>139</v>
      </c>
      <c r="D19" s="62"/>
      <c r="E19" s="62"/>
      <c r="F19" s="66">
        <f>K6/F9*12</f>
        <v>7.1307692307692303</v>
      </c>
      <c r="G19" s="39"/>
      <c r="H19" s="65"/>
      <c r="I19" s="39"/>
      <c r="J19" s="39"/>
      <c r="K19" s="39"/>
      <c r="L19" s="39"/>
      <c r="O19" s="49"/>
      <c r="P19" s="49" t="s">
        <v>140</v>
      </c>
      <c r="Q19" s="49"/>
      <c r="R19" s="60">
        <v>0.75</v>
      </c>
      <c r="S19" s="53" t="s">
        <v>141</v>
      </c>
      <c r="T19" s="53"/>
      <c r="U19" s="49"/>
      <c r="V19" s="49"/>
      <c r="W19" s="49"/>
    </row>
    <row r="20" spans="2:23" ht="15.75" x14ac:dyDescent="0.25">
      <c r="B20" s="39"/>
      <c r="C20" s="62" t="s">
        <v>142</v>
      </c>
      <c r="D20" s="62"/>
      <c r="E20" s="62"/>
      <c r="F20" s="57">
        <f>F15-K15</f>
        <v>6700</v>
      </c>
      <c r="G20" s="39"/>
      <c r="H20" s="64">
        <f>F20/K15</f>
        <v>0.1479028697571744</v>
      </c>
      <c r="I20" s="39"/>
      <c r="J20" s="39"/>
      <c r="K20" s="39"/>
      <c r="L20" s="39"/>
      <c r="O20" s="49"/>
      <c r="P20" s="49" t="s">
        <v>143</v>
      </c>
      <c r="Q20" s="49"/>
      <c r="R20" s="57">
        <f>R17*R18*R19</f>
        <v>1215</v>
      </c>
      <c r="S20" s="53" t="s">
        <v>144</v>
      </c>
      <c r="T20" s="53"/>
      <c r="U20" s="49"/>
      <c r="V20" s="49"/>
      <c r="W20" s="49"/>
    </row>
    <row r="21" spans="2:23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O21" s="49"/>
      <c r="P21" s="49" t="s">
        <v>145</v>
      </c>
      <c r="Q21" s="49"/>
      <c r="R21" s="61">
        <f>R16/R20</f>
        <v>37.037037037037038</v>
      </c>
      <c r="S21" s="53"/>
      <c r="T21" s="53"/>
      <c r="U21" s="49"/>
      <c r="V21" s="49"/>
      <c r="W21" s="49"/>
    </row>
    <row r="22" spans="2:23" x14ac:dyDescent="0.25">
      <c r="O22" s="49"/>
      <c r="P22" s="49"/>
      <c r="Q22" s="49"/>
      <c r="R22" s="49"/>
      <c r="S22" s="53"/>
      <c r="T22" s="53"/>
      <c r="U22" s="49"/>
      <c r="V22" s="49"/>
      <c r="W22" s="49"/>
    </row>
    <row r="23" spans="2:23" x14ac:dyDescent="0.25">
      <c r="O23" s="49"/>
      <c r="P23" s="55" t="s">
        <v>101</v>
      </c>
      <c r="Q23" s="49"/>
      <c r="R23" s="49"/>
      <c r="S23" s="53"/>
      <c r="T23" s="53"/>
      <c r="U23" s="49"/>
      <c r="V23" s="49"/>
      <c r="W23" s="49"/>
    </row>
    <row r="24" spans="2:23" x14ac:dyDescent="0.25">
      <c r="O24" s="49"/>
      <c r="P24" s="49" t="s">
        <v>146</v>
      </c>
      <c r="Q24" s="49"/>
      <c r="R24" s="128">
        <v>0</v>
      </c>
      <c r="S24" s="53" t="s">
        <v>147</v>
      </c>
      <c r="T24" s="53"/>
      <c r="U24" s="49"/>
      <c r="V24" s="49"/>
      <c r="W24" s="49"/>
    </row>
    <row r="25" spans="2:23" x14ac:dyDescent="0.25">
      <c r="O25" s="49"/>
      <c r="P25" s="49" t="s">
        <v>148</v>
      </c>
      <c r="Q25" s="49"/>
      <c r="R25" s="57">
        <f>R24*R16</f>
        <v>0</v>
      </c>
      <c r="S25" s="53" t="s">
        <v>149</v>
      </c>
      <c r="T25" s="53"/>
      <c r="U25" s="49"/>
      <c r="V25" s="49"/>
      <c r="W25" s="49"/>
    </row>
    <row r="26" spans="2:23" x14ac:dyDescent="0.25">
      <c r="O26" s="49"/>
      <c r="P26" s="49" t="s">
        <v>150</v>
      </c>
      <c r="Q26" s="49"/>
      <c r="R26" s="56">
        <v>0</v>
      </c>
      <c r="S26" s="53" t="s">
        <v>151</v>
      </c>
      <c r="T26" s="53"/>
      <c r="U26" s="49"/>
      <c r="V26" s="49"/>
      <c r="W26" s="49"/>
    </row>
    <row r="27" spans="2:23" x14ac:dyDescent="0.25">
      <c r="O27" s="49"/>
      <c r="P27" s="49" t="s">
        <v>152</v>
      </c>
      <c r="Q27" s="49"/>
      <c r="R27" s="56">
        <v>1</v>
      </c>
      <c r="S27" s="53" t="s">
        <v>153</v>
      </c>
      <c r="T27" s="53"/>
      <c r="U27" s="49"/>
      <c r="V27" s="49"/>
      <c r="W27" s="49"/>
    </row>
    <row r="28" spans="2:23" x14ac:dyDescent="0.25">
      <c r="O28" s="49"/>
      <c r="P28" s="49" t="s">
        <v>154</v>
      </c>
      <c r="Q28" s="49"/>
      <c r="R28" s="56">
        <v>5000</v>
      </c>
      <c r="S28" s="53"/>
      <c r="T28" s="53"/>
      <c r="U28" s="49"/>
      <c r="V28" s="49"/>
      <c r="W28" s="49"/>
    </row>
    <row r="29" spans="2:23" x14ac:dyDescent="0.25">
      <c r="O29" s="49"/>
      <c r="P29" s="49" t="s">
        <v>155</v>
      </c>
      <c r="Q29" s="49"/>
      <c r="R29" s="56">
        <v>20000</v>
      </c>
      <c r="S29" s="53" t="s">
        <v>156</v>
      </c>
      <c r="T29" s="53"/>
      <c r="U29" s="49"/>
      <c r="V29" s="49"/>
      <c r="W29" s="49"/>
    </row>
    <row r="30" spans="2:23" x14ac:dyDescent="0.25">
      <c r="O30" s="49"/>
      <c r="P30" s="49" t="s">
        <v>157</v>
      </c>
      <c r="Q30" s="49"/>
      <c r="R30" s="56">
        <v>0</v>
      </c>
      <c r="S30" s="53" t="s">
        <v>158</v>
      </c>
      <c r="T30" s="53"/>
      <c r="U30" s="49"/>
      <c r="V30" s="49"/>
      <c r="W30" s="49"/>
    </row>
    <row r="31" spans="2:23" x14ac:dyDescent="0.25">
      <c r="O31" s="49"/>
      <c r="P31" s="49" t="s">
        <v>159</v>
      </c>
      <c r="Q31" s="49"/>
      <c r="R31" s="56">
        <v>0</v>
      </c>
      <c r="S31" s="53"/>
      <c r="T31" s="53"/>
      <c r="U31" s="49"/>
      <c r="V31" s="49"/>
      <c r="W31" s="49"/>
    </row>
    <row r="32" spans="2:23" x14ac:dyDescent="0.25">
      <c r="O32" s="49"/>
      <c r="P32" s="55" t="s">
        <v>160</v>
      </c>
      <c r="Q32" s="49"/>
      <c r="R32" s="57">
        <f>R25+R26+R27*(R28+R29)+R30+R31</f>
        <v>25000</v>
      </c>
      <c r="S32" s="53"/>
      <c r="T32" s="53"/>
      <c r="U32" s="49"/>
      <c r="V32" s="49"/>
      <c r="W32" s="49"/>
    </row>
    <row r="33" spans="15:23" x14ac:dyDescent="0.25">
      <c r="O33" s="49"/>
      <c r="P33" s="55" t="s">
        <v>161</v>
      </c>
      <c r="Q33" s="49"/>
      <c r="R33" s="57">
        <f>R25+R26+R27*R29+R30+R31</f>
        <v>20000</v>
      </c>
      <c r="S33" s="53" t="s">
        <v>162</v>
      </c>
      <c r="T33" s="53"/>
      <c r="U33" s="49"/>
      <c r="V33" s="49"/>
      <c r="W33" s="49"/>
    </row>
    <row r="34" spans="15:23" x14ac:dyDescent="0.25">
      <c r="O34" s="49"/>
      <c r="P34" s="55"/>
      <c r="Q34" s="49"/>
      <c r="R34" s="49"/>
      <c r="S34" s="53"/>
      <c r="T34" s="53"/>
      <c r="U34" s="49"/>
      <c r="V34" s="49"/>
      <c r="W34" s="49"/>
    </row>
    <row r="35" spans="15:23" x14ac:dyDescent="0.25">
      <c r="O35" s="49"/>
      <c r="P35" s="55" t="s">
        <v>105</v>
      </c>
      <c r="Q35" s="49"/>
      <c r="R35" s="49"/>
      <c r="S35" s="53"/>
      <c r="T35" s="53"/>
      <c r="U35" s="49"/>
      <c r="V35" s="49"/>
      <c r="W35" s="49"/>
    </row>
    <row r="36" spans="15:23" x14ac:dyDescent="0.25">
      <c r="O36" s="49"/>
      <c r="P36" s="49" t="s">
        <v>163</v>
      </c>
      <c r="Q36" s="49"/>
      <c r="R36" s="128">
        <v>0.6</v>
      </c>
      <c r="S36" s="53" t="s">
        <v>164</v>
      </c>
      <c r="T36" s="53"/>
      <c r="U36" s="49"/>
      <c r="V36" s="49"/>
      <c r="W36" s="49"/>
    </row>
    <row r="37" spans="15:23" x14ac:dyDescent="0.25">
      <c r="O37" s="49"/>
      <c r="P37" s="49" t="s">
        <v>165</v>
      </c>
      <c r="Q37" s="49"/>
      <c r="R37" s="57">
        <f>R36*R20</f>
        <v>729</v>
      </c>
      <c r="S37" s="53" t="s">
        <v>166</v>
      </c>
      <c r="T37" s="53"/>
      <c r="U37" s="49"/>
      <c r="V37" s="49"/>
      <c r="W37" s="49"/>
    </row>
    <row r="38" spans="15:23" x14ac:dyDescent="0.25">
      <c r="O38" s="49"/>
      <c r="P38" s="49" t="s">
        <v>167</v>
      </c>
      <c r="Q38" s="49"/>
      <c r="R38" s="57">
        <f>R37*R21</f>
        <v>27000</v>
      </c>
      <c r="S38" s="53" t="s">
        <v>168</v>
      </c>
      <c r="T38" s="53"/>
      <c r="U38" s="49"/>
      <c r="V38" s="49"/>
      <c r="W38" s="49"/>
    </row>
    <row r="39" spans="15:23" x14ac:dyDescent="0.25">
      <c r="O39" s="49"/>
      <c r="P39" s="49"/>
      <c r="Q39" s="49"/>
      <c r="R39" s="49"/>
      <c r="S39" s="49"/>
      <c r="T39" s="49"/>
      <c r="U39" s="49"/>
      <c r="V39" s="49"/>
      <c r="W39" s="49"/>
    </row>
    <row r="40" spans="15:23" x14ac:dyDescent="0.25">
      <c r="O40" s="49"/>
      <c r="P40" s="55" t="s">
        <v>109</v>
      </c>
      <c r="Q40" s="49"/>
      <c r="R40" s="49"/>
      <c r="S40" s="49"/>
      <c r="T40" s="49"/>
      <c r="U40" s="49"/>
      <c r="V40" s="49"/>
      <c r="W40" s="49"/>
    </row>
    <row r="41" spans="15:23" x14ac:dyDescent="0.25">
      <c r="O41" s="49"/>
      <c r="P41" s="49" t="s">
        <v>169</v>
      </c>
      <c r="Q41" s="49"/>
      <c r="R41" s="56">
        <v>0</v>
      </c>
      <c r="S41" s="53" t="s">
        <v>170</v>
      </c>
      <c r="T41" s="49"/>
      <c r="U41" s="49"/>
      <c r="V41" s="49"/>
      <c r="W41" s="49"/>
    </row>
    <row r="42" spans="15:23" x14ac:dyDescent="0.25">
      <c r="O42" s="49"/>
      <c r="P42" s="49"/>
      <c r="Q42" s="49"/>
      <c r="R42" s="49"/>
      <c r="S42" s="49"/>
      <c r="T42" s="49"/>
      <c r="U42" s="49"/>
      <c r="V42" s="49"/>
      <c r="W42" s="49"/>
    </row>
  </sheetData>
  <mergeCells count="1">
    <mergeCell ref="T3:W3"/>
  </mergeCells>
  <dataValidations count="1">
    <dataValidation type="list" allowBlank="1" showInputMessage="1" showErrorMessage="1" sqref="I3" xr:uid="{48E7BEBC-58D5-4680-9E69-C629CFA964A9}">
      <formula1>"USD, GBP"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9848-6203-4BF7-87F2-334B65F4B4AD}">
  <sheetPr>
    <tabColor rgb="FFBBD361"/>
  </sheetPr>
  <dimension ref="A2:U37"/>
  <sheetViews>
    <sheetView workbookViewId="0">
      <selection activeCell="O27" sqref="O27"/>
    </sheetView>
  </sheetViews>
  <sheetFormatPr defaultColWidth="9.140625" defaultRowHeight="15" x14ac:dyDescent="0.25"/>
  <cols>
    <col min="1" max="1" width="3.5703125" customWidth="1"/>
    <col min="2" max="2" width="23.140625" bestFit="1" customWidth="1"/>
    <col min="3" max="3" width="14.42578125" bestFit="1" customWidth="1"/>
    <col min="4" max="4" width="11.5703125" bestFit="1" customWidth="1"/>
    <col min="5" max="6" width="12" bestFit="1" customWidth="1"/>
    <col min="7" max="7" width="13.140625" customWidth="1"/>
    <col min="8" max="8" width="12.85546875" customWidth="1"/>
    <col min="9" max="10" width="12" bestFit="1" customWidth="1"/>
    <col min="11" max="12" width="12.28515625" customWidth="1"/>
    <col min="13" max="13" width="11" bestFit="1" customWidth="1"/>
    <col min="14" max="14" width="12" bestFit="1" customWidth="1"/>
    <col min="15" max="15" width="11" bestFit="1" customWidth="1"/>
    <col min="16" max="17" width="11.5703125" bestFit="1" customWidth="1"/>
    <col min="18" max="20" width="11.5703125" customWidth="1"/>
    <col min="21" max="21" width="11.5703125" bestFit="1" customWidth="1"/>
    <col min="22" max="22" width="11.28515625" customWidth="1"/>
    <col min="23" max="23" width="10" customWidth="1"/>
  </cols>
  <sheetData>
    <row r="2" spans="2:17" x14ac:dyDescent="0.25">
      <c r="B2" s="29" t="s">
        <v>171</v>
      </c>
      <c r="C2" s="96">
        <v>2</v>
      </c>
      <c r="D2" s="24" t="s">
        <v>172</v>
      </c>
      <c r="G2" s="24" t="s">
        <v>173</v>
      </c>
      <c r="H2" s="24"/>
      <c r="I2" s="24" t="s">
        <v>174</v>
      </c>
      <c r="J2" s="24" t="s">
        <v>174</v>
      </c>
    </row>
    <row r="3" spans="2:17" x14ac:dyDescent="0.25">
      <c r="B3" s="24" t="s">
        <v>175</v>
      </c>
      <c r="C3" s="93">
        <f>40*$C$2</f>
        <v>80</v>
      </c>
      <c r="D3" s="24" t="s">
        <v>176</v>
      </c>
      <c r="G3" s="24" t="s">
        <v>177</v>
      </c>
      <c r="H3" s="24">
        <v>1</v>
      </c>
      <c r="I3" s="25">
        <v>83</v>
      </c>
      <c r="J3" s="30">
        <v>107</v>
      </c>
      <c r="N3" s="35"/>
      <c r="O3" s="35"/>
    </row>
    <row r="4" spans="2:17" x14ac:dyDescent="0.25">
      <c r="B4" s="24" t="s">
        <v>178</v>
      </c>
      <c r="C4" s="93">
        <f>Lookups!H3*5*C2/60</f>
        <v>2.5</v>
      </c>
      <c r="D4" s="24" t="s">
        <v>176</v>
      </c>
      <c r="G4" s="24" t="s">
        <v>179</v>
      </c>
      <c r="H4" s="24">
        <v>1</v>
      </c>
      <c r="I4" s="25">
        <v>104</v>
      </c>
      <c r="J4" s="30">
        <v>135</v>
      </c>
      <c r="N4" s="35"/>
      <c r="O4" s="35"/>
    </row>
    <row r="5" spans="2:17" x14ac:dyDescent="0.25">
      <c r="B5" s="24" t="s">
        <v>180</v>
      </c>
      <c r="C5" s="93">
        <f>Lookups!H4*C2/4</f>
        <v>0.5</v>
      </c>
      <c r="D5" s="24" t="s">
        <v>176</v>
      </c>
      <c r="G5" s="24" t="s">
        <v>181</v>
      </c>
      <c r="H5" s="24">
        <v>1</v>
      </c>
      <c r="I5" s="25">
        <v>70</v>
      </c>
      <c r="J5" s="30">
        <v>90</v>
      </c>
      <c r="N5" s="35"/>
      <c r="O5" s="35"/>
    </row>
    <row r="6" spans="2:17" x14ac:dyDescent="0.25">
      <c r="B6" s="24" t="s">
        <v>182</v>
      </c>
      <c r="C6" s="93">
        <f>Lookups!H5*C2/4</f>
        <v>0</v>
      </c>
      <c r="D6" s="24" t="s">
        <v>176</v>
      </c>
      <c r="G6" s="24" t="s">
        <v>183</v>
      </c>
      <c r="H6" s="24">
        <v>1</v>
      </c>
      <c r="I6" s="25">
        <v>70</v>
      </c>
      <c r="J6" s="30">
        <v>90</v>
      </c>
    </row>
    <row r="7" spans="2:17" x14ac:dyDescent="0.25">
      <c r="B7" s="24" t="s">
        <v>184</v>
      </c>
      <c r="C7" s="93">
        <f>Lookups!H6*C2/4</f>
        <v>0.5</v>
      </c>
      <c r="D7" s="24" t="s">
        <v>176</v>
      </c>
      <c r="G7" s="24" t="s">
        <v>185</v>
      </c>
      <c r="H7" s="24"/>
      <c r="I7" s="31">
        <f>SUMPRODUCT(H3:H6,I3:I6)/SUM(H3:H6)</f>
        <v>81.75</v>
      </c>
      <c r="J7" s="32">
        <f>SUMPRODUCT(H3:H6,J3:J6)/SUM(H3:H6)</f>
        <v>105.5</v>
      </c>
    </row>
    <row r="8" spans="2:17" x14ac:dyDescent="0.25">
      <c r="B8" s="28" t="s">
        <v>186</v>
      </c>
      <c r="C8" s="94">
        <v>0</v>
      </c>
      <c r="D8" s="24" t="s">
        <v>176</v>
      </c>
      <c r="G8" s="24" t="s">
        <v>187</v>
      </c>
      <c r="H8" s="24"/>
      <c r="I8" s="31">
        <v>76</v>
      </c>
      <c r="J8" s="32">
        <v>100</v>
      </c>
      <c r="K8" s="119"/>
      <c r="L8" s="91" t="s">
        <v>188</v>
      </c>
      <c r="M8" s="91"/>
    </row>
    <row r="9" spans="2:17" x14ac:dyDescent="0.25">
      <c r="B9" s="29" t="s">
        <v>189</v>
      </c>
      <c r="C9" s="95">
        <f>SUM(C4:C8)</f>
        <v>3.5</v>
      </c>
      <c r="D9" s="24" t="s">
        <v>176</v>
      </c>
    </row>
    <row r="10" spans="2:17" x14ac:dyDescent="0.25">
      <c r="B10" s="29" t="s">
        <v>190</v>
      </c>
      <c r="C10" s="92">
        <f>C9/C3</f>
        <v>4.3749999999999997E-2</v>
      </c>
      <c r="D10" s="24"/>
    </row>
    <row r="13" spans="2:17" x14ac:dyDescent="0.25">
      <c r="B13" s="108" t="s">
        <v>191</v>
      </c>
      <c r="C13" s="109"/>
      <c r="D13" s="222" t="s">
        <v>181</v>
      </c>
      <c r="E13" s="224"/>
      <c r="F13" s="222" t="s">
        <v>183</v>
      </c>
      <c r="G13" s="224"/>
      <c r="H13" s="222" t="s">
        <v>177</v>
      </c>
      <c r="I13" s="224"/>
      <c r="J13" s="222" t="s">
        <v>179</v>
      </c>
      <c r="K13" s="223"/>
      <c r="L13" s="222" t="s">
        <v>192</v>
      </c>
      <c r="M13" s="223"/>
      <c r="N13" s="223"/>
      <c r="O13" s="224"/>
      <c r="P13" s="222" t="s">
        <v>193</v>
      </c>
      <c r="Q13" s="223"/>
    </row>
    <row r="14" spans="2:17" x14ac:dyDescent="0.25">
      <c r="B14" s="108" t="s">
        <v>76</v>
      </c>
      <c r="C14" s="108" t="s">
        <v>194</v>
      </c>
      <c r="D14" s="108" t="s">
        <v>195</v>
      </c>
      <c r="E14" s="108" t="s">
        <v>196</v>
      </c>
      <c r="F14" s="108" t="s">
        <v>195</v>
      </c>
      <c r="G14" s="108" t="s">
        <v>196</v>
      </c>
      <c r="H14" s="108" t="s">
        <v>195</v>
      </c>
      <c r="I14" s="108" t="s">
        <v>196</v>
      </c>
      <c r="J14" s="108" t="s">
        <v>195</v>
      </c>
      <c r="K14" s="108" t="s">
        <v>196</v>
      </c>
      <c r="L14" s="108" t="s">
        <v>195</v>
      </c>
      <c r="M14" s="108" t="s">
        <v>196</v>
      </c>
      <c r="N14" s="108" t="s">
        <v>197</v>
      </c>
      <c r="O14" s="108" t="s">
        <v>73</v>
      </c>
      <c r="P14" s="108" t="s">
        <v>197</v>
      </c>
      <c r="Q14" s="108" t="s">
        <v>73</v>
      </c>
    </row>
    <row r="15" spans="2:17" x14ac:dyDescent="0.25">
      <c r="B15" s="104" t="s">
        <v>81</v>
      </c>
      <c r="C15" s="106">
        <v>2</v>
      </c>
      <c r="D15" s="146">
        <v>0.1</v>
      </c>
      <c r="E15" s="106">
        <f>$C15/SprintDuration*$C$3*$H$5*D15</f>
        <v>8</v>
      </c>
      <c r="F15" s="110">
        <v>0</v>
      </c>
      <c r="G15" s="106">
        <f>$C15/SprintDuration*$C$3*$H$6*F15</f>
        <v>0</v>
      </c>
      <c r="H15" s="110">
        <v>0.5</v>
      </c>
      <c r="I15" s="106">
        <f>$C15/SprintDuration*$C$3*$H$3*H15</f>
        <v>40</v>
      </c>
      <c r="J15" s="110">
        <v>0.05</v>
      </c>
      <c r="K15" s="106">
        <f>$C15/SprintDuration*$C$3*$H$4*J15</f>
        <v>4</v>
      </c>
      <c r="L15" s="118">
        <f>M15/$M$20</f>
        <v>0.17808219178082191</v>
      </c>
      <c r="M15" s="107">
        <f>E15+G15+I15+K15</f>
        <v>52</v>
      </c>
      <c r="N15" s="147">
        <f>M15*BlendedRateGBP</f>
        <v>3952</v>
      </c>
      <c r="O15" s="148">
        <f>M15*BlendedRateUSD</f>
        <v>5200</v>
      </c>
      <c r="P15" s="147">
        <f>N15/$C15</f>
        <v>1976</v>
      </c>
      <c r="Q15" s="148">
        <f>O15/$C15</f>
        <v>2600</v>
      </c>
    </row>
    <row r="16" spans="2:17" x14ac:dyDescent="0.25">
      <c r="B16" s="104" t="s">
        <v>82</v>
      </c>
      <c r="C16" s="106">
        <v>2</v>
      </c>
      <c r="D16" s="105">
        <v>0.8</v>
      </c>
      <c r="E16" s="106">
        <f>$C16/SprintDuration*$C$3*$H$5*D16</f>
        <v>64</v>
      </c>
      <c r="F16" s="105">
        <v>0.4</v>
      </c>
      <c r="G16" s="106">
        <f>$C16/SprintDuration*$C$3*$H$6*F16</f>
        <v>32</v>
      </c>
      <c r="H16" s="105">
        <v>0.2</v>
      </c>
      <c r="I16" s="106">
        <f>$C16/SprintDuration*$C$3*$H$3*H16</f>
        <v>16</v>
      </c>
      <c r="J16" s="105">
        <v>0.1</v>
      </c>
      <c r="K16" s="106">
        <f>$C16/SprintDuration*$C$3*$H$4*J16</f>
        <v>8</v>
      </c>
      <c r="L16" s="118">
        <f>M16/$M$20</f>
        <v>0.41095890410958902</v>
      </c>
      <c r="M16" s="107">
        <f>E16+G16+I16+K16</f>
        <v>120</v>
      </c>
      <c r="N16" s="147">
        <f>M16*BlendedRateGBP</f>
        <v>9120</v>
      </c>
      <c r="O16" s="148">
        <f>M16*BlendedRateUSD</f>
        <v>12000</v>
      </c>
      <c r="P16" s="147">
        <f>SUM(N16:N17)/$C16</f>
        <v>5092</v>
      </c>
      <c r="Q16" s="148">
        <f>SUM(O16:O17)/$C16</f>
        <v>6700</v>
      </c>
    </row>
    <row r="17" spans="1:21" x14ac:dyDescent="0.25">
      <c r="B17" s="117" t="s">
        <v>198</v>
      </c>
      <c r="C17" s="106"/>
      <c r="D17" s="110">
        <f>$C$10</f>
        <v>4.3749999999999997E-2</v>
      </c>
      <c r="E17" s="106">
        <f>$C16/SprintDuration*$C$3*$H$5*D17</f>
        <v>3.5</v>
      </c>
      <c r="F17" s="110">
        <f>$C$10</f>
        <v>4.3749999999999997E-2</v>
      </c>
      <c r="G17" s="106">
        <f>$C16/SprintDuration*$C$3*$H$6*F17</f>
        <v>3.5</v>
      </c>
      <c r="H17" s="110">
        <f>$C$10</f>
        <v>4.3749999999999997E-2</v>
      </c>
      <c r="I17" s="106">
        <f>$C16/SprintDuration*$C$3*$H$3*H17</f>
        <v>3.5</v>
      </c>
      <c r="J17" s="110">
        <f>$C$10</f>
        <v>4.3749999999999997E-2</v>
      </c>
      <c r="K17" s="106">
        <f>$C16/SprintDuration*$C$3*$H$4*J17</f>
        <v>3.5</v>
      </c>
      <c r="L17" s="118">
        <f>M17/$M$20</f>
        <v>4.7945205479452052E-2</v>
      </c>
      <c r="M17" s="107">
        <f>E17+G17+I17+K17</f>
        <v>14</v>
      </c>
      <c r="N17" s="147">
        <f>M17*BlendedRateGBP</f>
        <v>1064</v>
      </c>
      <c r="O17" s="148">
        <f>M17*BlendedRateUSD</f>
        <v>1400</v>
      </c>
      <c r="P17" s="226" t="s">
        <v>199</v>
      </c>
      <c r="Q17" s="227"/>
    </row>
    <row r="18" spans="1:21" x14ac:dyDescent="0.25">
      <c r="A18" s="2"/>
      <c r="B18" s="104" t="s">
        <v>83</v>
      </c>
      <c r="C18" s="106">
        <v>2</v>
      </c>
      <c r="D18" s="105">
        <v>0.4</v>
      </c>
      <c r="E18" s="106">
        <f>$C18/SprintDuration*$C$3*$H$5*D18</f>
        <v>32</v>
      </c>
      <c r="F18" s="105">
        <v>0.2</v>
      </c>
      <c r="G18" s="106">
        <f>$C18/SprintDuration*$C$3*$H$6*F18</f>
        <v>16</v>
      </c>
      <c r="H18" s="105">
        <v>0.2</v>
      </c>
      <c r="I18" s="106">
        <f>$C18/SprintDuration*$C$3*$H$3*H18</f>
        <v>16</v>
      </c>
      <c r="J18" s="105">
        <v>0.1</v>
      </c>
      <c r="K18" s="106">
        <f>$C18/SprintDuration*$C$3*$H$4*J18</f>
        <v>8</v>
      </c>
      <c r="L18" s="118">
        <f>M18/$M$20</f>
        <v>0.24657534246575341</v>
      </c>
      <c r="M18" s="107">
        <f>E18+G18+I18+K18</f>
        <v>72</v>
      </c>
      <c r="N18" s="147">
        <f>M18*BlendedRateGBP</f>
        <v>5472</v>
      </c>
      <c r="O18" s="148">
        <f>M18*BlendedRateUSD</f>
        <v>7200</v>
      </c>
      <c r="P18" s="147">
        <f>N18/$C18</f>
        <v>2736</v>
      </c>
      <c r="Q18" s="148">
        <f>O18/$C18</f>
        <v>3600</v>
      </c>
      <c r="R18" s="2"/>
    </row>
    <row r="19" spans="1:21" x14ac:dyDescent="0.25">
      <c r="B19" s="104" t="s">
        <v>84</v>
      </c>
      <c r="C19" s="106">
        <v>1</v>
      </c>
      <c r="D19" s="105">
        <v>0.4</v>
      </c>
      <c r="E19" s="106">
        <f>$C19/SprintDuration*$C$3*$H$5*D19</f>
        <v>16</v>
      </c>
      <c r="F19" s="105">
        <v>0.2</v>
      </c>
      <c r="G19" s="106">
        <f>$C19/SprintDuration*$C$3*$H$6*F19</f>
        <v>8</v>
      </c>
      <c r="H19" s="105">
        <v>0.2</v>
      </c>
      <c r="I19" s="106">
        <f>$C19/SprintDuration*$C$3*$H$3*H19</f>
        <v>8</v>
      </c>
      <c r="J19" s="105">
        <v>0.05</v>
      </c>
      <c r="K19" s="106">
        <f>$C19/SprintDuration*$C$3*$H$4*J19</f>
        <v>2</v>
      </c>
      <c r="L19" s="118">
        <f>M19/$M$20</f>
        <v>0.11643835616438356</v>
      </c>
      <c r="M19" s="107">
        <f>E19+G19+I19+K19</f>
        <v>34</v>
      </c>
      <c r="N19" s="147">
        <f>M19*BlendedRateGBP</f>
        <v>2584</v>
      </c>
      <c r="O19" s="148">
        <f>M19*BlendedRateUSD</f>
        <v>3400</v>
      </c>
      <c r="P19" s="147">
        <f>N19/$C19</f>
        <v>2584</v>
      </c>
      <c r="Q19" s="148">
        <f>O19/$C19</f>
        <v>3400</v>
      </c>
    </row>
    <row r="20" spans="1:21" x14ac:dyDescent="0.25">
      <c r="B20" s="104" t="s">
        <v>85</v>
      </c>
      <c r="C20" s="111">
        <f t="shared" ref="C20" si="0">SUM(C15:C19)</f>
        <v>7</v>
      </c>
      <c r="D20" s="112"/>
      <c r="E20" s="113">
        <f t="shared" ref="E20" si="1">SUM(E15:E19)</f>
        <v>123.5</v>
      </c>
      <c r="F20" s="114"/>
      <c r="G20" s="113">
        <f>SUM(G15:G19)</f>
        <v>59.5</v>
      </c>
      <c r="H20" s="114"/>
      <c r="I20" s="113">
        <f>SUM(I15:I19)</f>
        <v>83.5</v>
      </c>
      <c r="J20" s="114"/>
      <c r="K20" s="113">
        <f>SUM(K15:K19)</f>
        <v>25.5</v>
      </c>
      <c r="L20" s="114">
        <f>SUM(L15:L19)</f>
        <v>0.99999999999999989</v>
      </c>
      <c r="M20" s="113">
        <f>SUM(M15:M19)</f>
        <v>292</v>
      </c>
      <c r="N20" s="115">
        <f>SUM(N15:N19)</f>
        <v>22192</v>
      </c>
      <c r="O20" s="116">
        <f>SUM(O15:O19)</f>
        <v>29200</v>
      </c>
      <c r="P20" s="113"/>
      <c r="Q20" s="115"/>
    </row>
    <row r="23" spans="1:21" x14ac:dyDescent="0.25">
      <c r="B23" s="33"/>
      <c r="C23" s="225" t="s">
        <v>194</v>
      </c>
      <c r="D23" s="225"/>
      <c r="E23" s="225"/>
      <c r="F23" s="225"/>
      <c r="I23" s="150"/>
      <c r="J23" s="150"/>
      <c r="P23" s="36"/>
      <c r="Q23" s="36"/>
      <c r="R23" s="221"/>
      <c r="S23" s="221"/>
      <c r="T23" s="221"/>
      <c r="U23" s="221"/>
    </row>
    <row r="24" spans="1:21" x14ac:dyDescent="0.25">
      <c r="B24" s="33" t="s">
        <v>3</v>
      </c>
      <c r="C24" s="33" t="s">
        <v>81</v>
      </c>
      <c r="D24" s="33" t="s">
        <v>200</v>
      </c>
      <c r="E24" s="33" t="s">
        <v>83</v>
      </c>
      <c r="F24" s="33" t="s">
        <v>84</v>
      </c>
    </row>
    <row r="25" spans="1:21" x14ac:dyDescent="0.25">
      <c r="B25" s="26">
        <v>1</v>
      </c>
      <c r="C25" s="24">
        <v>4</v>
      </c>
      <c r="D25" s="24">
        <v>2</v>
      </c>
      <c r="E25" s="24">
        <v>2</v>
      </c>
      <c r="F25" s="24">
        <v>2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x14ac:dyDescent="0.25">
      <c r="B26" s="26">
        <v>2</v>
      </c>
      <c r="C26" s="24">
        <v>4</v>
      </c>
      <c r="D26" s="24">
        <v>4</v>
      </c>
      <c r="E26" s="24">
        <v>2</v>
      </c>
      <c r="F26" s="24">
        <v>2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x14ac:dyDescent="0.25">
      <c r="B27" s="26">
        <v>3</v>
      </c>
      <c r="C27" s="24">
        <v>6</v>
      </c>
      <c r="D27" s="24">
        <v>6</v>
      </c>
      <c r="E27" s="24">
        <v>2</v>
      </c>
      <c r="F27" s="24">
        <v>2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x14ac:dyDescent="0.25">
      <c r="B28" s="26">
        <v>4</v>
      </c>
      <c r="C28" s="24">
        <v>6</v>
      </c>
      <c r="D28" s="24">
        <v>8</v>
      </c>
      <c r="E28" s="24">
        <v>2</v>
      </c>
      <c r="F28" s="24">
        <v>2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x14ac:dyDescent="0.25">
      <c r="B29" s="26">
        <v>5</v>
      </c>
      <c r="C29" s="24">
        <v>8</v>
      </c>
      <c r="D29" s="24">
        <v>10</v>
      </c>
      <c r="E29" s="24">
        <v>2</v>
      </c>
      <c r="F29" s="24">
        <v>2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x14ac:dyDescent="0.25"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 x14ac:dyDescent="0.25">
      <c r="B31" s="33"/>
      <c r="C31" s="225" t="s">
        <v>194</v>
      </c>
      <c r="D31" s="225"/>
      <c r="E31" s="225"/>
      <c r="F31" s="225"/>
      <c r="G31" s="37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x14ac:dyDescent="0.25">
      <c r="B32" s="33" t="s">
        <v>201</v>
      </c>
      <c r="C32" s="33" t="s">
        <v>81</v>
      </c>
      <c r="D32" s="33" t="s">
        <v>200</v>
      </c>
      <c r="E32" s="33" t="s">
        <v>83</v>
      </c>
      <c r="F32" s="33" t="s">
        <v>84</v>
      </c>
      <c r="G32" s="37" t="s">
        <v>202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2:21" x14ac:dyDescent="0.25">
      <c r="B33" s="26">
        <v>1</v>
      </c>
      <c r="C33" s="24">
        <v>-2</v>
      </c>
      <c r="D33" s="24">
        <v>0</v>
      </c>
      <c r="E33" s="24">
        <v>0</v>
      </c>
      <c r="F33" s="24">
        <v>-2</v>
      </c>
      <c r="G33" s="27">
        <v>0.2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2:21" x14ac:dyDescent="0.25">
      <c r="B34" s="26">
        <v>2</v>
      </c>
      <c r="C34" s="24">
        <v>-1</v>
      </c>
      <c r="D34" s="24">
        <v>0</v>
      </c>
      <c r="E34" s="24">
        <v>0</v>
      </c>
      <c r="F34" s="24">
        <v>-1</v>
      </c>
      <c r="G34" s="27">
        <v>0.25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2:21" x14ac:dyDescent="0.25">
      <c r="B35" s="26">
        <v>3</v>
      </c>
      <c r="C35" s="24">
        <v>0</v>
      </c>
      <c r="D35" s="24">
        <v>0</v>
      </c>
      <c r="E35" s="24">
        <v>0</v>
      </c>
      <c r="F35" s="24">
        <v>0</v>
      </c>
      <c r="G35" s="27">
        <v>0.3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2:21" x14ac:dyDescent="0.25">
      <c r="B36" s="26">
        <v>4</v>
      </c>
      <c r="C36" s="24">
        <v>1</v>
      </c>
      <c r="D36" s="24">
        <v>0</v>
      </c>
      <c r="E36" s="24">
        <v>1</v>
      </c>
      <c r="F36" s="24">
        <v>1</v>
      </c>
      <c r="G36" s="27">
        <v>0.35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2:21" x14ac:dyDescent="0.25">
      <c r="B37" s="26">
        <v>5</v>
      </c>
      <c r="C37" s="24">
        <v>2</v>
      </c>
      <c r="D37" s="24">
        <v>0</v>
      </c>
      <c r="E37" s="24">
        <v>1</v>
      </c>
      <c r="F37" s="24">
        <v>2</v>
      </c>
      <c r="G37" s="27">
        <v>0.4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</sheetData>
  <mergeCells count="11">
    <mergeCell ref="T23:U23"/>
    <mergeCell ref="L13:O13"/>
    <mergeCell ref="P13:Q13"/>
    <mergeCell ref="C31:F31"/>
    <mergeCell ref="C23:F23"/>
    <mergeCell ref="R23:S23"/>
    <mergeCell ref="D13:E13"/>
    <mergeCell ref="F13:G13"/>
    <mergeCell ref="H13:I13"/>
    <mergeCell ref="J13:K13"/>
    <mergeCell ref="P17:Q17"/>
  </mergeCells>
  <conditionalFormatting sqref="D15:D19">
    <cfRule type="colorScale" priority="2">
      <colorScale>
        <cfvo type="min"/>
        <cfvo type="max"/>
        <color rgb="FFFCFCFF"/>
        <color rgb="FF63BE7B"/>
      </colorScale>
    </cfRule>
  </conditionalFormatting>
  <conditionalFormatting sqref="F15:F19 H15:H19 J15:J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BD361"/>
  </sheetPr>
  <dimension ref="A1:I89"/>
  <sheetViews>
    <sheetView workbookViewId="0">
      <selection activeCell="G18" sqref="G18"/>
    </sheetView>
  </sheetViews>
  <sheetFormatPr defaultRowHeight="15" x14ac:dyDescent="0.25"/>
  <cols>
    <col min="1" max="1" width="48.7109375" bestFit="1" customWidth="1"/>
    <col min="5" max="5" width="12.42578125" customWidth="1"/>
    <col min="7" max="7" width="50.28515625" bestFit="1" customWidth="1"/>
    <col min="9" max="9" width="33.5703125" customWidth="1"/>
    <col min="11" max="11" width="23" bestFit="1" customWidth="1"/>
  </cols>
  <sheetData>
    <row r="1" spans="1:9" x14ac:dyDescent="0.25">
      <c r="A1" s="1" t="str">
        <f>'Automation Questionnaire'!B5</f>
        <v>Frequency</v>
      </c>
      <c r="E1" s="1"/>
    </row>
    <row r="2" spans="1:9" x14ac:dyDescent="0.25">
      <c r="A2" t="s">
        <v>9</v>
      </c>
      <c r="G2" s="29" t="s">
        <v>203</v>
      </c>
      <c r="H2" s="24"/>
      <c r="I2" s="24"/>
    </row>
    <row r="3" spans="1:9" x14ac:dyDescent="0.25">
      <c r="A3" t="s">
        <v>204</v>
      </c>
      <c r="G3" s="24" t="s">
        <v>178</v>
      </c>
      <c r="H3" s="24">
        <v>15</v>
      </c>
      <c r="I3" s="24" t="s">
        <v>205</v>
      </c>
    </row>
    <row r="4" spans="1:9" x14ac:dyDescent="0.25">
      <c r="A4" t="s">
        <v>206</v>
      </c>
      <c r="G4" s="24" t="s">
        <v>180</v>
      </c>
      <c r="H4" s="24">
        <v>1</v>
      </c>
      <c r="I4" s="24" t="s">
        <v>207</v>
      </c>
    </row>
    <row r="5" spans="1:9" x14ac:dyDescent="0.25">
      <c r="G5" s="24" t="s">
        <v>182</v>
      </c>
      <c r="H5" s="24">
        <v>0</v>
      </c>
      <c r="I5" s="24" t="s">
        <v>207</v>
      </c>
    </row>
    <row r="6" spans="1:9" x14ac:dyDescent="0.25">
      <c r="A6" s="1" t="str">
        <f>'Automation Questionnaire'!B6</f>
        <v>Volume</v>
      </c>
      <c r="G6" s="24" t="s">
        <v>184</v>
      </c>
      <c r="H6" s="24">
        <v>1</v>
      </c>
      <c r="I6" s="24" t="s">
        <v>207</v>
      </c>
    </row>
    <row r="7" spans="1:9" x14ac:dyDescent="0.25">
      <c r="A7" t="s">
        <v>12</v>
      </c>
    </row>
    <row r="8" spans="1:9" x14ac:dyDescent="0.25">
      <c r="A8" t="s">
        <v>208</v>
      </c>
      <c r="E8" s="1"/>
      <c r="F8" s="1"/>
      <c r="G8" s="1"/>
      <c r="H8" s="1"/>
    </row>
    <row r="9" spans="1:9" x14ac:dyDescent="0.25">
      <c r="A9" t="s">
        <v>209</v>
      </c>
    </row>
    <row r="11" spans="1:9" x14ac:dyDescent="0.25">
      <c r="A11" s="1" t="str">
        <f>'Automation Questionnaire'!B7</f>
        <v>Time</v>
      </c>
    </row>
    <row r="12" spans="1:9" x14ac:dyDescent="0.25">
      <c r="A12" t="s">
        <v>15</v>
      </c>
    </row>
    <row r="13" spans="1:9" x14ac:dyDescent="0.25">
      <c r="A13" t="s">
        <v>210</v>
      </c>
    </row>
    <row r="14" spans="1:9" x14ac:dyDescent="0.25">
      <c r="A14" t="s">
        <v>211</v>
      </c>
    </row>
    <row r="16" spans="1:9" x14ac:dyDescent="0.25">
      <c r="A16" s="1" t="str">
        <f>'Automation Questionnaire'!B10</f>
        <v>Scope</v>
      </c>
    </row>
    <row r="17" spans="1:1" x14ac:dyDescent="0.25">
      <c r="A17" t="s">
        <v>24</v>
      </c>
    </row>
    <row r="18" spans="1:1" x14ac:dyDescent="0.25">
      <c r="A18" t="s">
        <v>212</v>
      </c>
    </row>
    <row r="19" spans="1:1" x14ac:dyDescent="0.25">
      <c r="A19" t="s">
        <v>213</v>
      </c>
    </row>
    <row r="21" spans="1:1" x14ac:dyDescent="0.25">
      <c r="A21" s="1" t="str">
        <f>'Automation Questionnaire'!B8</f>
        <v>Headcount</v>
      </c>
    </row>
    <row r="22" spans="1:1" x14ac:dyDescent="0.25">
      <c r="A22" s="4" t="s">
        <v>18</v>
      </c>
    </row>
    <row r="23" spans="1:1" x14ac:dyDescent="0.25">
      <c r="A23" s="5" t="s">
        <v>214</v>
      </c>
    </row>
    <row r="24" spans="1:1" x14ac:dyDescent="0.25">
      <c r="A24" t="s">
        <v>215</v>
      </c>
    </row>
    <row r="26" spans="1:1" x14ac:dyDescent="0.25">
      <c r="A26" s="1" t="str">
        <f>'Automation Questionnaire'!B9</f>
        <v>Seniority</v>
      </c>
    </row>
    <row r="27" spans="1:1" x14ac:dyDescent="0.25">
      <c r="A27" t="s">
        <v>21</v>
      </c>
    </row>
    <row r="28" spans="1:1" x14ac:dyDescent="0.25">
      <c r="A28" t="s">
        <v>216</v>
      </c>
    </row>
    <row r="29" spans="1:1" x14ac:dyDescent="0.25">
      <c r="A29" t="s">
        <v>217</v>
      </c>
    </row>
    <row r="31" spans="1:1" x14ac:dyDescent="0.25">
      <c r="A31" s="1" t="str">
        <f>'Automation Questionnaire'!B11</f>
        <v>Cost of delays</v>
      </c>
    </row>
    <row r="32" spans="1:1" x14ac:dyDescent="0.25">
      <c r="A32" s="2" t="s">
        <v>27</v>
      </c>
    </row>
    <row r="33" spans="1:1" x14ac:dyDescent="0.25">
      <c r="A33" t="s">
        <v>218</v>
      </c>
    </row>
    <row r="34" spans="1:1" x14ac:dyDescent="0.25">
      <c r="A34" t="s">
        <v>219</v>
      </c>
    </row>
    <row r="36" spans="1:1" x14ac:dyDescent="0.25">
      <c r="A36" s="1" t="str">
        <f>'Automation Questionnaire'!B12</f>
        <v>Input type</v>
      </c>
    </row>
    <row r="37" spans="1:1" x14ac:dyDescent="0.25">
      <c r="A37" s="2" t="s">
        <v>30</v>
      </c>
    </row>
    <row r="38" spans="1:1" x14ac:dyDescent="0.25">
      <c r="A38" t="s">
        <v>220</v>
      </c>
    </row>
    <row r="39" spans="1:1" x14ac:dyDescent="0.25">
      <c r="A39" t="s">
        <v>221</v>
      </c>
    </row>
    <row r="41" spans="1:1" x14ac:dyDescent="0.25">
      <c r="A41" s="1" t="str">
        <f>'Automation Questionnaire'!B13</f>
        <v>Document Scanning</v>
      </c>
    </row>
    <row r="42" spans="1:1" x14ac:dyDescent="0.25">
      <c r="A42" t="s">
        <v>33</v>
      </c>
    </row>
    <row r="43" spans="1:1" x14ac:dyDescent="0.25">
      <c r="A43" t="s">
        <v>222</v>
      </c>
    </row>
    <row r="44" spans="1:1" x14ac:dyDescent="0.25">
      <c r="A44" t="s">
        <v>223</v>
      </c>
    </row>
    <row r="46" spans="1:1" x14ac:dyDescent="0.25">
      <c r="A46" s="1" t="str">
        <f>'Automation Questionnaire'!B14</f>
        <v>Input quality</v>
      </c>
    </row>
    <row r="47" spans="1:1" x14ac:dyDescent="0.25">
      <c r="A47" s="2" t="s">
        <v>36</v>
      </c>
    </row>
    <row r="48" spans="1:1" x14ac:dyDescent="0.25">
      <c r="A48" t="s">
        <v>224</v>
      </c>
    </row>
    <row r="49" spans="1:1" x14ac:dyDescent="0.25">
      <c r="A49" t="s">
        <v>225</v>
      </c>
    </row>
    <row r="51" spans="1:1" x14ac:dyDescent="0.25">
      <c r="A51" s="1" t="str">
        <f>'Automation Questionnaire'!B15</f>
        <v>Process Documentation</v>
      </c>
    </row>
    <row r="52" spans="1:1" x14ac:dyDescent="0.25">
      <c r="A52" s="2" t="s">
        <v>39</v>
      </c>
    </row>
    <row r="53" spans="1:1" x14ac:dyDescent="0.25">
      <c r="A53" t="s">
        <v>226</v>
      </c>
    </row>
    <row r="54" spans="1:1" x14ac:dyDescent="0.25">
      <c r="A54" t="s">
        <v>227</v>
      </c>
    </row>
    <row r="56" spans="1:1" x14ac:dyDescent="0.25">
      <c r="A56" s="1" t="str">
        <f>'Automation Questionnaire'!B16</f>
        <v>Human intervention</v>
      </c>
    </row>
    <row r="57" spans="1:1" x14ac:dyDescent="0.25">
      <c r="A57" t="s">
        <v>42</v>
      </c>
    </row>
    <row r="58" spans="1:1" x14ac:dyDescent="0.25">
      <c r="A58" t="s">
        <v>228</v>
      </c>
    </row>
    <row r="59" spans="1:1" x14ac:dyDescent="0.25">
      <c r="A59" t="s">
        <v>229</v>
      </c>
    </row>
    <row r="61" spans="1:1" x14ac:dyDescent="0.25">
      <c r="A61" s="1" t="str">
        <f>'Automation Questionnaire'!B21</f>
        <v>Stakeholder Availability</v>
      </c>
    </row>
    <row r="62" spans="1:1" x14ac:dyDescent="0.25">
      <c r="A62" s="2" t="s">
        <v>57</v>
      </c>
    </row>
    <row r="63" spans="1:1" x14ac:dyDescent="0.25">
      <c r="A63" t="s">
        <v>230</v>
      </c>
    </row>
    <row r="64" spans="1:1" x14ac:dyDescent="0.25">
      <c r="A64" t="s">
        <v>231</v>
      </c>
    </row>
    <row r="66" spans="1:1" x14ac:dyDescent="0.25">
      <c r="A66" s="1" t="str">
        <f>'Automation Questionnaire'!B17</f>
        <v>Number of systems</v>
      </c>
    </row>
    <row r="67" spans="1:1" x14ac:dyDescent="0.25">
      <c r="A67" s="4" t="s">
        <v>45</v>
      </c>
    </row>
    <row r="68" spans="1:1" x14ac:dyDescent="0.25">
      <c r="A68" t="s">
        <v>232</v>
      </c>
    </row>
    <row r="69" spans="1:1" x14ac:dyDescent="0.25">
      <c r="A69" t="s">
        <v>233</v>
      </c>
    </row>
    <row r="71" spans="1:1" x14ac:dyDescent="0.25">
      <c r="A71" s="1" t="str">
        <f>'Automation Questionnaire'!B18</f>
        <v>System access</v>
      </c>
    </row>
    <row r="72" spans="1:1" x14ac:dyDescent="0.25">
      <c r="A72" t="s">
        <v>48</v>
      </c>
    </row>
    <row r="73" spans="1:1" x14ac:dyDescent="0.25">
      <c r="A73" t="s">
        <v>234</v>
      </c>
    </row>
    <row r="74" spans="1:1" x14ac:dyDescent="0.25">
      <c r="A74" t="s">
        <v>235</v>
      </c>
    </row>
    <row r="76" spans="1:1" x14ac:dyDescent="0.25">
      <c r="A76" s="1" t="s">
        <v>49</v>
      </c>
    </row>
    <row r="77" spans="1:1" x14ac:dyDescent="0.25">
      <c r="A77" t="s">
        <v>51</v>
      </c>
    </row>
    <row r="78" spans="1:1" x14ac:dyDescent="0.25">
      <c r="A78" t="s">
        <v>236</v>
      </c>
    </row>
    <row r="79" spans="1:1" x14ac:dyDescent="0.25">
      <c r="A79" t="s">
        <v>237</v>
      </c>
    </row>
    <row r="81" spans="1:1" x14ac:dyDescent="0.25">
      <c r="A81" s="1" t="str">
        <f>'Automation Questionnaire'!B20</f>
        <v>System Change Landscape</v>
      </c>
    </row>
    <row r="82" spans="1:1" x14ac:dyDescent="0.25">
      <c r="A82" s="2" t="s">
        <v>54</v>
      </c>
    </row>
    <row r="83" spans="1:1" x14ac:dyDescent="0.25">
      <c r="A83" t="s">
        <v>238</v>
      </c>
    </row>
    <row r="84" spans="1:1" x14ac:dyDescent="0.25">
      <c r="A84" t="s">
        <v>239</v>
      </c>
    </row>
    <row r="86" spans="1:1" x14ac:dyDescent="0.25">
      <c r="A86" s="1" t="s">
        <v>240</v>
      </c>
    </row>
    <row r="87" spans="1:1" x14ac:dyDescent="0.25">
      <c r="A87" t="s">
        <v>60</v>
      </c>
    </row>
    <row r="88" spans="1:1" x14ac:dyDescent="0.25">
      <c r="A88" t="s">
        <v>241</v>
      </c>
    </row>
    <row r="89" spans="1:1" x14ac:dyDescent="0.25">
      <c r="A89" t="s">
        <v>242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A721-9728-4295-B728-5B1E3CD78EE2}">
  <sheetPr>
    <tabColor rgb="FFBBD361"/>
    <outlinePr summaryBelow="0"/>
  </sheetPr>
  <dimension ref="B1:J130"/>
  <sheetViews>
    <sheetView topLeftCell="A58" workbookViewId="0">
      <selection activeCell="B56" sqref="B56:D56"/>
    </sheetView>
  </sheetViews>
  <sheetFormatPr defaultColWidth="9.140625" defaultRowHeight="15" outlineLevelRow="1" x14ac:dyDescent="0.25"/>
  <cols>
    <col min="1" max="1" width="3.5703125" customWidth="1"/>
    <col min="2" max="2" width="25.28515625" customWidth="1"/>
    <col min="3" max="3" width="45.28515625" customWidth="1"/>
    <col min="4" max="4" width="12.140625" customWidth="1"/>
    <col min="5" max="5" width="15.28515625" customWidth="1"/>
    <col min="6" max="6" width="15.28515625" style="68" customWidth="1"/>
    <col min="7" max="8" width="15.28515625" customWidth="1"/>
  </cols>
  <sheetData>
    <row r="1" spans="2:9" ht="18.75" x14ac:dyDescent="0.3">
      <c r="B1" s="120" t="s">
        <v>243</v>
      </c>
      <c r="C1" s="120"/>
      <c r="D1" s="120"/>
      <c r="E1" s="120"/>
      <c r="F1" s="120"/>
      <c r="G1" s="120"/>
      <c r="H1" s="120"/>
    </row>
    <row r="2" spans="2:9" x14ac:dyDescent="0.25">
      <c r="B2" t="s">
        <v>244</v>
      </c>
    </row>
    <row r="3" spans="2:9" x14ac:dyDescent="0.25">
      <c r="B3" t="s">
        <v>245</v>
      </c>
    </row>
    <row r="4" spans="2:9" x14ac:dyDescent="0.25">
      <c r="B4" s="142" t="s">
        <v>246</v>
      </c>
    </row>
    <row r="5" spans="2:9" x14ac:dyDescent="0.25">
      <c r="B5" t="s">
        <v>247</v>
      </c>
    </row>
    <row r="7" spans="2:9" ht="18.75" collapsed="1" x14ac:dyDescent="0.3">
      <c r="B7" s="120" t="s">
        <v>248</v>
      </c>
      <c r="C7" s="120"/>
      <c r="D7" s="120"/>
      <c r="E7" s="120"/>
      <c r="F7" s="120"/>
      <c r="G7" s="120"/>
      <c r="H7" s="120"/>
    </row>
    <row r="8" spans="2:9" hidden="1" outlineLevel="1" x14ac:dyDescent="0.25">
      <c r="F8"/>
    </row>
    <row r="9" spans="2:9" hidden="1" outlineLevel="1" x14ac:dyDescent="0.25">
      <c r="B9" s="232" t="s">
        <v>249</v>
      </c>
      <c r="C9" s="232"/>
      <c r="D9" s="232"/>
      <c r="E9" s="232"/>
      <c r="F9"/>
    </row>
    <row r="10" spans="2:9" hidden="1" outlineLevel="1" x14ac:dyDescent="0.25">
      <c r="B10" s="151" t="s">
        <v>72</v>
      </c>
      <c r="C10" s="152"/>
      <c r="D10" s="124"/>
      <c r="E10" s="133" t="s">
        <v>73</v>
      </c>
      <c r="F10"/>
    </row>
    <row r="11" spans="2:9" hidden="1" outlineLevel="1" x14ac:dyDescent="0.25">
      <c r="B11" s="160" t="s">
        <v>250</v>
      </c>
      <c r="C11" s="161"/>
      <c r="D11" s="161"/>
      <c r="E11" s="144">
        <f>IF(E10="USD",BlendedRateUSD,BlendedRateGBP)</f>
        <v>100</v>
      </c>
      <c r="F11" s="69"/>
      <c r="I11" s="143"/>
    </row>
    <row r="12" spans="2:9" hidden="1" outlineLevel="1" x14ac:dyDescent="0.25">
      <c r="B12" s="134"/>
      <c r="C12" s="134"/>
      <c r="D12" s="134"/>
      <c r="E12" s="125"/>
      <c r="F12"/>
    </row>
    <row r="13" spans="2:9" hidden="1" outlineLevel="1" x14ac:dyDescent="0.25">
      <c r="B13" s="232" t="s">
        <v>251</v>
      </c>
      <c r="C13" s="232"/>
      <c r="D13" s="232"/>
      <c r="E13" s="232"/>
      <c r="F13"/>
    </row>
    <row r="14" spans="2:9" hidden="1" outlineLevel="1" x14ac:dyDescent="0.25">
      <c r="B14" s="123" t="s">
        <v>252</v>
      </c>
      <c r="C14" s="74"/>
      <c r="D14" s="74"/>
      <c r="E14" s="122"/>
      <c r="F14"/>
    </row>
    <row r="15" spans="2:9" hidden="1" outlineLevel="1" x14ac:dyDescent="0.25">
      <c r="B15" s="229" t="s">
        <v>253</v>
      </c>
      <c r="C15" s="230"/>
      <c r="D15" s="231"/>
      <c r="E15" s="121">
        <v>32</v>
      </c>
      <c r="F15" s="135" t="str">
        <f>E15/40*100&amp;"% allocation to project during analysis phase"</f>
        <v>80% allocation to project during analysis phase</v>
      </c>
    </row>
    <row r="16" spans="2:9" hidden="1" outlineLevel="1" x14ac:dyDescent="0.25">
      <c r="B16" s="229" t="s">
        <v>254</v>
      </c>
      <c r="C16" s="230"/>
      <c r="D16" s="231"/>
      <c r="E16" s="121">
        <v>32</v>
      </c>
      <c r="F16" s="135" t="str">
        <f>E16/40*100&amp;"% allocation to project during build phase"</f>
        <v>80% allocation to project during build phase</v>
      </c>
    </row>
    <row r="17" spans="2:8" hidden="1" outlineLevel="1" x14ac:dyDescent="0.25">
      <c r="B17" s="126" t="s">
        <v>173</v>
      </c>
      <c r="C17" s="127"/>
      <c r="D17" s="127"/>
      <c r="E17" s="122">
        <f>SUM(E18:E21)</f>
        <v>4</v>
      </c>
      <c r="F17"/>
    </row>
    <row r="18" spans="2:8" hidden="1" outlineLevel="1" x14ac:dyDescent="0.25">
      <c r="B18" s="228" t="s">
        <v>177</v>
      </c>
      <c r="C18" s="228"/>
      <c r="D18" s="228"/>
      <c r="E18" s="128">
        <v>1</v>
      </c>
      <c r="F18"/>
    </row>
    <row r="19" spans="2:8" hidden="1" outlineLevel="1" x14ac:dyDescent="0.25">
      <c r="B19" s="228" t="s">
        <v>255</v>
      </c>
      <c r="C19" s="228"/>
      <c r="D19" s="228"/>
      <c r="E19" s="128">
        <v>1</v>
      </c>
      <c r="F19"/>
    </row>
    <row r="20" spans="2:8" hidden="1" outlineLevel="1" x14ac:dyDescent="0.25">
      <c r="B20" s="228" t="s">
        <v>183</v>
      </c>
      <c r="C20" s="228"/>
      <c r="D20" s="228"/>
      <c r="E20" s="128">
        <v>1</v>
      </c>
      <c r="F20"/>
    </row>
    <row r="21" spans="2:8" hidden="1" outlineLevel="1" x14ac:dyDescent="0.25">
      <c r="B21" s="228" t="s">
        <v>179</v>
      </c>
      <c r="C21" s="228"/>
      <c r="D21" s="228"/>
      <c r="E21" s="128">
        <v>1</v>
      </c>
      <c r="F21"/>
    </row>
    <row r="22" spans="2:8" hidden="1" outlineLevel="1" x14ac:dyDescent="0.25">
      <c r="B22" s="126" t="s">
        <v>256</v>
      </c>
      <c r="C22" s="127"/>
      <c r="D22" s="127"/>
      <c r="E22" s="136">
        <v>0.25</v>
      </c>
      <c r="F22" s="135" t="s">
        <v>257</v>
      </c>
    </row>
    <row r="24" spans="2:8" ht="18.75" x14ac:dyDescent="0.3">
      <c r="B24" s="120" t="s">
        <v>258</v>
      </c>
      <c r="C24" s="120"/>
      <c r="D24" s="120"/>
      <c r="E24" s="120" t="s">
        <v>259</v>
      </c>
      <c r="F24" s="120" t="s">
        <v>260</v>
      </c>
      <c r="G24" s="120"/>
      <c r="H24" s="120"/>
    </row>
    <row r="25" spans="2:8" x14ac:dyDescent="0.25">
      <c r="B25" s="232" t="s">
        <v>261</v>
      </c>
      <c r="C25" s="232"/>
      <c r="D25" s="232"/>
      <c r="E25" s="129">
        <f>SUBTOTAL(9,E28:E34)</f>
        <v>40</v>
      </c>
      <c r="F25" s="130">
        <f>AnalysisEstimate*BlendedRate</f>
        <v>4000</v>
      </c>
    </row>
    <row r="26" spans="2:8" outlineLevel="1" x14ac:dyDescent="0.25"/>
    <row r="27" spans="2:8" outlineLevel="1" x14ac:dyDescent="0.25">
      <c r="B27" s="232" t="s">
        <v>262</v>
      </c>
      <c r="C27" s="232"/>
      <c r="D27" s="232"/>
      <c r="E27" s="232"/>
    </row>
    <row r="28" spans="2:8" outlineLevel="1" x14ac:dyDescent="0.25">
      <c r="B28" s="123" t="s">
        <v>263</v>
      </c>
      <c r="C28" s="74"/>
      <c r="D28" s="74"/>
      <c r="E28" s="122">
        <f>SUBTOTAL(9,E29:E34)</f>
        <v>40</v>
      </c>
    </row>
    <row r="29" spans="2:8" outlineLevel="1" x14ac:dyDescent="0.25">
      <c r="B29" s="233" t="s">
        <v>264</v>
      </c>
      <c r="C29" s="234"/>
      <c r="D29" s="235"/>
      <c r="E29" s="140">
        <v>36</v>
      </c>
    </row>
    <row r="30" spans="2:8" outlineLevel="1" x14ac:dyDescent="0.25">
      <c r="B30" s="160" t="s">
        <v>265</v>
      </c>
      <c r="C30" s="161"/>
      <c r="D30" s="162"/>
      <c r="E30" s="140">
        <v>4</v>
      </c>
    </row>
    <row r="31" spans="2:8" outlineLevel="1" x14ac:dyDescent="0.25">
      <c r="B31" s="160"/>
      <c r="C31" s="161"/>
      <c r="D31" s="162"/>
      <c r="E31" s="140"/>
    </row>
    <row r="32" spans="2:8" outlineLevel="1" x14ac:dyDescent="0.25">
      <c r="B32" s="160"/>
      <c r="C32" s="161"/>
      <c r="D32" s="162"/>
      <c r="E32" s="140"/>
    </row>
    <row r="33" spans="2:8" outlineLevel="1" x14ac:dyDescent="0.25">
      <c r="B33" s="228"/>
      <c r="C33" s="228"/>
      <c r="D33" s="228"/>
      <c r="E33" s="140"/>
    </row>
    <row r="34" spans="2:8" outlineLevel="1" x14ac:dyDescent="0.25">
      <c r="B34" s="245"/>
      <c r="C34" s="246"/>
      <c r="D34" s="247"/>
      <c r="E34" s="140"/>
    </row>
    <row r="36" spans="2:8" ht="18.75" x14ac:dyDescent="0.3">
      <c r="B36" s="120" t="s">
        <v>266</v>
      </c>
      <c r="C36" s="120"/>
      <c r="D36" s="120"/>
      <c r="E36" s="120" t="s">
        <v>259</v>
      </c>
      <c r="F36" s="120" t="s">
        <v>260</v>
      </c>
      <c r="G36" s="120"/>
      <c r="H36" s="120"/>
    </row>
    <row r="37" spans="2:8" x14ac:dyDescent="0.25">
      <c r="B37" s="232" t="s">
        <v>261</v>
      </c>
      <c r="C37" s="232"/>
      <c r="D37" s="232"/>
      <c r="E37" s="129">
        <f>SUBTOTAL(9,E40:E71)</f>
        <v>114</v>
      </c>
      <c r="F37" s="130">
        <f>BuildEstimate*BlendedRate</f>
        <v>11400</v>
      </c>
    </row>
    <row r="38" spans="2:8" outlineLevel="1" x14ac:dyDescent="0.25"/>
    <row r="39" spans="2:8" outlineLevel="1" x14ac:dyDescent="0.25">
      <c r="B39" s="153" t="s">
        <v>267</v>
      </c>
      <c r="C39" s="153"/>
      <c r="D39" s="153"/>
      <c r="E39" s="153"/>
    </row>
    <row r="40" spans="2:8" outlineLevel="1" x14ac:dyDescent="0.25">
      <c r="B40" s="159" t="s">
        <v>268</v>
      </c>
      <c r="C40" s="156"/>
      <c r="D40" s="157"/>
      <c r="E40" s="47">
        <v>8</v>
      </c>
      <c r="F40" s="98" t="s">
        <v>269</v>
      </c>
    </row>
    <row r="41" spans="2:8" outlineLevel="1" x14ac:dyDescent="0.25">
      <c r="B41" s="159" t="s">
        <v>270</v>
      </c>
      <c r="C41" s="156"/>
      <c r="D41" s="157"/>
      <c r="E41" s="47">
        <v>8</v>
      </c>
      <c r="F41" s="69"/>
    </row>
    <row r="42" spans="2:8" outlineLevel="1" x14ac:dyDescent="0.25">
      <c r="B42" s="159" t="s">
        <v>271</v>
      </c>
      <c r="C42" s="156"/>
      <c r="D42" s="157"/>
      <c r="E42" s="47">
        <v>8</v>
      </c>
      <c r="F42" s="69"/>
    </row>
    <row r="43" spans="2:8" outlineLevel="1" x14ac:dyDescent="0.25">
      <c r="B43" s="159" t="s">
        <v>272</v>
      </c>
      <c r="C43" s="156"/>
      <c r="D43" s="157"/>
      <c r="E43" s="47">
        <v>8</v>
      </c>
      <c r="F43" s="98" t="s">
        <v>273</v>
      </c>
    </row>
    <row r="44" spans="2:8" outlineLevel="1" x14ac:dyDescent="0.25">
      <c r="B44" s="159" t="s">
        <v>274</v>
      </c>
      <c r="C44" s="156"/>
      <c r="D44" s="157"/>
      <c r="E44" s="47">
        <v>8</v>
      </c>
    </row>
    <row r="45" spans="2:8" outlineLevel="1" x14ac:dyDescent="0.25">
      <c r="B45" s="123" t="s">
        <v>275</v>
      </c>
      <c r="C45" s="74"/>
      <c r="D45" s="74"/>
      <c r="E45" s="122">
        <f>SUBTOTAL(9,E46:E65)</f>
        <v>30</v>
      </c>
      <c r="F45" s="69"/>
    </row>
    <row r="46" spans="2:8" outlineLevel="1" x14ac:dyDescent="0.25">
      <c r="B46" s="239" t="s">
        <v>276</v>
      </c>
      <c r="C46" s="240"/>
      <c r="D46" s="241"/>
      <c r="E46" s="121"/>
    </row>
    <row r="47" spans="2:8" outlineLevel="1" x14ac:dyDescent="0.25">
      <c r="B47" s="79" t="s">
        <v>277</v>
      </c>
      <c r="C47" s="81"/>
      <c r="D47" s="158"/>
      <c r="E47" s="121">
        <v>2</v>
      </c>
    </row>
    <row r="48" spans="2:8" outlineLevel="1" x14ac:dyDescent="0.25">
      <c r="B48" s="79" t="s">
        <v>277</v>
      </c>
      <c r="C48" s="81"/>
      <c r="D48" s="158"/>
      <c r="E48" s="121">
        <v>2</v>
      </c>
    </row>
    <row r="49" spans="2:6" outlineLevel="1" x14ac:dyDescent="0.25">
      <c r="B49" s="242" t="s">
        <v>277</v>
      </c>
      <c r="C49" s="243"/>
      <c r="D49" s="244"/>
      <c r="E49" s="47">
        <v>2</v>
      </c>
    </row>
    <row r="50" spans="2:6" outlineLevel="1" x14ac:dyDescent="0.25">
      <c r="B50" s="242" t="s">
        <v>277</v>
      </c>
      <c r="C50" s="243"/>
      <c r="D50" s="244"/>
      <c r="E50" s="47">
        <v>2</v>
      </c>
    </row>
    <row r="51" spans="2:6" outlineLevel="1" x14ac:dyDescent="0.25">
      <c r="B51" s="242" t="s">
        <v>277</v>
      </c>
      <c r="C51" s="243"/>
      <c r="D51" s="244"/>
      <c r="E51" s="47">
        <v>2</v>
      </c>
    </row>
    <row r="52" spans="2:6" outlineLevel="1" x14ac:dyDescent="0.25">
      <c r="B52" s="242" t="s">
        <v>277</v>
      </c>
      <c r="C52" s="243"/>
      <c r="D52" s="244"/>
      <c r="E52" s="47">
        <v>2</v>
      </c>
    </row>
    <row r="53" spans="2:6" outlineLevel="1" x14ac:dyDescent="0.25">
      <c r="B53" s="242" t="s">
        <v>277</v>
      </c>
      <c r="C53" s="243"/>
      <c r="D53" s="244"/>
      <c r="E53" s="47">
        <v>2</v>
      </c>
    </row>
    <row r="54" spans="2:6" outlineLevel="1" x14ac:dyDescent="0.25">
      <c r="B54" s="155"/>
      <c r="C54" s="156"/>
      <c r="D54" s="157"/>
      <c r="E54" s="47"/>
    </row>
    <row r="55" spans="2:6" outlineLevel="1" x14ac:dyDescent="0.25">
      <c r="B55" s="248"/>
      <c r="C55" s="249"/>
      <c r="D55" s="250"/>
      <c r="E55" s="47"/>
    </row>
    <row r="56" spans="2:6" outlineLevel="1" x14ac:dyDescent="0.25">
      <c r="B56" s="236" t="s">
        <v>278</v>
      </c>
      <c r="C56" s="237"/>
      <c r="D56" s="238"/>
      <c r="E56" s="121">
        <v>2</v>
      </c>
    </row>
    <row r="57" spans="2:6" outlineLevel="1" x14ac:dyDescent="0.25">
      <c r="B57" s="79" t="s">
        <v>277</v>
      </c>
      <c r="C57" s="81"/>
      <c r="D57" s="158"/>
      <c r="E57" s="121">
        <v>2</v>
      </c>
    </row>
    <row r="58" spans="2:6" outlineLevel="1" x14ac:dyDescent="0.25">
      <c r="B58" s="79" t="s">
        <v>277</v>
      </c>
      <c r="C58" s="81"/>
      <c r="D58" s="158"/>
      <c r="E58" s="47">
        <v>2</v>
      </c>
    </row>
    <row r="59" spans="2:6" outlineLevel="1" x14ac:dyDescent="0.25">
      <c r="B59" s="242" t="s">
        <v>277</v>
      </c>
      <c r="C59" s="243"/>
      <c r="D59" s="244"/>
      <c r="E59" s="47">
        <v>2</v>
      </c>
    </row>
    <row r="60" spans="2:6" outlineLevel="1" x14ac:dyDescent="0.25">
      <c r="B60" s="242" t="s">
        <v>277</v>
      </c>
      <c r="C60" s="243"/>
      <c r="D60" s="244"/>
      <c r="E60" s="47">
        <v>2</v>
      </c>
    </row>
    <row r="61" spans="2:6" outlineLevel="1" x14ac:dyDescent="0.25">
      <c r="B61" s="242" t="s">
        <v>277</v>
      </c>
      <c r="C61" s="243"/>
      <c r="D61" s="244"/>
      <c r="E61" s="47">
        <v>2</v>
      </c>
    </row>
    <row r="62" spans="2:6" outlineLevel="1" x14ac:dyDescent="0.25">
      <c r="B62" s="242" t="s">
        <v>277</v>
      </c>
      <c r="C62" s="243"/>
      <c r="D62" s="244"/>
      <c r="E62" s="47">
        <v>2</v>
      </c>
    </row>
    <row r="63" spans="2:6" outlineLevel="1" x14ac:dyDescent="0.25">
      <c r="B63" s="242" t="s">
        <v>277</v>
      </c>
      <c r="C63" s="243"/>
      <c r="D63" s="244"/>
      <c r="E63" s="47">
        <v>2</v>
      </c>
    </row>
    <row r="64" spans="2:6" outlineLevel="1" x14ac:dyDescent="0.25">
      <c r="B64" s="72"/>
      <c r="C64" s="82"/>
      <c r="D64" s="73"/>
      <c r="E64" s="67"/>
      <c r="F64" s="98"/>
    </row>
    <row r="65" spans="2:8" outlineLevel="1" x14ac:dyDescent="0.25">
      <c r="B65" s="72"/>
      <c r="C65" s="82"/>
      <c r="D65" s="73"/>
      <c r="E65" s="67"/>
      <c r="F65" s="98"/>
    </row>
    <row r="66" spans="2:8" outlineLevel="1" x14ac:dyDescent="0.25">
      <c r="B66" s="123" t="s">
        <v>279</v>
      </c>
      <c r="C66" s="74"/>
      <c r="D66" s="74"/>
      <c r="E66" s="122">
        <f>SUBTOTAL(9,E67:E70)</f>
        <v>16</v>
      </c>
      <c r="F66" s="98" t="str">
        <f>ROUND(SumQA/SumFunctionalDevelopment*100,0)&amp;"% Dev/QA ratio"</f>
        <v>53% Dev/QA ratio</v>
      </c>
    </row>
    <row r="67" spans="2:8" outlineLevel="1" x14ac:dyDescent="0.25">
      <c r="B67" s="154" t="s">
        <v>280</v>
      </c>
      <c r="C67" s="82"/>
      <c r="D67" s="73"/>
      <c r="E67" s="67">
        <v>8</v>
      </c>
      <c r="F67" s="98"/>
    </row>
    <row r="68" spans="2:8" outlineLevel="1" x14ac:dyDescent="0.25">
      <c r="B68" s="154" t="s">
        <v>281</v>
      </c>
      <c r="C68" s="82"/>
      <c r="D68" s="73"/>
      <c r="E68" s="67">
        <v>8</v>
      </c>
      <c r="F68" s="98"/>
    </row>
    <row r="69" spans="2:8" outlineLevel="1" x14ac:dyDescent="0.25">
      <c r="B69" s="72"/>
      <c r="C69" s="82"/>
      <c r="D69" s="73"/>
      <c r="E69" s="67"/>
      <c r="F69" s="98"/>
    </row>
    <row r="70" spans="2:8" outlineLevel="1" x14ac:dyDescent="0.25">
      <c r="B70" s="72"/>
      <c r="C70" s="82"/>
      <c r="D70" s="73"/>
      <c r="E70" s="67"/>
      <c r="F70" s="98"/>
    </row>
    <row r="71" spans="2:8" outlineLevel="1" x14ac:dyDescent="0.25">
      <c r="B71" s="123" t="s">
        <v>282</v>
      </c>
      <c r="C71" s="74"/>
      <c r="D71" s="74"/>
      <c r="E71" s="141">
        <f>SUM(E73:E75)</f>
        <v>28</v>
      </c>
      <c r="F71" s="69"/>
    </row>
    <row r="72" spans="2:8" outlineLevel="1" x14ac:dyDescent="0.25">
      <c r="B72" s="87" t="s">
        <v>283</v>
      </c>
      <c r="C72" s="99"/>
      <c r="D72" s="99"/>
      <c r="E72" s="100">
        <f>CEILING(SUM(SumFunctionalDevelopment,SumQA)/(E16*CountDev),0.2)</f>
        <v>1.6</v>
      </c>
      <c r="F72" s="98"/>
    </row>
    <row r="73" spans="2:8" outlineLevel="1" x14ac:dyDescent="0.25">
      <c r="B73" s="245" t="s">
        <v>284</v>
      </c>
      <c r="C73" s="247"/>
      <c r="D73" s="47">
        <v>0.5</v>
      </c>
      <c r="E73" s="84">
        <f>D73*SumTeamSize*BuildDuration*5</f>
        <v>16</v>
      </c>
      <c r="F73" s="69"/>
    </row>
    <row r="74" spans="2:8" outlineLevel="1" x14ac:dyDescent="0.25">
      <c r="B74" s="228" t="s">
        <v>285</v>
      </c>
      <c r="C74" s="228"/>
      <c r="D74" s="136">
        <v>0.15</v>
      </c>
      <c r="E74" s="86">
        <f>ROUND(D74*SUM(SumFunctionalDevelopment,SumQA),0)</f>
        <v>7</v>
      </c>
      <c r="F74" s="98"/>
    </row>
    <row r="75" spans="2:8" outlineLevel="1" x14ac:dyDescent="0.25">
      <c r="B75" s="228" t="s">
        <v>286</v>
      </c>
      <c r="C75" s="228"/>
      <c r="D75" s="136">
        <v>0.1</v>
      </c>
      <c r="E75" s="84">
        <f>ROUND(D75*SUM(SumFunctionalDevelopment,SumQA),0)</f>
        <v>5</v>
      </c>
      <c r="F75" s="98"/>
    </row>
    <row r="76" spans="2:8" x14ac:dyDescent="0.25">
      <c r="F76"/>
    </row>
    <row r="77" spans="2:8" ht="18.75" x14ac:dyDescent="0.3">
      <c r="B77" s="120" t="s">
        <v>287</v>
      </c>
      <c r="C77" s="120"/>
      <c r="D77" s="120"/>
      <c r="E77" s="120" t="s">
        <v>259</v>
      </c>
      <c r="F77" s="120" t="s">
        <v>260</v>
      </c>
      <c r="G77" s="120"/>
      <c r="H77" s="120"/>
    </row>
    <row r="78" spans="2:8" collapsed="1" x14ac:dyDescent="0.25">
      <c r="B78" s="232" t="s">
        <v>261</v>
      </c>
      <c r="C78" s="232"/>
      <c r="D78" s="232"/>
      <c r="E78" s="129">
        <f>SUBTOTAL(9,E81:E97)</f>
        <v>72.5</v>
      </c>
      <c r="F78" s="130">
        <f>UserAcceptanceTestingEstimate*BlendedRate</f>
        <v>7250</v>
      </c>
    </row>
    <row r="79" spans="2:8" hidden="1" outlineLevel="1" x14ac:dyDescent="0.25">
      <c r="F79"/>
    </row>
    <row r="80" spans="2:8" hidden="1" outlineLevel="1" x14ac:dyDescent="0.25">
      <c r="B80" s="232" t="s">
        <v>288</v>
      </c>
      <c r="C80" s="232"/>
      <c r="D80" s="232" t="s">
        <v>289</v>
      </c>
      <c r="E80" s="232"/>
    </row>
    <row r="81" spans="2:5" hidden="1" outlineLevel="1" x14ac:dyDescent="0.25">
      <c r="B81" s="123" t="s">
        <v>290</v>
      </c>
      <c r="C81" s="74"/>
      <c r="D81" s="74"/>
      <c r="E81" s="122">
        <f>SUBTOTAL(9,E83:E91)</f>
        <v>69.5</v>
      </c>
    </row>
    <row r="82" spans="2:5" hidden="1" outlineLevel="1" x14ac:dyDescent="0.25">
      <c r="B82" s="245" t="s">
        <v>291</v>
      </c>
      <c r="C82" s="247"/>
      <c r="D82" s="24">
        <v>2</v>
      </c>
      <c r="E82" s="26"/>
    </row>
    <row r="83" spans="2:5" hidden="1" outlineLevel="1" x14ac:dyDescent="0.25">
      <c r="B83" s="251" t="s">
        <v>292</v>
      </c>
      <c r="C83" s="251"/>
      <c r="D83" s="251"/>
      <c r="E83" s="128">
        <v>2</v>
      </c>
    </row>
    <row r="84" spans="2:5" hidden="1" outlineLevel="1" x14ac:dyDescent="0.25">
      <c r="B84" s="228" t="s">
        <v>293</v>
      </c>
      <c r="C84" s="228"/>
      <c r="D84" s="228"/>
      <c r="E84" s="128">
        <v>2</v>
      </c>
    </row>
    <row r="85" spans="2:5" hidden="1" outlineLevel="1" x14ac:dyDescent="0.25">
      <c r="B85" s="228" t="s">
        <v>294</v>
      </c>
      <c r="C85" s="228"/>
      <c r="D85" s="228"/>
      <c r="E85" s="128">
        <v>4</v>
      </c>
    </row>
    <row r="86" spans="2:5" hidden="1" outlineLevel="1" x14ac:dyDescent="0.25">
      <c r="B86" s="228" t="s">
        <v>295</v>
      </c>
      <c r="C86" s="228"/>
      <c r="D86" s="228"/>
      <c r="E86" s="128">
        <v>1</v>
      </c>
    </row>
    <row r="87" spans="2:5" hidden="1" outlineLevel="1" x14ac:dyDescent="0.25">
      <c r="B87" s="228" t="s">
        <v>296</v>
      </c>
      <c r="C87" s="228"/>
      <c r="D87" s="228"/>
      <c r="E87" s="128">
        <v>0.5</v>
      </c>
    </row>
    <row r="88" spans="2:5" hidden="1" outlineLevel="1" x14ac:dyDescent="0.25">
      <c r="B88" s="228" t="s">
        <v>297</v>
      </c>
      <c r="C88" s="228"/>
      <c r="D88" s="228"/>
      <c r="E88" s="128">
        <v>40</v>
      </c>
    </row>
    <row r="89" spans="2:5" hidden="1" outlineLevel="1" x14ac:dyDescent="0.25">
      <c r="B89" s="228" t="s">
        <v>298</v>
      </c>
      <c r="C89" s="228"/>
      <c r="D89" s="228"/>
      <c r="E89" s="128">
        <v>20</v>
      </c>
    </row>
    <row r="90" spans="2:5" hidden="1" outlineLevel="1" x14ac:dyDescent="0.25">
      <c r="B90" s="228"/>
      <c r="C90" s="228"/>
      <c r="D90" s="228"/>
      <c r="E90" s="128"/>
    </row>
    <row r="91" spans="2:5" hidden="1" outlineLevel="1" x14ac:dyDescent="0.25">
      <c r="B91" s="252"/>
      <c r="C91" s="253"/>
      <c r="D91" s="254"/>
      <c r="E91" s="128"/>
    </row>
    <row r="92" spans="2:5" hidden="1" outlineLevel="1" x14ac:dyDescent="0.25">
      <c r="B92" s="123" t="s">
        <v>299</v>
      </c>
      <c r="C92" s="74"/>
      <c r="D92" s="74"/>
      <c r="E92" s="122">
        <f>SUBTOTAL(9,E93:E97)</f>
        <v>3</v>
      </c>
    </row>
    <row r="93" spans="2:5" hidden="1" outlineLevel="1" x14ac:dyDescent="0.25">
      <c r="B93" s="251" t="s">
        <v>292</v>
      </c>
      <c r="C93" s="251"/>
      <c r="D93" s="251"/>
      <c r="E93" s="71">
        <v>1</v>
      </c>
    </row>
    <row r="94" spans="2:5" hidden="1" outlineLevel="1" x14ac:dyDescent="0.25">
      <c r="B94" s="228" t="s">
        <v>293</v>
      </c>
      <c r="C94" s="228"/>
      <c r="D94" s="228"/>
      <c r="E94" s="128">
        <v>1</v>
      </c>
    </row>
    <row r="95" spans="2:5" hidden="1" outlineLevel="1" x14ac:dyDescent="0.25">
      <c r="B95" s="228" t="s">
        <v>300</v>
      </c>
      <c r="C95" s="228"/>
      <c r="D95" s="228"/>
      <c r="E95" s="128">
        <v>1</v>
      </c>
    </row>
    <row r="96" spans="2:5" hidden="1" outlineLevel="1" x14ac:dyDescent="0.25">
      <c r="B96" s="228"/>
      <c r="C96" s="228"/>
      <c r="D96" s="228"/>
      <c r="E96" s="128"/>
    </row>
    <row r="97" spans="2:8" hidden="1" outlineLevel="1" x14ac:dyDescent="0.25">
      <c r="B97" s="228"/>
      <c r="C97" s="228"/>
      <c r="D97" s="228"/>
      <c r="E97" s="128"/>
    </row>
    <row r="98" spans="2:8" x14ac:dyDescent="0.25">
      <c r="F98"/>
    </row>
    <row r="99" spans="2:8" ht="18.75" x14ac:dyDescent="0.3">
      <c r="B99" s="120" t="s">
        <v>301</v>
      </c>
      <c r="C99" s="120"/>
      <c r="D99" s="120"/>
      <c r="E99" s="120" t="s">
        <v>259</v>
      </c>
      <c r="F99" s="120" t="s">
        <v>260</v>
      </c>
      <c r="G99" s="120"/>
      <c r="H99" s="120"/>
    </row>
    <row r="100" spans="2:8" collapsed="1" x14ac:dyDescent="0.25">
      <c r="B100" s="232" t="s">
        <v>71</v>
      </c>
      <c r="C100" s="232"/>
      <c r="D100" s="232"/>
      <c r="E100" s="129">
        <f>SUBTOTAL(9,E103:E107)</f>
        <v>30</v>
      </c>
      <c r="F100" s="130">
        <f>GoLiveSupportEstimate*BlendedRate</f>
        <v>3000</v>
      </c>
    </row>
    <row r="101" spans="2:8" hidden="1" outlineLevel="1" x14ac:dyDescent="0.25"/>
    <row r="102" spans="2:8" hidden="1" outlineLevel="1" x14ac:dyDescent="0.25">
      <c r="B102" s="232" t="s">
        <v>302</v>
      </c>
      <c r="C102" s="232"/>
      <c r="D102" s="232" t="s">
        <v>289</v>
      </c>
      <c r="E102" s="232"/>
    </row>
    <row r="103" spans="2:8" hidden="1" outlineLevel="1" x14ac:dyDescent="0.25">
      <c r="B103" s="245" t="s">
        <v>303</v>
      </c>
      <c r="C103" s="247"/>
      <c r="D103" s="24">
        <v>1</v>
      </c>
      <c r="E103" s="26"/>
    </row>
    <row r="104" spans="2:8" hidden="1" outlineLevel="1" x14ac:dyDescent="0.25">
      <c r="B104" s="245" t="s">
        <v>304</v>
      </c>
      <c r="C104" s="246"/>
      <c r="D104" s="247"/>
      <c r="E104" s="24">
        <v>20</v>
      </c>
    </row>
    <row r="105" spans="2:8" hidden="1" outlineLevel="1" x14ac:dyDescent="0.25">
      <c r="B105" s="228" t="s">
        <v>305</v>
      </c>
      <c r="C105" s="228"/>
      <c r="D105" s="228"/>
      <c r="E105" s="24">
        <v>10</v>
      </c>
    </row>
    <row r="106" spans="2:8" hidden="1" outlineLevel="1" x14ac:dyDescent="0.25">
      <c r="B106" s="228"/>
      <c r="C106" s="228"/>
      <c r="D106" s="228"/>
      <c r="E106" s="24"/>
    </row>
    <row r="107" spans="2:8" hidden="1" outlineLevel="1" x14ac:dyDescent="0.25">
      <c r="B107" s="228"/>
      <c r="C107" s="228"/>
      <c r="D107" s="228"/>
      <c r="E107" s="24"/>
    </row>
    <row r="109" spans="2:8" ht="18.75" x14ac:dyDescent="0.3">
      <c r="B109" s="120" t="s">
        <v>306</v>
      </c>
      <c r="C109" s="120"/>
      <c r="D109" s="120"/>
      <c r="E109" s="120" t="s">
        <v>259</v>
      </c>
      <c r="F109" s="120" t="s">
        <v>260</v>
      </c>
      <c r="G109" s="120"/>
      <c r="H109" s="120"/>
    </row>
    <row r="110" spans="2:8" x14ac:dyDescent="0.25">
      <c r="B110" s="232" t="s">
        <v>71</v>
      </c>
      <c r="C110" s="232"/>
      <c r="D110" s="232"/>
      <c r="E110" s="129">
        <f>SUM(E25,E37,E78,E100)</f>
        <v>256.5</v>
      </c>
      <c r="F110" s="130">
        <f>SUM(F25,F37,F78,F100)</f>
        <v>25650</v>
      </c>
    </row>
    <row r="111" spans="2:8" x14ac:dyDescent="0.25">
      <c r="D111" s="70"/>
      <c r="E111" s="70"/>
      <c r="F111" s="70"/>
    </row>
    <row r="112" spans="2:8" ht="18.75" x14ac:dyDescent="0.3">
      <c r="B112" s="120" t="s">
        <v>307</v>
      </c>
      <c r="C112" s="120"/>
      <c r="D112" s="120"/>
      <c r="E112" s="120"/>
      <c r="F112" s="120"/>
      <c r="G112" s="120"/>
      <c r="H112" s="120"/>
    </row>
    <row r="114" spans="2:10" ht="30" x14ac:dyDescent="0.25">
      <c r="B114" s="255" t="s">
        <v>76</v>
      </c>
      <c r="C114" s="256"/>
      <c r="D114" s="257"/>
      <c r="E114" s="78" t="s">
        <v>77</v>
      </c>
      <c r="F114" s="78" t="s">
        <v>308</v>
      </c>
      <c r="G114" s="78" t="s">
        <v>79</v>
      </c>
      <c r="H114" s="78" t="s">
        <v>80</v>
      </c>
    </row>
    <row r="115" spans="2:10" x14ac:dyDescent="0.25">
      <c r="B115" s="258" t="s">
        <v>81</v>
      </c>
      <c r="C115" s="259"/>
      <c r="D115" s="260"/>
      <c r="E115" s="102">
        <f>CEILING(E28/(E15*'Custom Automation HLQ'!CountBA),0.2)</f>
        <v>1.4000000000000001</v>
      </c>
      <c r="F115" s="103">
        <f>E115</f>
        <v>1.4000000000000001</v>
      </c>
      <c r="G115" s="131">
        <f>F25</f>
        <v>4000</v>
      </c>
      <c r="H115" s="131">
        <f>G115*(1+$E$22)</f>
        <v>5000</v>
      </c>
    </row>
    <row r="116" spans="2:10" ht="15" customHeight="1" x14ac:dyDescent="0.25">
      <c r="B116" s="258" t="s">
        <v>82</v>
      </c>
      <c r="C116" s="259"/>
      <c r="D116" s="260"/>
      <c r="E116" s="76">
        <f>E72</f>
        <v>1.6</v>
      </c>
      <c r="F116" s="77">
        <f>E116</f>
        <v>1.6</v>
      </c>
      <c r="G116" s="131">
        <f>F37</f>
        <v>11400</v>
      </c>
      <c r="H116" s="131">
        <f t="shared" ref="H116:H118" si="0">G116*(1+$E$22)</f>
        <v>14250</v>
      </c>
    </row>
    <row r="117" spans="2:10" x14ac:dyDescent="0.25">
      <c r="B117" s="258" t="s">
        <v>83</v>
      </c>
      <c r="C117" s="259"/>
      <c r="D117" s="260"/>
      <c r="E117" s="76">
        <f>D82</f>
        <v>2</v>
      </c>
      <c r="F117" s="77">
        <f>E117</f>
        <v>2</v>
      </c>
      <c r="G117" s="131">
        <f>F78</f>
        <v>7250</v>
      </c>
      <c r="H117" s="131">
        <f t="shared" si="0"/>
        <v>9062.5</v>
      </c>
    </row>
    <row r="118" spans="2:10" x14ac:dyDescent="0.25">
      <c r="B118" s="258" t="s">
        <v>84</v>
      </c>
      <c r="C118" s="259"/>
      <c r="D118" s="260"/>
      <c r="E118" s="76">
        <f>D103</f>
        <v>1</v>
      </c>
      <c r="F118" s="77">
        <f>E118</f>
        <v>1</v>
      </c>
      <c r="G118" s="131">
        <f>F100</f>
        <v>3000</v>
      </c>
      <c r="H118" s="131">
        <f t="shared" si="0"/>
        <v>3750</v>
      </c>
    </row>
    <row r="119" spans="2:10" x14ac:dyDescent="0.25">
      <c r="B119" s="261" t="s">
        <v>85</v>
      </c>
      <c r="C119" s="262"/>
      <c r="D119" s="263"/>
      <c r="E119" s="76">
        <f>SUM(E115:E118)</f>
        <v>6</v>
      </c>
      <c r="F119" s="76">
        <f>SUM(F115:F118)</f>
        <v>6</v>
      </c>
      <c r="G119" s="131">
        <f>SUM(G115:G118)</f>
        <v>25650</v>
      </c>
      <c r="H119" s="131">
        <f>SUM(H115:H118)</f>
        <v>32062.5</v>
      </c>
    </row>
    <row r="121" spans="2:10" x14ac:dyDescent="0.25">
      <c r="H121" s="24" t="s">
        <v>309</v>
      </c>
      <c r="I121" s="132">
        <f>MROUND($H$119*(1-E22/2),250)</f>
        <v>28000</v>
      </c>
      <c r="J121" s="98" t="str">
        <f>E22*100&amp;"% range driver"</f>
        <v>25% range driver</v>
      </c>
    </row>
    <row r="122" spans="2:10" x14ac:dyDescent="0.25">
      <c r="H122" s="24" t="s">
        <v>310</v>
      </c>
      <c r="I122" s="132">
        <f>MROUND($H$119*(1+E22/2),250)</f>
        <v>36000</v>
      </c>
    </row>
    <row r="123" spans="2:10" x14ac:dyDescent="0.25">
      <c r="H123" t="s">
        <v>311</v>
      </c>
      <c r="I123" s="166">
        <f>AVERAGE(I121:I122)</f>
        <v>32000</v>
      </c>
      <c r="J123" s="163"/>
    </row>
    <row r="124" spans="2:10" x14ac:dyDescent="0.25">
      <c r="H124" s="165" t="s">
        <v>312</v>
      </c>
      <c r="I124" s="166">
        <f>I123-H119</f>
        <v>-62.5</v>
      </c>
    </row>
    <row r="130" spans="6:6" x14ac:dyDescent="0.25">
      <c r="F130"/>
    </row>
  </sheetData>
  <mergeCells count="61">
    <mergeCell ref="B115:D115"/>
    <mergeCell ref="B117:D117"/>
    <mergeCell ref="B118:D118"/>
    <mergeCell ref="B119:D119"/>
    <mergeCell ref="B116:D116"/>
    <mergeCell ref="B104:D104"/>
    <mergeCell ref="B105:D105"/>
    <mergeCell ref="B107:D107"/>
    <mergeCell ref="B114:D114"/>
    <mergeCell ref="B110:D110"/>
    <mergeCell ref="B106:D106"/>
    <mergeCell ref="B97:D97"/>
    <mergeCell ref="B100:D100"/>
    <mergeCell ref="B102:E102"/>
    <mergeCell ref="B103:C103"/>
    <mergeCell ref="B94:D94"/>
    <mergeCell ref="B95:D95"/>
    <mergeCell ref="B96:D96"/>
    <mergeCell ref="B84:D84"/>
    <mergeCell ref="B90:D90"/>
    <mergeCell ref="B91:D91"/>
    <mergeCell ref="B93:D93"/>
    <mergeCell ref="B85:D85"/>
    <mergeCell ref="B88:D88"/>
    <mergeCell ref="B89:D89"/>
    <mergeCell ref="B86:D86"/>
    <mergeCell ref="B87:D87"/>
    <mergeCell ref="B82:C82"/>
    <mergeCell ref="B83:D83"/>
    <mergeCell ref="B78:D78"/>
    <mergeCell ref="B80:E80"/>
    <mergeCell ref="B75:C75"/>
    <mergeCell ref="B73:C73"/>
    <mergeCell ref="B74:C74"/>
    <mergeCell ref="B59:D59"/>
    <mergeCell ref="B60:D60"/>
    <mergeCell ref="B61:D61"/>
    <mergeCell ref="B62:D62"/>
    <mergeCell ref="B63:D63"/>
    <mergeCell ref="B56:D56"/>
    <mergeCell ref="B46:D46"/>
    <mergeCell ref="B49:D49"/>
    <mergeCell ref="B34:D34"/>
    <mergeCell ref="B37:D37"/>
    <mergeCell ref="B50:D50"/>
    <mergeCell ref="B51:D51"/>
    <mergeCell ref="B52:D52"/>
    <mergeCell ref="B53:D53"/>
    <mergeCell ref="B55:D55"/>
    <mergeCell ref="B21:D21"/>
    <mergeCell ref="B25:D25"/>
    <mergeCell ref="B27:E27"/>
    <mergeCell ref="B29:D29"/>
    <mergeCell ref="B33:D33"/>
    <mergeCell ref="B20:D20"/>
    <mergeCell ref="B15:D15"/>
    <mergeCell ref="B9:E9"/>
    <mergeCell ref="B13:E13"/>
    <mergeCell ref="B16:D16"/>
    <mergeCell ref="B18:D18"/>
    <mergeCell ref="B19:D19"/>
  </mergeCells>
  <conditionalFormatting sqref="F25 F37 F78 F100 F110">
    <cfRule type="expression" dxfId="43" priority="50">
      <formula>$E$10="GBP"</formula>
    </cfRule>
    <cfRule type="expression" dxfId="42" priority="51">
      <formula>$E$10="USD"</formula>
    </cfRule>
  </conditionalFormatting>
  <conditionalFormatting sqref="G115:H119">
    <cfRule type="expression" dxfId="41" priority="42">
      <formula>$E$10="GBP"</formula>
    </cfRule>
    <cfRule type="expression" dxfId="40" priority="43">
      <formula>$E$10="USD"</formula>
    </cfRule>
  </conditionalFormatting>
  <conditionalFormatting sqref="I121:I124">
    <cfRule type="expression" dxfId="39" priority="1">
      <formula>$E$11="GBP"</formula>
    </cfRule>
    <cfRule type="expression" dxfId="38" priority="2">
      <formula>$E$11="USD"</formula>
    </cfRule>
  </conditionalFormatting>
  <dataValidations count="1">
    <dataValidation type="list" allowBlank="1" showInputMessage="1" showErrorMessage="1" sqref="E10" xr:uid="{52782F5F-3ECC-47A1-AFB3-BC8762738D67}">
      <formula1>"USD, GBP"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D85A-C4C8-439A-B2D1-007A6089454A}">
  <sheetPr>
    <tabColor rgb="FF0093B2"/>
    <outlinePr summaryBelow="0"/>
  </sheetPr>
  <dimension ref="B1:J187"/>
  <sheetViews>
    <sheetView workbookViewId="0"/>
  </sheetViews>
  <sheetFormatPr defaultColWidth="9.140625" defaultRowHeight="15" outlineLevelRow="1" x14ac:dyDescent="0.25"/>
  <cols>
    <col min="1" max="1" width="3.5703125" customWidth="1"/>
    <col min="2" max="2" width="25.28515625" customWidth="1"/>
    <col min="3" max="3" width="45.28515625" customWidth="1"/>
    <col min="4" max="4" width="12.140625" customWidth="1"/>
    <col min="5" max="5" width="15.28515625" customWidth="1"/>
    <col min="6" max="6" width="15.28515625" style="68" customWidth="1"/>
    <col min="7" max="8" width="15.28515625" customWidth="1"/>
  </cols>
  <sheetData>
    <row r="1" spans="2:9" ht="18.75" x14ac:dyDescent="0.3">
      <c r="B1" s="120" t="s">
        <v>243</v>
      </c>
      <c r="C1" s="120"/>
      <c r="D1" s="120"/>
      <c r="E1" s="120"/>
      <c r="F1" s="120"/>
      <c r="G1" s="120"/>
      <c r="H1" s="120"/>
    </row>
    <row r="2" spans="2:9" x14ac:dyDescent="0.25">
      <c r="B2" t="s">
        <v>313</v>
      </c>
    </row>
    <row r="3" spans="2:9" x14ac:dyDescent="0.25">
      <c r="B3" t="s">
        <v>314</v>
      </c>
    </row>
    <row r="4" spans="2:9" x14ac:dyDescent="0.25">
      <c r="B4" s="139" t="s">
        <v>315</v>
      </c>
    </row>
    <row r="5" spans="2:9" x14ac:dyDescent="0.25">
      <c r="B5" t="s">
        <v>316</v>
      </c>
    </row>
    <row r="6" spans="2:9" x14ac:dyDescent="0.25">
      <c r="B6" t="s">
        <v>317</v>
      </c>
    </row>
    <row r="8" spans="2:9" ht="18.75" collapsed="1" x14ac:dyDescent="0.3">
      <c r="B8" s="120" t="s">
        <v>318</v>
      </c>
      <c r="C8" s="120"/>
      <c r="D8" s="120"/>
      <c r="E8" s="120"/>
      <c r="F8" s="120"/>
      <c r="G8" s="120"/>
      <c r="H8" s="120"/>
    </row>
    <row r="9" spans="2:9" hidden="1" outlineLevel="1" x14ac:dyDescent="0.25">
      <c r="F9"/>
    </row>
    <row r="10" spans="2:9" hidden="1" outlineLevel="1" x14ac:dyDescent="0.25">
      <c r="B10" s="232" t="s">
        <v>249</v>
      </c>
      <c r="C10" s="232"/>
      <c r="D10" s="232"/>
      <c r="E10" s="232"/>
      <c r="F10"/>
    </row>
    <row r="11" spans="2:9" hidden="1" outlineLevel="1" x14ac:dyDescent="0.25">
      <c r="B11" s="151" t="s">
        <v>72</v>
      </c>
      <c r="C11" s="152"/>
      <c r="D11" s="124"/>
      <c r="E11" s="133" t="s">
        <v>73</v>
      </c>
      <c r="F11"/>
    </row>
    <row r="12" spans="2:9" hidden="1" outlineLevel="1" x14ac:dyDescent="0.25">
      <c r="B12" s="160" t="s">
        <v>250</v>
      </c>
      <c r="C12" s="161"/>
      <c r="D12" s="161"/>
      <c r="E12" s="144">
        <f>IF(E11="USD",BlendedRateUSD,BlendedRateGBP)</f>
        <v>100</v>
      </c>
      <c r="F12" s="69"/>
      <c r="I12" s="143"/>
    </row>
    <row r="13" spans="2:9" hidden="1" outlineLevel="1" x14ac:dyDescent="0.25">
      <c r="B13" s="151" t="s">
        <v>319</v>
      </c>
      <c r="C13" s="152"/>
      <c r="D13" s="124"/>
      <c r="E13" s="164">
        <v>0.25</v>
      </c>
      <c r="F13" s="135" t="s">
        <v>320</v>
      </c>
      <c r="I13" s="143"/>
    </row>
    <row r="14" spans="2:9" hidden="1" outlineLevel="1" x14ac:dyDescent="0.25">
      <c r="B14" s="134"/>
      <c r="C14" s="134"/>
      <c r="D14" s="134"/>
      <c r="E14" s="125"/>
      <c r="F14"/>
    </row>
    <row r="15" spans="2:9" hidden="1" outlineLevel="1" x14ac:dyDescent="0.25">
      <c r="B15" s="232" t="s">
        <v>251</v>
      </c>
      <c r="C15" s="232"/>
      <c r="D15" s="232"/>
      <c r="E15" s="232"/>
      <c r="F15"/>
    </row>
    <row r="16" spans="2:9" hidden="1" outlineLevel="1" x14ac:dyDescent="0.25">
      <c r="B16" s="123" t="s">
        <v>252</v>
      </c>
      <c r="C16" s="74"/>
      <c r="D16" s="74"/>
      <c r="E16" s="122"/>
      <c r="F16"/>
    </row>
    <row r="17" spans="2:8" hidden="1" outlineLevel="1" x14ac:dyDescent="0.25">
      <c r="B17" s="229" t="s">
        <v>254</v>
      </c>
      <c r="C17" s="230"/>
      <c r="D17" s="231"/>
      <c r="E17" s="121">
        <v>32</v>
      </c>
      <c r="F17" s="135" t="str">
        <f>E17/40*100&amp;"% allocation to project during build phase"</f>
        <v>80% allocation to project during build phase</v>
      </c>
    </row>
    <row r="18" spans="2:8" hidden="1" outlineLevel="1" x14ac:dyDescent="0.25">
      <c r="B18" s="126" t="s">
        <v>173</v>
      </c>
      <c r="C18" s="127"/>
      <c r="D18" s="127"/>
      <c r="E18" s="122">
        <f>SUM(E19:E22)</f>
        <v>4</v>
      </c>
      <c r="F18"/>
    </row>
    <row r="19" spans="2:8" hidden="1" outlineLevel="1" x14ac:dyDescent="0.25">
      <c r="B19" s="228" t="s">
        <v>177</v>
      </c>
      <c r="C19" s="228"/>
      <c r="D19" s="228"/>
      <c r="E19" s="128">
        <v>1</v>
      </c>
      <c r="F19"/>
    </row>
    <row r="20" spans="2:8" hidden="1" outlineLevel="1" x14ac:dyDescent="0.25">
      <c r="B20" s="228" t="s">
        <v>255</v>
      </c>
      <c r="C20" s="228"/>
      <c r="D20" s="228"/>
      <c r="E20" s="128">
        <v>1</v>
      </c>
      <c r="F20"/>
    </row>
    <row r="21" spans="2:8" hidden="1" outlineLevel="1" x14ac:dyDescent="0.25">
      <c r="B21" s="228" t="s">
        <v>183</v>
      </c>
      <c r="C21" s="228"/>
      <c r="D21" s="228"/>
      <c r="E21" s="128">
        <v>1</v>
      </c>
      <c r="F21"/>
    </row>
    <row r="22" spans="2:8" hidden="1" outlineLevel="1" x14ac:dyDescent="0.25">
      <c r="B22" s="228" t="s">
        <v>179</v>
      </c>
      <c r="C22" s="228"/>
      <c r="D22" s="228"/>
      <c r="E22" s="128">
        <v>1</v>
      </c>
      <c r="F22"/>
    </row>
    <row r="23" spans="2:8" x14ac:dyDescent="0.25">
      <c r="B23" s="134"/>
      <c r="C23" s="134"/>
      <c r="D23" s="134"/>
      <c r="E23" s="3"/>
      <c r="F23"/>
    </row>
    <row r="24" spans="2:8" ht="18.75" x14ac:dyDescent="0.3">
      <c r="B24" s="120" t="s">
        <v>258</v>
      </c>
      <c r="C24" s="120"/>
      <c r="D24" s="120"/>
      <c r="E24" s="120" t="s">
        <v>259</v>
      </c>
      <c r="F24" s="120" t="s">
        <v>260</v>
      </c>
      <c r="G24" s="120" t="s">
        <v>321</v>
      </c>
      <c r="H24" s="120" t="s">
        <v>322</v>
      </c>
    </row>
    <row r="25" spans="2:8" x14ac:dyDescent="0.25">
      <c r="B25" s="232" t="s">
        <v>261</v>
      </c>
      <c r="C25" s="232"/>
      <c r="D25" s="273"/>
      <c r="E25" s="128">
        <f>CEILING(HLQ!H8/BlendedRate,0.5)</f>
        <v>62</v>
      </c>
      <c r="F25" s="130">
        <f>AnalysisHLQ*BlendedRate</f>
        <v>6200</v>
      </c>
    </row>
    <row r="26" spans="2:8" x14ac:dyDescent="0.25">
      <c r="B26" s="232" t="s">
        <v>323</v>
      </c>
      <c r="C26" s="232"/>
      <c r="D26" s="232"/>
      <c r="E26" s="129">
        <f>SUBTOTAL(9,E30:E36)</f>
        <v>80</v>
      </c>
      <c r="F26" s="130">
        <f>AnalysisEstimate*BlendedRate</f>
        <v>8000</v>
      </c>
      <c r="G26" s="130">
        <f>F26-F25</f>
        <v>1800</v>
      </c>
      <c r="H26" s="80">
        <f>IFERROR(E26/E25,0)</f>
        <v>1.2903225806451613</v>
      </c>
    </row>
    <row r="27" spans="2:8" collapsed="1" x14ac:dyDescent="0.25">
      <c r="B27" s="153" t="s">
        <v>324</v>
      </c>
      <c r="C27" s="153"/>
      <c r="D27" s="153"/>
      <c r="E27" s="128"/>
      <c r="F27" s="130">
        <f>AnalysisActuals*BlendedRate</f>
        <v>0</v>
      </c>
      <c r="G27" s="130">
        <f>F27-F26</f>
        <v>-8000</v>
      </c>
      <c r="H27" s="80">
        <f>IFERROR(E27/E26,0)</f>
        <v>0</v>
      </c>
    </row>
    <row r="28" spans="2:8" hidden="1" outlineLevel="1" x14ac:dyDescent="0.25"/>
    <row r="29" spans="2:8" hidden="1" outlineLevel="1" x14ac:dyDescent="0.25">
      <c r="B29" s="232" t="s">
        <v>262</v>
      </c>
      <c r="C29" s="232"/>
      <c r="D29" s="232"/>
      <c r="E29" s="232"/>
    </row>
    <row r="30" spans="2:8" hidden="1" outlineLevel="1" x14ac:dyDescent="0.25">
      <c r="B30" s="123" t="s">
        <v>263</v>
      </c>
      <c r="C30" s="74"/>
      <c r="D30" s="74"/>
      <c r="E30" s="122">
        <f>SUBTOTAL(9,E31:E36)</f>
        <v>80</v>
      </c>
    </row>
    <row r="31" spans="2:8" hidden="1" outlineLevel="1" x14ac:dyDescent="0.25">
      <c r="B31" s="233" t="s">
        <v>325</v>
      </c>
      <c r="C31" s="234"/>
      <c r="D31" s="235"/>
      <c r="E31" s="140">
        <v>20</v>
      </c>
    </row>
    <row r="32" spans="2:8" hidden="1" outlineLevel="1" x14ac:dyDescent="0.25">
      <c r="B32" s="160" t="s">
        <v>326</v>
      </c>
      <c r="C32" s="161"/>
      <c r="D32" s="162"/>
      <c r="E32" s="140">
        <v>20</v>
      </c>
    </row>
    <row r="33" spans="2:8" hidden="1" outlineLevel="1" x14ac:dyDescent="0.25">
      <c r="B33" s="160" t="s">
        <v>327</v>
      </c>
      <c r="C33" s="161"/>
      <c r="D33" s="162"/>
      <c r="E33" s="140">
        <v>30</v>
      </c>
    </row>
    <row r="34" spans="2:8" hidden="1" outlineLevel="1" x14ac:dyDescent="0.25">
      <c r="B34" s="160" t="s">
        <v>265</v>
      </c>
      <c r="C34" s="161"/>
      <c r="D34" s="162"/>
      <c r="E34" s="140">
        <v>10</v>
      </c>
    </row>
    <row r="35" spans="2:8" hidden="1" outlineLevel="1" x14ac:dyDescent="0.25">
      <c r="B35" s="228"/>
      <c r="C35" s="228"/>
      <c r="D35" s="228"/>
      <c r="E35" s="121"/>
    </row>
    <row r="36" spans="2:8" hidden="1" outlineLevel="1" x14ac:dyDescent="0.25">
      <c r="B36" s="228"/>
      <c r="C36" s="228"/>
      <c r="D36" s="228"/>
      <c r="E36" s="121"/>
    </row>
    <row r="38" spans="2:8" ht="18.75" x14ac:dyDescent="0.3">
      <c r="B38" s="120" t="s">
        <v>328</v>
      </c>
      <c r="C38" s="120"/>
      <c r="D38" s="120"/>
      <c r="E38" s="120" t="s">
        <v>259</v>
      </c>
      <c r="F38" s="120" t="s">
        <v>260</v>
      </c>
      <c r="G38" s="120" t="s">
        <v>321</v>
      </c>
      <c r="H38" s="120" t="s">
        <v>322</v>
      </c>
    </row>
    <row r="39" spans="2:8" x14ac:dyDescent="0.25">
      <c r="B39" s="232" t="s">
        <v>261</v>
      </c>
      <c r="C39" s="232"/>
      <c r="D39" s="232"/>
      <c r="E39" s="128">
        <f>CEILING(HLQ!H9/BlendedRate,0.5)</f>
        <v>161</v>
      </c>
      <c r="F39" s="130">
        <f>BuildHLQ*BlendedRate</f>
        <v>16100</v>
      </c>
    </row>
    <row r="40" spans="2:8" x14ac:dyDescent="0.25">
      <c r="B40" s="232" t="s">
        <v>323</v>
      </c>
      <c r="C40" s="232"/>
      <c r="D40" s="232"/>
      <c r="E40" s="129">
        <f>SUBTOTAL(9,E44:E97)</f>
        <v>179</v>
      </c>
      <c r="F40" s="130">
        <f>BuildEstimate*BlendedRate</f>
        <v>17900</v>
      </c>
      <c r="G40" s="130">
        <f>F40-F39</f>
        <v>1800</v>
      </c>
      <c r="H40" s="80">
        <f>IFERROR(E40/E39,0)</f>
        <v>1.1118012422360248</v>
      </c>
    </row>
    <row r="41" spans="2:8" collapsed="1" x14ac:dyDescent="0.25">
      <c r="B41" s="153" t="s">
        <v>324</v>
      </c>
      <c r="C41" s="153"/>
      <c r="D41" s="153"/>
      <c r="E41" s="128"/>
      <c r="F41" s="130">
        <f>BuildActuals*BlendedRate</f>
        <v>0</v>
      </c>
      <c r="G41" s="130">
        <f>F41-F40</f>
        <v>-17900</v>
      </c>
      <c r="H41" s="80">
        <f>IFERROR(E41/E40,0)</f>
        <v>0</v>
      </c>
    </row>
    <row r="42" spans="2:8" hidden="1" outlineLevel="1" x14ac:dyDescent="0.25"/>
    <row r="43" spans="2:8" hidden="1" outlineLevel="1" x14ac:dyDescent="0.25">
      <c r="B43" s="153" t="s">
        <v>267</v>
      </c>
      <c r="C43" s="153"/>
      <c r="D43" s="153"/>
      <c r="E43" s="153"/>
    </row>
    <row r="44" spans="2:8" hidden="1" outlineLevel="1" x14ac:dyDescent="0.25">
      <c r="B44" s="123" t="s">
        <v>268</v>
      </c>
      <c r="C44" s="74"/>
      <c r="D44" s="74"/>
      <c r="E44" s="122">
        <f>SUBTOTAL(9,E45:E49)</f>
        <v>29</v>
      </c>
      <c r="F44" s="69"/>
    </row>
    <row r="45" spans="2:8" hidden="1" outlineLevel="1" x14ac:dyDescent="0.25">
      <c r="B45" s="245" t="s">
        <v>329</v>
      </c>
      <c r="C45" s="247"/>
      <c r="D45" s="137">
        <v>4</v>
      </c>
      <c r="E45" s="84">
        <f>D45*SumTeamSize</f>
        <v>16</v>
      </c>
      <c r="F45" s="98" t="s">
        <v>330</v>
      </c>
    </row>
    <row r="46" spans="2:8" hidden="1" outlineLevel="1" x14ac:dyDescent="0.25">
      <c r="B46" s="233" t="s">
        <v>331</v>
      </c>
      <c r="C46" s="234"/>
      <c r="D46" s="235"/>
      <c r="E46" s="137">
        <v>1</v>
      </c>
    </row>
    <row r="47" spans="2:8" hidden="1" outlineLevel="1" x14ac:dyDescent="0.25">
      <c r="B47" s="228" t="s">
        <v>332</v>
      </c>
      <c r="C47" s="228"/>
      <c r="D47" s="228"/>
      <c r="E47" s="140">
        <v>4</v>
      </c>
    </row>
    <row r="48" spans="2:8" hidden="1" outlineLevel="1" x14ac:dyDescent="0.25">
      <c r="B48" s="270" t="s">
        <v>333</v>
      </c>
      <c r="C48" s="271"/>
      <c r="D48" s="272"/>
      <c r="E48" s="149">
        <v>8</v>
      </c>
    </row>
    <row r="49" spans="2:8" hidden="1" outlineLevel="1" x14ac:dyDescent="0.25">
      <c r="B49" s="252"/>
      <c r="C49" s="253"/>
      <c r="D49" s="254"/>
      <c r="E49" s="67"/>
    </row>
    <row r="50" spans="2:8" hidden="1" outlineLevel="1" x14ac:dyDescent="0.25">
      <c r="B50" s="123" t="s">
        <v>270</v>
      </c>
      <c r="C50" s="74"/>
      <c r="D50" s="74"/>
      <c r="E50" s="122">
        <f>SUBTOTAL(9,E51:E54)</f>
        <v>3</v>
      </c>
      <c r="F50" s="69"/>
    </row>
    <row r="51" spans="2:8" hidden="1" outlineLevel="1" x14ac:dyDescent="0.25">
      <c r="B51" s="264" t="s">
        <v>334</v>
      </c>
      <c r="C51" s="265"/>
      <c r="D51" s="266"/>
      <c r="E51" s="121">
        <v>1</v>
      </c>
    </row>
    <row r="52" spans="2:8" hidden="1" outlineLevel="1" x14ac:dyDescent="0.25">
      <c r="B52" s="267" t="s">
        <v>335</v>
      </c>
      <c r="C52" s="268"/>
      <c r="D52" s="269"/>
      <c r="E52" s="47">
        <v>1</v>
      </c>
    </row>
    <row r="53" spans="2:8" hidden="1" outlineLevel="1" x14ac:dyDescent="0.25">
      <c r="B53" s="264" t="s">
        <v>336</v>
      </c>
      <c r="C53" s="265"/>
      <c r="D53" s="266"/>
      <c r="E53" s="47">
        <v>1</v>
      </c>
    </row>
    <row r="54" spans="2:8" hidden="1" outlineLevel="1" x14ac:dyDescent="0.25">
      <c r="B54" s="252"/>
      <c r="C54" s="253"/>
      <c r="D54" s="254"/>
      <c r="E54" s="67"/>
    </row>
    <row r="55" spans="2:8" hidden="1" outlineLevel="1" x14ac:dyDescent="0.25">
      <c r="B55" s="123" t="s">
        <v>272</v>
      </c>
      <c r="C55" s="74"/>
      <c r="D55" s="74"/>
      <c r="E55" s="122">
        <f>SUBTOTAL(9,E56:E59)</f>
        <v>20</v>
      </c>
      <c r="F55" s="69"/>
      <c r="H55" s="75"/>
    </row>
    <row r="56" spans="2:8" hidden="1" outlineLevel="1" x14ac:dyDescent="0.25">
      <c r="B56" s="233" t="s">
        <v>337</v>
      </c>
      <c r="C56" s="234"/>
      <c r="D56" s="235"/>
      <c r="E56" s="140">
        <v>8</v>
      </c>
    </row>
    <row r="57" spans="2:8" hidden="1" outlineLevel="1" x14ac:dyDescent="0.25">
      <c r="B57" s="267" t="s">
        <v>338</v>
      </c>
      <c r="C57" s="268"/>
      <c r="D57" s="269"/>
      <c r="E57" s="137">
        <v>8</v>
      </c>
    </row>
    <row r="58" spans="2:8" hidden="1" outlineLevel="1" x14ac:dyDescent="0.25">
      <c r="B58" s="267" t="s">
        <v>339</v>
      </c>
      <c r="C58" s="268"/>
      <c r="D58" s="269"/>
      <c r="E58" s="149">
        <v>4</v>
      </c>
    </row>
    <row r="59" spans="2:8" hidden="1" outlineLevel="1" x14ac:dyDescent="0.25">
      <c r="B59" s="252"/>
      <c r="C59" s="253"/>
      <c r="D59" s="254"/>
      <c r="E59" s="67"/>
    </row>
    <row r="60" spans="2:8" hidden="1" outlineLevel="1" x14ac:dyDescent="0.25">
      <c r="B60" s="123" t="s">
        <v>275</v>
      </c>
      <c r="C60" s="74"/>
      <c r="D60" s="74"/>
      <c r="E60" s="122">
        <f>SUBTOTAL(9,E61:E90)</f>
        <v>31</v>
      </c>
      <c r="F60" s="69"/>
    </row>
    <row r="61" spans="2:8" hidden="1" outlineLevel="1" x14ac:dyDescent="0.25">
      <c r="B61" s="239" t="s">
        <v>276</v>
      </c>
      <c r="C61" s="240"/>
      <c r="D61" s="241"/>
      <c r="E61" s="121"/>
    </row>
    <row r="62" spans="2:8" hidden="1" outlineLevel="1" x14ac:dyDescent="0.25">
      <c r="B62" s="79" t="s">
        <v>340</v>
      </c>
      <c r="C62" s="81"/>
      <c r="D62" s="158"/>
      <c r="E62" s="121">
        <v>1</v>
      </c>
    </row>
    <row r="63" spans="2:8" hidden="1" outlineLevel="1" x14ac:dyDescent="0.25">
      <c r="B63" s="79" t="s">
        <v>341</v>
      </c>
      <c r="C63" s="81"/>
      <c r="D63" s="158"/>
      <c r="E63" s="121">
        <v>1</v>
      </c>
    </row>
    <row r="64" spans="2:8" hidden="1" outlineLevel="1" x14ac:dyDescent="0.25">
      <c r="B64" s="242" t="s">
        <v>342</v>
      </c>
      <c r="C64" s="243"/>
      <c r="D64" s="244"/>
      <c r="E64" s="47">
        <v>10</v>
      </c>
    </row>
    <row r="65" spans="2:8" hidden="1" outlineLevel="1" x14ac:dyDescent="0.25">
      <c r="B65" s="242" t="s">
        <v>343</v>
      </c>
      <c r="C65" s="243"/>
      <c r="D65" s="244"/>
      <c r="E65" s="47">
        <v>1</v>
      </c>
    </row>
    <row r="66" spans="2:8" hidden="1" outlineLevel="1" x14ac:dyDescent="0.25">
      <c r="B66" s="242" t="s">
        <v>344</v>
      </c>
      <c r="C66" s="243"/>
      <c r="D66" s="244"/>
      <c r="E66" s="47">
        <v>1</v>
      </c>
    </row>
    <row r="67" spans="2:8" hidden="1" outlineLevel="1" x14ac:dyDescent="0.25">
      <c r="B67" s="242" t="s">
        <v>345</v>
      </c>
      <c r="C67" s="243"/>
      <c r="D67" s="244"/>
      <c r="E67" s="47">
        <v>1</v>
      </c>
    </row>
    <row r="68" spans="2:8" hidden="1" outlineLevel="1" x14ac:dyDescent="0.25">
      <c r="B68" s="242" t="s">
        <v>346</v>
      </c>
      <c r="C68" s="243"/>
      <c r="D68" s="244"/>
      <c r="E68" s="47">
        <v>1</v>
      </c>
    </row>
    <row r="69" spans="2:8" hidden="1" outlineLevel="1" x14ac:dyDescent="0.25">
      <c r="B69" s="155"/>
      <c r="C69" s="156"/>
      <c r="D69" s="157"/>
      <c r="E69" s="47"/>
    </row>
    <row r="70" spans="2:8" hidden="1" outlineLevel="1" x14ac:dyDescent="0.25">
      <c r="B70" s="248"/>
      <c r="C70" s="249"/>
      <c r="D70" s="250"/>
      <c r="E70" s="47"/>
      <c r="H70" s="75"/>
    </row>
    <row r="71" spans="2:8" hidden="1" outlineLevel="1" x14ac:dyDescent="0.25">
      <c r="B71" s="236" t="s">
        <v>278</v>
      </c>
      <c r="C71" s="237"/>
      <c r="D71" s="238"/>
      <c r="E71" s="47">
        <v>1</v>
      </c>
    </row>
    <row r="72" spans="2:8" hidden="1" outlineLevel="1" x14ac:dyDescent="0.25">
      <c r="B72" s="79" t="s">
        <v>340</v>
      </c>
      <c r="C72" s="81"/>
      <c r="D72" s="158"/>
      <c r="E72" s="121">
        <v>1</v>
      </c>
    </row>
    <row r="73" spans="2:8" hidden="1" outlineLevel="1" x14ac:dyDescent="0.25">
      <c r="B73" s="79" t="s">
        <v>341</v>
      </c>
      <c r="C73" s="81"/>
      <c r="D73" s="158"/>
      <c r="E73" s="121">
        <v>1</v>
      </c>
    </row>
    <row r="74" spans="2:8" hidden="1" outlineLevel="1" x14ac:dyDescent="0.25">
      <c r="B74" s="242" t="s">
        <v>342</v>
      </c>
      <c r="C74" s="243"/>
      <c r="D74" s="244"/>
      <c r="E74" s="47">
        <v>1</v>
      </c>
    </row>
    <row r="75" spans="2:8" hidden="1" outlineLevel="1" x14ac:dyDescent="0.25">
      <c r="B75" s="242" t="s">
        <v>343</v>
      </c>
      <c r="C75" s="243"/>
      <c r="D75" s="244"/>
      <c r="E75" s="47">
        <v>1</v>
      </c>
    </row>
    <row r="76" spans="2:8" hidden="1" outlineLevel="1" x14ac:dyDescent="0.25">
      <c r="B76" s="242" t="s">
        <v>344</v>
      </c>
      <c r="C76" s="243"/>
      <c r="D76" s="244"/>
      <c r="E76" s="47">
        <v>1</v>
      </c>
    </row>
    <row r="77" spans="2:8" hidden="1" outlineLevel="1" x14ac:dyDescent="0.25">
      <c r="B77" s="242" t="s">
        <v>345</v>
      </c>
      <c r="C77" s="243"/>
      <c r="D77" s="244"/>
      <c r="E77" s="47">
        <v>1</v>
      </c>
    </row>
    <row r="78" spans="2:8" hidden="1" outlineLevel="1" x14ac:dyDescent="0.25">
      <c r="B78" s="242" t="s">
        <v>346</v>
      </c>
      <c r="C78" s="243"/>
      <c r="D78" s="244"/>
      <c r="E78" s="47">
        <v>1</v>
      </c>
    </row>
    <row r="79" spans="2:8" hidden="1" outlineLevel="1" x14ac:dyDescent="0.25">
      <c r="B79" s="155"/>
      <c r="C79" s="156"/>
      <c r="D79" s="157"/>
      <c r="E79" s="47"/>
    </row>
    <row r="80" spans="2:8" hidden="1" outlineLevel="1" x14ac:dyDescent="0.25">
      <c r="B80" s="248"/>
      <c r="C80" s="249"/>
      <c r="D80" s="250"/>
      <c r="E80" s="47"/>
    </row>
    <row r="81" spans="2:6" hidden="1" outlineLevel="1" x14ac:dyDescent="0.25">
      <c r="B81" s="236" t="s">
        <v>347</v>
      </c>
      <c r="C81" s="237"/>
      <c r="D81" s="238"/>
      <c r="E81" s="47"/>
    </row>
    <row r="82" spans="2:6" hidden="1" outlineLevel="1" x14ac:dyDescent="0.25">
      <c r="B82" s="79" t="s">
        <v>340</v>
      </c>
      <c r="C82" s="81"/>
      <c r="D82" s="158"/>
      <c r="E82" s="121">
        <v>1</v>
      </c>
    </row>
    <row r="83" spans="2:6" hidden="1" outlineLevel="1" x14ac:dyDescent="0.25">
      <c r="B83" s="79" t="s">
        <v>341</v>
      </c>
      <c r="C83" s="81"/>
      <c r="D83" s="158"/>
      <c r="E83" s="121">
        <v>1</v>
      </c>
    </row>
    <row r="84" spans="2:6" hidden="1" outlineLevel="1" x14ac:dyDescent="0.25">
      <c r="B84" s="242" t="s">
        <v>342</v>
      </c>
      <c r="C84" s="243"/>
      <c r="D84" s="244"/>
      <c r="E84" s="47">
        <v>1</v>
      </c>
    </row>
    <row r="85" spans="2:6" hidden="1" outlineLevel="1" x14ac:dyDescent="0.25">
      <c r="B85" s="242" t="s">
        <v>343</v>
      </c>
      <c r="C85" s="243"/>
      <c r="D85" s="244"/>
      <c r="E85" s="47">
        <v>1</v>
      </c>
    </row>
    <row r="86" spans="2:6" hidden="1" outlineLevel="1" x14ac:dyDescent="0.25">
      <c r="B86" s="242" t="s">
        <v>344</v>
      </c>
      <c r="C86" s="243"/>
      <c r="D86" s="244"/>
      <c r="E86" s="47">
        <v>1</v>
      </c>
    </row>
    <row r="87" spans="2:6" hidden="1" outlineLevel="1" x14ac:dyDescent="0.25">
      <c r="B87" s="242" t="s">
        <v>345</v>
      </c>
      <c r="C87" s="243"/>
      <c r="D87" s="244"/>
      <c r="E87" s="47">
        <v>1</v>
      </c>
    </row>
    <row r="88" spans="2:6" hidden="1" outlineLevel="1" x14ac:dyDescent="0.25">
      <c r="B88" s="242" t="s">
        <v>346</v>
      </c>
      <c r="C88" s="243"/>
      <c r="D88" s="244"/>
      <c r="E88" s="47">
        <v>1</v>
      </c>
    </row>
    <row r="89" spans="2:6" hidden="1" outlineLevel="1" x14ac:dyDescent="0.25">
      <c r="B89" s="72"/>
      <c r="C89" s="82"/>
      <c r="D89" s="73"/>
      <c r="E89" s="67"/>
      <c r="F89" s="98"/>
    </row>
    <row r="90" spans="2:6" hidden="1" outlineLevel="1" x14ac:dyDescent="0.25">
      <c r="B90" s="72"/>
      <c r="C90" s="82"/>
      <c r="D90" s="73"/>
      <c r="E90" s="67"/>
      <c r="F90" s="98"/>
    </row>
    <row r="91" spans="2:6" hidden="1" outlineLevel="1" x14ac:dyDescent="0.25">
      <c r="B91" s="123" t="s">
        <v>279</v>
      </c>
      <c r="C91" s="74"/>
      <c r="D91" s="74"/>
      <c r="E91" s="122">
        <f>SUBTOTAL(9,E92:E96)</f>
        <v>35</v>
      </c>
      <c r="F91" s="98" t="str">
        <f>ROUND(SumQA/SumFunctionalDevelopment*100,0)&amp;"% Dev/QA ratio"</f>
        <v>113% Dev/QA ratio</v>
      </c>
    </row>
    <row r="92" spans="2:6" hidden="1" outlineLevel="1" x14ac:dyDescent="0.25">
      <c r="B92" s="154" t="s">
        <v>280</v>
      </c>
      <c r="C92" s="82"/>
      <c r="D92" s="73"/>
      <c r="E92" s="67">
        <v>5</v>
      </c>
      <c r="F92" s="98"/>
    </row>
    <row r="93" spans="2:6" hidden="1" outlineLevel="1" x14ac:dyDescent="0.25">
      <c r="B93" s="154" t="s">
        <v>281</v>
      </c>
      <c r="C93" s="82"/>
      <c r="D93" s="73"/>
      <c r="E93" s="67">
        <v>25</v>
      </c>
      <c r="F93" s="98"/>
    </row>
    <row r="94" spans="2:6" hidden="1" outlineLevel="1" x14ac:dyDescent="0.25">
      <c r="B94" s="154" t="s">
        <v>348</v>
      </c>
      <c r="C94" s="82"/>
      <c r="D94" s="73"/>
      <c r="E94" s="67">
        <v>5</v>
      </c>
      <c r="F94" s="98"/>
    </row>
    <row r="95" spans="2:6" hidden="1" outlineLevel="1" x14ac:dyDescent="0.25">
      <c r="B95" s="72"/>
      <c r="C95" s="82"/>
      <c r="D95" s="73"/>
      <c r="E95" s="67"/>
      <c r="F95" s="98"/>
    </row>
    <row r="96" spans="2:6" hidden="1" outlineLevel="1" x14ac:dyDescent="0.25">
      <c r="B96" s="72"/>
      <c r="C96" s="82"/>
      <c r="D96" s="73"/>
      <c r="E96" s="67"/>
      <c r="F96" s="98"/>
    </row>
    <row r="97" spans="2:6" hidden="1" outlineLevel="1" x14ac:dyDescent="0.25">
      <c r="B97" s="123" t="s">
        <v>282</v>
      </c>
      <c r="C97" s="74"/>
      <c r="D97" s="74"/>
      <c r="E97" s="122">
        <f>SUM(E100*E99,E106,E115)</f>
        <v>61</v>
      </c>
      <c r="F97" s="69"/>
    </row>
    <row r="98" spans="2:6" hidden="1" outlineLevel="1" x14ac:dyDescent="0.25">
      <c r="B98" s="87" t="s">
        <v>283</v>
      </c>
      <c r="C98" s="99"/>
      <c r="D98" s="99"/>
      <c r="E98" s="100">
        <f>CEILING(SUM(SumFunctionalDevelopment,SumQA,BuildContingency_UnanticipatedComplexity)/(E17*CountDev),0.2)</f>
        <v>2.2000000000000002</v>
      </c>
      <c r="F98" s="98"/>
    </row>
    <row r="99" spans="2:6" hidden="1" outlineLevel="1" x14ac:dyDescent="0.25">
      <c r="B99" s="87" t="s">
        <v>349</v>
      </c>
      <c r="C99" s="101" t="s">
        <v>350</v>
      </c>
      <c r="D99" s="26">
        <f>CEILING(E98,SprintDuration)/SprintDuration</f>
        <v>2</v>
      </c>
      <c r="E99" s="24">
        <f>BuildSprints</f>
        <v>2</v>
      </c>
      <c r="F99" s="98" t="s">
        <v>351</v>
      </c>
    </row>
    <row r="100" spans="2:6" hidden="1" outlineLevel="1" x14ac:dyDescent="0.25">
      <c r="B100" s="85" t="s">
        <v>352</v>
      </c>
      <c r="C100" s="74"/>
      <c r="D100" s="74"/>
      <c r="E100" s="122">
        <f>SUBTOTAL(9,E101:E105)</f>
        <v>14</v>
      </c>
      <c r="F100" s="69"/>
    </row>
    <row r="101" spans="2:6" hidden="1" outlineLevel="1" x14ac:dyDescent="0.25">
      <c r="B101" s="276" t="s">
        <v>353</v>
      </c>
      <c r="C101" s="277"/>
      <c r="D101" s="47">
        <v>0.25</v>
      </c>
      <c r="E101" s="84">
        <f>D101*SumTeamSize*SprintDuration*5</f>
        <v>10</v>
      </c>
      <c r="F101" s="69"/>
    </row>
    <row r="102" spans="2:6" hidden="1" outlineLevel="1" x14ac:dyDescent="0.25">
      <c r="B102" s="276" t="s">
        <v>354</v>
      </c>
      <c r="C102" s="277"/>
      <c r="D102" s="137">
        <v>0.5</v>
      </c>
      <c r="E102" s="84">
        <f>D102*SumTeamSize</f>
        <v>2</v>
      </c>
      <c r="F102" s="69"/>
    </row>
    <row r="103" spans="2:6" hidden="1" outlineLevel="1" x14ac:dyDescent="0.25">
      <c r="B103" s="275" t="s">
        <v>355</v>
      </c>
      <c r="C103" s="275"/>
      <c r="D103" s="137">
        <v>0.5</v>
      </c>
      <c r="E103" s="84">
        <f>D103*SumTeamSize</f>
        <v>2</v>
      </c>
      <c r="F103" s="69"/>
    </row>
    <row r="104" spans="2:6" hidden="1" outlineLevel="1" x14ac:dyDescent="0.25">
      <c r="B104" s="88"/>
      <c r="C104" s="89"/>
      <c r="E104" s="128"/>
      <c r="F104" s="69"/>
    </row>
    <row r="105" spans="2:6" hidden="1" outlineLevel="1" x14ac:dyDescent="0.25">
      <c r="B105" s="88"/>
      <c r="C105" s="89"/>
      <c r="D105" s="90"/>
      <c r="E105" s="128"/>
    </row>
    <row r="106" spans="2:6" hidden="1" outlineLevel="1" x14ac:dyDescent="0.25">
      <c r="B106" s="85" t="s">
        <v>356</v>
      </c>
      <c r="C106" s="74"/>
      <c r="D106" s="74"/>
      <c r="E106" s="122">
        <f>SUBTOTAL(9,E107:E114)</f>
        <v>30</v>
      </c>
      <c r="F106" s="98" t="s">
        <v>357</v>
      </c>
    </row>
    <row r="107" spans="2:6" hidden="1" outlineLevel="1" x14ac:dyDescent="0.25">
      <c r="B107" s="275" t="s">
        <v>358</v>
      </c>
      <c r="C107" s="275"/>
      <c r="D107" s="136">
        <v>0.1</v>
      </c>
      <c r="E107" s="86">
        <f>ROUND(D107*SumFunctionalDevelopment,0)</f>
        <v>3</v>
      </c>
      <c r="F107" s="98"/>
    </row>
    <row r="108" spans="2:6" hidden="1" outlineLevel="1" x14ac:dyDescent="0.25">
      <c r="B108" s="275" t="s">
        <v>359</v>
      </c>
      <c r="C108" s="275"/>
      <c r="D108" s="136">
        <v>0.1</v>
      </c>
      <c r="E108" s="86">
        <f>ROUND(D108*SumQA,0)</f>
        <v>4</v>
      </c>
      <c r="F108" s="98"/>
    </row>
    <row r="109" spans="2:6" hidden="1" outlineLevel="1" x14ac:dyDescent="0.25">
      <c r="B109" s="275" t="s">
        <v>285</v>
      </c>
      <c r="C109" s="275"/>
      <c r="D109" s="136">
        <v>0.15</v>
      </c>
      <c r="E109" s="86">
        <f>ROUND(D109*SUM(SumFunctionalDevelopment,SumQA),0)</f>
        <v>10</v>
      </c>
    </row>
    <row r="110" spans="2:6" hidden="1" outlineLevel="1" x14ac:dyDescent="0.25">
      <c r="B110" s="275" t="s">
        <v>360</v>
      </c>
      <c r="C110" s="275"/>
      <c r="D110" s="136">
        <v>0.05</v>
      </c>
      <c r="E110" s="86">
        <f>ROUND(D110*SUM(SumFunctionalDevelopment,SumQA),0)</f>
        <v>3</v>
      </c>
    </row>
    <row r="111" spans="2:6" hidden="1" outlineLevel="1" x14ac:dyDescent="0.25">
      <c r="B111" s="275" t="s">
        <v>361</v>
      </c>
      <c r="C111" s="275"/>
      <c r="D111" s="136">
        <v>0.1</v>
      </c>
      <c r="E111" s="86">
        <f>ROUND(D111*SUM(SumFunctionalDevelopment,SumQA),0)</f>
        <v>7</v>
      </c>
    </row>
    <row r="112" spans="2:6" hidden="1" outlineLevel="1" x14ac:dyDescent="0.25">
      <c r="B112" s="276" t="s">
        <v>362</v>
      </c>
      <c r="C112" s="277"/>
      <c r="D112" s="136">
        <v>0.1</v>
      </c>
      <c r="E112" s="86">
        <f>ROUND(D112*SumFunctionalDevelopment,0)</f>
        <v>3</v>
      </c>
    </row>
    <row r="113" spans="2:8" hidden="1" outlineLevel="1" x14ac:dyDescent="0.25">
      <c r="B113" s="88"/>
      <c r="C113" s="89"/>
      <c r="D113" s="138"/>
      <c r="E113" s="86"/>
    </row>
    <row r="114" spans="2:8" hidden="1" outlineLevel="1" x14ac:dyDescent="0.25">
      <c r="B114" s="88"/>
      <c r="C114" s="89"/>
      <c r="D114" s="90"/>
      <c r="E114" s="128"/>
    </row>
    <row r="115" spans="2:8" hidden="1" outlineLevel="1" x14ac:dyDescent="0.25">
      <c r="B115" s="85" t="s">
        <v>363</v>
      </c>
      <c r="C115" s="74"/>
      <c r="D115" s="74"/>
      <c r="E115" s="122">
        <f>SUBTOTAL(9,E116:E116)</f>
        <v>3</v>
      </c>
      <c r="F115" s="98" t="s">
        <v>364</v>
      </c>
    </row>
    <row r="116" spans="2:8" hidden="1" outlineLevel="1" x14ac:dyDescent="0.25">
      <c r="B116" s="275" t="s">
        <v>365</v>
      </c>
      <c r="C116" s="275"/>
      <c r="D116" s="136">
        <v>0.05</v>
      </c>
      <c r="E116" s="84">
        <f>ROUND(D116*SUM(SumFunctionalDevelopment,SumQA),0)</f>
        <v>3</v>
      </c>
    </row>
    <row r="117" spans="2:8" x14ac:dyDescent="0.25">
      <c r="F117"/>
    </row>
    <row r="118" spans="2:8" ht="18.75" x14ac:dyDescent="0.3">
      <c r="B118" s="120" t="s">
        <v>366</v>
      </c>
      <c r="C118" s="120"/>
      <c r="D118" s="120"/>
      <c r="E118" s="120" t="s">
        <v>259</v>
      </c>
      <c r="F118" s="120" t="s">
        <v>260</v>
      </c>
      <c r="G118" s="120" t="s">
        <v>321</v>
      </c>
      <c r="H118" s="120" t="s">
        <v>322</v>
      </c>
    </row>
    <row r="119" spans="2:8" x14ac:dyDescent="0.25">
      <c r="B119" s="232" t="s">
        <v>261</v>
      </c>
      <c r="C119" s="232"/>
      <c r="D119" s="232"/>
      <c r="E119" s="128">
        <f>CEILING(HLQ!H10/BlendedRate,0.5)</f>
        <v>86</v>
      </c>
      <c r="F119" s="130">
        <f>UserAcceptanceTestingHLQ*BlendedRate</f>
        <v>8600</v>
      </c>
    </row>
    <row r="120" spans="2:8" x14ac:dyDescent="0.25">
      <c r="B120" s="232" t="s">
        <v>323</v>
      </c>
      <c r="C120" s="232"/>
      <c r="D120" s="232"/>
      <c r="E120" s="129">
        <f>SUBTOTAL(9,E124:E142)</f>
        <v>93.5</v>
      </c>
      <c r="F120" s="130">
        <f>UserAcceptanceTestingEstimate*BlendedRate</f>
        <v>9350</v>
      </c>
      <c r="G120" s="130">
        <f>F120-F119</f>
        <v>750</v>
      </c>
      <c r="H120" s="80">
        <f>IFERROR(E120/E119,0)</f>
        <v>1.0872093023255813</v>
      </c>
    </row>
    <row r="121" spans="2:8" collapsed="1" x14ac:dyDescent="0.25">
      <c r="B121" s="153" t="s">
        <v>324</v>
      </c>
      <c r="C121" s="153"/>
      <c r="D121" s="153"/>
      <c r="E121" s="128"/>
      <c r="F121" s="130">
        <f>UserAcceptanceTestingActuals*BlendedRate</f>
        <v>0</v>
      </c>
      <c r="G121" s="130">
        <f>F121-F120</f>
        <v>-9350</v>
      </c>
      <c r="H121" s="80">
        <f>IFERROR(E121/E120,0)</f>
        <v>0</v>
      </c>
    </row>
    <row r="122" spans="2:8" hidden="1" outlineLevel="1" x14ac:dyDescent="0.25">
      <c r="F122"/>
    </row>
    <row r="123" spans="2:8" hidden="1" outlineLevel="1" x14ac:dyDescent="0.25">
      <c r="B123" s="232" t="s">
        <v>288</v>
      </c>
      <c r="C123" s="232"/>
      <c r="D123" s="232" t="s">
        <v>289</v>
      </c>
      <c r="E123" s="232"/>
    </row>
    <row r="124" spans="2:8" hidden="1" outlineLevel="1" x14ac:dyDescent="0.25">
      <c r="B124" s="123" t="s">
        <v>290</v>
      </c>
      <c r="C124" s="74"/>
      <c r="D124" s="74"/>
      <c r="E124" s="122">
        <f>SUBTOTAL(9,E125:E129)</f>
        <v>25.5</v>
      </c>
    </row>
    <row r="125" spans="2:8" hidden="1" outlineLevel="1" x14ac:dyDescent="0.25">
      <c r="B125" s="251" t="s">
        <v>292</v>
      </c>
      <c r="C125" s="251"/>
      <c r="D125" s="251"/>
      <c r="E125" s="145">
        <v>16</v>
      </c>
      <c r="F125" s="98" t="s">
        <v>367</v>
      </c>
    </row>
    <row r="126" spans="2:8" hidden="1" outlineLevel="1" x14ac:dyDescent="0.25">
      <c r="B126" s="274" t="s">
        <v>368</v>
      </c>
      <c r="C126" s="274"/>
      <c r="D126" s="274"/>
      <c r="E126" s="24">
        <v>4</v>
      </c>
    </row>
    <row r="127" spans="2:8" hidden="1" outlineLevel="1" x14ac:dyDescent="0.25">
      <c r="B127" s="228" t="s">
        <v>294</v>
      </c>
      <c r="C127" s="228"/>
      <c r="D127" s="228"/>
      <c r="E127" s="128">
        <v>4</v>
      </c>
    </row>
    <row r="128" spans="2:8" hidden="1" outlineLevel="1" x14ac:dyDescent="0.25">
      <c r="B128" s="274" t="s">
        <v>369</v>
      </c>
      <c r="C128" s="274"/>
      <c r="D128" s="274"/>
      <c r="E128" s="24">
        <v>1</v>
      </c>
    </row>
    <row r="129" spans="2:8" hidden="1" outlineLevel="1" x14ac:dyDescent="0.25">
      <c r="B129" s="274" t="s">
        <v>296</v>
      </c>
      <c r="C129" s="274"/>
      <c r="D129" s="274"/>
      <c r="E129" s="24">
        <v>0.5</v>
      </c>
    </row>
    <row r="130" spans="2:8" hidden="1" outlineLevel="1" x14ac:dyDescent="0.25">
      <c r="B130" s="123" t="s">
        <v>370</v>
      </c>
      <c r="C130" s="74"/>
      <c r="D130" s="74"/>
      <c r="E130" s="122">
        <f>SUBTOTAL(9,E132:E135)</f>
        <v>60</v>
      </c>
    </row>
    <row r="131" spans="2:8" hidden="1" outlineLevel="1" x14ac:dyDescent="0.25">
      <c r="B131" s="245" t="s">
        <v>291</v>
      </c>
      <c r="C131" s="247"/>
      <c r="D131" s="24">
        <v>2</v>
      </c>
      <c r="E131" s="26"/>
      <c r="H131" s="75"/>
    </row>
    <row r="132" spans="2:8" hidden="1" outlineLevel="1" x14ac:dyDescent="0.25">
      <c r="B132" s="228" t="s">
        <v>297</v>
      </c>
      <c r="C132" s="228"/>
      <c r="D132" s="228"/>
      <c r="E132" s="24">
        <v>40</v>
      </c>
      <c r="H132" s="75"/>
    </row>
    <row r="133" spans="2:8" hidden="1" outlineLevel="1" x14ac:dyDescent="0.25">
      <c r="B133" s="228" t="s">
        <v>298</v>
      </c>
      <c r="C133" s="228"/>
      <c r="D133" s="228"/>
      <c r="E133" s="24">
        <v>20</v>
      </c>
    </row>
    <row r="134" spans="2:8" hidden="1" outlineLevel="1" x14ac:dyDescent="0.25">
      <c r="B134" s="252"/>
      <c r="C134" s="253"/>
      <c r="D134" s="254"/>
      <c r="E134" s="128"/>
    </row>
    <row r="135" spans="2:8" hidden="1" outlineLevel="1" x14ac:dyDescent="0.25">
      <c r="B135" s="252"/>
      <c r="C135" s="253"/>
      <c r="D135" s="254"/>
      <c r="E135" s="128"/>
    </row>
    <row r="136" spans="2:8" hidden="1" outlineLevel="1" x14ac:dyDescent="0.25">
      <c r="B136" s="123" t="s">
        <v>299</v>
      </c>
      <c r="C136" s="74"/>
      <c r="D136" s="74"/>
      <c r="E136" s="122">
        <f>SUBTOTAL(9,E137:E142)</f>
        <v>8</v>
      </c>
    </row>
    <row r="137" spans="2:8" hidden="1" outlineLevel="1" x14ac:dyDescent="0.25">
      <c r="B137" s="251" t="s">
        <v>292</v>
      </c>
      <c r="C137" s="251"/>
      <c r="D137" s="251"/>
      <c r="E137" s="71">
        <v>1</v>
      </c>
      <c r="F137" s="98" t="s">
        <v>367</v>
      </c>
    </row>
    <row r="138" spans="2:8" hidden="1" outlineLevel="1" x14ac:dyDescent="0.25">
      <c r="B138" s="245" t="s">
        <v>293</v>
      </c>
      <c r="C138" s="246"/>
      <c r="D138" s="247"/>
      <c r="E138" s="128">
        <v>1</v>
      </c>
    </row>
    <row r="139" spans="2:8" hidden="1" outlineLevel="1" x14ac:dyDescent="0.25">
      <c r="B139" s="228" t="s">
        <v>371</v>
      </c>
      <c r="C139" s="228"/>
      <c r="D139" s="228"/>
      <c r="E139" s="24">
        <v>4</v>
      </c>
      <c r="H139" s="75"/>
    </row>
    <row r="140" spans="2:8" hidden="1" outlineLevel="1" x14ac:dyDescent="0.25">
      <c r="B140" s="228" t="s">
        <v>332</v>
      </c>
      <c r="C140" s="228"/>
      <c r="D140" s="228"/>
      <c r="E140" s="128">
        <v>1</v>
      </c>
    </row>
    <row r="141" spans="2:8" hidden="1" outlineLevel="1" x14ac:dyDescent="0.25">
      <c r="B141" s="274" t="s">
        <v>372</v>
      </c>
      <c r="C141" s="274"/>
      <c r="D141" s="274"/>
      <c r="E141" s="24">
        <v>1</v>
      </c>
    </row>
    <row r="142" spans="2:8" hidden="1" outlineLevel="1" x14ac:dyDescent="0.25">
      <c r="B142" s="228"/>
      <c r="C142" s="228"/>
      <c r="D142" s="228"/>
      <c r="E142" s="128"/>
    </row>
    <row r="143" spans="2:8" x14ac:dyDescent="0.25">
      <c r="F143"/>
    </row>
    <row r="144" spans="2:8" ht="18.75" x14ac:dyDescent="0.3">
      <c r="B144" s="120" t="s">
        <v>373</v>
      </c>
      <c r="C144" s="120"/>
      <c r="D144" s="120"/>
      <c r="E144" s="120" t="s">
        <v>259</v>
      </c>
      <c r="F144" s="120" t="s">
        <v>260</v>
      </c>
      <c r="G144" s="120" t="s">
        <v>321</v>
      </c>
      <c r="H144" s="120" t="s">
        <v>322</v>
      </c>
    </row>
    <row r="145" spans="2:10" x14ac:dyDescent="0.25">
      <c r="B145" s="232" t="s">
        <v>261</v>
      </c>
      <c r="C145" s="232"/>
      <c r="D145" s="232"/>
      <c r="E145" s="128">
        <f>CEILING(HLQ!H11/BlendedRate,0.5)</f>
        <v>0</v>
      </c>
      <c r="F145" s="130">
        <f>GoLiveSupportHLQ*BlendedRate</f>
        <v>0</v>
      </c>
    </row>
    <row r="146" spans="2:10" x14ac:dyDescent="0.25">
      <c r="B146" s="232" t="s">
        <v>323</v>
      </c>
      <c r="C146" s="232"/>
      <c r="D146" s="232"/>
      <c r="E146" s="129">
        <f>SUBTOTAL(9,E150:E155)</f>
        <v>24</v>
      </c>
      <c r="F146" s="130">
        <f>GoLiveSupportEstimate*BlendedRate</f>
        <v>2400</v>
      </c>
      <c r="G146" s="130">
        <f>F146-F145</f>
        <v>2400</v>
      </c>
      <c r="H146" s="80">
        <f>IFERROR(E146/E145,0)</f>
        <v>0</v>
      </c>
    </row>
    <row r="147" spans="2:10" collapsed="1" x14ac:dyDescent="0.25">
      <c r="B147" s="153" t="s">
        <v>324</v>
      </c>
      <c r="C147" s="153"/>
      <c r="D147" s="153"/>
      <c r="E147" s="128"/>
      <c r="F147" s="130">
        <f>GoLiveSupportActuals*BlendedRate</f>
        <v>0</v>
      </c>
      <c r="G147" s="130">
        <f>F147-F146</f>
        <v>-2400</v>
      </c>
      <c r="H147" s="80">
        <f>IFERROR(E147/E146,0)</f>
        <v>0</v>
      </c>
    </row>
    <row r="148" spans="2:10" hidden="1" outlineLevel="1" x14ac:dyDescent="0.25"/>
    <row r="149" spans="2:10" hidden="1" outlineLevel="1" x14ac:dyDescent="0.25">
      <c r="B149" s="232" t="s">
        <v>302</v>
      </c>
      <c r="C149" s="232"/>
      <c r="D149" s="232" t="s">
        <v>289</v>
      </c>
      <c r="E149" s="232"/>
    </row>
    <row r="150" spans="2:10" hidden="1" outlineLevel="1" x14ac:dyDescent="0.25">
      <c r="B150" s="245" t="s">
        <v>303</v>
      </c>
      <c r="C150" s="247"/>
      <c r="D150" s="24">
        <v>1</v>
      </c>
      <c r="E150" s="26"/>
      <c r="H150" s="75"/>
    </row>
    <row r="151" spans="2:10" hidden="1" outlineLevel="1" x14ac:dyDescent="0.25">
      <c r="B151" s="228" t="s">
        <v>297</v>
      </c>
      <c r="C151" s="228"/>
      <c r="D151" s="228"/>
      <c r="E151" s="24">
        <v>20</v>
      </c>
      <c r="J151" s="143"/>
    </row>
    <row r="152" spans="2:10" hidden="1" outlineLevel="1" x14ac:dyDescent="0.25">
      <c r="B152" s="228" t="s">
        <v>305</v>
      </c>
      <c r="C152" s="228"/>
      <c r="D152" s="228"/>
      <c r="E152" s="24">
        <v>4</v>
      </c>
      <c r="J152" s="143"/>
    </row>
    <row r="153" spans="2:10" hidden="1" outlineLevel="1" x14ac:dyDescent="0.25">
      <c r="B153" s="228"/>
      <c r="C153" s="228"/>
      <c r="D153" s="228"/>
      <c r="E153" s="24"/>
    </row>
    <row r="154" spans="2:10" hidden="1" outlineLevel="1" x14ac:dyDescent="0.25">
      <c r="B154" s="228"/>
      <c r="C154" s="228"/>
      <c r="D154" s="228"/>
      <c r="E154" s="24"/>
    </row>
    <row r="155" spans="2:10" hidden="1" outlineLevel="1" x14ac:dyDescent="0.25">
      <c r="B155" s="228"/>
      <c r="C155" s="228"/>
      <c r="D155" s="228"/>
      <c r="E155" s="24"/>
    </row>
    <row r="157" spans="2:10" ht="18.75" x14ac:dyDescent="0.3">
      <c r="B157" s="120" t="s">
        <v>306</v>
      </c>
      <c r="C157" s="120"/>
      <c r="D157" s="120"/>
      <c r="E157" s="120" t="s">
        <v>259</v>
      </c>
      <c r="F157" s="120" t="s">
        <v>260</v>
      </c>
      <c r="G157" s="120" t="s">
        <v>321</v>
      </c>
      <c r="H157" s="120" t="s">
        <v>322</v>
      </c>
    </row>
    <row r="158" spans="2:10" x14ac:dyDescent="0.25">
      <c r="B158" s="232" t="s">
        <v>261</v>
      </c>
      <c r="C158" s="232"/>
      <c r="D158" s="232"/>
      <c r="E158" s="129">
        <f>SUM(E25,E39,E119,E145)</f>
        <v>309</v>
      </c>
      <c r="F158" s="130">
        <f>SUM(F25,F39,F119,F145)</f>
        <v>30900</v>
      </c>
    </row>
    <row r="159" spans="2:10" x14ac:dyDescent="0.25">
      <c r="B159" s="232" t="s">
        <v>323</v>
      </c>
      <c r="C159" s="232"/>
      <c r="D159" s="232"/>
      <c r="E159" s="129">
        <f>SUM(E26,E40,E120,E146)</f>
        <v>376.5</v>
      </c>
      <c r="F159" s="130">
        <f>SUM(F26,F40,F120,F146)</f>
        <v>37650</v>
      </c>
      <c r="G159" s="130">
        <f>F159-F158</f>
        <v>6750</v>
      </c>
      <c r="H159" s="80">
        <f>IFERROR(E159/E158,0)</f>
        <v>1.2184466019417475</v>
      </c>
    </row>
    <row r="160" spans="2:10" x14ac:dyDescent="0.25">
      <c r="B160" s="153" t="s">
        <v>324</v>
      </c>
      <c r="C160" s="153"/>
      <c r="D160" s="153"/>
      <c r="E160" s="129">
        <f>SUM(E27,E41,E121,E147)</f>
        <v>0</v>
      </c>
      <c r="F160" s="130">
        <f>ProjectCostActuals*BlendedRate</f>
        <v>0</v>
      </c>
      <c r="G160" s="130">
        <f>F160-F159</f>
        <v>-37650</v>
      </c>
      <c r="H160" s="80">
        <f>IFERROR(E160/E159,0)</f>
        <v>0</v>
      </c>
    </row>
    <row r="161" spans="2:10" x14ac:dyDescent="0.25">
      <c r="D161" s="70"/>
      <c r="E161" s="70"/>
      <c r="F161" s="70"/>
      <c r="G161" s="70"/>
      <c r="H161" s="70"/>
    </row>
    <row r="162" spans="2:10" ht="18.75" x14ac:dyDescent="0.3">
      <c r="B162" s="120" t="s">
        <v>307</v>
      </c>
      <c r="C162" s="120"/>
      <c r="D162" s="120"/>
      <c r="E162" s="120"/>
      <c r="F162" s="120"/>
      <c r="G162" s="120"/>
      <c r="H162" s="120"/>
    </row>
    <row r="164" spans="2:10" ht="30" x14ac:dyDescent="0.25">
      <c r="B164" s="255" t="s">
        <v>76</v>
      </c>
      <c r="C164" s="256"/>
      <c r="D164" s="257"/>
      <c r="E164" s="78" t="s">
        <v>374</v>
      </c>
      <c r="F164" s="78" t="s">
        <v>375</v>
      </c>
      <c r="G164" s="78" t="s">
        <v>376</v>
      </c>
      <c r="H164" s="78" t="s">
        <v>377</v>
      </c>
    </row>
    <row r="165" spans="2:10" x14ac:dyDescent="0.25">
      <c r="B165" s="258" t="s">
        <v>81</v>
      </c>
      <c r="C165" s="259"/>
      <c r="D165" s="260"/>
      <c r="E165" s="102" t="s">
        <v>378</v>
      </c>
      <c r="F165" s="103" t="str">
        <f>E165</f>
        <v>-</v>
      </c>
      <c r="G165" s="131">
        <f>F26</f>
        <v>8000</v>
      </c>
      <c r="H165" s="132">
        <f>G165</f>
        <v>8000</v>
      </c>
    </row>
    <row r="166" spans="2:10" ht="15" customHeight="1" x14ac:dyDescent="0.25">
      <c r="B166" s="258" t="s">
        <v>82</v>
      </c>
      <c r="C166" s="259"/>
      <c r="D166" s="260"/>
      <c r="E166" s="76">
        <f>E99*SprintDuration</f>
        <v>4</v>
      </c>
      <c r="F166" s="77">
        <f>E166</f>
        <v>4</v>
      </c>
      <c r="G166" s="131">
        <f>F40</f>
        <v>17900</v>
      </c>
      <c r="H166" s="132">
        <f>G166</f>
        <v>17900</v>
      </c>
    </row>
    <row r="167" spans="2:10" x14ac:dyDescent="0.25">
      <c r="B167" s="258" t="s">
        <v>83</v>
      </c>
      <c r="C167" s="259"/>
      <c r="D167" s="260"/>
      <c r="E167" s="76">
        <f>D131</f>
        <v>2</v>
      </c>
      <c r="F167" s="77">
        <f>E167</f>
        <v>2</v>
      </c>
      <c r="G167" s="131">
        <f>F120</f>
        <v>9350</v>
      </c>
      <c r="H167" s="132">
        <f>G167</f>
        <v>9350</v>
      </c>
    </row>
    <row r="168" spans="2:10" x14ac:dyDescent="0.25">
      <c r="B168" s="258" t="s">
        <v>84</v>
      </c>
      <c r="C168" s="259"/>
      <c r="D168" s="260"/>
      <c r="E168" s="76">
        <f>D150</f>
        <v>1</v>
      </c>
      <c r="F168" s="77">
        <f>E168</f>
        <v>1</v>
      </c>
      <c r="G168" s="131">
        <f>F146</f>
        <v>2400</v>
      </c>
      <c r="H168" s="132">
        <f>G168</f>
        <v>2400</v>
      </c>
    </row>
    <row r="169" spans="2:10" x14ac:dyDescent="0.25">
      <c r="B169" s="261" t="s">
        <v>85</v>
      </c>
      <c r="C169" s="262"/>
      <c r="D169" s="263"/>
      <c r="E169" s="76">
        <f>SUM(E165:E168)</f>
        <v>7</v>
      </c>
      <c r="F169" s="76">
        <f>SUM(F165:F168)</f>
        <v>7</v>
      </c>
      <c r="G169" s="131">
        <f>SUM(G165:G168)</f>
        <v>37650</v>
      </c>
      <c r="H169" s="131">
        <f>SUM(H165:H168)</f>
        <v>37650</v>
      </c>
    </row>
    <row r="171" spans="2:10" x14ac:dyDescent="0.25">
      <c r="H171" s="24" t="s">
        <v>309</v>
      </c>
      <c r="I171" s="132">
        <f>MROUND($H$169*(1-RangeDriver/2),250)</f>
        <v>33000</v>
      </c>
      <c r="J171" s="98" t="str">
        <f>RangeDriver*100&amp;"% range driver"</f>
        <v>25% range driver</v>
      </c>
    </row>
    <row r="172" spans="2:10" x14ac:dyDescent="0.25">
      <c r="H172" s="24" t="s">
        <v>310</v>
      </c>
      <c r="I172" s="132">
        <f>MROUND($H$169*(1+RangeDriver/2),250)</f>
        <v>42250</v>
      </c>
    </row>
    <row r="173" spans="2:10" x14ac:dyDescent="0.25">
      <c r="H173" t="s">
        <v>311</v>
      </c>
      <c r="I173" s="166">
        <f>AVERAGE(I171:I172)</f>
        <v>37625</v>
      </c>
      <c r="J173" s="163"/>
    </row>
    <row r="174" spans="2:10" x14ac:dyDescent="0.25">
      <c r="H174" s="165" t="s">
        <v>379</v>
      </c>
      <c r="I174" s="166">
        <f>I173-H169</f>
        <v>-25</v>
      </c>
    </row>
    <row r="187" spans="6:6" x14ac:dyDescent="0.25">
      <c r="F187"/>
    </row>
  </sheetData>
  <mergeCells count="94">
    <mergeCell ref="B137:D137"/>
    <mergeCell ref="B109:C109"/>
    <mergeCell ref="B110:C110"/>
    <mergeCell ref="B116:C116"/>
    <mergeCell ref="B111:C111"/>
    <mergeCell ref="B119:D119"/>
    <mergeCell ref="B120:D120"/>
    <mergeCell ref="B123:E123"/>
    <mergeCell ref="B125:D125"/>
    <mergeCell ref="B127:D127"/>
    <mergeCell ref="B112:C112"/>
    <mergeCell ref="B71:D71"/>
    <mergeCell ref="B74:D74"/>
    <mergeCell ref="B75:D75"/>
    <mergeCell ref="B76:D76"/>
    <mergeCell ref="B77:D77"/>
    <mergeCell ref="B146:D146"/>
    <mergeCell ref="B149:E149"/>
    <mergeCell ref="B140:D140"/>
    <mergeCell ref="B141:D141"/>
    <mergeCell ref="B142:D142"/>
    <mergeCell ref="B108:C108"/>
    <mergeCell ref="B129:D129"/>
    <mergeCell ref="B135:D135"/>
    <mergeCell ref="B81:D81"/>
    <mergeCell ref="B101:C101"/>
    <mergeCell ref="B103:C103"/>
    <mergeCell ref="B102:C102"/>
    <mergeCell ref="B87:D87"/>
    <mergeCell ref="B84:D84"/>
    <mergeCell ref="B169:D169"/>
    <mergeCell ref="B164:D164"/>
    <mergeCell ref="B151:D151"/>
    <mergeCell ref="B153:D153"/>
    <mergeCell ref="B155:D155"/>
    <mergeCell ref="B158:D158"/>
    <mergeCell ref="B159:D159"/>
    <mergeCell ref="B152:D152"/>
    <mergeCell ref="B165:D165"/>
    <mergeCell ref="B166:D166"/>
    <mergeCell ref="B154:D154"/>
    <mergeCell ref="B167:D167"/>
    <mergeCell ref="B168:D168"/>
    <mergeCell ref="B68:D68"/>
    <mergeCell ref="B128:D128"/>
    <mergeCell ref="B145:D145"/>
    <mergeCell ref="B85:D85"/>
    <mergeCell ref="B86:D86"/>
    <mergeCell ref="B88:D88"/>
    <mergeCell ref="B78:D78"/>
    <mergeCell ref="B80:D80"/>
    <mergeCell ref="B139:D139"/>
    <mergeCell ref="B132:D132"/>
    <mergeCell ref="B133:D133"/>
    <mergeCell ref="B134:D134"/>
    <mergeCell ref="B138:D138"/>
    <mergeCell ref="B126:D126"/>
    <mergeCell ref="B131:C131"/>
    <mergeCell ref="B107:C107"/>
    <mergeCell ref="B10:E10"/>
    <mergeCell ref="B15:E15"/>
    <mergeCell ref="B17:D17"/>
    <mergeCell ref="B150:C150"/>
    <mergeCell ref="B53:D53"/>
    <mergeCell ref="B70:D70"/>
    <mergeCell ref="B54:D54"/>
    <mergeCell ref="B56:D56"/>
    <mergeCell ref="B57:D57"/>
    <mergeCell ref="B59:D59"/>
    <mergeCell ref="B61:D61"/>
    <mergeCell ref="B64:D64"/>
    <mergeCell ref="B65:D65"/>
    <mergeCell ref="B66:D66"/>
    <mergeCell ref="B67:D67"/>
    <mergeCell ref="B58:D58"/>
    <mergeCell ref="B25:D25"/>
    <mergeCell ref="B19:D19"/>
    <mergeCell ref="B21:D21"/>
    <mergeCell ref="B22:D22"/>
    <mergeCell ref="B20:D20"/>
    <mergeCell ref="B29:E29"/>
    <mergeCell ref="B31:D31"/>
    <mergeCell ref="B36:D36"/>
    <mergeCell ref="B35:D35"/>
    <mergeCell ref="B26:D26"/>
    <mergeCell ref="B45:C45"/>
    <mergeCell ref="B51:D51"/>
    <mergeCell ref="B52:D52"/>
    <mergeCell ref="B39:D39"/>
    <mergeCell ref="B40:D40"/>
    <mergeCell ref="B46:D46"/>
    <mergeCell ref="B48:D48"/>
    <mergeCell ref="B47:D47"/>
    <mergeCell ref="B49:D49"/>
  </mergeCells>
  <conditionalFormatting sqref="F25:F27">
    <cfRule type="expression" dxfId="37" priority="157">
      <formula>$E$11="USD"</formula>
    </cfRule>
    <cfRule type="expression" dxfId="36" priority="156">
      <formula>$E$11="GBP"</formula>
    </cfRule>
  </conditionalFormatting>
  <conditionalFormatting sqref="F39:F41">
    <cfRule type="expression" dxfId="35" priority="167">
      <formula>$E$11="USD"</formula>
    </cfRule>
    <cfRule type="expression" dxfId="34" priority="166">
      <formula>$E$11="GBP"</formula>
    </cfRule>
  </conditionalFormatting>
  <conditionalFormatting sqref="F119:F121">
    <cfRule type="expression" dxfId="33" priority="165">
      <formula>$E$11="USD"</formula>
    </cfRule>
    <cfRule type="expression" dxfId="32" priority="164">
      <formula>$E$11="GBP"</formula>
    </cfRule>
  </conditionalFormatting>
  <conditionalFormatting sqref="F145:F147">
    <cfRule type="expression" dxfId="31" priority="163">
      <formula>$E$11="USD"</formula>
    </cfRule>
    <cfRule type="expression" dxfId="30" priority="162">
      <formula>$E$11="GBP"</formula>
    </cfRule>
  </conditionalFormatting>
  <conditionalFormatting sqref="F158:F160">
    <cfRule type="expression" dxfId="29" priority="161">
      <formula>$E$11="USD"</formula>
    </cfRule>
    <cfRule type="expression" dxfId="28" priority="160">
      <formula>$E$11="GBP"</formula>
    </cfRule>
  </conditionalFormatting>
  <conditionalFormatting sqref="G26:G27">
    <cfRule type="expression" dxfId="27" priority="40">
      <formula>$E$11="USD"</formula>
    </cfRule>
    <cfRule type="expression" dxfId="26" priority="41">
      <formula>$E$11="GBP"</formula>
    </cfRule>
    <cfRule type="cellIs" dxfId="25" priority="42" operator="greaterThan">
      <formula>0</formula>
    </cfRule>
    <cfRule type="cellIs" dxfId="24" priority="43" operator="lessThan">
      <formula>0</formula>
    </cfRule>
  </conditionalFormatting>
  <conditionalFormatting sqref="G40">
    <cfRule type="cellIs" dxfId="23" priority="154" operator="lessThanOrEqual">
      <formula>0</formula>
    </cfRule>
  </conditionalFormatting>
  <conditionalFormatting sqref="G40:G41">
    <cfRule type="cellIs" dxfId="22" priority="17" operator="greaterThan">
      <formula>0</formula>
    </cfRule>
    <cfRule type="expression" dxfId="21" priority="16">
      <formula>$E$11="GBP"</formula>
    </cfRule>
    <cfRule type="expression" dxfId="20" priority="15">
      <formula>$E$11="USD"</formula>
    </cfRule>
  </conditionalFormatting>
  <conditionalFormatting sqref="G41">
    <cfRule type="cellIs" dxfId="19" priority="18" operator="lessThan">
      <formula>0</formula>
    </cfRule>
  </conditionalFormatting>
  <conditionalFormatting sqref="G120">
    <cfRule type="cellIs" dxfId="18" priority="150" operator="lessThanOrEqual">
      <formula>0</formula>
    </cfRule>
  </conditionalFormatting>
  <conditionalFormatting sqref="G120:G121">
    <cfRule type="cellIs" dxfId="17" priority="13" operator="greaterThan">
      <formula>0</formula>
    </cfRule>
    <cfRule type="expression" dxfId="16" priority="12">
      <formula>$E$11="GBP"</formula>
    </cfRule>
    <cfRule type="expression" dxfId="15" priority="11">
      <formula>$E$11="USD"</formula>
    </cfRule>
  </conditionalFormatting>
  <conditionalFormatting sqref="G121">
    <cfRule type="cellIs" dxfId="14" priority="14" operator="lessThan">
      <formula>0</formula>
    </cfRule>
  </conditionalFormatting>
  <conditionalFormatting sqref="G146">
    <cfRule type="cellIs" dxfId="13" priority="146" operator="lessThanOrEqual">
      <formula>0</formula>
    </cfRule>
  </conditionalFormatting>
  <conditionalFormatting sqref="G146:G147">
    <cfRule type="expression" dxfId="12" priority="7">
      <formula>$E$11="USD"</formula>
    </cfRule>
    <cfRule type="expression" dxfId="11" priority="8">
      <formula>$E$11="GBP"</formula>
    </cfRule>
    <cfRule type="cellIs" dxfId="10" priority="9" operator="greaterThan">
      <formula>0</formula>
    </cfRule>
  </conditionalFormatting>
  <conditionalFormatting sqref="G147">
    <cfRule type="cellIs" dxfId="9" priority="10" operator="lessThan">
      <formula>0</formula>
    </cfRule>
  </conditionalFormatting>
  <conditionalFormatting sqref="G159">
    <cfRule type="cellIs" dxfId="8" priority="142" operator="lessThanOrEqual">
      <formula>0</formula>
    </cfRule>
  </conditionalFormatting>
  <conditionalFormatting sqref="G159:G160">
    <cfRule type="expression" dxfId="7" priority="3">
      <formula>$E$11="USD"</formula>
    </cfRule>
    <cfRule type="expression" dxfId="6" priority="4">
      <formula>$E$11="GBP"</formula>
    </cfRule>
    <cfRule type="cellIs" dxfId="5" priority="5" operator="greaterThan">
      <formula>0</formula>
    </cfRule>
  </conditionalFormatting>
  <conditionalFormatting sqref="G160">
    <cfRule type="cellIs" dxfId="4" priority="6" operator="lessThan">
      <formula>0</formula>
    </cfRule>
  </conditionalFormatting>
  <conditionalFormatting sqref="G165:H169">
    <cfRule type="expression" dxfId="3" priority="158">
      <formula>$E$11="GBP"</formula>
    </cfRule>
    <cfRule type="expression" dxfId="2" priority="159">
      <formula>$E$11="USD"</formula>
    </cfRule>
  </conditionalFormatting>
  <conditionalFormatting sqref="I171:I174">
    <cfRule type="expression" dxfId="1" priority="2">
      <formula>$E$11="USD"</formula>
    </cfRule>
    <cfRule type="expression" dxfId="0" priority="1">
      <formula>$E$11="GBP"</formula>
    </cfRule>
  </conditionalFormatting>
  <dataValidations disablePrompts="1" count="1">
    <dataValidation type="list" allowBlank="1" showInputMessage="1" showErrorMessage="1" sqref="E11" xr:uid="{52316104-42F7-48D2-8F6F-53DEBD10601D}">
      <formula1>"USD, GBP"</formula1>
    </dataValidation>
  </dataValidations>
  <pageMargins left="0.7" right="0.7" top="0.75" bottom="0.75" header="0.3" footer="0.3"/>
  <pageSetup paperSize="9" orientation="portrait" r:id="rId1"/>
  <ignoredErrors>
    <ignoredError sqref="G167:G168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4572-2944-4CC4-93EB-4DCB9901C732}">
  <dimension ref="A2:R47"/>
  <sheetViews>
    <sheetView workbookViewId="0">
      <selection activeCell="J32" sqref="J32"/>
    </sheetView>
  </sheetViews>
  <sheetFormatPr defaultRowHeight="15" x14ac:dyDescent="0.25"/>
  <cols>
    <col min="1" max="1" width="21.5703125" bestFit="1" customWidth="1"/>
    <col min="2" max="2" width="90" bestFit="1" customWidth="1"/>
    <col min="3" max="3" width="10.42578125" bestFit="1" customWidth="1"/>
    <col min="4" max="4" width="17.28515625" bestFit="1" customWidth="1"/>
    <col min="5" max="5" width="15.28515625" bestFit="1" customWidth="1"/>
    <col min="6" max="6" width="21.140625" customWidth="1"/>
    <col min="7" max="7" width="6.5703125" customWidth="1"/>
    <col min="8" max="8" width="34.7109375" customWidth="1"/>
    <col min="9" max="9" width="12.5703125" bestFit="1" customWidth="1"/>
    <col min="10" max="10" width="15.7109375" customWidth="1"/>
    <col min="11" max="11" width="12.5703125" bestFit="1" customWidth="1"/>
    <col min="15" max="15" width="25.140625" bestFit="1" customWidth="1"/>
    <col min="16" max="16" width="10" bestFit="1" customWidth="1"/>
    <col min="17" max="17" width="12.5703125" bestFit="1" customWidth="1"/>
    <col min="18" max="18" width="12.7109375" bestFit="1" customWidth="1"/>
  </cols>
  <sheetData>
    <row r="2" spans="1:18" x14ac:dyDescent="0.25">
      <c r="A2" s="171" t="s">
        <v>76</v>
      </c>
      <c r="B2" s="171" t="s">
        <v>380</v>
      </c>
      <c r="C2" s="172"/>
      <c r="D2" s="171" t="s">
        <v>259</v>
      </c>
      <c r="E2" s="171" t="s">
        <v>381</v>
      </c>
      <c r="F2" s="171" t="s">
        <v>382</v>
      </c>
      <c r="H2" s="175" t="s">
        <v>383</v>
      </c>
      <c r="I2" s="25">
        <v>120</v>
      </c>
    </row>
    <row r="3" spans="1:18" x14ac:dyDescent="0.25">
      <c r="A3" s="29" t="s">
        <v>384</v>
      </c>
      <c r="B3" s="24"/>
      <c r="C3" s="24"/>
      <c r="D3" s="51">
        <f>SUM(C4:C6)</f>
        <v>40</v>
      </c>
      <c r="E3" s="24"/>
      <c r="F3" s="24" t="s">
        <v>385</v>
      </c>
      <c r="H3" s="175" t="s">
        <v>202</v>
      </c>
      <c r="I3" s="27">
        <v>0</v>
      </c>
    </row>
    <row r="4" spans="1:18" x14ac:dyDescent="0.25">
      <c r="A4" s="24"/>
      <c r="B4" s="168" t="s">
        <v>386</v>
      </c>
      <c r="C4" s="24">
        <v>40</v>
      </c>
      <c r="D4" s="24"/>
      <c r="E4" s="24"/>
      <c r="F4" s="24"/>
      <c r="H4" s="175" t="s">
        <v>319</v>
      </c>
      <c r="I4" s="27">
        <v>0.3</v>
      </c>
      <c r="K4" s="176"/>
    </row>
    <row r="5" spans="1:18" x14ac:dyDescent="0.25">
      <c r="A5" s="24"/>
      <c r="B5" s="168"/>
      <c r="C5" s="24"/>
      <c r="D5" s="24"/>
      <c r="E5" s="24"/>
      <c r="F5" s="24"/>
      <c r="H5" s="176"/>
      <c r="I5" s="176"/>
      <c r="K5" s="176"/>
    </row>
    <row r="6" spans="1:18" x14ac:dyDescent="0.25">
      <c r="A6" s="24"/>
      <c r="C6" s="24"/>
      <c r="D6" s="24"/>
      <c r="E6" s="24"/>
      <c r="F6" s="24"/>
      <c r="I6" s="174"/>
      <c r="K6" s="167"/>
      <c r="P6" s="34" t="s">
        <v>387</v>
      </c>
      <c r="Q6" s="34" t="s">
        <v>388</v>
      </c>
      <c r="R6" s="34" t="s">
        <v>389</v>
      </c>
    </row>
    <row r="7" spans="1:18" x14ac:dyDescent="0.25">
      <c r="A7" s="24"/>
      <c r="B7" s="24"/>
      <c r="C7" s="24"/>
      <c r="D7" s="24"/>
      <c r="E7" s="24"/>
      <c r="F7" s="24"/>
      <c r="I7" s="171" t="s">
        <v>390</v>
      </c>
      <c r="J7" s="171" t="s">
        <v>389</v>
      </c>
      <c r="O7" s="187" t="s">
        <v>391</v>
      </c>
      <c r="P7" s="24">
        <v>8</v>
      </c>
      <c r="Q7" s="183">
        <f>(P7/P$10)*$I$11</f>
        <v>10280</v>
      </c>
      <c r="R7" s="183">
        <f>(P7/P$10)*$J$11</f>
        <v>13666.666666666666</v>
      </c>
    </row>
    <row r="8" spans="1:18" x14ac:dyDescent="0.25">
      <c r="A8" s="29" t="s">
        <v>392</v>
      </c>
      <c r="B8" s="29" t="s">
        <v>393</v>
      </c>
      <c r="C8" s="24"/>
      <c r="D8" s="51">
        <f>SUM(C9:C11)</f>
        <v>180</v>
      </c>
      <c r="E8" s="24"/>
      <c r="F8" s="24" t="s">
        <v>393</v>
      </c>
      <c r="H8" s="24" t="s">
        <v>259</v>
      </c>
      <c r="I8" s="24">
        <f>D32*(I3+1)</f>
        <v>257</v>
      </c>
      <c r="J8" s="24">
        <f>I8*(I4+1)</f>
        <v>334.1</v>
      </c>
      <c r="O8" s="188" t="s">
        <v>394</v>
      </c>
      <c r="P8" s="24">
        <v>12</v>
      </c>
      <c r="Q8" s="183">
        <f>(P8/P$10)*$I$11</f>
        <v>15420</v>
      </c>
      <c r="R8" s="183">
        <f>(P8/P$10)*$J$11</f>
        <v>20500</v>
      </c>
    </row>
    <row r="9" spans="1:18" x14ac:dyDescent="0.25">
      <c r="A9" s="24"/>
      <c r="B9" t="s">
        <v>395</v>
      </c>
      <c r="C9" s="24">
        <f>40*3</f>
        <v>120</v>
      </c>
      <c r="D9" s="24"/>
      <c r="E9" s="24"/>
      <c r="F9" s="24"/>
      <c r="H9" s="24" t="s">
        <v>260</v>
      </c>
      <c r="I9" s="25">
        <f>I8*I2</f>
        <v>30840</v>
      </c>
      <c r="J9" s="25">
        <f>J8*I2</f>
        <v>40092</v>
      </c>
      <c r="K9" s="174"/>
      <c r="O9" s="186" t="s">
        <v>396</v>
      </c>
      <c r="P9" s="24">
        <v>4</v>
      </c>
      <c r="Q9" s="183">
        <f>(P9/P$10)*$I$11</f>
        <v>5140</v>
      </c>
      <c r="R9" s="183">
        <f>(P9/P$10)*$J$11</f>
        <v>6833.333333333333</v>
      </c>
    </row>
    <row r="10" spans="1:18" ht="15.75" thickBot="1" x14ac:dyDescent="0.3">
      <c r="A10" s="24"/>
      <c r="B10" s="168" t="s">
        <v>177</v>
      </c>
      <c r="C10" s="24">
        <f>40*0.25*3</f>
        <v>30</v>
      </c>
      <c r="D10" s="24"/>
      <c r="E10" s="24"/>
      <c r="F10" s="24"/>
      <c r="O10" s="24"/>
      <c r="P10" s="184">
        <f>SUM(P7:P9)</f>
        <v>24</v>
      </c>
      <c r="Q10" s="185">
        <f>SUM(Q7:Q9)</f>
        <v>30840</v>
      </c>
      <c r="R10" s="185">
        <f>SUM(R7:R9)</f>
        <v>41000</v>
      </c>
    </row>
    <row r="11" spans="1:18" ht="15.75" thickTop="1" x14ac:dyDescent="0.25">
      <c r="A11" s="24"/>
      <c r="B11" s="168" t="s">
        <v>183</v>
      </c>
      <c r="C11" s="24">
        <f>40*0.25*3</f>
        <v>30</v>
      </c>
      <c r="E11" s="24"/>
      <c r="F11" s="24"/>
      <c r="H11" s="143" t="s">
        <v>397</v>
      </c>
      <c r="I11" s="189">
        <v>30840</v>
      </c>
      <c r="J11" s="189">
        <v>41000</v>
      </c>
    </row>
    <row r="12" spans="1:18" x14ac:dyDescent="0.25">
      <c r="A12" s="24"/>
      <c r="B12" s="168" t="s">
        <v>398</v>
      </c>
      <c r="C12" s="24">
        <v>0</v>
      </c>
      <c r="D12" s="24"/>
      <c r="E12" s="24"/>
      <c r="F12" s="24"/>
      <c r="H12" s="143"/>
      <c r="I12" s="179"/>
      <c r="J12" s="179"/>
    </row>
    <row r="13" spans="1:18" x14ac:dyDescent="0.25">
      <c r="A13" s="24"/>
      <c r="B13" s="169" t="s">
        <v>399</v>
      </c>
      <c r="C13" s="24">
        <v>0</v>
      </c>
      <c r="D13" s="24"/>
      <c r="E13" s="24"/>
      <c r="F13" s="24"/>
    </row>
    <row r="14" spans="1:18" x14ac:dyDescent="0.25">
      <c r="A14" s="24"/>
      <c r="B14" s="24"/>
      <c r="C14" s="24"/>
      <c r="D14" s="24"/>
      <c r="E14" s="24"/>
      <c r="F14" s="24"/>
    </row>
    <row r="15" spans="1:18" x14ac:dyDescent="0.25">
      <c r="A15" s="190" t="s">
        <v>400</v>
      </c>
      <c r="C15" s="24"/>
      <c r="D15" s="51">
        <f>SUM(C16:C17)</f>
        <v>12</v>
      </c>
      <c r="E15" s="24"/>
      <c r="F15" s="24"/>
      <c r="H15" s="24" t="s">
        <v>401</v>
      </c>
      <c r="I15" s="25">
        <v>150000</v>
      </c>
    </row>
    <row r="16" spans="1:18" x14ac:dyDescent="0.25">
      <c r="A16" s="24"/>
      <c r="B16" s="170" t="s">
        <v>402</v>
      </c>
      <c r="C16" s="24">
        <v>0</v>
      </c>
      <c r="D16" s="24"/>
      <c r="E16" s="24"/>
      <c r="F16" s="24"/>
      <c r="H16" s="24" t="s">
        <v>403</v>
      </c>
      <c r="I16" s="25">
        <f xml:space="preserve"> 20900+4000</f>
        <v>24900</v>
      </c>
    </row>
    <row r="17" spans="1:11" x14ac:dyDescent="0.25">
      <c r="A17" s="24"/>
      <c r="B17" s="170" t="s">
        <v>286</v>
      </c>
      <c r="C17" s="24">
        <f>4*3</f>
        <v>12</v>
      </c>
      <c r="D17" s="24"/>
      <c r="E17" s="24"/>
      <c r="F17" s="24"/>
    </row>
    <row r="18" spans="1:11" x14ac:dyDescent="0.25">
      <c r="A18" s="24"/>
      <c r="B18" s="24"/>
      <c r="C18" s="24"/>
      <c r="D18" s="24"/>
      <c r="E18" s="24"/>
      <c r="F18" s="24"/>
    </row>
    <row r="19" spans="1:11" x14ac:dyDescent="0.25">
      <c r="A19" s="29" t="s">
        <v>404</v>
      </c>
      <c r="B19" s="24"/>
      <c r="C19" s="24"/>
      <c r="D19" s="24"/>
      <c r="E19" s="24"/>
      <c r="F19" s="24"/>
    </row>
    <row r="20" spans="1:11" x14ac:dyDescent="0.25">
      <c r="A20" s="24"/>
      <c r="B20" s="29" t="s">
        <v>83</v>
      </c>
      <c r="C20" s="24"/>
      <c r="D20" s="51">
        <f>SUM(C21:C24)</f>
        <v>20</v>
      </c>
      <c r="E20" s="24"/>
      <c r="F20" s="24"/>
    </row>
    <row r="21" spans="1:11" x14ac:dyDescent="0.25">
      <c r="A21" s="24"/>
      <c r="B21" s="170" t="s">
        <v>405</v>
      </c>
      <c r="C21" s="24"/>
      <c r="D21" s="24"/>
      <c r="E21" s="24"/>
      <c r="F21" s="24"/>
    </row>
    <row r="22" spans="1:11" x14ac:dyDescent="0.25">
      <c r="A22" s="24"/>
      <c r="B22" s="170" t="s">
        <v>406</v>
      </c>
      <c r="C22" s="24"/>
      <c r="D22" s="24"/>
      <c r="E22" s="24"/>
      <c r="F22" s="24"/>
    </row>
    <row r="23" spans="1:11" x14ac:dyDescent="0.25">
      <c r="A23" s="24"/>
      <c r="B23" s="170" t="s">
        <v>407</v>
      </c>
      <c r="C23" s="24"/>
      <c r="D23" s="24"/>
      <c r="E23" s="24"/>
      <c r="F23" s="24"/>
    </row>
    <row r="24" spans="1:11" x14ac:dyDescent="0.25">
      <c r="A24" s="24"/>
      <c r="B24" s="170" t="s">
        <v>408</v>
      </c>
      <c r="C24" s="24">
        <f>4*5</f>
        <v>20</v>
      </c>
      <c r="D24" s="24"/>
      <c r="E24" s="24"/>
      <c r="F24" s="24" t="s">
        <v>385</v>
      </c>
    </row>
    <row r="25" spans="1:11" x14ac:dyDescent="0.25">
      <c r="A25" s="24"/>
      <c r="B25" s="24"/>
      <c r="C25" s="24"/>
      <c r="D25" s="24"/>
      <c r="E25" s="24"/>
      <c r="F25" s="24"/>
    </row>
    <row r="26" spans="1:11" x14ac:dyDescent="0.25">
      <c r="A26" s="24"/>
      <c r="B26" s="190" t="s">
        <v>299</v>
      </c>
      <c r="C26" s="24"/>
      <c r="D26" s="51">
        <f>SUM(C27:C29)</f>
        <v>5</v>
      </c>
      <c r="E26" s="24"/>
      <c r="F26" s="24"/>
    </row>
    <row r="27" spans="1:11" x14ac:dyDescent="0.25">
      <c r="A27" s="24"/>
      <c r="B27" s="170" t="s">
        <v>186</v>
      </c>
      <c r="C27" s="24">
        <v>2</v>
      </c>
      <c r="D27" s="24"/>
      <c r="E27" s="24"/>
      <c r="F27" s="24"/>
      <c r="H27" s="278" t="s">
        <v>409</v>
      </c>
      <c r="I27" s="278"/>
      <c r="J27" s="278"/>
      <c r="K27" s="278"/>
    </row>
    <row r="28" spans="1:11" x14ac:dyDescent="0.25">
      <c r="A28" s="24"/>
      <c r="B28" s="170" t="s">
        <v>410</v>
      </c>
      <c r="C28" s="24">
        <v>1</v>
      </c>
      <c r="D28" s="24"/>
      <c r="E28" s="24"/>
      <c r="F28" s="24"/>
      <c r="H28" s="196" t="s">
        <v>76</v>
      </c>
      <c r="I28" s="196" t="s">
        <v>259</v>
      </c>
      <c r="J28" s="196" t="s">
        <v>388</v>
      </c>
      <c r="K28" s="196" t="s">
        <v>389</v>
      </c>
    </row>
    <row r="29" spans="1:11" x14ac:dyDescent="0.25">
      <c r="A29" s="24"/>
      <c r="B29" s="170" t="s">
        <v>411</v>
      </c>
      <c r="C29" s="24">
        <v>2</v>
      </c>
      <c r="D29" s="24"/>
      <c r="E29" s="24"/>
      <c r="F29" s="24" t="s">
        <v>412</v>
      </c>
      <c r="H29" s="24" t="s">
        <v>81</v>
      </c>
      <c r="I29" s="24" t="s">
        <v>413</v>
      </c>
      <c r="J29" s="25">
        <f>D3*I2</f>
        <v>4800</v>
      </c>
      <c r="K29" s="25">
        <f>J29*1.3</f>
        <v>6240</v>
      </c>
    </row>
    <row r="30" spans="1:11" x14ac:dyDescent="0.25">
      <c r="A30" s="24"/>
      <c r="B30" s="24"/>
      <c r="C30" s="24"/>
      <c r="D30" s="24"/>
      <c r="E30" s="24"/>
      <c r="F30" s="24"/>
      <c r="H30" s="24" t="s">
        <v>82</v>
      </c>
      <c r="I30" s="24" t="s">
        <v>414</v>
      </c>
      <c r="J30" s="25">
        <f>D8*I2</f>
        <v>21600</v>
      </c>
      <c r="K30" s="25">
        <f>J30*1.3</f>
        <v>28080</v>
      </c>
    </row>
    <row r="31" spans="1:11" x14ac:dyDescent="0.25">
      <c r="A31" s="24"/>
      <c r="B31" s="169" t="s">
        <v>415</v>
      </c>
      <c r="C31" s="24"/>
      <c r="D31" s="24">
        <v>0</v>
      </c>
      <c r="E31" s="24"/>
      <c r="F31" s="24"/>
      <c r="H31" s="192" t="s">
        <v>286</v>
      </c>
      <c r="I31" s="191" t="s">
        <v>416</v>
      </c>
      <c r="J31" s="193">
        <f>D15*I2</f>
        <v>1440</v>
      </c>
      <c r="K31" s="25">
        <f>J31*1.3</f>
        <v>1872</v>
      </c>
    </row>
    <row r="32" spans="1:11" x14ac:dyDescent="0.25">
      <c r="D32" s="173">
        <f>SUM(D3:D31)</f>
        <v>257</v>
      </c>
      <c r="H32" s="192" t="s">
        <v>83</v>
      </c>
      <c r="I32" s="24" t="s">
        <v>417</v>
      </c>
      <c r="J32" s="193">
        <f>D20*I2</f>
        <v>2400</v>
      </c>
      <c r="K32" s="25">
        <f>J32*1.3</f>
        <v>3120</v>
      </c>
    </row>
    <row r="33" spans="1:11" ht="15.75" thickTop="1" x14ac:dyDescent="0.25">
      <c r="H33" s="192" t="s">
        <v>299</v>
      </c>
      <c r="I33" s="191" t="s">
        <v>418</v>
      </c>
      <c r="J33" s="193">
        <f>D26*I2</f>
        <v>600</v>
      </c>
      <c r="K33" s="25">
        <f>J33*1.3</f>
        <v>780</v>
      </c>
    </row>
    <row r="34" spans="1:11" hidden="1" x14ac:dyDescent="0.25">
      <c r="A34" s="24"/>
      <c r="B34" s="24"/>
      <c r="C34" s="30"/>
      <c r="D34" s="24"/>
      <c r="E34" s="30"/>
      <c r="I34" s="194">
        <f>SUM(J29:J33)</f>
        <v>30840</v>
      </c>
      <c r="J34" s="185">
        <f>SUM(K25:K27)</f>
        <v>0</v>
      </c>
    </row>
    <row r="35" spans="1:11" hidden="1" x14ac:dyDescent="0.25">
      <c r="E35" s="178">
        <f>SUM(E34:E34)</f>
        <v>0</v>
      </c>
      <c r="H35" s="24"/>
      <c r="I35" s="184">
        <f>SUM(I26:I30)</f>
        <v>0</v>
      </c>
    </row>
    <row r="36" spans="1:11" hidden="1" x14ac:dyDescent="0.25"/>
    <row r="37" spans="1:11" hidden="1" x14ac:dyDescent="0.25">
      <c r="B37" s="180" t="s">
        <v>419</v>
      </c>
    </row>
    <row r="38" spans="1:11" hidden="1" x14ac:dyDescent="0.25">
      <c r="B38" s="182"/>
    </row>
    <row r="39" spans="1:11" hidden="1" x14ac:dyDescent="0.25">
      <c r="B39" s="182"/>
    </row>
    <row r="40" spans="1:11" ht="15.75" thickBot="1" x14ac:dyDescent="0.3">
      <c r="B40" s="180" t="s">
        <v>95</v>
      </c>
      <c r="H40" s="29" t="s">
        <v>85</v>
      </c>
      <c r="I40" s="29" t="s">
        <v>420</v>
      </c>
      <c r="J40" s="195">
        <f>SUM(J29:J33)</f>
        <v>30840</v>
      </c>
      <c r="K40" s="195">
        <f>SUM(K29:K33)</f>
        <v>40092</v>
      </c>
    </row>
    <row r="41" spans="1:11" ht="15.75" thickTop="1" x14ac:dyDescent="0.25">
      <c r="B41" s="181"/>
    </row>
    <row r="42" spans="1:11" x14ac:dyDescent="0.25">
      <c r="B42" s="181"/>
    </row>
    <row r="43" spans="1:11" x14ac:dyDescent="0.25">
      <c r="B43" s="181"/>
    </row>
    <row r="44" spans="1:11" x14ac:dyDescent="0.25">
      <c r="B44" s="181"/>
    </row>
    <row r="45" spans="1:11" x14ac:dyDescent="0.25">
      <c r="B45" s="177"/>
    </row>
    <row r="46" spans="1:11" x14ac:dyDescent="0.25">
      <c r="B46" s="177"/>
    </row>
    <row r="47" spans="1:11" x14ac:dyDescent="0.25">
      <c r="B47" s="177"/>
    </row>
  </sheetData>
  <mergeCells count="1">
    <mergeCell ref="H27:K27"/>
  </mergeCells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A24C-9F00-49BD-BFC1-A484A67877C9}">
  <dimension ref="P1:X36"/>
  <sheetViews>
    <sheetView tabSelected="1" topLeftCell="O11" workbookViewId="0">
      <selection activeCell="T26" sqref="T26"/>
    </sheetView>
  </sheetViews>
  <sheetFormatPr defaultRowHeight="15" x14ac:dyDescent="0.25"/>
  <cols>
    <col min="16" max="16" width="19.5703125" bestFit="1" customWidth="1"/>
    <col min="17" max="17" width="16.28515625" bestFit="1" customWidth="1"/>
    <col min="18" max="18" width="16.42578125" bestFit="1" customWidth="1"/>
    <col min="19" max="19" width="15.42578125" customWidth="1"/>
    <col min="20" max="20" width="15.85546875" bestFit="1" customWidth="1"/>
    <col min="21" max="21" width="42.7109375" bestFit="1" customWidth="1"/>
    <col min="22" max="22" width="11.7109375" bestFit="1" customWidth="1"/>
    <col min="23" max="23" width="13.140625" bestFit="1" customWidth="1"/>
    <col min="24" max="24" width="11.28515625" bestFit="1" customWidth="1"/>
  </cols>
  <sheetData>
    <row r="1" spans="16:24" x14ac:dyDescent="0.25">
      <c r="P1" t="s">
        <v>421</v>
      </c>
      <c r="Q1" t="s">
        <v>422</v>
      </c>
      <c r="R1" t="s">
        <v>423</v>
      </c>
      <c r="S1" t="s">
        <v>424</v>
      </c>
      <c r="T1" t="s">
        <v>425</v>
      </c>
      <c r="U1" t="s">
        <v>426</v>
      </c>
    </row>
    <row r="2" spans="16:24" x14ac:dyDescent="0.25">
      <c r="P2" t="s">
        <v>427</v>
      </c>
      <c r="Q2" t="s">
        <v>428</v>
      </c>
      <c r="R2" t="s">
        <v>429</v>
      </c>
      <c r="S2" t="s">
        <v>430</v>
      </c>
      <c r="T2">
        <v>99</v>
      </c>
      <c r="U2" t="s">
        <v>431</v>
      </c>
    </row>
    <row r="3" spans="16:24" x14ac:dyDescent="0.25">
      <c r="P3" t="s">
        <v>427</v>
      </c>
      <c r="Q3" t="s">
        <v>428</v>
      </c>
      <c r="R3" t="s">
        <v>429</v>
      </c>
      <c r="S3" t="s">
        <v>430</v>
      </c>
      <c r="T3">
        <v>36</v>
      </c>
      <c r="U3" t="s">
        <v>432</v>
      </c>
    </row>
    <row r="4" spans="16:24" x14ac:dyDescent="0.25">
      <c r="P4" t="s">
        <v>427</v>
      </c>
      <c r="Q4" t="s">
        <v>428</v>
      </c>
      <c r="R4" t="s">
        <v>429</v>
      </c>
      <c r="S4" t="s">
        <v>430</v>
      </c>
      <c r="T4">
        <v>71</v>
      </c>
      <c r="U4" t="s">
        <v>433</v>
      </c>
    </row>
    <row r="5" spans="16:24" x14ac:dyDescent="0.25">
      <c r="P5" t="s">
        <v>427</v>
      </c>
      <c r="Q5" t="s">
        <v>428</v>
      </c>
      <c r="R5" t="s">
        <v>429</v>
      </c>
      <c r="S5" t="s">
        <v>430</v>
      </c>
      <c r="T5">
        <v>53.25</v>
      </c>
      <c r="U5" t="s">
        <v>434</v>
      </c>
    </row>
    <row r="6" spans="16:24" x14ac:dyDescent="0.25">
      <c r="P6" t="s">
        <v>427</v>
      </c>
      <c r="Q6" t="s">
        <v>428</v>
      </c>
      <c r="R6" t="s">
        <v>429</v>
      </c>
      <c r="S6" t="s">
        <v>430</v>
      </c>
      <c r="T6">
        <v>89.5</v>
      </c>
      <c r="U6" t="s">
        <v>435</v>
      </c>
    </row>
    <row r="7" spans="16:24" x14ac:dyDescent="0.25">
      <c r="P7" t="s">
        <v>427</v>
      </c>
      <c r="Q7" t="s">
        <v>428</v>
      </c>
      <c r="R7" t="s">
        <v>429</v>
      </c>
      <c r="S7" t="s">
        <v>430</v>
      </c>
      <c r="T7">
        <v>11.75</v>
      </c>
      <c r="U7" t="s">
        <v>436</v>
      </c>
    </row>
    <row r="8" spans="16:24" x14ac:dyDescent="0.25">
      <c r="P8" t="s">
        <v>427</v>
      </c>
      <c r="Q8" t="s">
        <v>428</v>
      </c>
      <c r="R8" t="s">
        <v>429</v>
      </c>
      <c r="S8" t="s">
        <v>430</v>
      </c>
      <c r="T8">
        <v>3.75</v>
      </c>
      <c r="U8" t="s">
        <v>437</v>
      </c>
    </row>
    <row r="12" spans="16:24" x14ac:dyDescent="0.25">
      <c r="P12" s="197" t="s">
        <v>438</v>
      </c>
      <c r="Q12" s="197" t="s">
        <v>439</v>
      </c>
    </row>
    <row r="13" spans="16:24" x14ac:dyDescent="0.25">
      <c r="P13" s="197" t="s">
        <v>440</v>
      </c>
      <c r="Q13" t="s">
        <v>431</v>
      </c>
      <c r="R13" t="s">
        <v>432</v>
      </c>
      <c r="S13" t="s">
        <v>433</v>
      </c>
      <c r="T13" t="s">
        <v>434</v>
      </c>
      <c r="U13" t="s">
        <v>435</v>
      </c>
      <c r="V13" t="s">
        <v>436</v>
      </c>
      <c r="W13" t="s">
        <v>437</v>
      </c>
      <c r="X13" t="s">
        <v>192</v>
      </c>
    </row>
    <row r="14" spans="16:24" x14ac:dyDescent="0.25">
      <c r="P14" s="165" t="s">
        <v>430</v>
      </c>
      <c r="Q14">
        <v>99</v>
      </c>
      <c r="R14">
        <v>36</v>
      </c>
      <c r="S14">
        <v>71</v>
      </c>
      <c r="T14">
        <v>53.25</v>
      </c>
      <c r="U14">
        <v>89.5</v>
      </c>
      <c r="V14">
        <v>11.75</v>
      </c>
      <c r="W14">
        <v>3.75</v>
      </c>
      <c r="X14">
        <v>364.25</v>
      </c>
    </row>
    <row r="15" spans="16:24" x14ac:dyDescent="0.25">
      <c r="P15" s="165" t="s">
        <v>192</v>
      </c>
      <c r="Q15">
        <v>99</v>
      </c>
      <c r="R15">
        <v>36</v>
      </c>
      <c r="S15">
        <v>71</v>
      </c>
      <c r="T15">
        <v>53.25</v>
      </c>
      <c r="U15">
        <v>89.5</v>
      </c>
      <c r="V15">
        <v>11.75</v>
      </c>
      <c r="W15">
        <v>3.75</v>
      </c>
      <c r="X15">
        <v>364.25</v>
      </c>
    </row>
    <row r="18" spans="16:21" x14ac:dyDescent="0.25">
      <c r="P18" t="s">
        <v>441</v>
      </c>
      <c r="Q18">
        <f>GETPIVOTDATA("Sum of Hours",$P$12)-GETPIVOTDATA("Sum of Hours",$P$12,"Employee","Matthew Cornfield")</f>
        <v>293.25</v>
      </c>
    </row>
    <row r="23" spans="16:21" x14ac:dyDescent="0.25">
      <c r="P23" s="279" t="s">
        <v>409</v>
      </c>
      <c r="Q23" s="280"/>
      <c r="R23" s="280"/>
      <c r="S23" s="281"/>
      <c r="T23" s="199" t="s">
        <v>442</v>
      </c>
      <c r="U23" s="29" t="s">
        <v>382</v>
      </c>
    </row>
    <row r="24" spans="16:21" x14ac:dyDescent="0.25">
      <c r="P24" s="34" t="s">
        <v>76</v>
      </c>
      <c r="Q24" s="34" t="s">
        <v>259</v>
      </c>
      <c r="R24" s="204" t="s">
        <v>388</v>
      </c>
      <c r="S24" s="204" t="s">
        <v>389</v>
      </c>
      <c r="T24" s="199" t="s">
        <v>259</v>
      </c>
      <c r="U24" s="24" t="s">
        <v>443</v>
      </c>
    </row>
    <row r="25" spans="16:21" x14ac:dyDescent="0.25">
      <c r="P25" s="51" t="s">
        <v>81</v>
      </c>
      <c r="Q25" s="51" t="s">
        <v>413</v>
      </c>
      <c r="R25" s="205">
        <v>4800</v>
      </c>
      <c r="S25" s="205">
        <v>6240</v>
      </c>
      <c r="T25" s="200">
        <f>GETPIVOTDATA("Sum of Hours",$P$12,"Employee","Nikki Papenfus")</f>
        <v>53.25</v>
      </c>
      <c r="U25" s="24"/>
    </row>
    <row r="26" spans="16:21" x14ac:dyDescent="0.25">
      <c r="P26" s="51" t="s">
        <v>82</v>
      </c>
      <c r="Q26" s="51" t="s">
        <v>414</v>
      </c>
      <c r="R26" s="205">
        <v>21600</v>
      </c>
      <c r="S26" s="205">
        <v>28080</v>
      </c>
      <c r="T26" s="200">
        <f>GETPIVOTDATA("Sum of Hours",$P$12,"Employee","Anjali Salecha")+GETPIVOTDATA("Sum of Hours",$P$12,"Employee","Khonani Davhana")+GETPIVOTDATA("Sum of Hours",$P$12,"Employee","Sachin  Deshmukh")+GETPIVOTDATA("Sum of Hours",$P$12,"Employee","Sam Duncan")+12</f>
        <v>248.25</v>
      </c>
      <c r="U26" s="207" t="s">
        <v>444</v>
      </c>
    </row>
    <row r="27" spans="16:21" x14ac:dyDescent="0.25">
      <c r="P27" s="51" t="s">
        <v>286</v>
      </c>
      <c r="Q27" s="51" t="s">
        <v>416</v>
      </c>
      <c r="R27" s="205">
        <v>1440</v>
      </c>
      <c r="S27" s="205">
        <v>1872</v>
      </c>
      <c r="T27" s="200">
        <f>GETPIVOTDATA("Sum of Hours",$P$12,"Employee","Shaun Barrett")</f>
        <v>3.75</v>
      </c>
      <c r="U27" s="24"/>
    </row>
    <row r="28" spans="16:21" x14ac:dyDescent="0.25">
      <c r="P28" s="51" t="s">
        <v>83</v>
      </c>
      <c r="Q28" s="51" t="s">
        <v>417</v>
      </c>
      <c r="R28" s="205">
        <v>2400</v>
      </c>
      <c r="S28" s="205">
        <v>3120</v>
      </c>
      <c r="T28" s="200">
        <v>26</v>
      </c>
      <c r="U28" s="24" t="s">
        <v>323</v>
      </c>
    </row>
    <row r="29" spans="16:21" x14ac:dyDescent="0.25">
      <c r="P29" s="51" t="s">
        <v>299</v>
      </c>
      <c r="Q29" s="51" t="s">
        <v>418</v>
      </c>
      <c r="R29" s="205">
        <v>600</v>
      </c>
      <c r="S29" s="205">
        <v>780</v>
      </c>
      <c r="T29" s="200">
        <v>6</v>
      </c>
      <c r="U29" s="24" t="s">
        <v>323</v>
      </c>
    </row>
    <row r="30" spans="16:21" ht="15.75" thickBot="1" x14ac:dyDescent="0.3">
      <c r="P30" s="34" t="s">
        <v>85</v>
      </c>
      <c r="Q30" s="34" t="s">
        <v>420</v>
      </c>
      <c r="R30" s="206">
        <f>SUM(R25:R29)</f>
        <v>30840</v>
      </c>
      <c r="S30" s="206">
        <f>SUM(S25:S29)</f>
        <v>40092</v>
      </c>
      <c r="T30" s="200">
        <f>SUM(T25:T29)</f>
        <v>337.25</v>
      </c>
      <c r="U30" s="24"/>
    </row>
    <row r="31" spans="16:21" ht="15.75" thickTop="1" x14ac:dyDescent="0.25">
      <c r="S31" s="145" t="s">
        <v>445</v>
      </c>
      <c r="T31" s="198">
        <f>3*8*2</f>
        <v>48</v>
      </c>
      <c r="U31" s="24" t="s">
        <v>446</v>
      </c>
    </row>
    <row r="32" spans="16:21" x14ac:dyDescent="0.25">
      <c r="S32" s="201" t="s">
        <v>447</v>
      </c>
      <c r="T32" s="201">
        <f>T30+T31</f>
        <v>385.25</v>
      </c>
    </row>
    <row r="33" spans="17:20" x14ac:dyDescent="0.25">
      <c r="S33" s="202" t="s">
        <v>448</v>
      </c>
      <c r="T33" s="203">
        <f>T32*'ROM_Analysis Estimate'!I2</f>
        <v>46230</v>
      </c>
    </row>
    <row r="34" spans="17:20" x14ac:dyDescent="0.25">
      <c r="Q34">
        <f>4800/40</f>
        <v>120</v>
      </c>
    </row>
    <row r="35" spans="17:20" x14ac:dyDescent="0.25">
      <c r="Q35">
        <f>21600/180</f>
        <v>120</v>
      </c>
      <c r="S35" t="s">
        <v>449</v>
      </c>
      <c r="T35" s="35">
        <f>T33-S30</f>
        <v>6138</v>
      </c>
    </row>
    <row r="36" spans="17:20" x14ac:dyDescent="0.25">
      <c r="S36" t="s">
        <v>381</v>
      </c>
      <c r="T36" s="167">
        <f>T33/S30</f>
        <v>1.1530978748877581</v>
      </c>
    </row>
  </sheetData>
  <mergeCells count="1">
    <mergeCell ref="P23:S23"/>
  </mergeCells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8038-789A-46D3-B65F-7D0047F3F570}">
  <sheetPr>
    <tabColor rgb="FF0093B2"/>
  </sheetPr>
  <dimension ref="B2:D24"/>
  <sheetViews>
    <sheetView workbookViewId="0"/>
  </sheetViews>
  <sheetFormatPr defaultRowHeight="15" x14ac:dyDescent="0.25"/>
  <cols>
    <col min="1" max="1" width="3.5703125" customWidth="1"/>
    <col min="2" max="2" width="31" customWidth="1"/>
    <col min="3" max="3" width="35" customWidth="1"/>
    <col min="4" max="4" width="37" customWidth="1"/>
  </cols>
  <sheetData>
    <row r="2" spans="2:4" x14ac:dyDescent="0.25">
      <c r="B2" s="34" t="s">
        <v>76</v>
      </c>
      <c r="C2" s="34" t="s">
        <v>450</v>
      </c>
      <c r="D2" s="34" t="s">
        <v>380</v>
      </c>
    </row>
    <row r="3" spans="2:4" x14ac:dyDescent="0.25">
      <c r="B3" s="282" t="s">
        <v>430</v>
      </c>
      <c r="C3" s="282" t="s">
        <v>451</v>
      </c>
      <c r="D3" s="83" t="s">
        <v>452</v>
      </c>
    </row>
    <row r="4" spans="2:4" x14ac:dyDescent="0.25">
      <c r="B4" s="282"/>
      <c r="C4" s="282"/>
      <c r="D4" s="83" t="s">
        <v>453</v>
      </c>
    </row>
    <row r="5" spans="2:4" x14ac:dyDescent="0.25">
      <c r="B5" s="282"/>
      <c r="C5" s="282"/>
      <c r="D5" s="83" t="s">
        <v>454</v>
      </c>
    </row>
    <row r="6" spans="2:4" x14ac:dyDescent="0.25">
      <c r="B6" s="282"/>
      <c r="C6" s="282" t="s">
        <v>455</v>
      </c>
      <c r="D6" s="83" t="s">
        <v>456</v>
      </c>
    </row>
    <row r="7" spans="2:4" x14ac:dyDescent="0.25">
      <c r="B7" s="282"/>
      <c r="C7" s="282"/>
      <c r="D7" s="83" t="s">
        <v>270</v>
      </c>
    </row>
    <row r="8" spans="2:4" x14ac:dyDescent="0.25">
      <c r="B8" s="282"/>
      <c r="C8" s="282"/>
      <c r="D8" s="83" t="s">
        <v>272</v>
      </c>
    </row>
    <row r="9" spans="2:4" x14ac:dyDescent="0.25">
      <c r="B9" s="282"/>
      <c r="C9" s="282" t="s">
        <v>82</v>
      </c>
      <c r="D9" s="83" t="s">
        <v>457</v>
      </c>
    </row>
    <row r="10" spans="2:4" x14ac:dyDescent="0.25">
      <c r="B10" s="282"/>
      <c r="C10" s="282"/>
      <c r="D10" s="83" t="s">
        <v>186</v>
      </c>
    </row>
    <row r="11" spans="2:4" x14ac:dyDescent="0.25">
      <c r="B11" s="282"/>
      <c r="C11" s="282"/>
      <c r="D11" s="83" t="s">
        <v>458</v>
      </c>
    </row>
    <row r="12" spans="2:4" x14ac:dyDescent="0.25">
      <c r="B12" s="282"/>
      <c r="C12" s="282"/>
      <c r="D12" s="83" t="s">
        <v>459</v>
      </c>
    </row>
    <row r="13" spans="2:4" x14ac:dyDescent="0.25">
      <c r="B13" s="282"/>
      <c r="C13" s="282"/>
      <c r="D13" s="83" t="s">
        <v>263</v>
      </c>
    </row>
    <row r="14" spans="2:4" x14ac:dyDescent="0.25">
      <c r="B14" s="282"/>
      <c r="C14" s="282"/>
      <c r="D14" s="83" t="s">
        <v>460</v>
      </c>
    </row>
    <row r="15" spans="2:4" x14ac:dyDescent="0.25">
      <c r="B15" s="282"/>
      <c r="C15" s="282"/>
      <c r="D15" s="83" t="s">
        <v>461</v>
      </c>
    </row>
    <row r="16" spans="2:4" x14ac:dyDescent="0.25">
      <c r="B16" s="282"/>
      <c r="C16" s="282" t="s">
        <v>462</v>
      </c>
      <c r="D16" s="83" t="s">
        <v>463</v>
      </c>
    </row>
    <row r="17" spans="2:4" x14ac:dyDescent="0.25">
      <c r="B17" s="282"/>
      <c r="C17" s="282"/>
      <c r="D17" s="83" t="s">
        <v>304</v>
      </c>
    </row>
    <row r="18" spans="2:4" x14ac:dyDescent="0.25">
      <c r="B18" s="282" t="s">
        <v>464</v>
      </c>
      <c r="C18" s="282" t="s">
        <v>465</v>
      </c>
      <c r="D18" s="83" t="s">
        <v>466</v>
      </c>
    </row>
    <row r="19" spans="2:4" x14ac:dyDescent="0.25">
      <c r="B19" s="282"/>
      <c r="C19" s="282"/>
      <c r="D19" s="83" t="s">
        <v>467</v>
      </c>
    </row>
    <row r="20" spans="2:4" x14ac:dyDescent="0.25">
      <c r="B20" s="282"/>
      <c r="C20" s="282" t="s">
        <v>468</v>
      </c>
      <c r="D20" s="83" t="s">
        <v>469</v>
      </c>
    </row>
    <row r="21" spans="2:4" x14ac:dyDescent="0.25">
      <c r="B21" s="282"/>
      <c r="C21" s="282"/>
      <c r="D21" s="83" t="s">
        <v>470</v>
      </c>
    </row>
    <row r="22" spans="2:4" x14ac:dyDescent="0.25">
      <c r="B22" s="282"/>
      <c r="C22" s="282"/>
      <c r="D22" s="83" t="s">
        <v>471</v>
      </c>
    </row>
    <row r="23" spans="2:4" x14ac:dyDescent="0.25">
      <c r="B23" s="282"/>
      <c r="C23" s="282"/>
      <c r="D23" s="83" t="s">
        <v>472</v>
      </c>
    </row>
    <row r="24" spans="2:4" x14ac:dyDescent="0.25">
      <c r="B24" s="282"/>
      <c r="C24" s="282"/>
      <c r="D24" s="83" t="s">
        <v>473</v>
      </c>
    </row>
  </sheetData>
  <mergeCells count="8">
    <mergeCell ref="B18:B24"/>
    <mergeCell ref="C18:C19"/>
    <mergeCell ref="C20:C24"/>
    <mergeCell ref="C3:C5"/>
    <mergeCell ref="B3:B17"/>
    <mergeCell ref="C6:C8"/>
    <mergeCell ref="C9:C15"/>
    <mergeCell ref="C16:C1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5</Value>
      <Value>10</Value>
      <Value>17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Effort Estimate</TermName>
          <TermId xmlns="http://schemas.microsoft.com/office/infopath/2007/PartnerControls">40ca50c1-497e-4eef-8a70-c1b27f9c6f8d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WS Development</TermName>
          <TermId xmlns="http://schemas.microsoft.com/office/infopath/2007/PartnerControls">77821d6b-8d5b-43e3-be80-585fe7b3d172</TermId>
        </TermInfo>
      </Terms>
    </ica44df5449d49f98766f83f0bd254a7>
  </documentManagement>
</p:properti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3027E8-FF1B-4775-A14A-A3A9D3DD3AE7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ffbd5dc-7a64-4097-8396-87f6c90b212f"/>
  </ds:schemaRefs>
</ds:datastoreItem>
</file>

<file path=customXml/itemProps2.xml><?xml version="1.0" encoding="utf-8"?>
<ds:datastoreItem xmlns:ds="http://schemas.openxmlformats.org/officeDocument/2006/customXml" ds:itemID="{F84980D0-96DB-472A-953F-AF2B9236C9C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F965B71-C797-408A-8ACA-2B04A1BF4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6C0844D-2950-4889-AAAC-5AC33E0DA5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45</vt:i4>
      </vt:variant>
    </vt:vector>
  </HeadingPairs>
  <TitlesOfParts>
    <vt:vector size="55" baseType="lpstr">
      <vt:lpstr>Automation Questionnaire</vt:lpstr>
      <vt:lpstr>HLQ</vt:lpstr>
      <vt:lpstr>ROI</vt:lpstr>
      <vt:lpstr>2 Week Sprint</vt:lpstr>
      <vt:lpstr>Lookups</vt:lpstr>
      <vt:lpstr>Custom Automation HLQ</vt:lpstr>
      <vt:lpstr>Delivery Cost Estimate</vt:lpstr>
      <vt:lpstr>ROM_Analysis Estimate</vt:lpstr>
      <vt:lpstr>Actuals 18 March</vt:lpstr>
      <vt:lpstr>Project PTA Tasks</vt:lpstr>
      <vt:lpstr>AnalysisActuals</vt:lpstr>
      <vt:lpstr>'Custom Automation HLQ'!AnalysisEstimate</vt:lpstr>
      <vt:lpstr>AnalysisEstimate</vt:lpstr>
      <vt:lpstr>AnalysisHLQ</vt:lpstr>
      <vt:lpstr>'Custom Automation HLQ'!BlendedRate</vt:lpstr>
      <vt:lpstr>'Delivery Cost Estimate'!BlendedRate</vt:lpstr>
      <vt:lpstr>BlendedRateGBP</vt:lpstr>
      <vt:lpstr>BlendedRateUSD</vt:lpstr>
      <vt:lpstr>BuildActuals</vt:lpstr>
      <vt:lpstr>BuildContingency_UnanticipatedComplexity</vt:lpstr>
      <vt:lpstr>BuildDuration</vt:lpstr>
      <vt:lpstr>'Custom Automation HLQ'!BuildEstimate</vt:lpstr>
      <vt:lpstr>BuildEstimate</vt:lpstr>
      <vt:lpstr>BuildHLQ</vt:lpstr>
      <vt:lpstr>BuildSprints</vt:lpstr>
      <vt:lpstr>'Custom Automation HLQ'!CountBA</vt:lpstr>
      <vt:lpstr>CountBA</vt:lpstr>
      <vt:lpstr>'Custom Automation HLQ'!CountDev</vt:lpstr>
      <vt:lpstr>CountDev</vt:lpstr>
      <vt:lpstr>'Custom Automation HLQ'!CountPM</vt:lpstr>
      <vt:lpstr>CountPM</vt:lpstr>
      <vt:lpstr>'Custom Automation HLQ'!CountQA</vt:lpstr>
      <vt:lpstr>CountQA</vt:lpstr>
      <vt:lpstr>GoLiveSupportActuals</vt:lpstr>
      <vt:lpstr>'Custom Automation HLQ'!GoLiveSupportEstimate</vt:lpstr>
      <vt:lpstr>GoLiveSupportEstimate</vt:lpstr>
      <vt:lpstr>GoLiveSupportHLQ</vt:lpstr>
      <vt:lpstr>ProjectCostActuals</vt:lpstr>
      <vt:lpstr>'Custom Automation HLQ'!ProjectCostEstimate</vt:lpstr>
      <vt:lpstr>ProjectCostEstimate</vt:lpstr>
      <vt:lpstr>ProjectCostHLQ</vt:lpstr>
      <vt:lpstr>RangeDriver</vt:lpstr>
      <vt:lpstr>SprintDuration</vt:lpstr>
      <vt:lpstr>'Custom Automation HLQ'!SumBuildOverheads</vt:lpstr>
      <vt:lpstr>SumBuildOverheads</vt:lpstr>
      <vt:lpstr>'Custom Automation HLQ'!SumFunctionalDevelopment</vt:lpstr>
      <vt:lpstr>SumFunctionalDevelopment</vt:lpstr>
      <vt:lpstr>'Custom Automation HLQ'!SumQA</vt:lpstr>
      <vt:lpstr>SumQA</vt:lpstr>
      <vt:lpstr>'Custom Automation HLQ'!SumTeamSize</vt:lpstr>
      <vt:lpstr>SumTeamSize</vt:lpstr>
      <vt:lpstr>UserAcceptanceTestingActuals</vt:lpstr>
      <vt:lpstr>'Custom Automation HLQ'!UserAcceptanceTestingEstimate</vt:lpstr>
      <vt:lpstr>UserAcceptanceTestingEstimate</vt:lpstr>
      <vt:lpstr>UserAcceptanceTestingHLQ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RPA Scorecard Template</dc:title>
  <dc:subject/>
  <dc:creator>Michelle</dc:creator>
  <cp:keywords/>
  <dc:description/>
  <cp:lastModifiedBy>Shaun Barrett</cp:lastModifiedBy>
  <cp:revision/>
  <dcterms:created xsi:type="dcterms:W3CDTF">2018-02-26T14:22:39Z</dcterms:created>
  <dcterms:modified xsi:type="dcterms:W3CDTF">2025-05-20T14:20:23Z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17;#Effort Estimate|40ca50c1-497e-4eef-8a70-c1b27f9c6f8d</vt:lpwstr>
  </property>
  <property fmtid="{D5CDD505-2E9C-101B-9397-08002B2CF9AE}" pid="4" name="Client">
    <vt:lpwstr>10;#WS Development|77821d6b-8d5b-43e3-be80-585fe7b3d172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AuthorIds_UIVersion_19">
    <vt:lpwstr>146</vt:lpwstr>
  </property>
  <property fmtid="{D5CDD505-2E9C-101B-9397-08002B2CF9AE}" pid="8" name="AuthorIds_UIVersion_21">
    <vt:lpwstr>58</vt:lpwstr>
  </property>
  <property fmtid="{D5CDD505-2E9C-101B-9397-08002B2CF9AE}" pid="9" name="AuthorIds_UIVersion_27">
    <vt:lpwstr>58</vt:lpwstr>
  </property>
  <property fmtid="{D5CDD505-2E9C-101B-9397-08002B2CF9AE}" pid="10" name="AuthorIds_UIVersion_35">
    <vt:lpwstr>58</vt:lpwstr>
  </property>
  <property fmtid="{D5CDD505-2E9C-101B-9397-08002B2CF9AE}" pid="11" name="SharedWithUsers">
    <vt:lpwstr>29;#Shaun Barrett</vt:lpwstr>
  </property>
  <property fmtid="{D5CDD505-2E9C-101B-9397-08002B2CF9AE}" pid="12" name="Business Document Type">
    <vt:lpwstr>5;#Project Delivery Document|464596ad-2211-4003-92ff-a963197d93b9</vt:lpwstr>
  </property>
  <property fmtid="{D5CDD505-2E9C-101B-9397-08002B2CF9AE}" pid="13" name="MediaServiceImageTags">
    <vt:lpwstr/>
  </property>
  <property fmtid="{D5CDD505-2E9C-101B-9397-08002B2CF9AE}" pid="14" name="lcf76f155ced4ddcb4097134ff3c332f">
    <vt:lpwstr/>
  </property>
  <property fmtid="{D5CDD505-2E9C-101B-9397-08002B2CF9AE}" pid="15" name="Project_x0020_Document_x0020_Type">
    <vt:lpwstr>17;#Effort Estimate|40ca50c1-497e-4eef-8a70-c1b27f9c6f8d</vt:lpwstr>
  </property>
  <property fmtid="{D5CDD505-2E9C-101B-9397-08002B2CF9AE}" pid="16" name="Client_x0020_Project">
    <vt:lpwstr/>
  </property>
</Properties>
</file>