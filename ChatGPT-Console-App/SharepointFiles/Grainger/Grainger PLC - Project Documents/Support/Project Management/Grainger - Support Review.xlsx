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Project Management/"/>
    </mc:Choice>
  </mc:AlternateContent>
  <xr:revisionPtr revIDLastSave="568" documentId="8_{E9A5513D-6D18-438B-AD54-969E3A5D2959}" xr6:coauthVersionLast="47" xr6:coauthVersionMax="47" xr10:uidLastSave="{0B5E8C3A-A34D-49DB-8A1A-2B40DA9C43C7}"/>
  <bookViews>
    <workbookView xWindow="28680" yWindow="-120" windowWidth="29040" windowHeight="15720" activeTab="1" xr2:uid="{E4B13764-00C9-4361-8452-21698204FB16}"/>
  </bookViews>
  <sheets>
    <sheet name="Overview" sheetId="1" r:id="rId1"/>
    <sheet name="Pricing Options" sheetId="2" r:id="rId2"/>
    <sheet name="Sheet1" sheetId="4" r:id="rId3"/>
    <sheet name="State of Card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G9" i="2"/>
  <c r="L9" i="2" s="1"/>
  <c r="M9" i="2" s="1"/>
  <c r="K9" i="2"/>
  <c r="D3" i="2"/>
  <c r="I14" i="2" s="1"/>
  <c r="G7" i="2"/>
  <c r="H7" i="2"/>
  <c r="I7" i="2"/>
  <c r="J7" i="2"/>
  <c r="K7" i="2"/>
  <c r="G8" i="2"/>
  <c r="H8" i="2"/>
  <c r="I8" i="2"/>
  <c r="J8" i="2"/>
  <c r="K8" i="2"/>
  <c r="L8" i="2"/>
  <c r="G10" i="2"/>
  <c r="L10" i="2" s="1"/>
  <c r="M10" i="2" s="1"/>
  <c r="K10" i="2"/>
  <c r="G14" i="2"/>
  <c r="K14" i="2"/>
  <c r="P8" i="3"/>
  <c r="P7" i="3"/>
  <c r="P9" i="3"/>
  <c r="N8" i="3"/>
  <c r="N7" i="3"/>
  <c r="N9" i="3"/>
  <c r="P6" i="3"/>
  <c r="N6" i="3"/>
  <c r="P5" i="3"/>
  <c r="N5" i="3"/>
  <c r="P4" i="3"/>
  <c r="N4" i="3"/>
  <c r="J6" i="3"/>
  <c r="J5" i="3"/>
  <c r="J4" i="3"/>
  <c r="H5" i="3"/>
  <c r="H6" i="3"/>
  <c r="H4" i="3"/>
  <c r="D5" i="3"/>
  <c r="D6" i="3"/>
  <c r="D7" i="3"/>
  <c r="D8" i="3"/>
  <c r="D9" i="3"/>
  <c r="D10" i="3"/>
  <c r="D11" i="3"/>
  <c r="D4" i="3"/>
  <c r="E40" i="1"/>
  <c r="E41" i="1"/>
  <c r="E38" i="1"/>
  <c r="E39" i="1"/>
  <c r="E37" i="1"/>
  <c r="E42" i="1"/>
  <c r="D42" i="1"/>
  <c r="C42" i="1"/>
  <c r="M8" i="2" l="1"/>
  <c r="L7" i="2"/>
  <c r="M7" i="2" s="1"/>
  <c r="L14" i="2"/>
  <c r="M14" i="2" s="1"/>
</calcChain>
</file>

<file path=xl/sharedStrings.xml><?xml version="1.0" encoding="utf-8"?>
<sst xmlns="http://schemas.openxmlformats.org/spreadsheetml/2006/main" count="129" uniqueCount="74">
  <si>
    <t>Anjali Salecha</t>
  </si>
  <si>
    <t>Carami Le Grange</t>
  </si>
  <si>
    <t>Daniel Edwards</t>
  </si>
  <si>
    <t>Dillan Landsberg</t>
  </si>
  <si>
    <t>Jacob Smycz</t>
  </si>
  <si>
    <t>Khonani Davhana</t>
  </si>
  <si>
    <t>Matthew Cornfield</t>
  </si>
  <si>
    <t>Matthew Pitcairn</t>
  </si>
  <si>
    <t>Nikki Papenfus</t>
  </si>
  <si>
    <t>Sachin  Deshmukh</t>
  </si>
  <si>
    <t>Sam Duncan</t>
  </si>
  <si>
    <t>Sarah Jessiman</t>
  </si>
  <si>
    <t>Shaun Barrett</t>
  </si>
  <si>
    <t>Tafadzwa Toro</t>
  </si>
  <si>
    <t>Hours</t>
  </si>
  <si>
    <t>%</t>
  </si>
  <si>
    <t>Billable</t>
  </si>
  <si>
    <t>Non-Billable</t>
  </si>
  <si>
    <t>01 April to 22 Aug</t>
  </si>
  <si>
    <t>April</t>
  </si>
  <si>
    <t>May</t>
  </si>
  <si>
    <t>Jun</t>
  </si>
  <si>
    <t>Jul</t>
  </si>
  <si>
    <t>Aug</t>
  </si>
  <si>
    <t>Ave</t>
  </si>
  <si>
    <t>T&amp;M</t>
  </si>
  <si>
    <t>Model</t>
  </si>
  <si>
    <t>Rate</t>
  </si>
  <si>
    <t>Cost</t>
  </si>
  <si>
    <t>FTE</t>
  </si>
  <si>
    <t>Total</t>
  </si>
  <si>
    <t>% Increase</t>
  </si>
  <si>
    <t>TO DO</t>
  </si>
  <si>
    <t>BSS-58</t>
  </si>
  <si>
    <t>BSS-52</t>
  </si>
  <si>
    <t>BSS-53</t>
  </si>
  <si>
    <t>BSS-23</t>
  </si>
  <si>
    <t>BSS-29</t>
  </si>
  <si>
    <t>BSS-38</t>
  </si>
  <si>
    <t>BSS-54</t>
  </si>
  <si>
    <t>BSS-59</t>
  </si>
  <si>
    <t>#</t>
  </si>
  <si>
    <t>Date Created</t>
  </si>
  <si>
    <t>Days Open</t>
  </si>
  <si>
    <t>Awaiting Feedback</t>
  </si>
  <si>
    <t>State Change Date</t>
  </si>
  <si>
    <t>BSS-42</t>
  </si>
  <si>
    <t>BSS-44</t>
  </si>
  <si>
    <t>BSS-35</t>
  </si>
  <si>
    <t>Days in this state</t>
  </si>
  <si>
    <t>Client Confirmation</t>
  </si>
  <si>
    <t>Days in this State</t>
  </si>
  <si>
    <t>BSS-46</t>
  </si>
  <si>
    <t>BSS-36</t>
  </si>
  <si>
    <t>BSS-39</t>
  </si>
  <si>
    <t>BSS-47</t>
  </si>
  <si>
    <t>BSS-50</t>
  </si>
  <si>
    <t>BSS-51</t>
  </si>
  <si>
    <t>Notes</t>
  </si>
  <si>
    <t>3 Months</t>
  </si>
  <si>
    <t>6 Months</t>
  </si>
  <si>
    <t>12 Months</t>
  </si>
  <si>
    <t>0,5 FTE</t>
  </si>
  <si>
    <t>Hours Per Month</t>
  </si>
  <si>
    <t>Oct - Dec</t>
  </si>
  <si>
    <t>Jan - Mar</t>
  </si>
  <si>
    <t>9 Months</t>
  </si>
  <si>
    <t>Apr - Jun</t>
  </si>
  <si>
    <t>Jul - Sep</t>
  </si>
  <si>
    <t>Total After 12 Months</t>
  </si>
  <si>
    <t>0,5 FTE - 6 Months</t>
  </si>
  <si>
    <t>0,5 FTE - 12 Months</t>
  </si>
  <si>
    <t>Oct 24 - Sep 25</t>
  </si>
  <si>
    <t>Effective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</si>
</sst>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1" fillId="0" borderId="1" xfId="0" applyFont="1" applyBorder="1"/>
    <xf numFmtId="164" fontId="0" fillId="0" borderId="0" xfId="0" applyNumberFormat="1"/>
    <xf numFmtId="14" fontId="0" fillId="0" borderId="0" xfId="0" applyNumberFormat="1"/>
    <xf numFmtId="16" fontId="0" fillId="0" borderId="1" xfId="0" applyNumberFormat="1" applyBorder="1"/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4" borderId="1" xfId="0" applyFill="1" applyBorder="1"/>
    <xf numFmtId="164" fontId="0" fillId="4" borderId="1" xfId="0" applyNumberForma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 applyAlignment="1">
      <alignment horizontal="right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361950</xdr:colOff>
      <xdr:row>25</xdr:row>
      <xdr:rowOff>55075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9A8EA6-9838-A767-3EAF-822A1776E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01075" cy="4817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219074</xdr:colOff>
      <xdr:row>0</xdr:row>
      <xdr:rowOff>0</xdr:rowOff>
    </xdr:from>
    <xdr:to>
      <xdr:col>23</xdr:col>
      <xdr:colOff>567690</xdr:colOff>
      <xdr:row>30</xdr:row>
      <xdr:rowOff>44796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ECC41-12DC-474C-A695-FC2BDA8F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4" y="38100"/>
          <a:ext cx="5835016" cy="5759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1822-0CDF-4C44-892F-34A692761FF5}">
  <dimension ref="A29:AC42"/>
  <sheetViews>
    <sheetView topLeftCell="A25" workbookViewId="0">
      <selection activeCell="H44" sqref="H44"/>
    </sheetView>
  </sheetViews>
  <sheetFormatPr defaultRowHeight="15" x14ac:dyDescent="0.25"/>
  <cols>
    <col min="1" max="1" width="12.140625" bestFit="1" customWidth="1"/>
    <col min="2" max="2" width="11" bestFit="1" customWidth="1"/>
    <col min="3" max="3" width="12" bestFit="1" customWidth="1"/>
    <col min="4" max="4" width="12.7109375" customWidth="1"/>
    <col min="5" max="5" width="6.140625" customWidth="1"/>
    <col min="6" max="6" width="6.28515625" bestFit="1" customWidth="1"/>
    <col min="7" max="7" width="5.140625" customWidth="1"/>
    <col min="8" max="8" width="10.42578125" bestFit="1" customWidth="1"/>
    <col min="9" max="9" width="12" bestFit="1" customWidth="1"/>
    <col min="10" max="10" width="12.7109375" customWidth="1"/>
    <col min="11" max="11" width="5.140625" customWidth="1"/>
    <col min="12" max="12" width="12.7109375" customWidth="1"/>
    <col min="13" max="13" width="5.140625" customWidth="1"/>
    <col min="14" max="14" width="12.7109375" customWidth="1"/>
    <col min="15" max="15" width="5.140625" customWidth="1"/>
    <col min="16" max="16" width="12.7109375" customWidth="1"/>
    <col min="17" max="17" width="5.140625" customWidth="1"/>
    <col min="18" max="18" width="12.7109375" customWidth="1"/>
    <col min="19" max="19" width="5.140625" customWidth="1"/>
    <col min="20" max="22" width="12.7109375" customWidth="1"/>
    <col min="23" max="23" width="3.5703125" customWidth="1"/>
    <col min="24" max="26" width="12.7109375" customWidth="1"/>
    <col min="27" max="27" width="2.7109375" customWidth="1"/>
    <col min="28" max="28" width="12.7109375" customWidth="1"/>
    <col min="29" max="29" width="2.42578125" customWidth="1"/>
  </cols>
  <sheetData>
    <row r="29" spans="1:29" x14ac:dyDescent="0.25">
      <c r="B29" s="11" t="s">
        <v>18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x14ac:dyDescent="0.25">
      <c r="B30" s="9" t="s">
        <v>0</v>
      </c>
      <c r="C30" s="9" t="s">
        <v>0</v>
      </c>
      <c r="D30" s="10" t="s">
        <v>1</v>
      </c>
      <c r="E30" s="10" t="s">
        <v>1</v>
      </c>
      <c r="F30" s="9" t="s">
        <v>2</v>
      </c>
      <c r="G30" s="9" t="s">
        <v>2</v>
      </c>
      <c r="H30" s="10" t="s">
        <v>3</v>
      </c>
      <c r="I30" s="10" t="s">
        <v>3</v>
      </c>
      <c r="J30" s="9" t="s">
        <v>4</v>
      </c>
      <c r="K30" s="9" t="s">
        <v>4</v>
      </c>
      <c r="L30" s="10" t="s">
        <v>5</v>
      </c>
      <c r="M30" s="10" t="s">
        <v>5</v>
      </c>
      <c r="N30" s="9" t="s">
        <v>6</v>
      </c>
      <c r="O30" s="9" t="s">
        <v>6</v>
      </c>
      <c r="P30" s="10" t="s">
        <v>7</v>
      </c>
      <c r="Q30" s="10" t="s">
        <v>7</v>
      </c>
      <c r="R30" s="9" t="s">
        <v>8</v>
      </c>
      <c r="S30" s="9" t="s">
        <v>8</v>
      </c>
      <c r="T30" s="10" t="s">
        <v>9</v>
      </c>
      <c r="U30" s="10" t="s">
        <v>9</v>
      </c>
      <c r="V30" s="9" t="s">
        <v>10</v>
      </c>
      <c r="W30" s="9" t="s">
        <v>10</v>
      </c>
      <c r="X30" s="10" t="s">
        <v>11</v>
      </c>
      <c r="Y30" s="10" t="s">
        <v>11</v>
      </c>
      <c r="Z30" s="9" t="s">
        <v>12</v>
      </c>
      <c r="AA30" s="9" t="s">
        <v>12</v>
      </c>
      <c r="AB30" s="10" t="s">
        <v>13</v>
      </c>
      <c r="AC30" s="10" t="s">
        <v>13</v>
      </c>
    </row>
    <row r="31" spans="1:29" x14ac:dyDescent="0.25">
      <c r="B31" s="3" t="s">
        <v>14</v>
      </c>
      <c r="C31" s="3" t="s">
        <v>15</v>
      </c>
      <c r="D31" s="1" t="s">
        <v>14</v>
      </c>
      <c r="E31" s="1" t="s">
        <v>15</v>
      </c>
      <c r="F31" s="3" t="s">
        <v>14</v>
      </c>
      <c r="G31" s="3" t="s">
        <v>15</v>
      </c>
      <c r="H31" s="1" t="s">
        <v>14</v>
      </c>
      <c r="I31" s="1" t="s">
        <v>15</v>
      </c>
      <c r="J31" s="3" t="s">
        <v>14</v>
      </c>
      <c r="K31" s="3" t="s">
        <v>15</v>
      </c>
      <c r="L31" s="1" t="s">
        <v>14</v>
      </c>
      <c r="M31" s="1" t="s">
        <v>15</v>
      </c>
      <c r="N31" s="3" t="s">
        <v>14</v>
      </c>
      <c r="O31" s="3" t="s">
        <v>15</v>
      </c>
      <c r="P31" s="1" t="s">
        <v>14</v>
      </c>
      <c r="Q31" s="1" t="s">
        <v>15</v>
      </c>
      <c r="R31" s="3" t="s">
        <v>14</v>
      </c>
      <c r="S31" s="3" t="s">
        <v>15</v>
      </c>
      <c r="T31" s="1" t="s">
        <v>14</v>
      </c>
      <c r="U31" s="1" t="s">
        <v>15</v>
      </c>
      <c r="V31" s="3" t="s">
        <v>14</v>
      </c>
      <c r="W31" s="3" t="s">
        <v>15</v>
      </c>
      <c r="X31" s="1" t="s">
        <v>14</v>
      </c>
      <c r="Y31" s="1" t="s">
        <v>15</v>
      </c>
      <c r="Z31" s="3" t="s">
        <v>14</v>
      </c>
      <c r="AA31" s="3" t="s">
        <v>15</v>
      </c>
      <c r="AB31" s="1" t="s">
        <v>14</v>
      </c>
      <c r="AC31" s="1" t="s">
        <v>15</v>
      </c>
    </row>
    <row r="32" spans="1:29" x14ac:dyDescent="0.25">
      <c r="A32" s="1" t="s">
        <v>16</v>
      </c>
      <c r="B32" s="3">
        <v>95</v>
      </c>
      <c r="C32" s="3">
        <v>0.50725282639005576</v>
      </c>
      <c r="D32" s="1"/>
      <c r="E32" s="1"/>
      <c r="F32" s="3"/>
      <c r="G32" s="3"/>
      <c r="H32" s="1">
        <v>24</v>
      </c>
      <c r="I32" s="1">
        <v>0.4050632911392405</v>
      </c>
      <c r="J32" s="3"/>
      <c r="K32" s="3"/>
      <c r="L32" s="1">
        <v>8</v>
      </c>
      <c r="M32" s="1">
        <v>0.4</v>
      </c>
      <c r="N32" s="3"/>
      <c r="O32" s="3"/>
      <c r="P32" s="1"/>
      <c r="Q32" s="1"/>
      <c r="R32" s="3">
        <v>0.25</v>
      </c>
      <c r="S32" s="3">
        <v>1</v>
      </c>
      <c r="T32" s="1">
        <v>2.5</v>
      </c>
      <c r="U32" s="1">
        <v>1</v>
      </c>
      <c r="V32" s="3">
        <v>19.75</v>
      </c>
      <c r="W32" s="3">
        <v>1</v>
      </c>
      <c r="X32" s="1">
        <v>1.5</v>
      </c>
      <c r="Y32" s="1">
        <v>8.2191780821917804E-2</v>
      </c>
      <c r="Z32" s="3"/>
      <c r="AA32" s="3"/>
      <c r="AB32" s="1">
        <v>8</v>
      </c>
      <c r="AC32" s="1">
        <v>0.12749003984063745</v>
      </c>
    </row>
    <row r="33" spans="1:29" x14ac:dyDescent="0.25">
      <c r="A33" s="1" t="s">
        <v>17</v>
      </c>
      <c r="B33" s="3">
        <v>92.283332999999999</v>
      </c>
      <c r="C33" s="3">
        <v>0.49274717360994424</v>
      </c>
      <c r="D33" s="1">
        <v>31.5</v>
      </c>
      <c r="E33" s="1">
        <v>1</v>
      </c>
      <c r="F33" s="3">
        <v>30.5</v>
      </c>
      <c r="G33" s="3">
        <v>1</v>
      </c>
      <c r="H33" s="1">
        <v>35.25</v>
      </c>
      <c r="I33" s="1">
        <v>0.59493670886075944</v>
      </c>
      <c r="J33" s="3">
        <v>2.9166660000000002</v>
      </c>
      <c r="K33" s="3">
        <v>1</v>
      </c>
      <c r="L33" s="1">
        <v>12</v>
      </c>
      <c r="M33" s="1">
        <v>0.6</v>
      </c>
      <c r="N33" s="3">
        <v>0.25</v>
      </c>
      <c r="O33" s="3">
        <v>1</v>
      </c>
      <c r="P33" s="1">
        <v>3.75</v>
      </c>
      <c r="Q33" s="1">
        <v>1</v>
      </c>
      <c r="R33" s="3"/>
      <c r="S33" s="3"/>
      <c r="T33" s="1"/>
      <c r="U33" s="1"/>
      <c r="V33" s="3"/>
      <c r="W33" s="3"/>
      <c r="X33" s="1">
        <v>16.75</v>
      </c>
      <c r="Y33" s="1">
        <v>0.9178082191780822</v>
      </c>
      <c r="Z33" s="3">
        <v>41.75</v>
      </c>
      <c r="AA33" s="3">
        <v>1</v>
      </c>
      <c r="AB33" s="1">
        <v>54.75</v>
      </c>
      <c r="AC33" s="1">
        <v>0.87250996015936255</v>
      </c>
    </row>
    <row r="34" spans="1:29" x14ac:dyDescent="0.25">
      <c r="B34" s="4">
        <v>187.283333</v>
      </c>
      <c r="C34" s="4">
        <v>1</v>
      </c>
      <c r="D34" s="2">
        <v>31.5</v>
      </c>
      <c r="E34" s="2">
        <v>1</v>
      </c>
      <c r="F34" s="4">
        <v>30.5</v>
      </c>
      <c r="G34" s="4">
        <v>1</v>
      </c>
      <c r="H34" s="2">
        <v>59.25</v>
      </c>
      <c r="I34" s="2">
        <v>1</v>
      </c>
      <c r="J34" s="4">
        <v>2.9166660000000002</v>
      </c>
      <c r="K34" s="4">
        <v>1</v>
      </c>
      <c r="L34" s="2">
        <v>20</v>
      </c>
      <c r="M34" s="2">
        <v>1</v>
      </c>
      <c r="N34" s="4">
        <v>0.25</v>
      </c>
      <c r="O34" s="4">
        <v>1</v>
      </c>
      <c r="P34" s="2">
        <v>3.75</v>
      </c>
      <c r="Q34" s="2">
        <v>1</v>
      </c>
      <c r="R34" s="4">
        <v>0.25</v>
      </c>
      <c r="S34" s="4">
        <v>1</v>
      </c>
      <c r="T34" s="2">
        <v>2.5</v>
      </c>
      <c r="U34" s="2">
        <v>1</v>
      </c>
      <c r="V34" s="4">
        <v>19.75</v>
      </c>
      <c r="W34" s="4">
        <v>1</v>
      </c>
      <c r="X34" s="2">
        <v>18.25</v>
      </c>
      <c r="Y34" s="2">
        <v>1</v>
      </c>
      <c r="Z34" s="4">
        <v>41.75</v>
      </c>
      <c r="AA34" s="4">
        <v>1</v>
      </c>
      <c r="AB34" s="2">
        <v>62.75</v>
      </c>
      <c r="AC34" s="2">
        <v>1</v>
      </c>
    </row>
    <row r="36" spans="1:29" x14ac:dyDescent="0.25">
      <c r="C36" s="5" t="s">
        <v>16</v>
      </c>
      <c r="D36" s="5" t="s">
        <v>17</v>
      </c>
      <c r="E36" s="5" t="s">
        <v>30</v>
      </c>
    </row>
    <row r="37" spans="1:29" x14ac:dyDescent="0.25">
      <c r="B37" s="1" t="s">
        <v>19</v>
      </c>
      <c r="C37" s="1">
        <v>30</v>
      </c>
      <c r="D37" s="1">
        <v>31</v>
      </c>
      <c r="E37" s="1">
        <f>C37+D37</f>
        <v>61</v>
      </c>
    </row>
    <row r="38" spans="1:29" x14ac:dyDescent="0.25">
      <c r="B38" s="1" t="s">
        <v>20</v>
      </c>
      <c r="C38" s="1">
        <v>30</v>
      </c>
      <c r="D38" s="1">
        <v>78</v>
      </c>
      <c r="E38" s="1">
        <f t="shared" ref="E38:E39" si="0">C38+D38</f>
        <v>108</v>
      </c>
    </row>
    <row r="39" spans="1:29" x14ac:dyDescent="0.25">
      <c r="B39" s="1" t="s">
        <v>21</v>
      </c>
      <c r="C39" s="1">
        <v>30</v>
      </c>
      <c r="D39" s="1">
        <v>43</v>
      </c>
      <c r="E39" s="1">
        <f t="shared" si="0"/>
        <v>73</v>
      </c>
    </row>
    <row r="40" spans="1:29" x14ac:dyDescent="0.25">
      <c r="B40" s="1" t="s">
        <v>22</v>
      </c>
      <c r="C40" s="1">
        <v>35</v>
      </c>
      <c r="D40" s="1">
        <v>99</v>
      </c>
      <c r="E40" s="1">
        <f>C40+D40</f>
        <v>134</v>
      </c>
    </row>
    <row r="41" spans="1:29" x14ac:dyDescent="0.25">
      <c r="B41" s="1" t="s">
        <v>23</v>
      </c>
      <c r="C41" s="1">
        <v>34</v>
      </c>
      <c r="D41" s="1">
        <v>69</v>
      </c>
      <c r="E41" s="1">
        <f>C41+D41</f>
        <v>103</v>
      </c>
    </row>
    <row r="42" spans="1:29" x14ac:dyDescent="0.25">
      <c r="B42" s="5" t="s">
        <v>24</v>
      </c>
      <c r="C42" s="5">
        <f>AVERAGE(C37:C41)</f>
        <v>31.8</v>
      </c>
      <c r="D42" s="5">
        <f>AVERAGE(D37:D41)</f>
        <v>64</v>
      </c>
      <c r="E42" s="5">
        <f>C42+D42</f>
        <v>95.8</v>
      </c>
    </row>
  </sheetData>
  <mergeCells count="15">
    <mergeCell ref="Z30:AA30"/>
    <mergeCell ref="AB30:AC30"/>
    <mergeCell ref="B29:AC29"/>
    <mergeCell ref="N30:O30"/>
    <mergeCell ref="P30:Q30"/>
    <mergeCell ref="R30:S30"/>
    <mergeCell ref="T30:U30"/>
    <mergeCell ref="V30:W30"/>
    <mergeCell ref="X30:Y30"/>
    <mergeCell ref="B30:C30"/>
    <mergeCell ref="D30:E30"/>
    <mergeCell ref="F30:G30"/>
    <mergeCell ref="H30:I30"/>
    <mergeCell ref="J30:K30"/>
    <mergeCell ref="L30:M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D803-09ED-403A-B486-01D1C8828A92}">
  <dimension ref="B1:M10"/>
  <sheetViews>
    <sheetView tabSelected="1" workbookViewId="0">
      <selection activeCell="I12" sqref="I12"/>
    </sheetView>
  </sheetViews>
  <sheetFormatPr defaultRowHeight="15" x14ac:dyDescent="0.25"/>
  <cols>
    <col min="1" max="1" width="6.28515625" customWidth="1"/>
    <col min="2" max="2" width="13.5703125" customWidth="1"/>
    <col min="3" max="3" width="10.7109375" customWidth="1"/>
    <col min="4" max="4" width="13.85546875" customWidth="1"/>
    <col min="5" max="5" width="17.85546875" bestFit="1" customWidth="1"/>
    <col min="6" max="6" width="16.140625" bestFit="1" customWidth="1"/>
    <col min="7" max="7" width="12.42578125" bestFit="1" customWidth="1"/>
    <col min="8" max="9" width="10" bestFit="1" customWidth="1"/>
    <col min="10" max="10" width="10.140625" bestFit="1" customWidth="1"/>
    <col min="11" max="11" width="6.42578125" bestFit="1" customWidth="1"/>
    <col min="12" max="12" width="10" bestFit="1" customWidth="1"/>
    <col min="13" max="13" width="13.28515625" bestFit="1" customWidth="1"/>
  </cols>
  <sheetData>
    <row r="1" spans="2:13" x14ac:dyDescent="0.25">
      <c r="C1" s="1">
        <v>2024</v>
      </c>
      <c r="D1" s="1">
        <v>2025</v>
      </c>
    </row>
    <row r="2" spans="2:13" x14ac:dyDescent="0.25">
      <c r="B2" s="1" t="s">
        <v>25</v>
      </c>
      <c r="C2" s="13">
        <v>120</v>
      </c>
      <c r="D2" s="13">
        <v>126</v>
      </c>
    </row>
    <row r="3" spans="2:13" x14ac:dyDescent="0.25">
      <c r="B3" s="1" t="s">
        <v>62</v>
      </c>
      <c r="C3" s="13">
        <v>6300</v>
      </c>
      <c r="D3" s="13">
        <f>C3*1.05</f>
        <v>6615</v>
      </c>
    </row>
    <row r="4" spans="2:13" x14ac:dyDescent="0.25">
      <c r="C4" s="6"/>
      <c r="D4" s="6"/>
      <c r="E4" s="6"/>
    </row>
    <row r="5" spans="2:13" x14ac:dyDescent="0.25">
      <c r="F5" s="5" t="s">
        <v>63</v>
      </c>
      <c r="G5" s="5" t="s">
        <v>59</v>
      </c>
      <c r="H5" s="5" t="s">
        <v>60</v>
      </c>
      <c r="I5" s="5" t="s">
        <v>66</v>
      </c>
      <c r="J5" s="5" t="s">
        <v>61</v>
      </c>
      <c r="K5" s="19" t="s">
        <v>69</v>
      </c>
      <c r="L5" s="19"/>
      <c r="M5" s="19"/>
    </row>
    <row r="6" spans="2:13" x14ac:dyDescent="0.25">
      <c r="F6" s="21" t="s">
        <v>72</v>
      </c>
      <c r="G6" s="5" t="s">
        <v>64</v>
      </c>
      <c r="H6" s="5" t="s">
        <v>65</v>
      </c>
      <c r="I6" s="5" t="s">
        <v>67</v>
      </c>
      <c r="J6" s="5" t="s">
        <v>68</v>
      </c>
      <c r="K6" s="20" t="s">
        <v>14</v>
      </c>
      <c r="L6" s="20" t="s">
        <v>28</v>
      </c>
      <c r="M6" s="20" t="s">
        <v>73</v>
      </c>
    </row>
    <row r="7" spans="2:13" x14ac:dyDescent="0.25">
      <c r="E7" s="16" t="s">
        <v>25</v>
      </c>
      <c r="F7" s="1">
        <v>30</v>
      </c>
      <c r="G7" s="13">
        <f>(F7*C2)*3</f>
        <v>10800</v>
      </c>
      <c r="H7" s="13">
        <f>(F7*D2)*3</f>
        <v>11340</v>
      </c>
      <c r="I7" s="13">
        <f>(F7*D2)*3</f>
        <v>11340</v>
      </c>
      <c r="J7" s="13">
        <f>(F7*D2)*3</f>
        <v>11340</v>
      </c>
      <c r="K7" s="17">
        <f>F7*12</f>
        <v>360</v>
      </c>
      <c r="L7" s="18">
        <f>SUM(G7:J7)</f>
        <v>44820</v>
      </c>
      <c r="M7" s="18">
        <f>L7/K7</f>
        <v>124.5</v>
      </c>
    </row>
    <row r="8" spans="2:13" x14ac:dyDescent="0.25">
      <c r="E8" s="16" t="s">
        <v>25</v>
      </c>
      <c r="F8" s="1">
        <v>40</v>
      </c>
      <c r="G8" s="13">
        <f>(F8*C2)*3</f>
        <v>14400</v>
      </c>
      <c r="H8" s="13">
        <f>(F8*D2)*3</f>
        <v>15120</v>
      </c>
      <c r="I8" s="13">
        <f>(F8*D2)*3</f>
        <v>15120</v>
      </c>
      <c r="J8" s="13">
        <f>(F8*D2)*3</f>
        <v>15120</v>
      </c>
      <c r="K8" s="17">
        <f>F8*12</f>
        <v>480</v>
      </c>
      <c r="L8" s="18">
        <f>SUM(G8:J8)</f>
        <v>59760</v>
      </c>
      <c r="M8" s="18">
        <f>L8/K8</f>
        <v>124.5</v>
      </c>
    </row>
    <row r="9" spans="2:13" x14ac:dyDescent="0.25">
      <c r="E9" s="1" t="s">
        <v>70</v>
      </c>
      <c r="F9" s="1">
        <v>80</v>
      </c>
      <c r="G9" s="22">
        <f>C3*6</f>
        <v>37800</v>
      </c>
      <c r="H9" s="23"/>
      <c r="I9" s="22">
        <f>D3*6</f>
        <v>39690</v>
      </c>
      <c r="J9" s="23"/>
      <c r="K9" s="17">
        <f>F9*12</f>
        <v>960</v>
      </c>
      <c r="L9" s="18">
        <f>SUM(G9:J9)</f>
        <v>77490</v>
      </c>
      <c r="M9" s="18">
        <f>L9/K9</f>
        <v>80.71875</v>
      </c>
    </row>
    <row r="10" spans="2:13" x14ac:dyDescent="0.25">
      <c r="E10" s="16" t="s">
        <v>71</v>
      </c>
      <c r="F10" s="1">
        <v>80</v>
      </c>
      <c r="G10" s="14">
        <f>(C3)*12</f>
        <v>75600</v>
      </c>
      <c r="H10" s="15"/>
      <c r="I10" s="15"/>
      <c r="J10" s="15"/>
      <c r="K10" s="17">
        <f>F10*12</f>
        <v>960</v>
      </c>
      <c r="L10" s="18">
        <f>G10</f>
        <v>75600</v>
      </c>
      <c r="M10" s="18">
        <f>L10/K10</f>
        <v>78.75</v>
      </c>
    </row>
  </sheetData>
  <mergeCells count="4">
    <mergeCell ref="G10:J10"/>
    <mergeCell ref="K5:M5"/>
    <mergeCell ref="G9:H9"/>
    <mergeCell ref="I9:J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A973-26C2-4454-B1DD-CDD96853A778}">
  <dimension ref="E17:F17"/>
  <sheetViews>
    <sheetView showGridLines="0" workbookViewId="0">
      <selection activeCell="D18" sqref="B12:D18"/>
    </sheetView>
  </sheetViews>
  <sheetFormatPr defaultRowHeight="15" x14ac:dyDescent="0.25"/>
  <cols>
    <col min="2" max="2" width="10" bestFit="1" customWidth="1"/>
    <col min="3" max="3" width="15.7109375" bestFit="1" customWidth="1"/>
    <col min="4" max="4" width="17.85546875" bestFit="1" customWidth="1"/>
    <col min="5" max="5" width="17" customWidth="1"/>
    <col min="6" max="7" width="12.42578125" bestFit="1" customWidth="1"/>
    <col min="8" max="10" width="11.28515625" customWidth="1"/>
    <col min="11" max="11" width="10" bestFit="1" customWidth="1"/>
    <col min="12" max="12" width="13.28515625" bestFit="1" customWidth="1"/>
  </cols>
  <sheetData>
    <row r="17" spans="5:6" x14ac:dyDescent="0.25">
      <c r="E17" s="6"/>
      <c r="F17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F862-DD7D-40A6-B9B5-8AF5A195B917}">
  <dimension ref="B2:P13"/>
  <sheetViews>
    <sheetView workbookViewId="0">
      <selection activeCell="G21" sqref="G21"/>
    </sheetView>
  </sheetViews>
  <sheetFormatPr defaultRowHeight="15" x14ac:dyDescent="0.25"/>
  <cols>
    <col min="1" max="1" width="3.5703125" customWidth="1"/>
    <col min="2" max="2" width="6.85546875" bestFit="1" customWidth="1"/>
    <col min="3" max="3" width="13.140625" bestFit="1" customWidth="1"/>
    <col min="4" max="4" width="10.42578125" bestFit="1" customWidth="1"/>
    <col min="5" max="5" width="4.5703125" customWidth="1"/>
    <col min="6" max="6" width="6.85546875" bestFit="1" customWidth="1"/>
    <col min="7" max="7" width="13.140625" bestFit="1" customWidth="1"/>
    <col min="8" max="8" width="10.7109375" bestFit="1" customWidth="1"/>
    <col min="9" max="9" width="18" bestFit="1" customWidth="1"/>
    <col min="10" max="10" width="16.5703125" bestFit="1" customWidth="1"/>
    <col min="11" max="11" width="3.42578125" customWidth="1"/>
    <col min="12" max="12" width="6.85546875" bestFit="1" customWidth="1"/>
    <col min="13" max="13" width="13.140625" bestFit="1" customWidth="1"/>
    <col min="15" max="15" width="18" bestFit="1" customWidth="1"/>
    <col min="16" max="16" width="16.5703125" bestFit="1" customWidth="1"/>
  </cols>
  <sheetData>
    <row r="2" spans="2:16" x14ac:dyDescent="0.25">
      <c r="B2" s="12" t="s">
        <v>32</v>
      </c>
      <c r="C2" s="12"/>
      <c r="D2" s="12"/>
      <c r="F2" s="12" t="s">
        <v>44</v>
      </c>
      <c r="G2" s="12"/>
      <c r="H2" s="12"/>
      <c r="I2" s="12"/>
      <c r="J2" s="12"/>
      <c r="L2" s="12" t="s">
        <v>50</v>
      </c>
      <c r="M2" s="12"/>
      <c r="N2" s="12"/>
      <c r="O2" s="12"/>
      <c r="P2" s="12"/>
    </row>
    <row r="3" spans="2:16" x14ac:dyDescent="0.25">
      <c r="B3" s="5" t="s">
        <v>41</v>
      </c>
      <c r="C3" s="5" t="s">
        <v>42</v>
      </c>
      <c r="D3" s="5" t="s">
        <v>43</v>
      </c>
      <c r="F3" s="5" t="s">
        <v>41</v>
      </c>
      <c r="G3" s="5" t="s">
        <v>42</v>
      </c>
      <c r="H3" s="5" t="s">
        <v>43</v>
      </c>
      <c r="I3" s="5" t="s">
        <v>45</v>
      </c>
      <c r="J3" s="5" t="s">
        <v>51</v>
      </c>
      <c r="L3" s="5" t="s">
        <v>41</v>
      </c>
      <c r="M3" s="5" t="s">
        <v>42</v>
      </c>
      <c r="N3" s="5" t="s">
        <v>43</v>
      </c>
      <c r="O3" s="5" t="s">
        <v>45</v>
      </c>
      <c r="P3" s="5" t="s">
        <v>49</v>
      </c>
    </row>
    <row r="4" spans="2:16" x14ac:dyDescent="0.25">
      <c r="B4" s="1" t="s">
        <v>33</v>
      </c>
      <c r="C4" s="8">
        <v>45519</v>
      </c>
      <c r="D4" s="1">
        <f ca="1">_xlfn.DAYS(TODAY(),C4)</f>
        <v>25</v>
      </c>
      <c r="F4" s="1" t="s">
        <v>46</v>
      </c>
      <c r="G4" s="8">
        <v>45455</v>
      </c>
      <c r="H4" s="1">
        <f ca="1">_xlfn.DAYS(TODAY(),G4)</f>
        <v>89</v>
      </c>
      <c r="I4" s="8">
        <v>45470</v>
      </c>
      <c r="J4" s="1">
        <f ca="1">_xlfn.DAYS(TODAY(),I4)</f>
        <v>74</v>
      </c>
      <c r="L4" s="1" t="s">
        <v>52</v>
      </c>
      <c r="M4" s="8">
        <v>45460</v>
      </c>
      <c r="N4" s="1">
        <f ca="1">_xlfn.DAYS(TODAY(),M4)</f>
        <v>84</v>
      </c>
      <c r="O4" s="8">
        <v>45516</v>
      </c>
      <c r="P4" s="1">
        <f ca="1">_xlfn.DAYS(TODAY(),O4)</f>
        <v>28</v>
      </c>
    </row>
    <row r="5" spans="2:16" x14ac:dyDescent="0.25">
      <c r="B5" s="1" t="s">
        <v>34</v>
      </c>
      <c r="C5" s="8">
        <v>45516</v>
      </c>
      <c r="D5" s="1">
        <f t="shared" ref="D5:D11" ca="1" si="0">_xlfn.DAYS(TODAY(),C5)</f>
        <v>28</v>
      </c>
      <c r="F5" s="1" t="s">
        <v>47</v>
      </c>
      <c r="G5" s="8">
        <v>45455</v>
      </c>
      <c r="H5" s="1">
        <f t="shared" ref="H5:H6" ca="1" si="1">_xlfn.DAYS(TODAY(),G5)</f>
        <v>89</v>
      </c>
      <c r="I5" s="8">
        <v>45475</v>
      </c>
      <c r="J5" s="1">
        <f ca="1">_xlfn.DAYS(TODAY(),I5)</f>
        <v>69</v>
      </c>
      <c r="L5" s="1" t="s">
        <v>53</v>
      </c>
      <c r="M5" s="8">
        <v>45428</v>
      </c>
      <c r="N5" s="1">
        <f t="shared" ref="N5:N9" ca="1" si="2">_xlfn.DAYS(TODAY(),M5)</f>
        <v>116</v>
      </c>
      <c r="O5" s="8">
        <v>45511</v>
      </c>
      <c r="P5" s="1">
        <f ca="1">_xlfn.DAYS(TODAY(),O5)</f>
        <v>33</v>
      </c>
    </row>
    <row r="6" spans="2:16" x14ac:dyDescent="0.25">
      <c r="B6" s="1" t="s">
        <v>35</v>
      </c>
      <c r="C6" s="8">
        <v>45516</v>
      </c>
      <c r="D6" s="1">
        <f t="shared" ca="1" si="0"/>
        <v>28</v>
      </c>
      <c r="F6" s="1" t="s">
        <v>48</v>
      </c>
      <c r="G6" s="8">
        <v>45428</v>
      </c>
      <c r="H6" s="1">
        <f t="shared" ca="1" si="1"/>
        <v>116</v>
      </c>
      <c r="I6" s="8">
        <v>45506</v>
      </c>
      <c r="J6" s="1">
        <f ca="1">_xlfn.DAYS(TODAY(),I6)</f>
        <v>38</v>
      </c>
      <c r="L6" s="1" t="s">
        <v>54</v>
      </c>
      <c r="M6" s="8">
        <v>45448</v>
      </c>
      <c r="N6" s="1">
        <f t="shared" ca="1" si="2"/>
        <v>96</v>
      </c>
      <c r="O6" s="8">
        <v>45516</v>
      </c>
      <c r="P6" s="1">
        <f ca="1">_xlfn.DAYS(TODAY(),O6)</f>
        <v>28</v>
      </c>
    </row>
    <row r="7" spans="2:16" x14ac:dyDescent="0.25">
      <c r="B7" s="1" t="s">
        <v>36</v>
      </c>
      <c r="C7" s="8">
        <v>45418</v>
      </c>
      <c r="D7" s="1">
        <f t="shared" ca="1" si="0"/>
        <v>126</v>
      </c>
      <c r="L7" s="1" t="s">
        <v>55</v>
      </c>
      <c r="M7" s="8">
        <v>45463</v>
      </c>
      <c r="N7" s="1">
        <f ca="1">_xlfn.DAYS(TODAY(),M7)</f>
        <v>81</v>
      </c>
      <c r="O7" s="8">
        <v>45516</v>
      </c>
      <c r="P7" s="1">
        <f ca="1">_xlfn.DAYS(TODAY(),O7)</f>
        <v>28</v>
      </c>
    </row>
    <row r="8" spans="2:16" x14ac:dyDescent="0.25">
      <c r="B8" s="1" t="s">
        <v>37</v>
      </c>
      <c r="C8" s="8">
        <v>45425</v>
      </c>
      <c r="D8" s="1">
        <f t="shared" ca="1" si="0"/>
        <v>119</v>
      </c>
      <c r="L8" s="1" t="s">
        <v>56</v>
      </c>
      <c r="M8" s="8">
        <v>45511</v>
      </c>
      <c r="N8" s="1">
        <f ca="1">_xlfn.DAYS(TODAY(),M8)</f>
        <v>33</v>
      </c>
      <c r="O8" s="8">
        <v>45524</v>
      </c>
      <c r="P8" s="1">
        <f ca="1">_xlfn.DAYS(TODAY(),O8)</f>
        <v>20</v>
      </c>
    </row>
    <row r="9" spans="2:16" x14ac:dyDescent="0.25">
      <c r="B9" s="1" t="s">
        <v>38</v>
      </c>
      <c r="C9" s="8">
        <v>45447</v>
      </c>
      <c r="D9" s="1">
        <f t="shared" ca="1" si="0"/>
        <v>97</v>
      </c>
      <c r="L9" s="1" t="s">
        <v>57</v>
      </c>
      <c r="M9" s="8">
        <v>45513</v>
      </c>
      <c r="N9" s="1">
        <f t="shared" ca="1" si="2"/>
        <v>31</v>
      </c>
      <c r="O9" s="8">
        <v>45524</v>
      </c>
      <c r="P9" s="1">
        <f t="shared" ref="P9" ca="1" si="3">_xlfn.DAYS(TODAY(),O9)</f>
        <v>20</v>
      </c>
    </row>
    <row r="10" spans="2:16" x14ac:dyDescent="0.25">
      <c r="B10" s="1" t="s">
        <v>39</v>
      </c>
      <c r="C10" s="8">
        <v>45519</v>
      </c>
      <c r="D10" s="1">
        <f t="shared" ca="1" si="0"/>
        <v>25</v>
      </c>
    </row>
    <row r="11" spans="2:16" x14ac:dyDescent="0.25">
      <c r="B11" s="1" t="s">
        <v>40</v>
      </c>
      <c r="C11" s="8">
        <v>45519</v>
      </c>
      <c r="D11" s="1">
        <f t="shared" ca="1" si="0"/>
        <v>25</v>
      </c>
    </row>
    <row r="13" spans="2:16" x14ac:dyDescent="0.25">
      <c r="D13" s="7"/>
    </row>
  </sheetData>
  <mergeCells count="3">
    <mergeCell ref="B2:D2"/>
    <mergeCell ref="F2:J2"/>
    <mergeCell ref="L2:P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27F32893-F7F4-4692-80A8-5DB4BF7C04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EBF631-00B8-4DF3-A7E1-60268076C861}">
  <ds:schemaRefs>
    <ds:schemaRef ds:uri="http://purl.org/dc/elements/1.1/"/>
    <ds:schemaRef ds:uri="1ffbd5dc-7a64-4097-8396-87f6c90b212f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84E9306-5055-4156-8ED3-EF0D879DCB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D6578B-F19B-40AF-803B-CE5FBB7D84A9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Pricing Options</vt:lpstr>
      <vt:lpstr>Sheet1</vt:lpstr>
      <vt:lpstr>State of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Barrett</dc:creator>
  <cp:lastModifiedBy>Shaun Barrett</cp:lastModifiedBy>
  <dcterms:created xsi:type="dcterms:W3CDTF">2024-08-22T13:49:16Z</dcterms:created>
  <dcterms:modified xsi:type="dcterms:W3CDTF">2024-09-09T10:10:48Z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</Properties>
</file>