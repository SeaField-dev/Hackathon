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"/>
    </mc:Choice>
  </mc:AlternateContent>
  <xr:revisionPtr revIDLastSave="195" documentId="8_{F18DB11F-4DF1-4DB8-8386-B8F1728CD00D}" xr6:coauthVersionLast="47" xr6:coauthVersionMax="47" xr10:uidLastSave="{CB5C33B8-3F0F-4BF4-AC12-998BAD70F774}"/>
  <bookViews>
    <workbookView xWindow="28680" yWindow="-120" windowWidth="29040" windowHeight="15720" xr2:uid="{7E6DDD1F-2D98-4E21-A156-D0A89F6F2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L15" i="1"/>
  <c r="L14" i="1"/>
  <c r="L13" i="1"/>
  <c r="L12" i="1"/>
  <c r="L11" i="1"/>
  <c r="L10" i="1"/>
  <c r="L8" i="1"/>
  <c r="L7" i="1"/>
  <c r="L6" i="1"/>
  <c r="L5" i="1"/>
  <c r="L4" i="1"/>
  <c r="L9" i="1" s="1"/>
  <c r="L3" i="1"/>
  <c r="F9" i="1" l="1"/>
  <c r="L16" i="1"/>
</calcChain>
</file>

<file path=xl/sharedStrings.xml><?xml version="1.0" encoding="utf-8"?>
<sst xmlns="http://schemas.openxmlformats.org/spreadsheetml/2006/main" count="15" uniqueCount="9">
  <si>
    <t>Month</t>
  </si>
  <si>
    <t>Hours</t>
  </si>
  <si>
    <t>Cost</t>
  </si>
  <si>
    <t>Rate</t>
  </si>
  <si>
    <t>#</t>
  </si>
  <si>
    <t>6 Month Renewal Cost</t>
  </si>
  <si>
    <t>12 Month Renewal Cost</t>
  </si>
  <si>
    <t>Proposed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</si>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</sst>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164" fontId="0" fillId="0" borderId="1" xfId="0" applyNumberFormat="1" applyBorder="1"/>
    <xf numFmtId="164" fontId="1" fillId="2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3" xfId="0" applyNumberFormat="1" applyFont="1" applyFill="1" applyBorder="1" applyAlignment="1">
      <alignment horizontal="left"/>
    </xf>
    <xf numFmtId="17" fontId="1" fillId="2" borderId="4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3" fillId="0" borderId="1" xfId="0" applyFont="1" applyBorder="1"/>
    <xf numFmtId="17" fontId="3" fillId="0" borderId="1" xfId="0" applyNumberFormat="1" applyFont="1" applyBorder="1"/>
    <xf numFmtId="164" fontId="3" fillId="0" borderId="1" xfId="0" applyNumberFormat="1" applyFont="1" applyBorder="1"/>
    <xf numFmtId="17" fontId="2" fillId="2" borderId="2" xfId="0" applyNumberFormat="1" applyFont="1" applyFill="1" applyBorder="1" applyAlignment="1">
      <alignment horizontal="left"/>
    </xf>
    <xf numFmtId="17" fontId="2" fillId="2" borderId="3" xfId="0" applyNumberFormat="1" applyFont="1" applyFill="1" applyBorder="1" applyAlignment="1">
      <alignment horizontal="left"/>
    </xf>
    <xf numFmtId="17" fontId="2" fillId="2" borderId="4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DA69-1CBD-442A-8C4D-67B742A84713}">
  <dimension ref="B1:N16"/>
  <sheetViews>
    <sheetView tabSelected="1" workbookViewId="0">
      <selection activeCell="V15" sqref="V15"/>
    </sheetView>
  </sheetViews>
  <sheetFormatPr defaultRowHeight="15" x14ac:dyDescent="0.25"/>
  <cols>
    <col min="6" max="6" width="10" bestFit="1" customWidth="1"/>
    <col min="8" max="12" width="10.5703125" customWidth="1"/>
    <col min="13" max="13" width="5.28515625" customWidth="1"/>
  </cols>
  <sheetData>
    <row r="1" spans="2:14" x14ac:dyDescent="0.25">
      <c r="B1" s="10" t="s">
        <v>8</v>
      </c>
      <c r="C1" s="11"/>
      <c r="D1" s="11"/>
      <c r="E1" s="11"/>
      <c r="F1" s="12"/>
      <c r="H1" s="14" t="s">
        <v>7</v>
      </c>
      <c r="I1" s="15"/>
      <c r="J1" s="15"/>
      <c r="K1" s="15"/>
      <c r="L1" s="16"/>
    </row>
    <row r="2" spans="2:14" x14ac:dyDescent="0.25">
      <c r="B2" s="3" t="s">
        <v>4</v>
      </c>
      <c r="C2" s="4" t="s">
        <v>0</v>
      </c>
      <c r="D2" s="4" t="s">
        <v>3</v>
      </c>
      <c r="E2" s="4" t="s">
        <v>1</v>
      </c>
      <c r="F2" s="4" t="s">
        <v>2</v>
      </c>
      <c r="H2" s="17" t="s">
        <v>4</v>
      </c>
      <c r="I2" s="18" t="s">
        <v>0</v>
      </c>
      <c r="J2" s="18" t="s">
        <v>3</v>
      </c>
      <c r="K2" s="18" t="s">
        <v>1</v>
      </c>
      <c r="L2" s="18" t="s">
        <v>2</v>
      </c>
    </row>
    <row r="3" spans="2:14" x14ac:dyDescent="0.25">
      <c r="B3" s="1">
        <v>1</v>
      </c>
      <c r="C3" s="2">
        <v>45955</v>
      </c>
      <c r="D3" s="5">
        <v>126</v>
      </c>
      <c r="E3" s="1">
        <v>40</v>
      </c>
      <c r="F3" s="5">
        <f t="shared" ref="F3:F8" si="0">D3*E3</f>
        <v>5040</v>
      </c>
      <c r="H3" s="19">
        <v>1</v>
      </c>
      <c r="I3" s="20">
        <v>45955</v>
      </c>
      <c r="J3" s="21">
        <v>126</v>
      </c>
      <c r="K3" s="19">
        <v>40</v>
      </c>
      <c r="L3" s="21">
        <f t="shared" ref="L3:L8" si="1">J3*K3</f>
        <v>5040</v>
      </c>
    </row>
    <row r="4" spans="2:14" x14ac:dyDescent="0.25">
      <c r="B4" s="1">
        <v>2</v>
      </c>
      <c r="C4" s="2">
        <v>45986</v>
      </c>
      <c r="D4" s="5">
        <v>126</v>
      </c>
      <c r="E4" s="1">
        <v>40</v>
      </c>
      <c r="F4" s="5">
        <f t="shared" si="0"/>
        <v>5040</v>
      </c>
      <c r="H4" s="19">
        <v>2</v>
      </c>
      <c r="I4" s="20">
        <v>45986</v>
      </c>
      <c r="J4" s="21">
        <v>126</v>
      </c>
      <c r="K4" s="19">
        <v>40</v>
      </c>
      <c r="L4" s="21">
        <f t="shared" si="1"/>
        <v>5040</v>
      </c>
    </row>
    <row r="5" spans="2:14" x14ac:dyDescent="0.25">
      <c r="B5" s="1">
        <v>3</v>
      </c>
      <c r="C5" s="2">
        <v>46016</v>
      </c>
      <c r="D5" s="5">
        <v>126</v>
      </c>
      <c r="E5" s="1">
        <v>40</v>
      </c>
      <c r="F5" s="5">
        <f t="shared" si="0"/>
        <v>5040</v>
      </c>
      <c r="H5" s="19">
        <v>3</v>
      </c>
      <c r="I5" s="20">
        <v>46016</v>
      </c>
      <c r="J5" s="21">
        <v>126</v>
      </c>
      <c r="K5" s="19">
        <v>40</v>
      </c>
      <c r="L5" s="21">
        <f t="shared" si="1"/>
        <v>5040</v>
      </c>
    </row>
    <row r="6" spans="2:14" x14ac:dyDescent="0.25">
      <c r="B6" s="1">
        <v>4</v>
      </c>
      <c r="C6" s="2">
        <v>46047</v>
      </c>
      <c r="D6" s="5">
        <v>126</v>
      </c>
      <c r="E6" s="1">
        <v>40</v>
      </c>
      <c r="F6" s="5">
        <f t="shared" si="0"/>
        <v>5040</v>
      </c>
      <c r="H6" s="19">
        <v>4</v>
      </c>
      <c r="I6" s="20">
        <v>46047</v>
      </c>
      <c r="J6" s="21">
        <v>130</v>
      </c>
      <c r="K6" s="19">
        <v>40</v>
      </c>
      <c r="L6" s="21">
        <f t="shared" si="1"/>
        <v>5200</v>
      </c>
    </row>
    <row r="7" spans="2:14" x14ac:dyDescent="0.25">
      <c r="B7" s="1">
        <v>5</v>
      </c>
      <c r="C7" s="2">
        <v>46078</v>
      </c>
      <c r="D7" s="5">
        <v>126</v>
      </c>
      <c r="E7" s="1">
        <v>40</v>
      </c>
      <c r="F7" s="5">
        <f t="shared" si="0"/>
        <v>5040</v>
      </c>
      <c r="H7" s="19">
        <v>5</v>
      </c>
      <c r="I7" s="20">
        <v>46078</v>
      </c>
      <c r="J7" s="21">
        <v>130</v>
      </c>
      <c r="K7" s="19">
        <v>40</v>
      </c>
      <c r="L7" s="21">
        <f t="shared" si="1"/>
        <v>5200</v>
      </c>
    </row>
    <row r="8" spans="2:14" x14ac:dyDescent="0.25">
      <c r="B8" s="1">
        <v>6</v>
      </c>
      <c r="C8" s="2">
        <v>46106</v>
      </c>
      <c r="D8" s="5">
        <v>126</v>
      </c>
      <c r="E8" s="1">
        <v>40</v>
      </c>
      <c r="F8" s="5">
        <f t="shared" si="0"/>
        <v>5040</v>
      </c>
      <c r="H8" s="19">
        <v>6</v>
      </c>
      <c r="I8" s="20">
        <v>46106</v>
      </c>
      <c r="J8" s="21">
        <v>130</v>
      </c>
      <c r="K8" s="19">
        <v>40</v>
      </c>
      <c r="L8" s="21">
        <f t="shared" si="1"/>
        <v>5200</v>
      </c>
    </row>
    <row r="9" spans="2:14" x14ac:dyDescent="0.25">
      <c r="B9" s="7" t="s">
        <v>5</v>
      </c>
      <c r="C9" s="8"/>
      <c r="D9" s="8"/>
      <c r="E9" s="9"/>
      <c r="F9" s="6">
        <f>SUBTOTAL(9,F3:F8)</f>
        <v>30240</v>
      </c>
      <c r="H9" s="22" t="s">
        <v>5</v>
      </c>
      <c r="I9" s="23"/>
      <c r="J9" s="23"/>
      <c r="K9" s="24"/>
      <c r="L9" s="25">
        <f>SUBTOTAL(9,L3:L8)</f>
        <v>30720</v>
      </c>
      <c r="N9" s="13"/>
    </row>
    <row r="10" spans="2:14" x14ac:dyDescent="0.25">
      <c r="H10" s="19">
        <v>7</v>
      </c>
      <c r="I10" s="20">
        <v>46137</v>
      </c>
      <c r="J10" s="21">
        <v>130</v>
      </c>
      <c r="K10" s="19">
        <v>40</v>
      </c>
      <c r="L10" s="21">
        <f t="shared" ref="L10:L15" si="2">J10*K10</f>
        <v>5200</v>
      </c>
    </row>
    <row r="11" spans="2:14" x14ac:dyDescent="0.25">
      <c r="H11" s="19">
        <v>8</v>
      </c>
      <c r="I11" s="20">
        <v>46167</v>
      </c>
      <c r="J11" s="21">
        <v>130</v>
      </c>
      <c r="K11" s="19">
        <v>40</v>
      </c>
      <c r="L11" s="21">
        <f t="shared" si="2"/>
        <v>5200</v>
      </c>
    </row>
    <row r="12" spans="2:14" x14ac:dyDescent="0.25">
      <c r="H12" s="19">
        <v>9</v>
      </c>
      <c r="I12" s="20">
        <v>46198</v>
      </c>
      <c r="J12" s="21">
        <v>130</v>
      </c>
      <c r="K12" s="19">
        <v>40</v>
      </c>
      <c r="L12" s="21">
        <f t="shared" si="2"/>
        <v>5200</v>
      </c>
    </row>
    <row r="13" spans="2:14" x14ac:dyDescent="0.25">
      <c r="H13" s="19">
        <v>10</v>
      </c>
      <c r="I13" s="20">
        <v>46228</v>
      </c>
      <c r="J13" s="21">
        <v>130</v>
      </c>
      <c r="K13" s="19">
        <v>40</v>
      </c>
      <c r="L13" s="21">
        <f t="shared" si="2"/>
        <v>5200</v>
      </c>
    </row>
    <row r="14" spans="2:14" x14ac:dyDescent="0.25">
      <c r="H14" s="19">
        <v>11</v>
      </c>
      <c r="I14" s="20">
        <v>46259</v>
      </c>
      <c r="J14" s="21">
        <v>130</v>
      </c>
      <c r="K14" s="19">
        <v>40</v>
      </c>
      <c r="L14" s="21">
        <f t="shared" si="2"/>
        <v>5200</v>
      </c>
    </row>
    <row r="15" spans="2:14" x14ac:dyDescent="0.25">
      <c r="H15" s="19">
        <v>12</v>
      </c>
      <c r="I15" s="20">
        <v>46290</v>
      </c>
      <c r="J15" s="21">
        <v>130</v>
      </c>
      <c r="K15" s="19">
        <v>40</v>
      </c>
      <c r="L15" s="21">
        <f t="shared" si="2"/>
        <v>5200</v>
      </c>
    </row>
    <row r="16" spans="2:14" x14ac:dyDescent="0.25">
      <c r="H16" s="22" t="s">
        <v>6</v>
      </c>
      <c r="I16" s="23"/>
      <c r="J16" s="23"/>
      <c r="K16" s="24"/>
      <c r="L16" s="25">
        <f>SUBTOTAL(9,L3:L15)</f>
        <v>61920</v>
      </c>
    </row>
  </sheetData>
  <mergeCells count="5">
    <mergeCell ref="H9:K9"/>
    <mergeCell ref="H16:K16"/>
    <mergeCell ref="H1:L1"/>
    <mergeCell ref="B1:F1"/>
    <mergeCell ref="B9:E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8FA9BF06-2FD8-47B3-94F2-C4424E366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5A478-03CB-4B2B-8E00-CE5DD347707F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1ffbd5dc-7a64-4097-8396-87f6c90b212f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C65E2AA-8155-4886-9CD3-FB105628AB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113A644-3CFF-4BFE-B673-EDE9D4A7E11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Shaun Barrett</cp:lastModifiedBy>
  <dcterms:created xsi:type="dcterms:W3CDTF">2025-09-02T07:31:43Z</dcterms:created>
  <dcterms:modified xsi:type="dcterms:W3CDTF">2025-09-04T11:53:43Z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