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upport/Development/"/>
    </mc:Choice>
  </mc:AlternateContent>
  <xr:revisionPtr revIDLastSave="1" documentId="8_{3CBB7334-EF24-DA41-9C27-DCE923BBBF4C}" xr6:coauthVersionLast="47" xr6:coauthVersionMax="47" xr10:uidLastSave="{DF1AD179-B1E7-9F45-A89A-CA8BEC964220}"/>
  <bookViews>
    <workbookView xWindow="5580" yWindow="2300" windowWidth="27640" windowHeight="16940" xr2:uid="{B3B31913-8833-3F41-B566-5174C763D313}"/>
  </bookViews>
  <sheets>
    <sheet name="Sheet1" sheetId="1" r:id="rId1"/>
  </sheets>
  <definedNames>
    <definedName name="_xlnm._FilterDatabase" localSheetId="0" hidden="1">Sheet1!$A$1:$E$214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tc={165628AD-2AAF-E04E-B657-EADEF2837656}</author>
  </authors>
  <commentList>
    <comment ref="A1" authorId="0" shapeId="0" xr:uid="{165628AD-2AAF-E04E-B657-EADEF2837656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name,tenancy_end_date__c,(select id from Renewals__r) from opportunity where tenancy_end_date__c &lt;= NEXT_90_DAYS and tenancy_end_date__c &gt;= today and Iswon = true</t>
      </text>
    </comment>
  </commentList>
</comments>
</file>

<file path=xl/sharedStrings.xml><?xml version="1.0" encoding="utf-8"?>
<sst xmlns="http://schemas.openxmlformats.org/spreadsheetml/2006/main" count="644" uniqueCount="431">
  <si>
    <t>_</t>
  </si>
  <si>
    <t>Id</t>
  </si>
  <si>
    <t>Name</t>
  </si>
  <si>
    <t>Tenancy_End_Date__c</t>
  </si>
  <si>
    <t>[Opportunity]</t>
  </si>
  <si>
    <t>0064J00000FWvjIQAT</t>
  </si>
  <si>
    <t>RENEWAL - 26 Hereford Drive - 01.10.2021</t>
  </si>
  <si>
    <t>0068d000002cRXLAA2</t>
  </si>
  <si>
    <t>GREP-CoA Claire Bradley &amp; Matt Nolan - 14, Rosemary Lane, Waterlooville, PO7</t>
  </si>
  <si>
    <t>0068d000002cSeEAAU</t>
  </si>
  <si>
    <t>GREP-CoA Natalie Bartley - 202 Aster Apts 822 Seven Sisters Rd London N1</t>
  </si>
  <si>
    <t>0068d000002cT1IAAU</t>
  </si>
  <si>
    <t>GREP-CoA Jaleesa Burgess - 307 Aster Apts 822 Seven Sisters Rd London N1</t>
  </si>
  <si>
    <t>0068d000002cT1mAAE</t>
  </si>
  <si>
    <t>GREP-CoA Mr Alexandros Vassis &amp; Miss Eleni Zorgia - 305 Aster Apts 822 Seven Sisters Rd London N1</t>
  </si>
  <si>
    <t>0068d000002cZbXAAU</t>
  </si>
  <si>
    <t>GREP-CoA Mr Ningzhi Wang Wang, Mr Zekun xue - 101 Windlass Apartments, 4 Hale Wharf, N17</t>
  </si>
  <si>
    <t>0068d0000032WFuAAM</t>
  </si>
  <si>
    <t>GREP-CoA Mozart Fiuza Diniz &amp; Kely Rufino - 124 Argo Apts,4 Silvertown Way,London,E16 1YD</t>
  </si>
  <si>
    <t>0068d000008ZYvdAAG</t>
  </si>
  <si>
    <t>GREP-CoA Haya Tuz-Zahra - Car Parking 11 - Level 1  Neon</t>
  </si>
  <si>
    <t>0068d000008fLm7AAE</t>
  </si>
  <si>
    <t>RENEWAL - Flat 25 Eagle House - 30.09.2022</t>
  </si>
  <si>
    <t>0068d000009CwgLAAS</t>
  </si>
  <si>
    <t>RENEWAL- 3 Darbyshire Road- 08/10/2022</t>
  </si>
  <si>
    <t>0068d000009EyHHAA0</t>
  </si>
  <si>
    <t>RENEWAL - 404 Windlass Apartments - 14.10.2022</t>
  </si>
  <si>
    <t>0068d000009F9KrAAK</t>
  </si>
  <si>
    <t>RENEWAL - 709 Windlass Apartments - 06.10.2022</t>
  </si>
  <si>
    <t>0068d000009f9MPAAY</t>
  </si>
  <si>
    <t>RENEWAL- 1202 Lamp- 06/10/2022</t>
  </si>
  <si>
    <t>0068d000009fXm0AAE</t>
  </si>
  <si>
    <t>GREP-CoA Irakli Shalibashvili and Demetre Uridia - 1003 Aster Apts 822 Seven Sisters Rd London N</t>
  </si>
  <si>
    <t>0068d000009fmudAAA</t>
  </si>
  <si>
    <t>GREP-CoA Mr Beka Grdzelishvili, Mr Otari Emnadze - 1503 Aster Apts 822 Seven Sisters Rd London N</t>
  </si>
  <si>
    <t>0068d000009fpzgAAA</t>
  </si>
  <si>
    <t>GREP-CoA Danny Bateman &amp; Olga Karpova - 4G Shillington Old School</t>
  </si>
  <si>
    <t>0068d000009fqxVAAQ</t>
  </si>
  <si>
    <t>GREP-CoA Aimable Mardel and Cresta Okonkwo - Flat2a,Churston Cl,162-164 Tulse Hill,SW2 3BX</t>
  </si>
  <si>
    <t>0068d000009g29iAAA</t>
  </si>
  <si>
    <t>GREP-CoA James Gaillet &amp; Tomas Juergensen - 2B Mitre Road, London, SE1 8PY</t>
  </si>
  <si>
    <t>0068d000009g2JOAAY</t>
  </si>
  <si>
    <t>GREP-CoA Ms Areej Dabain - 107 Argo Apts,4 Silvertown Way,London,E16 1YD</t>
  </si>
  <si>
    <t>0068d00000Crn2AAAR</t>
  </si>
  <si>
    <t>GREP-CoA Jonathan Strain - 716 Enigma Square,  414 North Row, MK9 2GE</t>
  </si>
  <si>
    <t>0068d00000CrunZAAR</t>
  </si>
  <si>
    <t>RENEWAL - 56 Gatehouse Apts - 08/06/2023</t>
  </si>
  <si>
    <t>0068d00000CtwU4AAJ</t>
  </si>
  <si>
    <t>posted-RENEWAL- 6 South View-01/10/2023</t>
  </si>
  <si>
    <t>0068d00000Cu4LYAAZ</t>
  </si>
  <si>
    <t>RENEWAL- 5 Brierley Green-01/10/2023</t>
  </si>
  <si>
    <t>0068d00000Cu4ONAAZ</t>
  </si>
  <si>
    <t>C2 17/08-RENEWAL- Car Space 31 Ancoats- 01/10/2023</t>
  </si>
  <si>
    <t>0068d00000Cu7xNAAR</t>
  </si>
  <si>
    <t>RENEWAL - Parking D9 Torrens -  01/10/2023</t>
  </si>
  <si>
    <t>0068d00000Cu7yVAAR</t>
  </si>
  <si>
    <t>LBA - RENEWAL - 212 The Headline - 01.10.2023</t>
  </si>
  <si>
    <t>0068d00000Cu9KeAAJ</t>
  </si>
  <si>
    <t>RENEWAL - 35 Bishops Court - 01.10.2023</t>
  </si>
  <si>
    <t>0068d00000Cu9WRAAZ</t>
  </si>
  <si>
    <t>Renewal - 32 The Gardens, HFF,Flat 3 - 01/10/2023</t>
  </si>
  <si>
    <t>0068d00000F4vhnAAB</t>
  </si>
  <si>
    <t>£? to send-RENEWAL - Car space 337 The Rock - 06/09/2023</t>
  </si>
  <si>
    <t>0068d00000F4vjPAAR</t>
  </si>
  <si>
    <t>£? to send-RENEWAL - Car Space 89 The Rock - 06/09/2023</t>
  </si>
  <si>
    <t>0068d00000F58WJAAZ</t>
  </si>
  <si>
    <t>GREP-CoA Luka Brajdic &amp; Geraldine Denya - 208, Brook Place Apts, Sheffield,  S11 8BR</t>
  </si>
  <si>
    <t>006Nz000000VGuwIAG</t>
  </si>
  <si>
    <t>COS RENEWAL - 13 Purl House - 09.10.2023</t>
  </si>
  <si>
    <t>006Nz000000bavnIAA</t>
  </si>
  <si>
    <t>C1 26/07-RENEWAL- Car Space 14, Ancoats, M4 6BZ - 20.09.2023</t>
  </si>
  <si>
    <t>006Nz000000bckgIAA</t>
  </si>
  <si>
    <t>to send-RENEWAL - Car Space 5, East Quarter, M4 7LB - 15.09.2023</t>
  </si>
  <si>
    <t>006Nz000000eW2oIAE</t>
  </si>
  <si>
    <t>RENEWAL - Parking 13 Brook Place Apts - 29.09.2023</t>
  </si>
  <si>
    <t>006Nz000000eakjIAA</t>
  </si>
  <si>
    <t>to send-RENEWAL - Parking 26 Brook Place Apts - 13.09.2023</t>
  </si>
  <si>
    <t>006Nz000000eeA1IAI</t>
  </si>
  <si>
    <t>RENEWAL- 34, Bishopscourt - 30.09.2023</t>
  </si>
  <si>
    <t>006Nz000000gHPTIA2</t>
  </si>
  <si>
    <t>RENEWAL - Parking E16 Ambassador Apt - 01/10/2023</t>
  </si>
  <si>
    <t>006Nz000000gMvOIAU</t>
  </si>
  <si>
    <t>to send-RENEWAL - Parking E3 Ambassador Apt - 30.09.2023</t>
  </si>
  <si>
    <t>006Nz000000gPRpIAM</t>
  </si>
  <si>
    <t>RENEWAL - Parking 96 Hawkins and George - 16.09.2023</t>
  </si>
  <si>
    <t>006Nz000000gYZyIAM</t>
  </si>
  <si>
    <t>RENEWAL - Parking bay 51 Adlay Apartments - 09.09.2023</t>
  </si>
  <si>
    <t>006Nz000000gcTtIAI</t>
  </si>
  <si>
    <t>Renewal- Car Space 80, The Rock, Bury, BL9 - 30/09/23</t>
  </si>
  <si>
    <t>006Nz000000lMZqIAM</t>
  </si>
  <si>
    <t>RENEWAL - Car Space 345 The Rock - 07.09.2023</t>
  </si>
  <si>
    <t>006Nz000000lOLSIA2</t>
  </si>
  <si>
    <t>RENEWAL - Car Space 347 The Rock - 07.09.2023</t>
  </si>
  <si>
    <t>006Nz000000lQ0fIAE</t>
  </si>
  <si>
    <t>to send-RENEWAL - Car Parking 8 - Level 1 Neon - 19.09.2023</t>
  </si>
  <si>
    <t>006Nz000000mJLOIA2</t>
  </si>
  <si>
    <t>Renewal - Shed 29, Tait Sheds - 01/08/2023</t>
  </si>
  <si>
    <t>006Nz000004SxR3IAK</t>
  </si>
  <si>
    <t>006Nz000000nTDnIAM</t>
  </si>
  <si>
    <t>Renewal - 8, 110 The Rock, Bury, BL9 - 30/09/23</t>
  </si>
  <si>
    <t>006Nz000000nXNpIAM</t>
  </si>
  <si>
    <t>RENEWAL - 1706 Neon House - 30.09.2023</t>
  </si>
  <si>
    <t>006Nz000000qlMEIAY</t>
  </si>
  <si>
    <t>RENEWAL-1203, Neon House-03/10/2023</t>
  </si>
  <si>
    <t>006Nz000000rRoUIAU</t>
  </si>
  <si>
    <t>RENEWAL-3 Theobald House-03.10.2023</t>
  </si>
  <si>
    <t>006Nz000000rY8QIAU</t>
  </si>
  <si>
    <t>RENEWAL-14, Gilders Yard-3/10/23</t>
  </si>
  <si>
    <t>006Nz000000rYMvIAM</t>
  </si>
  <si>
    <t>On Hold Arrears - RENEWAL-120, Gilders Yard,-3.10.23</t>
  </si>
  <si>
    <t>006Nz000000rZE9IAM</t>
  </si>
  <si>
    <t>RENEWAL- 28 Bradbury Apt-3/10/2023</t>
  </si>
  <si>
    <t>006Nz000000rZhCIAU</t>
  </si>
  <si>
    <t>RENEWAL-78 Adlay Apartments-03/10/2023</t>
  </si>
  <si>
    <t>006Nz000000rhziIAA</t>
  </si>
  <si>
    <t>RENEWAL - 315 The Headline - 04.10.2023</t>
  </si>
  <si>
    <t>006Nz000000riirIAA</t>
  </si>
  <si>
    <t>RENEWAL-68 Gilders Yard-04/10/2023</t>
  </si>
  <si>
    <t>006Nz000000rjDVIAY</t>
  </si>
  <si>
    <t>LBA RENEWAL - 95 Adlay Apartments - 04.10.2023</t>
  </si>
  <si>
    <t>006Nz000000rl41IAA</t>
  </si>
  <si>
    <t>RENEWAL - 318 The Headline - 04.10.2023</t>
  </si>
  <si>
    <t>006Nz000000rlDhIAI</t>
  </si>
  <si>
    <t>RENEWAL- 3A Webber Street-04/10/2023</t>
  </si>
  <si>
    <t>006Nz000000sdSeIAI</t>
  </si>
  <si>
    <t>RENEWAL- 716, Brook Place Apts-06/10/2023</t>
  </si>
  <si>
    <t>006Nz000000tU5YIAU</t>
  </si>
  <si>
    <t>on refs RENEWAL - 63 Springfield - 07/10/2023</t>
  </si>
  <si>
    <t>006Nz000000tgI1IAI</t>
  </si>
  <si>
    <t>C1 10/08-RENEWAL-1101, Halogen House-07/10/2023</t>
  </si>
  <si>
    <t>006Nz00000ATg9OIAT</t>
  </si>
  <si>
    <t>006Nz000000tgzXIAQ</t>
  </si>
  <si>
    <t>refs-RENEWAL COS- Flat 57, Agate Mews, Block E, Salford-</t>
  </si>
  <si>
    <t>006Nz000000tiq2IAA</t>
  </si>
  <si>
    <t>Sign LBA 14/09--RENEWAL- 503, Neon House, 207 Chapel St, Salford-07/10/2023</t>
  </si>
  <si>
    <t>006Nz000000vlruIAA</t>
  </si>
  <si>
    <t>RENEWAL- 53, Ancoats, 2 Butler Street-07/10/2023</t>
  </si>
  <si>
    <t>006Nz000000vmcdIAA</t>
  </si>
  <si>
    <t>RENEWAL-708 West, The Forge-07/10/2023</t>
  </si>
  <si>
    <t>006Nz000000voJSIAY</t>
  </si>
  <si>
    <t>RENEWAL- 6 Spectrum- 07/10/2023</t>
  </si>
  <si>
    <t>006Nz000000voWLIAY</t>
  </si>
  <si>
    <t>RENEWAL-306, The Headline, Wellington Park Way, Leeds-07/10/2023</t>
  </si>
  <si>
    <t>006Nz000000vpXIIAY</t>
  </si>
  <si>
    <t>RENEWAL- 603,Lamp House, 215 Chapel St-08/10/2023</t>
  </si>
  <si>
    <t>006Nz000000vpiXIAQ</t>
  </si>
  <si>
    <t>LBA 13/09/2023-RENEWAL- 25, 112 The Rock- 07/10/2023</t>
  </si>
  <si>
    <t>006Nz000000vqYCIAY</t>
  </si>
  <si>
    <t>RENEWAL-809, The Headline, Wellington Park Way-08/10/2023</t>
  </si>
  <si>
    <t>006Nz000000wel6IAA</t>
  </si>
  <si>
    <t>LBA RENEWAL- Apt 202, Abbeville Apts, 37-10/10/2023</t>
  </si>
  <si>
    <t>006Nz000000wfHLIAY</t>
  </si>
  <si>
    <t>RENEWAL-42 Argo Apts, 4 Silvertown Way-10/10/2023</t>
  </si>
  <si>
    <t>006Nz000000wkAbIAI</t>
  </si>
  <si>
    <t>RENEWAL-3 Giffard Apt, Gun Hill-10/10/2023</t>
  </si>
  <si>
    <t>006Nz000000wknHIAQ</t>
  </si>
  <si>
    <t>RENEWAL-1110,The Headline, Wellington Park Way-10/10/2023</t>
  </si>
  <si>
    <t>006Nz000000wkyZIAQ</t>
  </si>
  <si>
    <t>RENEWAL-38, Ancoats, 2 Butler Street, M4 6BZ-10/10/2023</t>
  </si>
  <si>
    <t>006Nz000000wlJWIAY</t>
  </si>
  <si>
    <t>RENEWAL-302, The Headline, Wellington Park Way- 10/10/2023</t>
  </si>
  <si>
    <t>006Nz000000wnQEIAY</t>
  </si>
  <si>
    <t>RENEWAL-FLAT 54, Hawkins Ln, Finzels Reach-12/10/2023</t>
  </si>
  <si>
    <t>006Nz000000wnupIAA</t>
  </si>
  <si>
    <t>RENEWAL- Flat 49 Ability Plaza-12/10/2023</t>
  </si>
  <si>
    <t>006Nz000000wo1JIAQ</t>
  </si>
  <si>
    <t>TO POST - RENEWAL- 5 Lauder House- 12/10/2023</t>
  </si>
  <si>
    <t>006Nz000000wpYPIAY</t>
  </si>
  <si>
    <t>COS RENEWAL-55, Kew Bridge Court-12/10/2023</t>
  </si>
  <si>
    <t>006Nz000000wpgUIAQ</t>
  </si>
  <si>
    <t>RENEWAL-Flat 79, Heysmoor Heights-12/10/2023</t>
  </si>
  <si>
    <t>006Nz000000xEa5IAE</t>
  </si>
  <si>
    <t>RENEWAL- 46 Adlay Apartments-14/10/2023</t>
  </si>
  <si>
    <t>006Nz000000xR7TIAU</t>
  </si>
  <si>
    <t>RENEWAL - 601 Brook Place - 15.10.2023</t>
  </si>
  <si>
    <t>006Nz000000xdbeIAA</t>
  </si>
  <si>
    <t>RENEWAL- 4 Bamboo House, 11 Market Street-12/10/2023</t>
  </si>
  <si>
    <t>006Nz000000xdjiIAA</t>
  </si>
  <si>
    <t>RENEWAL- Flat 94 Springfield House, Tyssen Street-13/10/2023</t>
  </si>
  <si>
    <t>006Nz000000xe9XIAQ</t>
  </si>
  <si>
    <t>(LBA 1) RENEWAL- 41, Gilders Yard -13/10/2023</t>
  </si>
  <si>
    <t>006Nz000000xeSrIAI</t>
  </si>
  <si>
    <t>RENEWAL- 82, 124 The Rock, Bury-12/10/2023</t>
  </si>
  <si>
    <t>006Nz000000xeXjIAI</t>
  </si>
  <si>
    <t>RENEWAL-Apt 301, Abbeville-14/10/2023</t>
  </si>
  <si>
    <t>006Nz000000xfFHIAY</t>
  </si>
  <si>
    <t>chased 22/08-RENEWAL-207, Solstice Apts, Silbury Boulevard-14/10/2023</t>
  </si>
  <si>
    <t>006Nz000000xfGrIAI</t>
  </si>
  <si>
    <t>RENEWAL- 208 Halogen- 13/10/2023</t>
  </si>
  <si>
    <t>006Nz000000xfLjIAI</t>
  </si>
  <si>
    <t>RENEWAL-96, Gilders Yard, - 14/10/2023</t>
  </si>
  <si>
    <t>006Nz000000xfyPIAQ</t>
  </si>
  <si>
    <t>RENEWAL- 51 East Quarter- 13/10/2023</t>
  </si>
  <si>
    <t>006Nz000000xgRSIAY</t>
  </si>
  <si>
    <t>COS RENEWAL-010 West, The Forge-14/10/2023</t>
  </si>
  <si>
    <t>006Nz000000xhIhIAI</t>
  </si>
  <si>
    <t>RENEWAL-605 South, The Forge, Newcastle-14/10/2023</t>
  </si>
  <si>
    <t>006Nz000000xhk5IAA</t>
  </si>
  <si>
    <t>RENEWAL - 601 West, The Forge - 14.10.2023</t>
  </si>
  <si>
    <t>006Nz000000xjVlIAI</t>
  </si>
  <si>
    <t>on refs to take GT off-RENEWAL- 26, 110 The Rock-14/10/2023</t>
  </si>
  <si>
    <t>006Nz000000xlEDIAY</t>
  </si>
  <si>
    <t>RENEWAL-158, Gilders Yard, 15/10/2023</t>
  </si>
  <si>
    <t>006Nz000000xmrpIAA</t>
  </si>
  <si>
    <t>C1 10/08-RENEWAL- 67 Heysmoor-15/10/2023</t>
  </si>
  <si>
    <t>006Nz000000xn7xIAA</t>
  </si>
  <si>
    <t>C1 10/08-RENEWAL - 302 Solstice Apartments - 15.10.2023</t>
  </si>
  <si>
    <t>006Nz0000012ZArIAM</t>
  </si>
  <si>
    <t>RENEWAL-104 Hawkins - 08/10/2023</t>
  </si>
  <si>
    <t>006Nz0000012gvUIAQ</t>
  </si>
  <si>
    <t>RENEWAL-505 The Headline - 08.10.2023</t>
  </si>
  <si>
    <t>006Nz0000012icJIAQ</t>
  </si>
  <si>
    <t>RENEWAL-105, Brook Place Apts - 7/10/2023</t>
  </si>
  <si>
    <t>006Nz000007dXY0IAM</t>
  </si>
  <si>
    <t>006Nz0000014d0cIAA</t>
  </si>
  <si>
    <t>GREP-CoA Eve Marley &amp; Eleanor James - Car Space 4(60), New Islington, M4 6BY</t>
  </si>
  <si>
    <t>006Nz000001856nIAA</t>
  </si>
  <si>
    <t>GREP-CoA Catherine McBarnet - Car Parking 4 - Level 1  Neon</t>
  </si>
  <si>
    <t>006Nz0000018pXrIAI</t>
  </si>
  <si>
    <t>GREP-CoA Ms Devonne Goad, Mr Syinthunon Kugathasan - FLAT 24, Hawkins Ln, Finzels Reach, Bristol,</t>
  </si>
  <si>
    <t>006Nz0000019rqzIAA</t>
  </si>
  <si>
    <t>GREP-CoA Tijo Thomas &amp; Manju Wilson - 31, East Quarter, 2 Ridgway Street, M4 7LB</t>
  </si>
  <si>
    <t>006Nz000001AWIzIAO</t>
  </si>
  <si>
    <t>LBA1 22/08- Renewal - 607 Torrens - 01/10/202/3</t>
  </si>
  <si>
    <t>006Nz000001AdVqIAK</t>
  </si>
  <si>
    <t>GREP-CoA James Glover - Parking E12 Ambassador Apt , Salford M50</t>
  </si>
  <si>
    <t>006Nz000001FmRzIAK</t>
  </si>
  <si>
    <t>GREP-CoA Fatimah Abubshait - 909, The Headline, Wellington Park Way, Leeds</t>
  </si>
  <si>
    <t>006Nz000001G059IAC</t>
  </si>
  <si>
    <t>GREP-CoA Luisa Mejia &amp; Simon Willis - 901, Lamp House, 215 Chapel St, Salford, M3 5</t>
  </si>
  <si>
    <t>006Nz000001GcjxIAC</t>
  </si>
  <si>
    <t>GREP-CoA Tak Shun Leung &amp; Wai Ching Chung - 20, 110 The Rock, Bury, BL9</t>
  </si>
  <si>
    <t>006Nz000001HiwvIAC</t>
  </si>
  <si>
    <t>Awaiting EICR RENEWAL- 714 Torrens - 30/09/2023</t>
  </si>
  <si>
    <t>006Nz000001NG9xIAG</t>
  </si>
  <si>
    <t>GREP-CoA Adam Else - Parking  8 - Level 0, Gatehouse Apartments</t>
  </si>
  <si>
    <t>006Nz000001NHMDIA4</t>
  </si>
  <si>
    <t>chased 22/08-RENEWAL- 802 Ambassador- 07/10/2023</t>
  </si>
  <si>
    <t>006Nz000001NJW2IAO</t>
  </si>
  <si>
    <t>RENEWAL- 209 Ambassador- 06/10/2023</t>
  </si>
  <si>
    <t>006Nz000001NK8lIAG</t>
  </si>
  <si>
    <t>RENEWAL- 805 Tayleur- 06/10/2023</t>
  </si>
  <si>
    <t>006Nz000001NLhXIAW</t>
  </si>
  <si>
    <t>RENEWAL- 906 Tayleur- 07/10/2023</t>
  </si>
  <si>
    <t>006Nz000001OAorIAG</t>
  </si>
  <si>
    <t>chased 22/08-RENEWAL- 708 Halogen- 07/10/2023</t>
  </si>
  <si>
    <t>006Nz000001QbD9IAK</t>
  </si>
  <si>
    <t>RENEWAL- 815 Torrens- 10/10/2023</t>
  </si>
  <si>
    <t>006Nz000001QhjtIAC</t>
  </si>
  <si>
    <t>GREP-CoA Florence Corp - 30 The Gardens,GF Rear, London SE22 9QF</t>
  </si>
  <si>
    <t>006Nz000001QhlVIAS</t>
  </si>
  <si>
    <t>C1- 10/08-RENEWAL-105 Torrens- 12/10/2023</t>
  </si>
  <si>
    <t>006Nz000001QlQxIAK</t>
  </si>
  <si>
    <t>RENEWAL - 41 The Gardens, TFR Flat 6 - 08.10.2023</t>
  </si>
  <si>
    <t>006Nz000001QpO5IAK</t>
  </si>
  <si>
    <t>Renewal - 1007 Windlass - 06/10/2023</t>
  </si>
  <si>
    <t>006Nz000001QqYfIAK</t>
  </si>
  <si>
    <t>GREP-CoA Puja Aggarwal - 616, The Headline, Wellington Park Way, Leeds</t>
  </si>
  <si>
    <t>006Nz000001Qu2nIAC</t>
  </si>
  <si>
    <t>Renewal -708 Windlass - 07/10/2023</t>
  </si>
  <si>
    <t>006Nz000001QvA9IAK</t>
  </si>
  <si>
    <t>Renewal - 908 Windlass - 10/10/2023</t>
  </si>
  <si>
    <t>006Nz000001RnYmIAK</t>
  </si>
  <si>
    <t>refs RENEWAL - Flat 39 Churston Close - 14.10.2023</t>
  </si>
  <si>
    <t>006Nz000001RsYPIA0</t>
  </si>
  <si>
    <t>COS @ Renewal - 23 The Gardens, FF - 01/10/2023</t>
  </si>
  <si>
    <t>006Nz000001RvrFIAS</t>
  </si>
  <si>
    <t>COS: OnRefs - Renewal - 1302 Windlass - 13/10/2023</t>
  </si>
  <si>
    <t>006Nz000001ShKpIAK</t>
  </si>
  <si>
    <t>RENEWAL - 33 Argo Apartments - 09.10.2023</t>
  </si>
  <si>
    <t>006Nz000001SlLBIA0</t>
  </si>
  <si>
    <t>COS / RENEWAL - 1203 Aster Apts - 14/10/2023</t>
  </si>
  <si>
    <t>006Nz000001ThlmIAC</t>
  </si>
  <si>
    <t>COS = RENEWAL -  1201 Aster Apt - 12/10/2023</t>
  </si>
  <si>
    <t>006Nz000001Tn9iIAC</t>
  </si>
  <si>
    <t>(LBA 1) Renewal - 1804 Aster Apt - 15/10/2023</t>
  </si>
  <si>
    <t>006Nz000001XGBuIAO</t>
  </si>
  <si>
    <t>GREP-CoA Chelsea Edmonds - 432, Brook Place Apts, Sheffield,  S11 8BS</t>
  </si>
  <si>
    <t>006Nz000001XMsTIAW</t>
  </si>
  <si>
    <t>GREP-CoA Jasmin Towers-Islam - Flat 31, Agate Mews, Block D, Salford, M5</t>
  </si>
  <si>
    <t>006Nz000001YVjyIAG</t>
  </si>
  <si>
    <t>GREP-CoA Nikhil Paradkar - Parking E14 Ambassador Apt , Salford M50</t>
  </si>
  <si>
    <t>006Nz000007zFqxIAE</t>
  </si>
  <si>
    <t>006Nz000001h5v7IAA</t>
  </si>
  <si>
    <t>GREP-CoA Tamsin Stevens - 12 Lauder Hs, Watson Ln, Waterlooville, Hants</t>
  </si>
  <si>
    <t>006Nz000001hw1nIAA</t>
  </si>
  <si>
    <t>GREP-CoA Akhmad Ramadhana &amp; Anggella Vita Yuniarti - 95 Argo Apts, 4 Silvertown Way,London,E16 1YD</t>
  </si>
  <si>
    <t>006Nz000001lbMwIAI</t>
  </si>
  <si>
    <t>GREP-CoA William Jellis &amp; Sarah Jellis - 20 The Gardens, Raised GF, London SE22 9QE</t>
  </si>
  <si>
    <t>006Nz000006NHfsIAG</t>
  </si>
  <si>
    <t>006Nz000001pNlLIAU</t>
  </si>
  <si>
    <t>GREP-CoA Zowie King - Parking 16 Brook Place Apts,  Sheffield,  S11</t>
  </si>
  <si>
    <t>006Nz000001r9cUIAQ</t>
  </si>
  <si>
    <t>GREP-CoA Matyas Mitter &amp; Monika Mitter - 1 Throckmorton Street, Newbury</t>
  </si>
  <si>
    <t>006Nz000001vgefIAA</t>
  </si>
  <si>
    <t>GREP-CoA Jamey Baines - Flat 36, Hollies Lane, Block E, Salford, M5</t>
  </si>
  <si>
    <t>006Nz000001zAhrIAE</t>
  </si>
  <si>
    <t>GREP-CoA Anoushka McCracken-Jones &amp; Martha Smith - 602, Neon House, 207 Chapel St, Salford, M3 5</t>
  </si>
  <si>
    <t>006Nz000001zGbyIAE</t>
  </si>
  <si>
    <t>GREP-CoA Antony Collins - Parking 30, Station View, Guildford</t>
  </si>
  <si>
    <t>006Nz000007dfQjIAI</t>
  </si>
  <si>
    <t>006Nz0000025V3dIAE</t>
  </si>
  <si>
    <t>Renewal - Flat 22 Georges W - 07/10/2023</t>
  </si>
  <si>
    <t>006Nz0000027pnuIAA</t>
  </si>
  <si>
    <t>Simon Combstock - Garage 4 White Rock - QUBE</t>
  </si>
  <si>
    <t>006Nz0000029a9pIAA</t>
  </si>
  <si>
    <t>GREP-CoA Ria Knight - 12 Nelson Apt, Darbyshire Rd, Aldershot, Hant</t>
  </si>
  <si>
    <t>006Nz000002Cqo5IAC</t>
  </si>
  <si>
    <t>GREP-CoA Abdullah Alarifi &amp; Faris Alarifi - 1005,The Headline, Wellington Park Way, Leeds</t>
  </si>
  <si>
    <t>006Nz000002E7QQIA0</t>
  </si>
  <si>
    <t>GREP-CoA Yunqian Zhang - Parking 14, Station View, Guildford</t>
  </si>
  <si>
    <t>006Nz000002ELwLIAW</t>
  </si>
  <si>
    <t>GREP-CoA Alexandra Bosworth - Parking E18 Ambassador Apt , Salford M50</t>
  </si>
  <si>
    <t>006Nz000002FMggIAG</t>
  </si>
  <si>
    <t>GREP-CoA Alison Tracey Pitts &amp; Nicholas Pitts - 21 Cable House, 2 Echo Walk, Newbury</t>
  </si>
  <si>
    <t>006Nz000002FrFmIAK</t>
  </si>
  <si>
    <t>GREP-CoA Kai Lai Dora Lui - Car Parking 32 - Level 0  Halogen/Lamp</t>
  </si>
  <si>
    <t>006Nz000002GWKdIAO</t>
  </si>
  <si>
    <t>GREP-CoA Katie Allen &amp; Ryan Williams - Car Park Space 6 Dove Road, London, N1 3GE</t>
  </si>
  <si>
    <t>006Nz000002GjPvIAK</t>
  </si>
  <si>
    <t>GREP-CoA Luana Defourny - Parking  28 - Level 0</t>
  </si>
  <si>
    <t>006Nz000002GwLUIA0</t>
  </si>
  <si>
    <t>GREP-CoA Mr Sebastian Brough - Parking  2 - Level 0</t>
  </si>
  <si>
    <t>006Nz000002HJzbIAG</t>
  </si>
  <si>
    <t>GREP-CoA Nicola Delbuono &amp; Michael Morris - 1503, Neon House, 207 Chapel St, Salford, M3</t>
  </si>
  <si>
    <t>006Nz000002IYi4IAG</t>
  </si>
  <si>
    <t>GREP-CoA Charlie Griffiths - Parking  35 - Level 0</t>
  </si>
  <si>
    <t>006Nz000002MKS1IAO</t>
  </si>
  <si>
    <t>GREP-CoA Mr Madhav Seth - Parking L14, Solstice Apts, Silbury Blvd</t>
  </si>
  <si>
    <t>006Nz000002MMn7IAG</t>
  </si>
  <si>
    <t>GREP-CoA Muhammad Iqbal - Parking Bay 1, Abbeville Apts, 37 London Rd,</t>
  </si>
  <si>
    <t>006Nz000002MNjCIAW</t>
  </si>
  <si>
    <t>GREP-CoA James Wilkinson - Parking Space 14 Shillington Old School</t>
  </si>
  <si>
    <t>006Nz000002MOP7IAO</t>
  </si>
  <si>
    <t>GREP-CoA Rebecca Whitley - Parking Space 13 Shillington Old School</t>
  </si>
  <si>
    <t>006Nz000002MP8IIAW</t>
  </si>
  <si>
    <t>GREP-CoA Charles Benyon - Parking Space 12 Shillington Old School</t>
  </si>
  <si>
    <t>006Nz000002MQHFIA4</t>
  </si>
  <si>
    <t>GREP-CoA Alex Hamilton - Parking Space 17 Shillington Old School</t>
  </si>
  <si>
    <t>006Nz0000081XRzIAM</t>
  </si>
  <si>
    <t>006Nz000002O3WfIAK</t>
  </si>
  <si>
    <t>GREP-CoA Abhilasha Kakkar - 814, The Headline, Wellington Park Way, Leeds</t>
  </si>
  <si>
    <t>006Nz000002TeiWIAS</t>
  </si>
  <si>
    <t>GREP-CoA Lucy Amaladoss &amp; William Thomas Inglis - 10, Kew Bridge Court, London, W4 3AZ</t>
  </si>
  <si>
    <t>006Nz000002ZRPBIA4</t>
  </si>
  <si>
    <t>Jasmine Baker - 225 Brook Place - ON QUBE (COMPLETE)</t>
  </si>
  <si>
    <t>006Nz000002ZXclIAG</t>
  </si>
  <si>
    <t>GREP-CoA Jason Ngan - Car Space 164, The Rock, Bury, BL9</t>
  </si>
  <si>
    <t>006Nz000002ZxnGIAS</t>
  </si>
  <si>
    <t>GREP-CoA Elizabeth Jobson - Flat 4, St Annes Hs, Buckingham Plc, BN1 3Q</t>
  </si>
  <si>
    <t>006Nz000002jF8FIAU</t>
  </si>
  <si>
    <t>GREP-CoA Mansi Nangia - 2, Kew Bridge Court, London, W4 3AZ</t>
  </si>
  <si>
    <t>006Nz000002jKRJIA2</t>
  </si>
  <si>
    <t>GREP-CoA Mears Ltd - 12 Ext Parking 82 Upper Allen St, Sheffield</t>
  </si>
  <si>
    <t>006Nz000002lII8IAM</t>
  </si>
  <si>
    <t>GREP-CoA Ali Bonyab &amp; Nazanin Yousefi - 809 The Condor, 1 Springwell Sq</t>
  </si>
  <si>
    <t>006Nz000002pPb7IAE</t>
  </si>
  <si>
    <t>GREP-CoA Vivienne Nwalema &amp; Nicole Nwalema - 12 Cable House, 2 Echo Walk, Newbury</t>
  </si>
  <si>
    <t>006Nz000002wImeIAE</t>
  </si>
  <si>
    <t>GREP-CoA Vivienne Nwalema - Parking 52, Weavers Yard, Newbury</t>
  </si>
  <si>
    <t>006Nz000007Bd8TIAS</t>
  </si>
  <si>
    <t>006Nz000003bUDYIA2</t>
  </si>
  <si>
    <t>GREP-CoA Xiao Wang &amp; Shijia Li - 507 The Barnum, 23 Queens Road, Nottingham</t>
  </si>
  <si>
    <t>Mid COS- 817 Torrens 01/12/2023</t>
  </si>
  <si>
    <t>006Nz000006GKncIAG</t>
  </si>
  <si>
    <t>Renewal 48, Gilders Yard - 03/04/2024</t>
  </si>
  <si>
    <t>COS Mid Term - 902 Windlass Apartments - 07.02.2024</t>
  </si>
  <si>
    <t>006Nz000006lSP7IAM</t>
  </si>
  <si>
    <t>Renewal 6 Purl House, 10 Market Street - 14/04/2024</t>
  </si>
  <si>
    <t>006Nz000006waKfIAI</t>
  </si>
  <si>
    <t>GREP-CoA Akira Sarodo &amp; Saki Takao - 431 The Barnum, 23 Queens Road, Nottingham</t>
  </si>
  <si>
    <t>006Nz000006xkMqIAI</t>
  </si>
  <si>
    <t>Renewal - 913 Torrens Apt - 13/04/2024</t>
  </si>
  <si>
    <t>COS Mid Term - Flat 55 St Annes House - 14.02.2024</t>
  </si>
  <si>
    <t>COS Mid Term - 211 West, The Forge - 07.03.2024</t>
  </si>
  <si>
    <t>COS Mid Term - 420 Solstice Apartments - 09.03.2024</t>
  </si>
  <si>
    <t>006Nz000007k262IAA</t>
  </si>
  <si>
    <t>GREP-CoA Sanu Gupta and Ankita Gupta - Apt 207, Abbeville Apts, 37 London Rd, Barkin</t>
  </si>
  <si>
    <t>MID TERM COS 513 Tayleur 13/03/2024</t>
  </si>
  <si>
    <t>COS Mid Term - 111 The Tilt Works - 07.03.2024</t>
  </si>
  <si>
    <t>006Nz0000083DdeIAE</t>
  </si>
  <si>
    <t>GREP-CoA Twinkle Malhan &amp; Aditi Agrawal - 56 Nautilus Apts, 2 Norah Smyth Rd, London</t>
  </si>
  <si>
    <t>006Nz000008CgN6IAK</t>
  </si>
  <si>
    <t>GREP-CoA C.B. Contracts (NI) Ltd - 118 The Barnum, 23 Queens Road, Nottingham</t>
  </si>
  <si>
    <t>006Nz000008VJubIAG</t>
  </si>
  <si>
    <t>GREP-CoA Erika Vinuesa - 105, 5 Capital Quarter, Tyndall St., Cardiff</t>
  </si>
  <si>
    <t>006Nz000008avCrIAI</t>
  </si>
  <si>
    <t>GREP-CoA Ahmed Albalawi &amp; Hussah Alwegaisi - 818 The Barnum, 23 Queens Road, Nottingham</t>
  </si>
  <si>
    <t>006Nz000008bX5FIAU</t>
  </si>
  <si>
    <t>GREP-CoA Steve Rackley - Parking L25, Solstice Apts, Silbury Blvd</t>
  </si>
  <si>
    <t>006Nz000008qOMfIAM</t>
  </si>
  <si>
    <t>GREP-CoA Annabel Lee and Jakob Littlewood - Apt 149, Kings Dock Mill, Liverpool, L1</t>
  </si>
  <si>
    <t>006Nz000008tYKfIAM</t>
  </si>
  <si>
    <t>GREP-CoA Patrick Thomas - 4.17 MSCP, 5 Capital Quarter, Tyndall St,</t>
  </si>
  <si>
    <t>006Nz0000091BicIAE</t>
  </si>
  <si>
    <t>GREP-CoA Ruihua Yao &amp; Yafang Zheng - 69 Nautilus Apts, 2 Norah Smyth Rd, London</t>
  </si>
  <si>
    <t>006Nz00000923mIIAQ</t>
  </si>
  <si>
    <t>GREP-CoA Viktorija Trumpulyte &amp; Varsha Anil Kanitkar - 124 Nautilus Apts, 1 Jam Lane, London</t>
  </si>
  <si>
    <t>006Nz0000093pwsIAA</t>
  </si>
  <si>
    <t>GREP-CoA Abdulaziz Almegbel, Abdulaziz AlAskar. - 515 Enigma Square,  414 North Row, MK9 2GE</t>
  </si>
  <si>
    <t>006Nz0000097bk1IAA</t>
  </si>
  <si>
    <t>GREP-CoA Aidan Thwaites &amp; Kira Knight - 906, Halogen House, 217 Chapel St, Salford, M</t>
  </si>
  <si>
    <t>006Nz000009JIAcIAO</t>
  </si>
  <si>
    <t>GREP-CoA Alexandra Doherty - 305, Brook Place Apts, Sheffield,  S11 8BS</t>
  </si>
  <si>
    <t>006Nz000009PwN2IAK</t>
  </si>
  <si>
    <t>GREP-CoA Joshua Odekhian - 628 The Barnum, 23 Queens Road, Nottingham</t>
  </si>
  <si>
    <t>006Nz000009XFJFIA4</t>
  </si>
  <si>
    <t>GREP-CoA Christabel Momodu &amp; Agboola Galeeb - 17 Cable House, 2 Echo Walk, Newbury</t>
  </si>
  <si>
    <t>006Nz000009ZJfOIAW</t>
  </si>
  <si>
    <t>RENEWAL- 210 Syren- 15/06/2024</t>
  </si>
  <si>
    <t>006Nz000009fr9nIAA</t>
  </si>
  <si>
    <t>Renewal Car Parking 4 - Level 0  Halogen/Lamp 28/06/2024</t>
  </si>
  <si>
    <t>006Nz000009kFG1IAM</t>
  </si>
  <si>
    <t>Renewal Car Parking 18 - Level 0  Halogen/Lamp 01/07/2024</t>
  </si>
  <si>
    <t>006Nz000009llRKIAY</t>
  </si>
  <si>
    <t>GREP-CoA Qi Zhang - 1012, 5 Capital Quarter, Tyndall St., Cardiff</t>
  </si>
  <si>
    <t>006Nz000009oZVGIA2</t>
  </si>
  <si>
    <t>GREP-CoA Enze Gao - 626, Brook Place Apts, Sheffield,  S11 8DA</t>
  </si>
  <si>
    <t>006Nz000009qNhwIAE</t>
  </si>
  <si>
    <t>Renewal - 808, The Headline - 01/07/2024</t>
  </si>
  <si>
    <t>COS Mid Term - 1B Shillington Old School - 07.06.2024</t>
  </si>
  <si>
    <t>006Nz00000AY76AIAT</t>
  </si>
  <si>
    <t>GREP-CoA Ching Choi - Parking U3, Solstice Apts, Silbury Blvd</t>
  </si>
  <si>
    <t>006Nz00000AqWcPIAV</t>
  </si>
  <si>
    <t>COS Renewal - 301, Solstice Apts - 03/07/2024</t>
  </si>
  <si>
    <t>006Nz00000BHmZlIAL</t>
  </si>
  <si>
    <t>Renewal - Car Space 200, The Rock 10/07/2024</t>
  </si>
  <si>
    <t>006Nz00000D560WIAR</t>
  </si>
  <si>
    <t>GREP-CoA Belinda Achiamah - 205 The Condor, 1 Springwell Sq</t>
  </si>
  <si>
    <t>006Nz00000D5CNdIAN</t>
  </si>
  <si>
    <t>GREP-CoA Emanuel Domanski - 619 The Condor, 1 Springwell 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</si>
</sst>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119F16F5-A194-F347-977A-6253A3DA5AB6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7-16T12:40:48.21" personId="{119F16F5-A194-F347-977A-6253A3DA5AB6}" id="{165628AD-2AAF-E04E-B657-EADEF2837656}">
    <text>select id, name,tenancy_end_date__c,(select id from Renewals__r) from opportunity where tenancy_end_date__c &lt;= NEXT_90_DAYS and tenancy_end_date__c &gt;= today and Iswon = true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4EE58-B1D6-CE4B-A9CF-A503249BE9EE}">
  <dimension ref="A1:E214"/>
  <sheetViews>
    <sheetView tabSelected="1" workbookViewId="0">
      <pane ySplit="1" topLeftCell="A2" activePane="bottomLeft" state="frozen"/>
      <selection pane="bottomLeft"/>
    </sheetView>
  </sheetViews>
  <sheetFormatPr baseColWidth="10" defaultColWidth="13.33203125" defaultRowHeight="16" x14ac:dyDescent="0.2"/>
  <sheetData>
    <row r="1" spans="1:5" s="2" customFormat="1" x14ac:dyDescent="0.2">
      <c r="A1" s="2" t="s">
        <v>0</v>
      </c>
      <c r="B1" s="2" t="s">
        <v>1</v>
      </c>
      <c r="C1" s="2" t="s">
        <v>2</v>
      </c>
      <c r="D1" s="2" t="s">
        <v>2</v>
      </c>
      <c r="E1" s="2" t="s">
        <v>3</v>
      </c>
    </row>
    <row r="2" spans="1:5" x14ac:dyDescent="0.2">
      <c r="A2" t="s">
        <v>4</v>
      </c>
      <c r="B2" t="s">
        <v>234</v>
      </c>
      <c r="C2" s="3" t="str">
        <f>HYPERLINK("https://graingerplc.lightning.force.com/"&amp;B2,D2)</f>
        <v>GREP-CoA Adam Else - Parking  8 - Level 0, Gatehouse Apartments</v>
      </c>
      <c r="D2" t="s">
        <v>235</v>
      </c>
      <c r="E2" s="1">
        <v>45525</v>
      </c>
    </row>
    <row r="3" spans="1:5" x14ac:dyDescent="0.2">
      <c r="A3" t="s">
        <v>4</v>
      </c>
      <c r="B3" t="s">
        <v>410</v>
      </c>
      <c r="C3" s="3" t="str">
        <f t="shared" ref="C3:C66" si="0">HYPERLINK("https://graingerplc.lightning.force.com/"&amp;B3,D3)</f>
        <v>Renewal Car Parking 4 - Level 0  Halogen/Lamp 28/06/2024</v>
      </c>
      <c r="D3" t="s">
        <v>411</v>
      </c>
      <c r="E3" s="1">
        <v>45531</v>
      </c>
    </row>
    <row r="4" spans="1:5" x14ac:dyDescent="0.2">
      <c r="A4" t="s">
        <v>4</v>
      </c>
      <c r="B4" t="s">
        <v>61</v>
      </c>
      <c r="C4" s="3" t="str">
        <f t="shared" si="0"/>
        <v>£? to send-RENEWAL - Car space 337 The Rock - 06/09/2023</v>
      </c>
      <c r="D4" t="s">
        <v>62</v>
      </c>
      <c r="E4" s="1">
        <v>45541</v>
      </c>
    </row>
    <row r="5" spans="1:5" x14ac:dyDescent="0.2">
      <c r="A5" t="s">
        <v>4</v>
      </c>
      <c r="B5" t="s">
        <v>63</v>
      </c>
      <c r="C5" s="3" t="str">
        <f t="shared" si="0"/>
        <v>£? to send-RENEWAL - Car Space 89 The Rock - 06/09/2023</v>
      </c>
      <c r="D5" t="s">
        <v>64</v>
      </c>
      <c r="E5" s="1">
        <v>45541</v>
      </c>
    </row>
    <row r="6" spans="1:5" x14ac:dyDescent="0.2">
      <c r="A6" t="s">
        <v>4</v>
      </c>
      <c r="B6" t="s">
        <v>89</v>
      </c>
      <c r="C6" s="3" t="str">
        <f t="shared" si="0"/>
        <v>RENEWAL - Car Space 345 The Rock - 07.09.2023</v>
      </c>
      <c r="D6" t="s">
        <v>90</v>
      </c>
      <c r="E6" s="1">
        <v>45541</v>
      </c>
    </row>
    <row r="7" spans="1:5" x14ac:dyDescent="0.2">
      <c r="A7" t="s">
        <v>4</v>
      </c>
      <c r="B7" t="s">
        <v>91</v>
      </c>
      <c r="C7" s="3" t="str">
        <f t="shared" si="0"/>
        <v>RENEWAL - Car Space 347 The Rock - 07.09.2023</v>
      </c>
      <c r="D7" t="s">
        <v>92</v>
      </c>
      <c r="E7" s="1">
        <v>45541</v>
      </c>
    </row>
    <row r="8" spans="1:5" x14ac:dyDescent="0.2">
      <c r="A8" t="s">
        <v>4</v>
      </c>
      <c r="B8" t="s">
        <v>421</v>
      </c>
      <c r="C8" s="3" t="str">
        <f t="shared" si="0"/>
        <v>GREP-CoA Ching Choi - Parking U3, Solstice Apts, Silbury Blvd</v>
      </c>
      <c r="D8" t="s">
        <v>422</v>
      </c>
      <c r="E8" s="1">
        <v>45541</v>
      </c>
    </row>
    <row r="9" spans="1:5" x14ac:dyDescent="0.2">
      <c r="A9" t="s">
        <v>4</v>
      </c>
      <c r="B9" t="s">
        <v>224</v>
      </c>
      <c r="C9" s="3" t="str">
        <f t="shared" si="0"/>
        <v>GREP-CoA James Glover - Parking E12 Ambassador Apt , Salford M50</v>
      </c>
      <c r="D9" t="s">
        <v>225</v>
      </c>
      <c r="E9" s="1">
        <v>45542</v>
      </c>
    </row>
    <row r="10" spans="1:5" x14ac:dyDescent="0.2">
      <c r="A10" t="s">
        <v>4</v>
      </c>
      <c r="B10" t="s">
        <v>280</v>
      </c>
      <c r="C10" s="3" t="str">
        <f t="shared" si="0"/>
        <v>GREP-CoA Nikhil Paradkar - Parking E14 Ambassador Apt , Salford M50</v>
      </c>
      <c r="D10" t="s">
        <v>281</v>
      </c>
      <c r="E10" s="1">
        <v>45543</v>
      </c>
    </row>
    <row r="11" spans="1:5" x14ac:dyDescent="0.2">
      <c r="A11" t="s">
        <v>4</v>
      </c>
      <c r="B11" t="s">
        <v>85</v>
      </c>
      <c r="C11" s="3" t="str">
        <f t="shared" si="0"/>
        <v>RENEWAL - Parking bay 51 Adlay Apartments - 09.09.2023</v>
      </c>
      <c r="D11" t="s">
        <v>86</v>
      </c>
      <c r="E11" s="1">
        <v>45544</v>
      </c>
    </row>
    <row r="12" spans="1:5" x14ac:dyDescent="0.2">
      <c r="A12" t="s">
        <v>4</v>
      </c>
      <c r="B12" t="s">
        <v>425</v>
      </c>
      <c r="C12" s="3" t="str">
        <f t="shared" si="0"/>
        <v>Renewal - Car Space 200, The Rock 10/07/2024</v>
      </c>
      <c r="D12" t="s">
        <v>426</v>
      </c>
      <c r="E12" s="1">
        <v>45544</v>
      </c>
    </row>
    <row r="13" spans="1:5" x14ac:dyDescent="0.2">
      <c r="A13" t="s">
        <v>4</v>
      </c>
      <c r="B13" t="s">
        <v>75</v>
      </c>
      <c r="C13" s="3" t="str">
        <f t="shared" si="0"/>
        <v>to send-RENEWAL - Parking 26 Brook Place Apts - 13.09.2023</v>
      </c>
      <c r="D13" t="s">
        <v>76</v>
      </c>
      <c r="E13" s="1">
        <v>45548</v>
      </c>
    </row>
    <row r="14" spans="1:5" x14ac:dyDescent="0.2">
      <c r="A14" t="s">
        <v>4</v>
      </c>
      <c r="B14" t="s">
        <v>309</v>
      </c>
      <c r="C14" s="3" t="str">
        <f t="shared" si="0"/>
        <v>GREP-CoA Yunqian Zhang - Parking 14, Station View, Guildford</v>
      </c>
      <c r="D14" t="s">
        <v>310</v>
      </c>
      <c r="E14" s="1">
        <v>45548</v>
      </c>
    </row>
    <row r="15" spans="1:5" x14ac:dyDescent="0.2">
      <c r="A15" t="s">
        <v>4</v>
      </c>
      <c r="B15" t="s">
        <v>392</v>
      </c>
      <c r="C15" s="3" t="str">
        <f t="shared" si="0"/>
        <v>GREP-CoA Patrick Thomas - 4.17 MSCP, 5 Capital Quarter, Tyndall St,</v>
      </c>
      <c r="D15" t="s">
        <v>393</v>
      </c>
      <c r="E15" s="1">
        <v>45548</v>
      </c>
    </row>
    <row r="16" spans="1:5" x14ac:dyDescent="0.2">
      <c r="A16" t="s">
        <v>4</v>
      </c>
      <c r="B16" t="s">
        <v>71</v>
      </c>
      <c r="C16" s="3" t="str">
        <f t="shared" si="0"/>
        <v>to send-RENEWAL - Car Space 5, East Quarter, M4 7LB - 15.09.2023</v>
      </c>
      <c r="D16" t="s">
        <v>72</v>
      </c>
      <c r="E16" s="1">
        <v>45549</v>
      </c>
    </row>
    <row r="17" spans="1:5" x14ac:dyDescent="0.2">
      <c r="A17" t="s">
        <v>4</v>
      </c>
      <c r="B17" t="s">
        <v>321</v>
      </c>
      <c r="C17" s="3" t="str">
        <f t="shared" si="0"/>
        <v>GREP-CoA Mr Sebastian Brough - Parking  2 - Level 0</v>
      </c>
      <c r="D17" t="s">
        <v>322</v>
      </c>
      <c r="E17" s="1">
        <v>45549</v>
      </c>
    </row>
    <row r="18" spans="1:5" x14ac:dyDescent="0.2">
      <c r="A18" t="s">
        <v>4</v>
      </c>
      <c r="B18" t="s">
        <v>327</v>
      </c>
      <c r="C18" s="3" t="str">
        <f t="shared" si="0"/>
        <v>GREP-CoA Mr Madhav Seth - Parking L14, Solstice Apts, Silbury Blvd</v>
      </c>
      <c r="D18" t="s">
        <v>328</v>
      </c>
      <c r="E18" s="1">
        <v>45549</v>
      </c>
    </row>
    <row r="19" spans="1:5" x14ac:dyDescent="0.2">
      <c r="A19" t="s">
        <v>4</v>
      </c>
      <c r="B19" t="s">
        <v>388</v>
      </c>
      <c r="C19" s="3" t="str">
        <f t="shared" si="0"/>
        <v>GREP-CoA Steve Rackley - Parking L25, Solstice Apts, Silbury Blvd</v>
      </c>
      <c r="D19" t="s">
        <v>389</v>
      </c>
      <c r="E19" s="1">
        <v>45549</v>
      </c>
    </row>
    <row r="20" spans="1:5" x14ac:dyDescent="0.2">
      <c r="A20" t="s">
        <v>4</v>
      </c>
      <c r="B20" t="s">
        <v>216</v>
      </c>
      <c r="C20" s="3" t="str">
        <f t="shared" si="0"/>
        <v>GREP-CoA Catherine McBarnet - Car Parking 4 - Level 1  Neon</v>
      </c>
      <c r="D20" t="s">
        <v>217</v>
      </c>
      <c r="E20" s="1">
        <v>45551</v>
      </c>
    </row>
    <row r="21" spans="1:5" x14ac:dyDescent="0.2">
      <c r="A21" t="s">
        <v>4</v>
      </c>
      <c r="B21" t="s">
        <v>83</v>
      </c>
      <c r="C21" s="3" t="str">
        <f t="shared" si="0"/>
        <v>RENEWAL - Parking 96 Hawkins and George - 16.09.2023</v>
      </c>
      <c r="D21" t="s">
        <v>84</v>
      </c>
      <c r="E21" s="1">
        <v>45552</v>
      </c>
    </row>
    <row r="22" spans="1:5" x14ac:dyDescent="0.2">
      <c r="A22" t="s">
        <v>4</v>
      </c>
      <c r="B22" t="s">
        <v>290</v>
      </c>
      <c r="C22" s="3" t="str">
        <f t="shared" si="0"/>
        <v>GREP-CoA Zowie King - Parking 16 Brook Place Apts,  Sheffield,  S11</v>
      </c>
      <c r="D22" t="s">
        <v>291</v>
      </c>
      <c r="E22" s="1">
        <v>45552</v>
      </c>
    </row>
    <row r="23" spans="1:5" x14ac:dyDescent="0.2">
      <c r="A23" t="s">
        <v>4</v>
      </c>
      <c r="B23" t="s">
        <v>311</v>
      </c>
      <c r="C23" s="3" t="str">
        <f t="shared" si="0"/>
        <v>GREP-CoA Alexandra Bosworth - Parking E18 Ambassador Apt , Salford M50</v>
      </c>
      <c r="D23" t="s">
        <v>312</v>
      </c>
      <c r="E23" s="1">
        <v>45552</v>
      </c>
    </row>
    <row r="24" spans="1:5" x14ac:dyDescent="0.2">
      <c r="A24" t="s">
        <v>4</v>
      </c>
      <c r="B24" t="s">
        <v>315</v>
      </c>
      <c r="C24" s="3" t="str">
        <f t="shared" si="0"/>
        <v>GREP-CoA Kai Lai Dora Lui - Car Parking 32 - Level 0  Halogen/Lamp</v>
      </c>
      <c r="D24" t="s">
        <v>316</v>
      </c>
      <c r="E24" s="1">
        <v>45552</v>
      </c>
    </row>
    <row r="25" spans="1:5" x14ac:dyDescent="0.2">
      <c r="A25" t="s">
        <v>4</v>
      </c>
      <c r="B25" t="s">
        <v>319</v>
      </c>
      <c r="C25" s="3" t="str">
        <f t="shared" si="0"/>
        <v>GREP-CoA Luana Defourny - Parking  28 - Level 0</v>
      </c>
      <c r="D25" t="s">
        <v>320</v>
      </c>
      <c r="E25" s="1">
        <v>45552</v>
      </c>
    </row>
    <row r="26" spans="1:5" x14ac:dyDescent="0.2">
      <c r="A26" t="s">
        <v>4</v>
      </c>
      <c r="B26" t="s">
        <v>325</v>
      </c>
      <c r="C26" s="3" t="str">
        <f t="shared" si="0"/>
        <v>GREP-CoA Charlie Griffiths - Parking  35 - Level 0</v>
      </c>
      <c r="D26" t="s">
        <v>326</v>
      </c>
      <c r="E26" s="1">
        <v>45552</v>
      </c>
    </row>
    <row r="27" spans="1:5" x14ac:dyDescent="0.2">
      <c r="A27" t="s">
        <v>4</v>
      </c>
      <c r="B27" t="s">
        <v>69</v>
      </c>
      <c r="C27" s="3" t="str">
        <f t="shared" si="0"/>
        <v>C1 26/07-RENEWAL- Car Space 14, Ancoats, M4 6BZ - 20.09.2023</v>
      </c>
      <c r="D27" t="s">
        <v>70</v>
      </c>
      <c r="E27" s="1">
        <v>45554</v>
      </c>
    </row>
    <row r="28" spans="1:5" x14ac:dyDescent="0.2">
      <c r="A28" t="s">
        <v>4</v>
      </c>
      <c r="B28" t="s">
        <v>93</v>
      </c>
      <c r="C28" s="3" t="str">
        <f t="shared" si="0"/>
        <v>to send-RENEWAL - Car Parking 8 - Level 1 Neon - 19.09.2023</v>
      </c>
      <c r="D28" t="s">
        <v>94</v>
      </c>
      <c r="E28" s="1">
        <v>45554</v>
      </c>
    </row>
    <row r="29" spans="1:5" x14ac:dyDescent="0.2">
      <c r="A29" t="s">
        <v>4</v>
      </c>
      <c r="B29" t="s">
        <v>214</v>
      </c>
      <c r="C29" s="3" t="str">
        <f t="shared" si="0"/>
        <v>GREP-CoA Eve Marley &amp; Eleanor James - Car Space 4(60), New Islington, M4 6BY</v>
      </c>
      <c r="D29" t="s">
        <v>215</v>
      </c>
      <c r="E29" s="1">
        <v>45554</v>
      </c>
    </row>
    <row r="30" spans="1:5" x14ac:dyDescent="0.2">
      <c r="A30" t="s">
        <v>4</v>
      </c>
      <c r="B30" t="s">
        <v>317</v>
      </c>
      <c r="C30" s="3" t="str">
        <f t="shared" si="0"/>
        <v>GREP-CoA Katie Allen &amp; Ryan Williams - Car Park Space 6 Dove Road, London, N1 3GE</v>
      </c>
      <c r="D30" t="s">
        <v>318</v>
      </c>
      <c r="E30" s="1">
        <v>45554</v>
      </c>
    </row>
    <row r="31" spans="1:5" x14ac:dyDescent="0.2">
      <c r="A31" t="s">
        <v>4</v>
      </c>
      <c r="B31" t="s">
        <v>427</v>
      </c>
      <c r="C31" s="3" t="str">
        <f t="shared" si="0"/>
        <v>GREP-CoA Belinda Achiamah - 205 The Condor, 1 Springwell Sq</v>
      </c>
      <c r="D31" t="s">
        <v>428</v>
      </c>
      <c r="E31" s="1">
        <v>45561</v>
      </c>
    </row>
    <row r="32" spans="1:5" x14ac:dyDescent="0.2">
      <c r="A32" t="s">
        <v>4</v>
      </c>
      <c r="B32" t="s">
        <v>429</v>
      </c>
      <c r="C32" s="3" t="str">
        <f t="shared" si="0"/>
        <v>GREP-CoA Emanuel Domanski - 619 The Condor, 1 Springwell Sq</v>
      </c>
      <c r="D32" t="s">
        <v>430</v>
      </c>
      <c r="E32" s="1">
        <v>45561</v>
      </c>
    </row>
    <row r="33" spans="1:5" x14ac:dyDescent="0.2">
      <c r="A33" t="s">
        <v>4</v>
      </c>
      <c r="B33" t="s">
        <v>5</v>
      </c>
      <c r="C33" s="3" t="str">
        <f t="shared" si="0"/>
        <v>RENEWAL - 26 Hereford Drive - 01.10.2021</v>
      </c>
      <c r="D33" t="s">
        <v>6</v>
      </c>
      <c r="E33" s="1">
        <v>45565</v>
      </c>
    </row>
    <row r="34" spans="1:5" x14ac:dyDescent="0.2">
      <c r="A34" t="s">
        <v>4</v>
      </c>
      <c r="B34" t="s">
        <v>11</v>
      </c>
      <c r="C34" s="3" t="str">
        <f t="shared" si="0"/>
        <v>GREP-CoA Jaleesa Burgess - 307 Aster Apts 822 Seven Sisters Rd London N1</v>
      </c>
      <c r="D34" t="s">
        <v>12</v>
      </c>
      <c r="E34" s="1">
        <v>45565</v>
      </c>
    </row>
    <row r="35" spans="1:5" x14ac:dyDescent="0.2">
      <c r="A35" t="s">
        <v>4</v>
      </c>
      <c r="B35" t="s">
        <v>19</v>
      </c>
      <c r="C35" s="3" t="str">
        <f t="shared" si="0"/>
        <v>GREP-CoA Haya Tuz-Zahra - Car Parking 11 - Level 1  Neon</v>
      </c>
      <c r="D35" t="s">
        <v>20</v>
      </c>
      <c r="E35" s="1">
        <v>45565</v>
      </c>
    </row>
    <row r="36" spans="1:5" x14ac:dyDescent="0.2">
      <c r="A36" t="s">
        <v>4</v>
      </c>
      <c r="B36" t="s">
        <v>21</v>
      </c>
      <c r="C36" s="3" t="str">
        <f t="shared" si="0"/>
        <v>RENEWAL - Flat 25 Eagle House - 30.09.2022</v>
      </c>
      <c r="D36" t="s">
        <v>22</v>
      </c>
      <c r="E36" s="1">
        <v>45565</v>
      </c>
    </row>
    <row r="37" spans="1:5" x14ac:dyDescent="0.2">
      <c r="A37" t="s">
        <v>4</v>
      </c>
      <c r="B37" t="s">
        <v>43</v>
      </c>
      <c r="C37" s="3" t="str">
        <f t="shared" si="0"/>
        <v>GREP-CoA Jonathan Strain - 716 Enigma Square,  414 North Row, MK9 2GE</v>
      </c>
      <c r="D37" t="s">
        <v>44</v>
      </c>
      <c r="E37" s="1">
        <v>45565</v>
      </c>
    </row>
    <row r="38" spans="1:5" x14ac:dyDescent="0.2">
      <c r="A38" t="s">
        <v>4</v>
      </c>
      <c r="B38" t="s">
        <v>47</v>
      </c>
      <c r="C38" s="3" t="str">
        <f t="shared" si="0"/>
        <v>posted-RENEWAL- 6 South View-01/10/2023</v>
      </c>
      <c r="D38" t="s">
        <v>48</v>
      </c>
      <c r="E38" s="1">
        <v>45565</v>
      </c>
    </row>
    <row r="39" spans="1:5" x14ac:dyDescent="0.2">
      <c r="A39" t="s">
        <v>4</v>
      </c>
      <c r="B39" t="s">
        <v>49</v>
      </c>
      <c r="C39" s="3" t="str">
        <f t="shared" si="0"/>
        <v>RENEWAL- 5 Brierley Green-01/10/2023</v>
      </c>
      <c r="D39" t="s">
        <v>50</v>
      </c>
      <c r="E39" s="1">
        <v>45565</v>
      </c>
    </row>
    <row r="40" spans="1:5" x14ac:dyDescent="0.2">
      <c r="A40" t="s">
        <v>4</v>
      </c>
      <c r="B40" t="s">
        <v>51</v>
      </c>
      <c r="C40" s="3" t="str">
        <f t="shared" si="0"/>
        <v>C2 17/08-RENEWAL- Car Space 31 Ancoats- 01/10/2023</v>
      </c>
      <c r="D40" t="s">
        <v>52</v>
      </c>
      <c r="E40" s="1">
        <v>45565</v>
      </c>
    </row>
    <row r="41" spans="1:5" x14ac:dyDescent="0.2">
      <c r="A41" t="s">
        <v>4</v>
      </c>
      <c r="B41" t="s">
        <v>53</v>
      </c>
      <c r="C41" s="3" t="str">
        <f t="shared" si="0"/>
        <v>RENEWAL - Parking D9 Torrens -  01/10/2023</v>
      </c>
      <c r="D41" t="s">
        <v>54</v>
      </c>
      <c r="E41" s="1">
        <v>45565</v>
      </c>
    </row>
    <row r="42" spans="1:5" x14ac:dyDescent="0.2">
      <c r="A42" t="s">
        <v>4</v>
      </c>
      <c r="B42" t="s">
        <v>55</v>
      </c>
      <c r="C42" s="3" t="str">
        <f t="shared" si="0"/>
        <v>LBA - RENEWAL - 212 The Headline - 01.10.2023</v>
      </c>
      <c r="D42" t="s">
        <v>56</v>
      </c>
      <c r="E42" s="1">
        <v>45565</v>
      </c>
    </row>
    <row r="43" spans="1:5" x14ac:dyDescent="0.2">
      <c r="A43" t="s">
        <v>4</v>
      </c>
      <c r="B43" t="s">
        <v>57</v>
      </c>
      <c r="C43" s="3" t="str">
        <f t="shared" si="0"/>
        <v>RENEWAL - 35 Bishops Court - 01.10.2023</v>
      </c>
      <c r="D43" t="s">
        <v>58</v>
      </c>
      <c r="E43" s="1">
        <v>45565</v>
      </c>
    </row>
    <row r="44" spans="1:5" x14ac:dyDescent="0.2">
      <c r="A44" t="s">
        <v>4</v>
      </c>
      <c r="B44" t="s">
        <v>59</v>
      </c>
      <c r="C44" s="3" t="str">
        <f t="shared" si="0"/>
        <v>Renewal - 32 The Gardens, HFF,Flat 3 - 01/10/2023</v>
      </c>
      <c r="D44" t="s">
        <v>60</v>
      </c>
      <c r="E44" s="1">
        <v>45565</v>
      </c>
    </row>
    <row r="45" spans="1:5" x14ac:dyDescent="0.2">
      <c r="A45" t="s">
        <v>4</v>
      </c>
      <c r="B45" t="s">
        <v>73</v>
      </c>
      <c r="C45" s="3" t="str">
        <f t="shared" si="0"/>
        <v>RENEWAL - Parking 13 Brook Place Apts - 29.09.2023</v>
      </c>
      <c r="D45" t="s">
        <v>74</v>
      </c>
      <c r="E45" s="1">
        <v>45565</v>
      </c>
    </row>
    <row r="46" spans="1:5" x14ac:dyDescent="0.2">
      <c r="A46" t="s">
        <v>4</v>
      </c>
      <c r="B46" t="s">
        <v>77</v>
      </c>
      <c r="C46" s="3" t="str">
        <f t="shared" si="0"/>
        <v>RENEWAL- 34, Bishopscourt - 30.09.2023</v>
      </c>
      <c r="D46" t="s">
        <v>78</v>
      </c>
      <c r="E46" s="1">
        <v>45565</v>
      </c>
    </row>
    <row r="47" spans="1:5" x14ac:dyDescent="0.2">
      <c r="A47" t="s">
        <v>4</v>
      </c>
      <c r="B47" t="s">
        <v>79</v>
      </c>
      <c r="C47" s="3" t="str">
        <f t="shared" si="0"/>
        <v>RENEWAL - Parking E16 Ambassador Apt - 01/10/2023</v>
      </c>
      <c r="D47" t="s">
        <v>80</v>
      </c>
      <c r="E47" s="1">
        <v>45565</v>
      </c>
    </row>
    <row r="48" spans="1:5" x14ac:dyDescent="0.2">
      <c r="A48" t="s">
        <v>4</v>
      </c>
      <c r="B48" t="s">
        <v>81</v>
      </c>
      <c r="C48" s="3" t="str">
        <f t="shared" si="0"/>
        <v>to send-RENEWAL - Parking E3 Ambassador Apt - 30.09.2023</v>
      </c>
      <c r="D48" t="s">
        <v>82</v>
      </c>
      <c r="E48" s="1">
        <v>45565</v>
      </c>
    </row>
    <row r="49" spans="1:5" x14ac:dyDescent="0.2">
      <c r="A49" t="s">
        <v>4</v>
      </c>
      <c r="B49" t="s">
        <v>87</v>
      </c>
      <c r="C49" s="3" t="str">
        <f t="shared" si="0"/>
        <v>Renewal- Car Space 80, The Rock, Bury, BL9 - 30/09/23</v>
      </c>
      <c r="D49" t="s">
        <v>88</v>
      </c>
      <c r="E49" s="1">
        <v>45565</v>
      </c>
    </row>
    <row r="50" spans="1:5" x14ac:dyDescent="0.2">
      <c r="A50" t="s">
        <v>4</v>
      </c>
      <c r="B50" t="s">
        <v>95</v>
      </c>
      <c r="C50" s="3" t="str">
        <f t="shared" si="0"/>
        <v>Renewal - Shed 29, Tait Sheds - 01/08/2023</v>
      </c>
      <c r="D50" t="s">
        <v>96</v>
      </c>
      <c r="E50" s="1">
        <v>45565</v>
      </c>
    </row>
    <row r="51" spans="1:5" x14ac:dyDescent="0.2">
      <c r="A51" t="s">
        <v>4</v>
      </c>
      <c r="B51" t="s">
        <v>98</v>
      </c>
      <c r="C51" s="3" t="str">
        <f t="shared" si="0"/>
        <v>Renewal - 8, 110 The Rock, Bury, BL9 - 30/09/23</v>
      </c>
      <c r="D51" t="s">
        <v>99</v>
      </c>
      <c r="E51" s="1">
        <v>45565</v>
      </c>
    </row>
    <row r="52" spans="1:5" x14ac:dyDescent="0.2">
      <c r="A52" t="s">
        <v>4</v>
      </c>
      <c r="B52" t="s">
        <v>100</v>
      </c>
      <c r="C52" s="3" t="str">
        <f t="shared" si="0"/>
        <v>RENEWAL - 1706 Neon House - 30.09.2023</v>
      </c>
      <c r="D52" t="s">
        <v>101</v>
      </c>
      <c r="E52" s="1">
        <v>45565</v>
      </c>
    </row>
    <row r="53" spans="1:5" x14ac:dyDescent="0.2">
      <c r="A53" t="s">
        <v>4</v>
      </c>
      <c r="B53" t="s">
        <v>220</v>
      </c>
      <c r="C53" s="3" t="str">
        <f t="shared" si="0"/>
        <v>GREP-CoA Tijo Thomas &amp; Manju Wilson - 31, East Quarter, 2 Ridgway Street, M4 7LB</v>
      </c>
      <c r="D53" t="s">
        <v>221</v>
      </c>
      <c r="E53" s="1">
        <v>45565</v>
      </c>
    </row>
    <row r="54" spans="1:5" x14ac:dyDescent="0.2">
      <c r="A54" t="s">
        <v>4</v>
      </c>
      <c r="B54" t="s">
        <v>222</v>
      </c>
      <c r="C54" s="3" t="str">
        <f t="shared" si="0"/>
        <v>LBA1 22/08- Renewal - 607 Torrens - 01/10/202/3</v>
      </c>
      <c r="D54" t="s">
        <v>223</v>
      </c>
      <c r="E54" s="1">
        <v>45565</v>
      </c>
    </row>
    <row r="55" spans="1:5" x14ac:dyDescent="0.2">
      <c r="A55" t="s">
        <v>4</v>
      </c>
      <c r="B55" t="s">
        <v>226</v>
      </c>
      <c r="C55" s="3" t="str">
        <f t="shared" si="0"/>
        <v>GREP-CoA Fatimah Abubshait - 909, The Headline, Wellington Park Way, Leeds</v>
      </c>
      <c r="D55" t="s">
        <v>227</v>
      </c>
      <c r="E55" s="1">
        <v>45565</v>
      </c>
    </row>
    <row r="56" spans="1:5" x14ac:dyDescent="0.2">
      <c r="A56" t="s">
        <v>4</v>
      </c>
      <c r="B56" t="s">
        <v>228</v>
      </c>
      <c r="C56" s="3" t="str">
        <f t="shared" si="0"/>
        <v>GREP-CoA Luisa Mejia &amp; Simon Willis - 901, Lamp House, 215 Chapel St, Salford, M3 5</v>
      </c>
      <c r="D56" t="s">
        <v>229</v>
      </c>
      <c r="E56" s="1">
        <v>45565</v>
      </c>
    </row>
    <row r="57" spans="1:5" x14ac:dyDescent="0.2">
      <c r="A57" t="s">
        <v>4</v>
      </c>
      <c r="B57" t="s">
        <v>232</v>
      </c>
      <c r="C57" s="3" t="str">
        <f t="shared" si="0"/>
        <v>Awaiting EICR RENEWAL- 714 Torrens - 30/09/2023</v>
      </c>
      <c r="D57" t="s">
        <v>233</v>
      </c>
      <c r="E57" s="1">
        <v>45565</v>
      </c>
    </row>
    <row r="58" spans="1:5" x14ac:dyDescent="0.2">
      <c r="A58" t="s">
        <v>4</v>
      </c>
      <c r="B58" t="s">
        <v>264</v>
      </c>
      <c r="C58" s="3" t="str">
        <f t="shared" si="0"/>
        <v>COS @ Renewal - 23 The Gardens, FF - 01/10/2023</v>
      </c>
      <c r="D58" t="s">
        <v>265</v>
      </c>
      <c r="E58" s="1">
        <v>45565</v>
      </c>
    </row>
    <row r="59" spans="1:5" x14ac:dyDescent="0.2">
      <c r="A59" t="s">
        <v>4</v>
      </c>
      <c r="B59" t="s">
        <v>303</v>
      </c>
      <c r="C59" s="3" t="str">
        <f t="shared" si="0"/>
        <v>Simon Combstock - Garage 4 White Rock - QUBE</v>
      </c>
      <c r="D59" t="s">
        <v>304</v>
      </c>
      <c r="E59" s="1">
        <v>45565</v>
      </c>
    </row>
    <row r="60" spans="1:5" x14ac:dyDescent="0.2">
      <c r="A60" t="s">
        <v>4</v>
      </c>
      <c r="B60" t="s">
        <v>329</v>
      </c>
      <c r="C60" s="3" t="str">
        <f t="shared" si="0"/>
        <v>GREP-CoA Muhammad Iqbal - Parking Bay 1, Abbeville Apts, 37 London Rd,</v>
      </c>
      <c r="D60" t="s">
        <v>330</v>
      </c>
      <c r="E60" s="1">
        <v>45565</v>
      </c>
    </row>
    <row r="61" spans="1:5" x14ac:dyDescent="0.2">
      <c r="A61" t="s">
        <v>4</v>
      </c>
      <c r="B61" t="s">
        <v>331</v>
      </c>
      <c r="C61" s="3" t="str">
        <f t="shared" si="0"/>
        <v>GREP-CoA James Wilkinson - Parking Space 14 Shillington Old School</v>
      </c>
      <c r="D61" t="s">
        <v>332</v>
      </c>
      <c r="E61" s="1">
        <v>45565</v>
      </c>
    </row>
    <row r="62" spans="1:5" x14ac:dyDescent="0.2">
      <c r="A62" t="s">
        <v>4</v>
      </c>
      <c r="B62" t="s">
        <v>333</v>
      </c>
      <c r="C62" s="3" t="str">
        <f t="shared" si="0"/>
        <v>GREP-CoA Rebecca Whitley - Parking Space 13 Shillington Old School</v>
      </c>
      <c r="D62" t="s">
        <v>334</v>
      </c>
      <c r="E62" s="1">
        <v>45565</v>
      </c>
    </row>
    <row r="63" spans="1:5" x14ac:dyDescent="0.2">
      <c r="A63" t="s">
        <v>4</v>
      </c>
      <c r="B63" t="s">
        <v>335</v>
      </c>
      <c r="C63" s="3" t="str">
        <f t="shared" si="0"/>
        <v>GREP-CoA Charles Benyon - Parking Space 12 Shillington Old School</v>
      </c>
      <c r="D63" t="s">
        <v>336</v>
      </c>
      <c r="E63" s="1">
        <v>45565</v>
      </c>
    </row>
    <row r="64" spans="1:5" x14ac:dyDescent="0.2">
      <c r="A64" t="s">
        <v>4</v>
      </c>
      <c r="B64" t="s">
        <v>337</v>
      </c>
      <c r="C64" s="3" t="str">
        <f t="shared" si="0"/>
        <v>GREP-CoA Alex Hamilton - Parking Space 17 Shillington Old School</v>
      </c>
      <c r="D64" t="s">
        <v>338</v>
      </c>
      <c r="E64" s="1">
        <v>45565</v>
      </c>
    </row>
    <row r="65" spans="1:5" x14ac:dyDescent="0.2">
      <c r="A65" t="s">
        <v>4</v>
      </c>
      <c r="B65" t="s">
        <v>346</v>
      </c>
      <c r="C65" s="3" t="str">
        <f t="shared" si="0"/>
        <v>GREP-CoA Jason Ngan - Car Space 164, The Rock, Bury, BL9</v>
      </c>
      <c r="D65" t="s">
        <v>347</v>
      </c>
      <c r="E65" s="1">
        <v>45565</v>
      </c>
    </row>
    <row r="66" spans="1:5" x14ac:dyDescent="0.2">
      <c r="A66" t="s">
        <v>4</v>
      </c>
      <c r="B66" t="s">
        <v>97</v>
      </c>
      <c r="C66" s="3" t="str">
        <f t="shared" si="0"/>
        <v>Mid COS- 817 Torrens 01/12/2023</v>
      </c>
      <c r="D66" t="s">
        <v>363</v>
      </c>
      <c r="E66" s="1">
        <v>45565</v>
      </c>
    </row>
    <row r="67" spans="1:5" x14ac:dyDescent="0.2">
      <c r="A67" t="s">
        <v>4</v>
      </c>
      <c r="B67" t="s">
        <v>382</v>
      </c>
      <c r="C67" s="3" t="str">
        <f t="shared" ref="C67:C130" si="1">HYPERLINK("https://graingerplc.lightning.force.com/"&amp;B67,D67)</f>
        <v>GREP-CoA C.B. Contracts (NI) Ltd - 118 The Barnum, 23 Queens Road, Nottingham</v>
      </c>
      <c r="D67" t="s">
        <v>383</v>
      </c>
      <c r="E67" s="1">
        <v>45565</v>
      </c>
    </row>
    <row r="68" spans="1:5" x14ac:dyDescent="0.2">
      <c r="A68" t="s">
        <v>4</v>
      </c>
      <c r="B68" t="s">
        <v>384</v>
      </c>
      <c r="C68" s="3" t="str">
        <f t="shared" si="1"/>
        <v>GREP-CoA Erika Vinuesa - 105, 5 Capital Quarter, Tyndall St., Cardiff</v>
      </c>
      <c r="D68" t="s">
        <v>385</v>
      </c>
      <c r="E68" s="1">
        <v>45565</v>
      </c>
    </row>
    <row r="69" spans="1:5" x14ac:dyDescent="0.2">
      <c r="A69" t="s">
        <v>4</v>
      </c>
      <c r="B69" t="s">
        <v>390</v>
      </c>
      <c r="C69" s="3" t="str">
        <f t="shared" si="1"/>
        <v>GREP-CoA Annabel Lee and Jakob Littlewood - Apt 149, Kings Dock Mill, Liverpool, L1</v>
      </c>
      <c r="D69" t="s">
        <v>391</v>
      </c>
      <c r="E69" s="1">
        <v>45565</v>
      </c>
    </row>
    <row r="70" spans="1:5" x14ac:dyDescent="0.2">
      <c r="A70" t="s">
        <v>4</v>
      </c>
      <c r="B70" t="s">
        <v>412</v>
      </c>
      <c r="C70" s="3" t="str">
        <f t="shared" si="1"/>
        <v>Renewal Car Parking 18 - Level 0  Halogen/Lamp 01/07/2024</v>
      </c>
      <c r="D70" t="s">
        <v>413</v>
      </c>
      <c r="E70" s="1">
        <v>45565</v>
      </c>
    </row>
    <row r="71" spans="1:5" x14ac:dyDescent="0.2">
      <c r="A71" t="s">
        <v>4</v>
      </c>
      <c r="B71" t="s">
        <v>418</v>
      </c>
      <c r="C71" s="3" t="str">
        <f t="shared" si="1"/>
        <v>Renewal - 808, The Headline - 01/07/2024</v>
      </c>
      <c r="D71" t="s">
        <v>419</v>
      </c>
      <c r="E71" s="1">
        <v>45565</v>
      </c>
    </row>
    <row r="72" spans="1:5" x14ac:dyDescent="0.2">
      <c r="A72" t="s">
        <v>4</v>
      </c>
      <c r="B72" t="s">
        <v>17</v>
      </c>
      <c r="C72" s="3" t="str">
        <f t="shared" si="1"/>
        <v>GREP-CoA Mozart Fiuza Diniz &amp; Kely Rufino - 124 Argo Apts,4 Silvertown Way,London,E16 1YD</v>
      </c>
      <c r="D72" t="s">
        <v>18</v>
      </c>
      <c r="E72" s="1">
        <v>45566</v>
      </c>
    </row>
    <row r="73" spans="1:5" x14ac:dyDescent="0.2">
      <c r="A73" t="s">
        <v>4</v>
      </c>
      <c r="B73" t="s">
        <v>298</v>
      </c>
      <c r="C73" s="3" t="str">
        <f t="shared" si="1"/>
        <v>GREP-CoA Antony Collins - Parking 30, Station View, Guildford</v>
      </c>
      <c r="D73" t="s">
        <v>299</v>
      </c>
      <c r="E73" s="1">
        <v>45566</v>
      </c>
    </row>
    <row r="74" spans="1:5" x14ac:dyDescent="0.2">
      <c r="A74" t="s">
        <v>4</v>
      </c>
      <c r="B74" t="s">
        <v>102</v>
      </c>
      <c r="C74" s="3" t="str">
        <f t="shared" si="1"/>
        <v>RENEWAL-1203, Neon House-03/10/2023</v>
      </c>
      <c r="D74" t="s">
        <v>103</v>
      </c>
      <c r="E74" s="1">
        <v>45567</v>
      </c>
    </row>
    <row r="75" spans="1:5" x14ac:dyDescent="0.2">
      <c r="A75" t="s">
        <v>4</v>
      </c>
      <c r="B75" t="s">
        <v>104</v>
      </c>
      <c r="C75" s="3" t="str">
        <f t="shared" si="1"/>
        <v>RENEWAL-3 Theobald House-03.10.2023</v>
      </c>
      <c r="D75" t="s">
        <v>105</v>
      </c>
      <c r="E75" s="1">
        <v>45567</v>
      </c>
    </row>
    <row r="76" spans="1:5" x14ac:dyDescent="0.2">
      <c r="A76" t="s">
        <v>4</v>
      </c>
      <c r="B76" t="s">
        <v>106</v>
      </c>
      <c r="C76" s="3" t="str">
        <f t="shared" si="1"/>
        <v>RENEWAL-14, Gilders Yard-3/10/23</v>
      </c>
      <c r="D76" t="s">
        <v>107</v>
      </c>
      <c r="E76" s="1">
        <v>45567</v>
      </c>
    </row>
    <row r="77" spans="1:5" x14ac:dyDescent="0.2">
      <c r="A77" t="s">
        <v>4</v>
      </c>
      <c r="B77" t="s">
        <v>108</v>
      </c>
      <c r="C77" s="3" t="str">
        <f t="shared" si="1"/>
        <v>On Hold Arrears - RENEWAL-120, Gilders Yard,-3.10.23</v>
      </c>
      <c r="D77" t="s">
        <v>109</v>
      </c>
      <c r="E77" s="1">
        <v>45567</v>
      </c>
    </row>
    <row r="78" spans="1:5" x14ac:dyDescent="0.2">
      <c r="A78" t="s">
        <v>4</v>
      </c>
      <c r="B78" t="s">
        <v>110</v>
      </c>
      <c r="C78" s="3" t="str">
        <f t="shared" si="1"/>
        <v>RENEWAL- 28 Bradbury Apt-3/10/2023</v>
      </c>
      <c r="D78" t="s">
        <v>111</v>
      </c>
      <c r="E78" s="1">
        <v>45567</v>
      </c>
    </row>
    <row r="79" spans="1:5" x14ac:dyDescent="0.2">
      <c r="A79" t="s">
        <v>4</v>
      </c>
      <c r="B79" t="s">
        <v>248</v>
      </c>
      <c r="C79" s="3" t="str">
        <f t="shared" si="1"/>
        <v>GREP-CoA Florence Corp - 30 The Gardens,GF Rear, London SE22 9QF</v>
      </c>
      <c r="D79" t="s">
        <v>249</v>
      </c>
      <c r="E79" s="1">
        <v>45567</v>
      </c>
    </row>
    <row r="80" spans="1:5" x14ac:dyDescent="0.2">
      <c r="A80" t="s">
        <v>4</v>
      </c>
      <c r="B80" t="s">
        <v>348</v>
      </c>
      <c r="C80" s="3" t="str">
        <f t="shared" si="1"/>
        <v>GREP-CoA Elizabeth Jobson - Flat 4, St Annes Hs, Buckingham Plc, BN1 3Q</v>
      </c>
      <c r="D80" t="s">
        <v>349</v>
      </c>
      <c r="E80" s="1">
        <v>45567</v>
      </c>
    </row>
    <row r="81" spans="1:5" x14ac:dyDescent="0.2">
      <c r="A81" t="s">
        <v>4</v>
      </c>
      <c r="B81" t="s">
        <v>352</v>
      </c>
      <c r="C81" s="3" t="str">
        <f t="shared" si="1"/>
        <v>GREP-CoA Mears Ltd - 12 Ext Parking 82 Upper Allen St, Sheffield</v>
      </c>
      <c r="D81" t="s">
        <v>353</v>
      </c>
      <c r="E81" s="1">
        <v>45567</v>
      </c>
    </row>
    <row r="82" spans="1:5" x14ac:dyDescent="0.2">
      <c r="A82" t="s">
        <v>4</v>
      </c>
      <c r="B82" t="s">
        <v>364</v>
      </c>
      <c r="C82" s="3" t="str">
        <f t="shared" si="1"/>
        <v>Renewal 48, Gilders Yard - 03/04/2024</v>
      </c>
      <c r="D82" t="s">
        <v>365</v>
      </c>
      <c r="E82" s="1">
        <v>45567</v>
      </c>
    </row>
    <row r="83" spans="1:5" x14ac:dyDescent="0.2">
      <c r="A83" t="s">
        <v>4</v>
      </c>
      <c r="B83" t="s">
        <v>369</v>
      </c>
      <c r="C83" s="3" t="str">
        <f t="shared" si="1"/>
        <v>GREP-CoA Akira Sarodo &amp; Saki Takao - 431 The Barnum, 23 Queens Road, Nottingham</v>
      </c>
      <c r="D83" t="s">
        <v>370</v>
      </c>
      <c r="E83" s="1">
        <v>45567</v>
      </c>
    </row>
    <row r="84" spans="1:5" x14ac:dyDescent="0.2">
      <c r="A84" t="s">
        <v>4</v>
      </c>
      <c r="B84" t="s">
        <v>376</v>
      </c>
      <c r="C84" s="3" t="str">
        <f t="shared" si="1"/>
        <v>GREP-CoA Sanu Gupta and Ankita Gupta - Apt 207, Abbeville Apts, 37 London Rd, Barkin</v>
      </c>
      <c r="D84" t="s">
        <v>377</v>
      </c>
      <c r="E84" s="1">
        <v>45567</v>
      </c>
    </row>
    <row r="85" spans="1:5" x14ac:dyDescent="0.2">
      <c r="A85" t="s">
        <v>4</v>
      </c>
      <c r="B85" t="s">
        <v>423</v>
      </c>
      <c r="C85" s="3" t="str">
        <f t="shared" si="1"/>
        <v>COS Renewal - 301, Solstice Apts - 03/07/2024</v>
      </c>
      <c r="D85" t="s">
        <v>424</v>
      </c>
      <c r="E85" s="1">
        <v>45567</v>
      </c>
    </row>
    <row r="86" spans="1:5" x14ac:dyDescent="0.2">
      <c r="A86" t="s">
        <v>4</v>
      </c>
      <c r="B86" t="s">
        <v>33</v>
      </c>
      <c r="C86" s="3" t="str">
        <f t="shared" si="1"/>
        <v>GREP-CoA Mr Beka Grdzelishvili, Mr Otari Emnadze - 1503 Aster Apts 822 Seven Sisters Rd London N</v>
      </c>
      <c r="D86" t="s">
        <v>34</v>
      </c>
      <c r="E86" s="1">
        <v>45568</v>
      </c>
    </row>
    <row r="87" spans="1:5" x14ac:dyDescent="0.2">
      <c r="A87" t="s">
        <v>4</v>
      </c>
      <c r="B87" t="s">
        <v>112</v>
      </c>
      <c r="C87" s="3" t="str">
        <f t="shared" si="1"/>
        <v>RENEWAL-78 Adlay Apartments-03/10/2023</v>
      </c>
      <c r="D87" t="s">
        <v>113</v>
      </c>
      <c r="E87" s="1">
        <v>45568</v>
      </c>
    </row>
    <row r="88" spans="1:5" x14ac:dyDescent="0.2">
      <c r="A88" t="s">
        <v>4</v>
      </c>
      <c r="B88" t="s">
        <v>114</v>
      </c>
      <c r="C88" s="3" t="str">
        <f t="shared" si="1"/>
        <v>RENEWAL - 315 The Headline - 04.10.2023</v>
      </c>
      <c r="D88" t="s">
        <v>115</v>
      </c>
      <c r="E88" s="1">
        <v>45568</v>
      </c>
    </row>
    <row r="89" spans="1:5" x14ac:dyDescent="0.2">
      <c r="A89" t="s">
        <v>4</v>
      </c>
      <c r="B89" t="s">
        <v>116</v>
      </c>
      <c r="C89" s="3" t="str">
        <f t="shared" si="1"/>
        <v>RENEWAL-68 Gilders Yard-04/10/2023</v>
      </c>
      <c r="D89" t="s">
        <v>117</v>
      </c>
      <c r="E89" s="1">
        <v>45568</v>
      </c>
    </row>
    <row r="90" spans="1:5" x14ac:dyDescent="0.2">
      <c r="A90" t="s">
        <v>4</v>
      </c>
      <c r="B90" t="s">
        <v>118</v>
      </c>
      <c r="C90" s="3" t="str">
        <f t="shared" si="1"/>
        <v>LBA RENEWAL - 95 Adlay Apartments - 04.10.2023</v>
      </c>
      <c r="D90" t="s">
        <v>119</v>
      </c>
      <c r="E90" s="1">
        <v>45568</v>
      </c>
    </row>
    <row r="91" spans="1:5" x14ac:dyDescent="0.2">
      <c r="A91" t="s">
        <v>4</v>
      </c>
      <c r="B91" t="s">
        <v>120</v>
      </c>
      <c r="C91" s="3" t="str">
        <f t="shared" si="1"/>
        <v>RENEWAL - 318 The Headline - 04.10.2023</v>
      </c>
      <c r="D91" t="s">
        <v>121</v>
      </c>
      <c r="E91" s="1">
        <v>45568</v>
      </c>
    </row>
    <row r="92" spans="1:5" x14ac:dyDescent="0.2">
      <c r="A92" t="s">
        <v>4</v>
      </c>
      <c r="B92" t="s">
        <v>122</v>
      </c>
      <c r="C92" s="3" t="str">
        <f t="shared" si="1"/>
        <v>RENEWAL- 3A Webber Street-04/10/2023</v>
      </c>
      <c r="D92" t="s">
        <v>123</v>
      </c>
      <c r="E92" s="1">
        <v>45568</v>
      </c>
    </row>
    <row r="93" spans="1:5" x14ac:dyDescent="0.2">
      <c r="A93" t="s">
        <v>4</v>
      </c>
      <c r="B93" t="s">
        <v>230</v>
      </c>
      <c r="C93" s="3" t="str">
        <f t="shared" si="1"/>
        <v>GREP-CoA Tak Shun Leung &amp; Wai Ching Chung - 20, 110 The Rock, Bury, BL9</v>
      </c>
      <c r="D93" t="s">
        <v>231</v>
      </c>
      <c r="E93" s="1">
        <v>45568</v>
      </c>
    </row>
    <row r="94" spans="1:5" x14ac:dyDescent="0.2">
      <c r="A94" t="s">
        <v>4</v>
      </c>
      <c r="B94" t="s">
        <v>256</v>
      </c>
      <c r="C94" s="3" t="str">
        <f t="shared" si="1"/>
        <v>GREP-CoA Puja Aggarwal - 616, The Headline, Wellington Park Way, Leeds</v>
      </c>
      <c r="D94" t="s">
        <v>257</v>
      </c>
      <c r="E94" s="1">
        <v>45568</v>
      </c>
    </row>
    <row r="95" spans="1:5" x14ac:dyDescent="0.2">
      <c r="A95" t="s">
        <v>4</v>
      </c>
      <c r="B95" t="s">
        <v>361</v>
      </c>
      <c r="C95" s="3" t="str">
        <f t="shared" si="1"/>
        <v>GREP-CoA Xiao Wang &amp; Shijia Li - 507 The Barnum, 23 Queens Road, Nottingham</v>
      </c>
      <c r="D95" t="s">
        <v>362</v>
      </c>
      <c r="E95" s="1">
        <v>45568</v>
      </c>
    </row>
    <row r="96" spans="1:5" x14ac:dyDescent="0.2">
      <c r="A96" t="s">
        <v>4</v>
      </c>
      <c r="B96" t="s">
        <v>394</v>
      </c>
      <c r="C96" s="3" t="str">
        <f t="shared" si="1"/>
        <v>GREP-CoA Ruihua Yao &amp; Yafang Zheng - 69 Nautilus Apts, 2 Norah Smyth Rd, London</v>
      </c>
      <c r="D96" t="s">
        <v>395</v>
      </c>
      <c r="E96" s="1">
        <v>45568</v>
      </c>
    </row>
    <row r="97" spans="1:5" x14ac:dyDescent="0.2">
      <c r="A97" t="s">
        <v>4</v>
      </c>
      <c r="B97" t="s">
        <v>404</v>
      </c>
      <c r="C97" s="3" t="str">
        <f t="shared" si="1"/>
        <v>GREP-CoA Joshua Odekhian - 628 The Barnum, 23 Queens Road, Nottingham</v>
      </c>
      <c r="D97" t="s">
        <v>405</v>
      </c>
      <c r="E97" s="1">
        <v>45568</v>
      </c>
    </row>
    <row r="98" spans="1:5" x14ac:dyDescent="0.2">
      <c r="A98" t="s">
        <v>4</v>
      </c>
      <c r="B98" t="s">
        <v>124</v>
      </c>
      <c r="C98" s="3" t="str">
        <f t="shared" si="1"/>
        <v>RENEWAL- 716, Brook Place Apts-06/10/2023</v>
      </c>
      <c r="D98" t="s">
        <v>125</v>
      </c>
      <c r="E98" s="1">
        <v>45570</v>
      </c>
    </row>
    <row r="99" spans="1:5" x14ac:dyDescent="0.2">
      <c r="A99" t="s">
        <v>4</v>
      </c>
      <c r="B99" t="s">
        <v>240</v>
      </c>
      <c r="C99" s="3" t="str">
        <f t="shared" si="1"/>
        <v>RENEWAL- 805 Tayleur- 06/10/2023</v>
      </c>
      <c r="D99" t="s">
        <v>241</v>
      </c>
      <c r="E99" s="1">
        <v>45570</v>
      </c>
    </row>
    <row r="100" spans="1:5" x14ac:dyDescent="0.2">
      <c r="A100" t="s">
        <v>4</v>
      </c>
      <c r="B100" t="s">
        <v>254</v>
      </c>
      <c r="C100" s="3" t="str">
        <f t="shared" si="1"/>
        <v>Renewal - 1007 Windlass - 06/10/2023</v>
      </c>
      <c r="D100" t="s">
        <v>255</v>
      </c>
      <c r="E100" s="1">
        <v>45570</v>
      </c>
    </row>
    <row r="101" spans="1:5" x14ac:dyDescent="0.2">
      <c r="A101" t="s">
        <v>4</v>
      </c>
      <c r="B101" t="s">
        <v>276</v>
      </c>
      <c r="C101" s="3" t="str">
        <f t="shared" si="1"/>
        <v>GREP-CoA Chelsea Edmonds - 432, Brook Place Apts, Sheffield,  S11 8BS</v>
      </c>
      <c r="D101" t="s">
        <v>277</v>
      </c>
      <c r="E101" s="1">
        <v>45570</v>
      </c>
    </row>
    <row r="102" spans="1:5" x14ac:dyDescent="0.2">
      <c r="A102" t="s">
        <v>4</v>
      </c>
      <c r="B102" t="s">
        <v>283</v>
      </c>
      <c r="C102" s="3" t="str">
        <f t="shared" si="1"/>
        <v>GREP-CoA Tamsin Stevens - 12 Lauder Hs, Watson Ln, Waterlooville, Hants</v>
      </c>
      <c r="D102" t="s">
        <v>284</v>
      </c>
      <c r="E102" s="1">
        <v>45570</v>
      </c>
    </row>
    <row r="103" spans="1:5" x14ac:dyDescent="0.2">
      <c r="A103" t="s">
        <v>4</v>
      </c>
      <c r="B103" t="s">
        <v>285</v>
      </c>
      <c r="C103" s="3" t="str">
        <f t="shared" si="1"/>
        <v>GREP-CoA Akhmad Ramadhana &amp; Anggella Vita Yuniarti - 95 Argo Apts, 4 Silvertown Way,London,E16 1YD</v>
      </c>
      <c r="D103" t="s">
        <v>286</v>
      </c>
      <c r="E103" s="1">
        <v>45570</v>
      </c>
    </row>
    <row r="104" spans="1:5" x14ac:dyDescent="0.2">
      <c r="A104" t="s">
        <v>4</v>
      </c>
      <c r="B104" t="s">
        <v>406</v>
      </c>
      <c r="C104" s="3" t="str">
        <f t="shared" si="1"/>
        <v>GREP-CoA Christabel Momodu &amp; Agboola Galeeb - 17 Cable House, 2 Echo Walk, Newbury</v>
      </c>
      <c r="D104" t="s">
        <v>407</v>
      </c>
      <c r="E104" s="1">
        <v>45570</v>
      </c>
    </row>
    <row r="105" spans="1:5" x14ac:dyDescent="0.2">
      <c r="A105" t="s">
        <v>4</v>
      </c>
      <c r="B105" t="s">
        <v>27</v>
      </c>
      <c r="C105" s="3" t="str">
        <f t="shared" si="1"/>
        <v>RENEWAL - 709 Windlass Apartments - 06.10.2022</v>
      </c>
      <c r="D105" t="s">
        <v>28</v>
      </c>
      <c r="E105" s="1">
        <v>45571</v>
      </c>
    </row>
    <row r="106" spans="1:5" x14ac:dyDescent="0.2">
      <c r="A106" t="s">
        <v>4</v>
      </c>
      <c r="B106" t="s">
        <v>29</v>
      </c>
      <c r="C106" s="3" t="str">
        <f t="shared" si="1"/>
        <v>RENEWAL- 1202 Lamp- 06/10/2022</v>
      </c>
      <c r="D106" t="s">
        <v>30</v>
      </c>
      <c r="E106" s="1">
        <v>45571</v>
      </c>
    </row>
    <row r="107" spans="1:5" x14ac:dyDescent="0.2">
      <c r="A107" t="s">
        <v>4</v>
      </c>
      <c r="B107" t="s">
        <v>126</v>
      </c>
      <c r="C107" s="3" t="str">
        <f t="shared" si="1"/>
        <v>on refs RENEWAL - 63 Springfield - 07/10/2023</v>
      </c>
      <c r="D107" t="s">
        <v>127</v>
      </c>
      <c r="E107" s="1">
        <v>45571</v>
      </c>
    </row>
    <row r="108" spans="1:5" x14ac:dyDescent="0.2">
      <c r="A108" t="s">
        <v>4</v>
      </c>
      <c r="B108" t="s">
        <v>128</v>
      </c>
      <c r="C108" s="3" t="str">
        <f t="shared" si="1"/>
        <v>C1 10/08-RENEWAL-1101, Halogen House-07/10/2023</v>
      </c>
      <c r="D108" t="s">
        <v>129</v>
      </c>
      <c r="E108" s="1">
        <v>45571</v>
      </c>
    </row>
    <row r="109" spans="1:5" x14ac:dyDescent="0.2">
      <c r="A109" t="s">
        <v>4</v>
      </c>
      <c r="B109" t="s">
        <v>131</v>
      </c>
      <c r="C109" s="3" t="str">
        <f t="shared" si="1"/>
        <v>refs-RENEWAL COS- Flat 57, Agate Mews, Block E, Salford-</v>
      </c>
      <c r="D109" t="s">
        <v>132</v>
      </c>
      <c r="E109" s="1">
        <v>45571</v>
      </c>
    </row>
    <row r="110" spans="1:5" x14ac:dyDescent="0.2">
      <c r="A110" t="s">
        <v>4</v>
      </c>
      <c r="B110" t="s">
        <v>137</v>
      </c>
      <c r="C110" s="3" t="str">
        <f t="shared" si="1"/>
        <v>RENEWAL-708 West, The Forge-07/10/2023</v>
      </c>
      <c r="D110" t="s">
        <v>138</v>
      </c>
      <c r="E110" s="1">
        <v>45571</v>
      </c>
    </row>
    <row r="111" spans="1:5" x14ac:dyDescent="0.2">
      <c r="A111" t="s">
        <v>4</v>
      </c>
      <c r="B111" t="s">
        <v>141</v>
      </c>
      <c r="C111" s="3" t="str">
        <f t="shared" si="1"/>
        <v>RENEWAL-306, The Headline, Wellington Park Way, Leeds-07/10/2023</v>
      </c>
      <c r="D111" t="s">
        <v>142</v>
      </c>
      <c r="E111" s="1">
        <v>45571</v>
      </c>
    </row>
    <row r="112" spans="1:5" x14ac:dyDescent="0.2">
      <c r="A112" t="s">
        <v>4</v>
      </c>
      <c r="B112" t="s">
        <v>145</v>
      </c>
      <c r="C112" s="3" t="str">
        <f t="shared" si="1"/>
        <v>LBA 13/09/2023-RENEWAL- 25, 112 The Rock- 07/10/2023</v>
      </c>
      <c r="D112" t="s">
        <v>146</v>
      </c>
      <c r="E112" s="1">
        <v>45571</v>
      </c>
    </row>
    <row r="113" spans="1:5" x14ac:dyDescent="0.2">
      <c r="A113" t="s">
        <v>4</v>
      </c>
      <c r="B113" t="s">
        <v>211</v>
      </c>
      <c r="C113" s="3" t="str">
        <f t="shared" si="1"/>
        <v>RENEWAL-105, Brook Place Apts - 7/10/2023</v>
      </c>
      <c r="D113" t="s">
        <v>212</v>
      </c>
      <c r="E113" s="1">
        <v>45571</v>
      </c>
    </row>
    <row r="114" spans="1:5" x14ac:dyDescent="0.2">
      <c r="A114" t="s">
        <v>4</v>
      </c>
      <c r="B114" t="s">
        <v>236</v>
      </c>
      <c r="C114" s="3" t="str">
        <f t="shared" si="1"/>
        <v>chased 22/08-RENEWAL- 802 Ambassador- 07/10/2023</v>
      </c>
      <c r="D114" t="s">
        <v>237</v>
      </c>
      <c r="E114" s="1">
        <v>45571</v>
      </c>
    </row>
    <row r="115" spans="1:5" x14ac:dyDescent="0.2">
      <c r="A115" t="s">
        <v>4</v>
      </c>
      <c r="B115" t="s">
        <v>238</v>
      </c>
      <c r="C115" s="3" t="str">
        <f t="shared" si="1"/>
        <v>RENEWAL- 209 Ambassador- 06/10/2023</v>
      </c>
      <c r="D115" t="s">
        <v>239</v>
      </c>
      <c r="E115" s="1">
        <v>45571</v>
      </c>
    </row>
    <row r="116" spans="1:5" x14ac:dyDescent="0.2">
      <c r="A116" t="s">
        <v>4</v>
      </c>
      <c r="B116" t="s">
        <v>242</v>
      </c>
      <c r="C116" s="3" t="str">
        <f t="shared" si="1"/>
        <v>RENEWAL- 906 Tayleur- 07/10/2023</v>
      </c>
      <c r="D116" t="s">
        <v>243</v>
      </c>
      <c r="E116" s="1">
        <v>45571</v>
      </c>
    </row>
    <row r="117" spans="1:5" x14ac:dyDescent="0.2">
      <c r="A117" t="s">
        <v>4</v>
      </c>
      <c r="B117" t="s">
        <v>244</v>
      </c>
      <c r="C117" s="3" t="str">
        <f t="shared" si="1"/>
        <v>chased 22/08-RENEWAL- 708 Halogen- 07/10/2023</v>
      </c>
      <c r="D117" t="s">
        <v>245</v>
      </c>
      <c r="E117" s="1">
        <v>45571</v>
      </c>
    </row>
    <row r="118" spans="1:5" x14ac:dyDescent="0.2">
      <c r="A118" t="s">
        <v>4</v>
      </c>
      <c r="B118" t="s">
        <v>258</v>
      </c>
      <c r="C118" s="3" t="str">
        <f t="shared" si="1"/>
        <v>Renewal -708 Windlass - 07/10/2023</v>
      </c>
      <c r="D118" t="s">
        <v>259</v>
      </c>
      <c r="E118" s="1">
        <v>45571</v>
      </c>
    </row>
    <row r="119" spans="1:5" x14ac:dyDescent="0.2">
      <c r="A119" t="s">
        <v>4</v>
      </c>
      <c r="B119" t="s">
        <v>278</v>
      </c>
      <c r="C119" s="3" t="str">
        <f t="shared" si="1"/>
        <v>GREP-CoA Jasmin Towers-Islam - Flat 31, Agate Mews, Block D, Salford, M5</v>
      </c>
      <c r="D119" t="s">
        <v>279</v>
      </c>
      <c r="E119" s="1">
        <v>45571</v>
      </c>
    </row>
    <row r="120" spans="1:5" x14ac:dyDescent="0.2">
      <c r="A120" t="s">
        <v>4</v>
      </c>
      <c r="B120" t="s">
        <v>289</v>
      </c>
      <c r="C120" s="3" t="str">
        <f t="shared" si="1"/>
        <v>COS Mid Term - 902 Windlass Apartments - 07.02.2024</v>
      </c>
      <c r="D120" t="s">
        <v>366</v>
      </c>
      <c r="E120" s="1">
        <v>45571</v>
      </c>
    </row>
    <row r="121" spans="1:5" x14ac:dyDescent="0.2">
      <c r="A121" t="s">
        <v>4</v>
      </c>
      <c r="B121" t="s">
        <v>213</v>
      </c>
      <c r="C121" s="3" t="str">
        <f t="shared" si="1"/>
        <v>COS Mid Term - 211 West, The Forge - 07.03.2024</v>
      </c>
      <c r="D121" t="s">
        <v>374</v>
      </c>
      <c r="E121" s="1">
        <v>45571</v>
      </c>
    </row>
    <row r="122" spans="1:5" x14ac:dyDescent="0.2">
      <c r="A122" t="s">
        <v>4</v>
      </c>
      <c r="B122" t="s">
        <v>339</v>
      </c>
      <c r="C122" s="3" t="str">
        <f t="shared" si="1"/>
        <v>COS Mid Term - 111 The Tilt Works - 07.03.2024</v>
      </c>
      <c r="D122" t="s">
        <v>379</v>
      </c>
      <c r="E122" s="1">
        <v>45571</v>
      </c>
    </row>
    <row r="123" spans="1:5" x14ac:dyDescent="0.2">
      <c r="A123" t="s">
        <v>4</v>
      </c>
      <c r="B123" t="s">
        <v>130</v>
      </c>
      <c r="C123" s="3" t="str">
        <f t="shared" si="1"/>
        <v>COS Mid Term - 1B Shillington Old School - 07.06.2024</v>
      </c>
      <c r="D123" t="s">
        <v>420</v>
      </c>
      <c r="E123" s="1">
        <v>45571</v>
      </c>
    </row>
    <row r="124" spans="1:5" x14ac:dyDescent="0.2">
      <c r="A124" t="s">
        <v>4</v>
      </c>
      <c r="B124" t="s">
        <v>9</v>
      </c>
      <c r="C124" s="3" t="str">
        <f t="shared" si="1"/>
        <v>GREP-CoA Natalie Bartley - 202 Aster Apts 822 Seven Sisters Rd London N1</v>
      </c>
      <c r="D124" t="s">
        <v>10</v>
      </c>
      <c r="E124" s="1">
        <v>45572</v>
      </c>
    </row>
    <row r="125" spans="1:5" x14ac:dyDescent="0.2">
      <c r="A125" t="s">
        <v>4</v>
      </c>
      <c r="B125" t="s">
        <v>13</v>
      </c>
      <c r="C125" s="3" t="str">
        <f t="shared" si="1"/>
        <v>GREP-CoA Mr Alexandros Vassis &amp; Miss Eleni Zorgia - 305 Aster Apts 822 Seven Sisters Rd London N1</v>
      </c>
      <c r="D125" t="s">
        <v>14</v>
      </c>
      <c r="E125" s="1">
        <v>45572</v>
      </c>
    </row>
    <row r="126" spans="1:5" x14ac:dyDescent="0.2">
      <c r="A126" t="s">
        <v>4</v>
      </c>
      <c r="B126" t="s">
        <v>37</v>
      </c>
      <c r="C126" s="3" t="str">
        <f t="shared" si="1"/>
        <v>GREP-CoA Aimable Mardel and Cresta Okonkwo - Flat2a,Churston Cl,162-164 Tulse Hill,SW2 3BX</v>
      </c>
      <c r="D126" t="s">
        <v>38</v>
      </c>
      <c r="E126" s="1">
        <v>45572</v>
      </c>
    </row>
    <row r="127" spans="1:5" x14ac:dyDescent="0.2">
      <c r="A127" t="s">
        <v>4</v>
      </c>
      <c r="B127" t="s">
        <v>41</v>
      </c>
      <c r="C127" s="3" t="str">
        <f t="shared" si="1"/>
        <v>GREP-CoA Ms Areej Dabain - 107 Argo Apts,4 Silvertown Way,London,E16 1YD</v>
      </c>
      <c r="D127" t="s">
        <v>42</v>
      </c>
      <c r="E127" s="1">
        <v>45572</v>
      </c>
    </row>
    <row r="128" spans="1:5" x14ac:dyDescent="0.2">
      <c r="A128" t="s">
        <v>4</v>
      </c>
      <c r="B128" t="s">
        <v>65</v>
      </c>
      <c r="C128" s="3" t="str">
        <f t="shared" si="1"/>
        <v>GREP-CoA Luka Brajdic &amp; Geraldine Denya - 208, Brook Place Apts, Sheffield,  S11 8BR</v>
      </c>
      <c r="D128" t="s">
        <v>66</v>
      </c>
      <c r="E128" s="1">
        <v>45572</v>
      </c>
    </row>
    <row r="129" spans="1:5" x14ac:dyDescent="0.2">
      <c r="A129" t="s">
        <v>4</v>
      </c>
      <c r="B129" t="s">
        <v>133</v>
      </c>
      <c r="C129" s="3" t="str">
        <f t="shared" si="1"/>
        <v>Sign LBA 14/09--RENEWAL- 503, Neon House, 207 Chapel St, Salford-07/10/2023</v>
      </c>
      <c r="D129" t="s">
        <v>134</v>
      </c>
      <c r="E129" s="1">
        <v>45572</v>
      </c>
    </row>
    <row r="130" spans="1:5" x14ac:dyDescent="0.2">
      <c r="A130" t="s">
        <v>4</v>
      </c>
      <c r="B130" t="s">
        <v>135</v>
      </c>
      <c r="C130" s="3" t="str">
        <f t="shared" si="1"/>
        <v>RENEWAL- 53, Ancoats, 2 Butler Street-07/10/2023</v>
      </c>
      <c r="D130" t="s">
        <v>136</v>
      </c>
      <c r="E130" s="1">
        <v>45572</v>
      </c>
    </row>
    <row r="131" spans="1:5" x14ac:dyDescent="0.2">
      <c r="A131" t="s">
        <v>4</v>
      </c>
      <c r="B131" t="s">
        <v>139</v>
      </c>
      <c r="C131" s="3" t="str">
        <f t="shared" ref="C131:C194" si="2">HYPERLINK("https://graingerplc.lightning.force.com/"&amp;B131,D131)</f>
        <v>RENEWAL- 6 Spectrum- 07/10/2023</v>
      </c>
      <c r="D131" t="s">
        <v>140</v>
      </c>
      <c r="E131" s="1">
        <v>45572</v>
      </c>
    </row>
    <row r="132" spans="1:5" x14ac:dyDescent="0.2">
      <c r="A132" t="s">
        <v>4</v>
      </c>
      <c r="B132" t="s">
        <v>143</v>
      </c>
      <c r="C132" s="3" t="str">
        <f t="shared" si="2"/>
        <v>RENEWAL- 603,Lamp House, 215 Chapel St-08/10/2023</v>
      </c>
      <c r="D132" t="s">
        <v>144</v>
      </c>
      <c r="E132" s="1">
        <v>45572</v>
      </c>
    </row>
    <row r="133" spans="1:5" x14ac:dyDescent="0.2">
      <c r="A133" t="s">
        <v>4</v>
      </c>
      <c r="B133" t="s">
        <v>147</v>
      </c>
      <c r="C133" s="3" t="str">
        <f t="shared" si="2"/>
        <v>RENEWAL-809, The Headline, Wellington Park Way-08/10/2023</v>
      </c>
      <c r="D133" t="s">
        <v>148</v>
      </c>
      <c r="E133" s="1">
        <v>45572</v>
      </c>
    </row>
    <row r="134" spans="1:5" x14ac:dyDescent="0.2">
      <c r="A134" t="s">
        <v>4</v>
      </c>
      <c r="B134" t="s">
        <v>207</v>
      </c>
      <c r="C134" s="3" t="str">
        <f t="shared" si="2"/>
        <v>RENEWAL-104 Hawkins - 08/10/2023</v>
      </c>
      <c r="D134" t="s">
        <v>208</v>
      </c>
      <c r="E134" s="1">
        <v>45572</v>
      </c>
    </row>
    <row r="135" spans="1:5" x14ac:dyDescent="0.2">
      <c r="A135" t="s">
        <v>4</v>
      </c>
      <c r="B135" t="s">
        <v>209</v>
      </c>
      <c r="C135" s="3" t="str">
        <f t="shared" si="2"/>
        <v>RENEWAL-505 The Headline - 08.10.2023</v>
      </c>
      <c r="D135" t="s">
        <v>210</v>
      </c>
      <c r="E135" s="1">
        <v>45572</v>
      </c>
    </row>
    <row r="136" spans="1:5" x14ac:dyDescent="0.2">
      <c r="A136" t="s">
        <v>4</v>
      </c>
      <c r="B136" t="s">
        <v>218</v>
      </c>
      <c r="C136" s="3" t="str">
        <f t="shared" si="2"/>
        <v>GREP-CoA Ms Devonne Goad, Mr Syinthunon Kugathasan - FLAT 24, Hawkins Ln, Finzels Reach, Bristol,</v>
      </c>
      <c r="D136" t="s">
        <v>219</v>
      </c>
      <c r="E136" s="1">
        <v>45572</v>
      </c>
    </row>
    <row r="137" spans="1:5" x14ac:dyDescent="0.2">
      <c r="A137" t="s">
        <v>4</v>
      </c>
      <c r="B137" t="s">
        <v>252</v>
      </c>
      <c r="C137" s="3" t="str">
        <f t="shared" si="2"/>
        <v>RENEWAL - 41 The Gardens, TFR Flat 6 - 08.10.2023</v>
      </c>
      <c r="D137" t="s">
        <v>253</v>
      </c>
      <c r="E137" s="1">
        <v>45572</v>
      </c>
    </row>
    <row r="138" spans="1:5" x14ac:dyDescent="0.2">
      <c r="A138" t="s">
        <v>4</v>
      </c>
      <c r="B138" t="s">
        <v>301</v>
      </c>
      <c r="C138" s="3" t="str">
        <f t="shared" si="2"/>
        <v>Renewal - Flat 22 Georges W - 07/10/2023</v>
      </c>
      <c r="D138" t="s">
        <v>302</v>
      </c>
      <c r="E138" s="1">
        <v>45572</v>
      </c>
    </row>
    <row r="139" spans="1:5" x14ac:dyDescent="0.2">
      <c r="A139" t="s">
        <v>4</v>
      </c>
      <c r="B139" t="s">
        <v>7</v>
      </c>
      <c r="C139" s="3" t="str">
        <f t="shared" si="2"/>
        <v>GREP-CoA Claire Bradley &amp; Matt Nolan - 14, Rosemary Lane, Waterlooville, PO7</v>
      </c>
      <c r="D139" t="s">
        <v>8</v>
      </c>
      <c r="E139" s="1">
        <v>45573</v>
      </c>
    </row>
    <row r="140" spans="1:5" x14ac:dyDescent="0.2">
      <c r="A140" t="s">
        <v>4</v>
      </c>
      <c r="B140" t="s">
        <v>23</v>
      </c>
      <c r="C140" s="3" t="str">
        <f t="shared" si="2"/>
        <v>RENEWAL- 3 Darbyshire Road- 08/10/2022</v>
      </c>
      <c r="D140" t="s">
        <v>24</v>
      </c>
      <c r="E140" s="1">
        <v>45573</v>
      </c>
    </row>
    <row r="141" spans="1:5" x14ac:dyDescent="0.2">
      <c r="A141" t="s">
        <v>4</v>
      </c>
      <c r="B141" t="s">
        <v>35</v>
      </c>
      <c r="C141" s="3" t="str">
        <f t="shared" si="2"/>
        <v>GREP-CoA Danny Bateman &amp; Olga Karpova - 4G Shillington Old School</v>
      </c>
      <c r="D141" t="s">
        <v>36</v>
      </c>
      <c r="E141" s="1">
        <v>45573</v>
      </c>
    </row>
    <row r="142" spans="1:5" x14ac:dyDescent="0.2">
      <c r="A142" t="s">
        <v>4</v>
      </c>
      <c r="B142" t="s">
        <v>45</v>
      </c>
      <c r="C142" s="3" t="str">
        <f t="shared" si="2"/>
        <v>RENEWAL - 56 Gatehouse Apts - 08/06/2023</v>
      </c>
      <c r="D142" t="s">
        <v>46</v>
      </c>
      <c r="E142" s="1">
        <v>45573</v>
      </c>
    </row>
    <row r="143" spans="1:5" x14ac:dyDescent="0.2">
      <c r="A143" t="s">
        <v>4</v>
      </c>
      <c r="B143" t="s">
        <v>268</v>
      </c>
      <c r="C143" s="3" t="str">
        <f t="shared" si="2"/>
        <v>RENEWAL - 33 Argo Apartments - 09.10.2023</v>
      </c>
      <c r="D143" t="s">
        <v>269</v>
      </c>
      <c r="E143" s="1">
        <v>45573</v>
      </c>
    </row>
    <row r="144" spans="1:5" x14ac:dyDescent="0.2">
      <c r="A144" t="s">
        <v>4</v>
      </c>
      <c r="B144" t="s">
        <v>342</v>
      </c>
      <c r="C144" s="3" t="str">
        <f t="shared" si="2"/>
        <v>GREP-CoA Lucy Amaladoss &amp; William Thomas Inglis - 10, Kew Bridge Court, London, W4 3AZ</v>
      </c>
      <c r="D144" t="s">
        <v>343</v>
      </c>
      <c r="E144" s="1">
        <v>45573</v>
      </c>
    </row>
    <row r="145" spans="1:5" x14ac:dyDescent="0.2">
      <c r="A145" t="s">
        <v>4</v>
      </c>
      <c r="B145" t="s">
        <v>67</v>
      </c>
      <c r="C145" s="3" t="str">
        <f t="shared" si="2"/>
        <v>COS RENEWAL - 13 Purl House - 09.10.2023</v>
      </c>
      <c r="D145" t="s">
        <v>68</v>
      </c>
      <c r="E145" s="1">
        <v>45574</v>
      </c>
    </row>
    <row r="146" spans="1:5" x14ac:dyDescent="0.2">
      <c r="A146" t="s">
        <v>4</v>
      </c>
      <c r="B146" t="s">
        <v>149</v>
      </c>
      <c r="C146" s="3" t="str">
        <f t="shared" si="2"/>
        <v>LBA RENEWAL- Apt 202, Abbeville Apts, 37-10/10/2023</v>
      </c>
      <c r="D146" t="s">
        <v>150</v>
      </c>
      <c r="E146" s="1">
        <v>45574</v>
      </c>
    </row>
    <row r="147" spans="1:5" x14ac:dyDescent="0.2">
      <c r="A147" t="s">
        <v>4</v>
      </c>
      <c r="B147" t="s">
        <v>151</v>
      </c>
      <c r="C147" s="3" t="str">
        <f t="shared" si="2"/>
        <v>RENEWAL-42 Argo Apts, 4 Silvertown Way-10/10/2023</v>
      </c>
      <c r="D147" t="s">
        <v>152</v>
      </c>
      <c r="E147" s="1">
        <v>45574</v>
      </c>
    </row>
    <row r="148" spans="1:5" x14ac:dyDescent="0.2">
      <c r="A148" t="s">
        <v>4</v>
      </c>
      <c r="B148" t="s">
        <v>153</v>
      </c>
      <c r="C148" s="3" t="str">
        <f t="shared" si="2"/>
        <v>RENEWAL-3 Giffard Apt, Gun Hill-10/10/2023</v>
      </c>
      <c r="D148" t="s">
        <v>154</v>
      </c>
      <c r="E148" s="1">
        <v>45574</v>
      </c>
    </row>
    <row r="149" spans="1:5" x14ac:dyDescent="0.2">
      <c r="A149" t="s">
        <v>4</v>
      </c>
      <c r="B149" t="s">
        <v>155</v>
      </c>
      <c r="C149" s="3" t="str">
        <f t="shared" si="2"/>
        <v>RENEWAL-1110,The Headline, Wellington Park Way-10/10/2023</v>
      </c>
      <c r="D149" t="s">
        <v>156</v>
      </c>
      <c r="E149" s="1">
        <v>45574</v>
      </c>
    </row>
    <row r="150" spans="1:5" x14ac:dyDescent="0.2">
      <c r="A150" t="s">
        <v>4</v>
      </c>
      <c r="B150" t="s">
        <v>157</v>
      </c>
      <c r="C150" s="3" t="str">
        <f t="shared" si="2"/>
        <v>RENEWAL-38, Ancoats, 2 Butler Street, M4 6BZ-10/10/2023</v>
      </c>
      <c r="D150" t="s">
        <v>158</v>
      </c>
      <c r="E150" s="1">
        <v>45574</v>
      </c>
    </row>
    <row r="151" spans="1:5" x14ac:dyDescent="0.2">
      <c r="A151" t="s">
        <v>4</v>
      </c>
      <c r="B151" t="s">
        <v>159</v>
      </c>
      <c r="C151" s="3" t="str">
        <f t="shared" si="2"/>
        <v>RENEWAL-302, The Headline, Wellington Park Way- 10/10/2023</v>
      </c>
      <c r="D151" t="s">
        <v>160</v>
      </c>
      <c r="E151" s="1">
        <v>45574</v>
      </c>
    </row>
    <row r="152" spans="1:5" x14ac:dyDescent="0.2">
      <c r="A152" t="s">
        <v>4</v>
      </c>
      <c r="B152" t="s">
        <v>246</v>
      </c>
      <c r="C152" s="3" t="str">
        <f t="shared" si="2"/>
        <v>RENEWAL- 815 Torrens- 10/10/2023</v>
      </c>
      <c r="D152" t="s">
        <v>247</v>
      </c>
      <c r="E152" s="1">
        <v>45574</v>
      </c>
    </row>
    <row r="153" spans="1:5" x14ac:dyDescent="0.2">
      <c r="A153" t="s">
        <v>4</v>
      </c>
      <c r="B153" t="s">
        <v>260</v>
      </c>
      <c r="C153" s="3" t="str">
        <f t="shared" si="2"/>
        <v>Renewal - 908 Windlass - 10/10/2023</v>
      </c>
      <c r="D153" t="s">
        <v>261</v>
      </c>
      <c r="E153" s="1">
        <v>45574</v>
      </c>
    </row>
    <row r="154" spans="1:5" x14ac:dyDescent="0.2">
      <c r="A154" t="s">
        <v>4</v>
      </c>
      <c r="B154" t="s">
        <v>292</v>
      </c>
      <c r="C154" s="3" t="str">
        <f t="shared" si="2"/>
        <v>GREP-CoA Matyas Mitter &amp; Monika Mitter - 1 Throckmorton Street, Newbury</v>
      </c>
      <c r="D154" t="s">
        <v>293</v>
      </c>
      <c r="E154" s="1">
        <v>45574</v>
      </c>
    </row>
    <row r="155" spans="1:5" x14ac:dyDescent="0.2">
      <c r="A155" t="s">
        <v>4</v>
      </c>
      <c r="B155" t="s">
        <v>300</v>
      </c>
      <c r="C155" s="3" t="str">
        <f t="shared" si="2"/>
        <v>COS Mid Term - 420 Solstice Apartments - 09.03.2024</v>
      </c>
      <c r="D155" t="s">
        <v>375</v>
      </c>
      <c r="E155" s="1">
        <v>45574</v>
      </c>
    </row>
    <row r="156" spans="1:5" x14ac:dyDescent="0.2">
      <c r="A156" t="s">
        <v>4</v>
      </c>
      <c r="B156" t="s">
        <v>396</v>
      </c>
      <c r="C156" s="3" t="str">
        <f t="shared" si="2"/>
        <v>GREP-CoA Viktorija Trumpulyte &amp; Varsha Anil Kanitkar - 124 Nautilus Apts, 1 Jam Lane, London</v>
      </c>
      <c r="D156" t="s">
        <v>397</v>
      </c>
      <c r="E156" s="1">
        <v>45574</v>
      </c>
    </row>
    <row r="157" spans="1:5" x14ac:dyDescent="0.2">
      <c r="A157" t="s">
        <v>4</v>
      </c>
      <c r="B157" t="s">
        <v>31</v>
      </c>
      <c r="C157" s="3" t="str">
        <f t="shared" si="2"/>
        <v>GREP-CoA Irakli Shalibashvili and Demetre Uridia - 1003 Aster Apts 822 Seven Sisters Rd London N</v>
      </c>
      <c r="D157" t="s">
        <v>32</v>
      </c>
      <c r="E157" s="1">
        <v>45575</v>
      </c>
    </row>
    <row r="158" spans="1:5" x14ac:dyDescent="0.2">
      <c r="A158" t="s">
        <v>4</v>
      </c>
      <c r="B158" t="s">
        <v>15</v>
      </c>
      <c r="C158" s="3" t="str">
        <f t="shared" si="2"/>
        <v>GREP-CoA Mr Ningzhi Wang Wang, Mr Zekun xue - 101 Windlass Apartments, 4 Hale Wharf, N17</v>
      </c>
      <c r="D158" t="s">
        <v>16</v>
      </c>
      <c r="E158" s="1">
        <v>45576</v>
      </c>
    </row>
    <row r="159" spans="1:5" x14ac:dyDescent="0.2">
      <c r="A159" t="s">
        <v>4</v>
      </c>
      <c r="B159" t="s">
        <v>161</v>
      </c>
      <c r="C159" s="3" t="str">
        <f t="shared" si="2"/>
        <v>RENEWAL-FLAT 54, Hawkins Ln, Finzels Reach-12/10/2023</v>
      </c>
      <c r="D159" t="s">
        <v>162</v>
      </c>
      <c r="E159" s="1">
        <v>45576</v>
      </c>
    </row>
    <row r="160" spans="1:5" x14ac:dyDescent="0.2">
      <c r="A160" t="s">
        <v>4</v>
      </c>
      <c r="B160" t="s">
        <v>163</v>
      </c>
      <c r="C160" s="3" t="str">
        <f t="shared" si="2"/>
        <v>RENEWAL- Flat 49 Ability Plaza-12/10/2023</v>
      </c>
      <c r="D160" t="s">
        <v>164</v>
      </c>
      <c r="E160" s="1">
        <v>45576</v>
      </c>
    </row>
    <row r="161" spans="1:5" x14ac:dyDescent="0.2">
      <c r="A161" t="s">
        <v>4</v>
      </c>
      <c r="B161" t="s">
        <v>165</v>
      </c>
      <c r="C161" s="3" t="str">
        <f t="shared" si="2"/>
        <v>TO POST - RENEWAL- 5 Lauder House- 12/10/2023</v>
      </c>
      <c r="D161" t="s">
        <v>166</v>
      </c>
      <c r="E161" s="1">
        <v>45576</v>
      </c>
    </row>
    <row r="162" spans="1:5" x14ac:dyDescent="0.2">
      <c r="A162" t="s">
        <v>4</v>
      </c>
      <c r="B162" t="s">
        <v>167</v>
      </c>
      <c r="C162" s="3" t="str">
        <f t="shared" si="2"/>
        <v>COS RENEWAL-55, Kew Bridge Court-12/10/2023</v>
      </c>
      <c r="D162" t="s">
        <v>168</v>
      </c>
      <c r="E162" s="1">
        <v>45576</v>
      </c>
    </row>
    <row r="163" spans="1:5" x14ac:dyDescent="0.2">
      <c r="A163" t="s">
        <v>4</v>
      </c>
      <c r="B163" t="s">
        <v>169</v>
      </c>
      <c r="C163" s="3" t="str">
        <f t="shared" si="2"/>
        <v>RENEWAL-Flat 79, Heysmoor Heights-12/10/2023</v>
      </c>
      <c r="D163" t="s">
        <v>170</v>
      </c>
      <c r="E163" s="1">
        <v>45576</v>
      </c>
    </row>
    <row r="164" spans="1:5" x14ac:dyDescent="0.2">
      <c r="A164" t="s">
        <v>4</v>
      </c>
      <c r="B164" t="s">
        <v>181</v>
      </c>
      <c r="C164" s="3" t="str">
        <f t="shared" si="2"/>
        <v>RENEWAL- 82, 124 The Rock, Bury-12/10/2023</v>
      </c>
      <c r="D164" t="s">
        <v>182</v>
      </c>
      <c r="E164" s="1">
        <v>45576</v>
      </c>
    </row>
    <row r="165" spans="1:5" x14ac:dyDescent="0.2">
      <c r="A165" t="s">
        <v>4</v>
      </c>
      <c r="B165" t="s">
        <v>250</v>
      </c>
      <c r="C165" s="3" t="str">
        <f t="shared" si="2"/>
        <v>C1- 10/08-RENEWAL-105 Torrens- 12/10/2023</v>
      </c>
      <c r="D165" t="s">
        <v>251</v>
      </c>
      <c r="E165" s="1">
        <v>45576</v>
      </c>
    </row>
    <row r="166" spans="1:5" x14ac:dyDescent="0.2">
      <c r="A166" t="s">
        <v>4</v>
      </c>
      <c r="B166" t="s">
        <v>272</v>
      </c>
      <c r="C166" s="3" t="str">
        <f t="shared" si="2"/>
        <v>COS = RENEWAL -  1201 Aster Apt - 12/10/2023</v>
      </c>
      <c r="D166" t="s">
        <v>273</v>
      </c>
      <c r="E166" s="1">
        <v>45576</v>
      </c>
    </row>
    <row r="167" spans="1:5" x14ac:dyDescent="0.2">
      <c r="A167" t="s">
        <v>4</v>
      </c>
      <c r="B167" t="s">
        <v>307</v>
      </c>
      <c r="C167" s="3" t="str">
        <f t="shared" si="2"/>
        <v>GREP-CoA Abdullah Alarifi &amp; Faris Alarifi - 1005,The Headline, Wellington Park Way, Leeds</v>
      </c>
      <c r="D167" t="s">
        <v>308</v>
      </c>
      <c r="E167" s="1">
        <v>45576</v>
      </c>
    </row>
    <row r="168" spans="1:5" x14ac:dyDescent="0.2">
      <c r="A168" t="s">
        <v>4</v>
      </c>
      <c r="B168" t="s">
        <v>354</v>
      </c>
      <c r="C168" s="3" t="str">
        <f t="shared" si="2"/>
        <v>GREP-CoA Ali Bonyab &amp; Nazanin Yousefi - 809 The Condor, 1 Springwell Sq</v>
      </c>
      <c r="D168" t="s">
        <v>355</v>
      </c>
      <c r="E168" s="1">
        <v>45576</v>
      </c>
    </row>
    <row r="169" spans="1:5" x14ac:dyDescent="0.2">
      <c r="A169" t="s">
        <v>4</v>
      </c>
      <c r="B169" t="s">
        <v>356</v>
      </c>
      <c r="C169" s="3" t="str">
        <f t="shared" si="2"/>
        <v>GREP-CoA Vivienne Nwalema &amp; Nicole Nwalema - 12 Cable House, 2 Echo Walk, Newbury</v>
      </c>
      <c r="D169" t="s">
        <v>357</v>
      </c>
      <c r="E169" s="1">
        <v>45576</v>
      </c>
    </row>
    <row r="170" spans="1:5" x14ac:dyDescent="0.2">
      <c r="A170" t="s">
        <v>4</v>
      </c>
      <c r="B170" t="s">
        <v>358</v>
      </c>
      <c r="C170" s="3" t="str">
        <f t="shared" si="2"/>
        <v>GREP-CoA Vivienne Nwalema - Parking 52, Weavers Yard, Newbury</v>
      </c>
      <c r="D170" t="s">
        <v>359</v>
      </c>
      <c r="E170" s="1">
        <v>45576</v>
      </c>
    </row>
    <row r="171" spans="1:5" x14ac:dyDescent="0.2">
      <c r="A171" t="s">
        <v>4</v>
      </c>
      <c r="B171" t="s">
        <v>398</v>
      </c>
      <c r="C171" s="3" t="str">
        <f t="shared" si="2"/>
        <v>GREP-CoA Abdulaziz Almegbel, Abdulaziz AlAskar. - 515 Enigma Square,  414 North Row, MK9 2GE</v>
      </c>
      <c r="D171" t="s">
        <v>399</v>
      </c>
      <c r="E171" s="1">
        <v>45576</v>
      </c>
    </row>
    <row r="172" spans="1:5" x14ac:dyDescent="0.2">
      <c r="A172" t="s">
        <v>4</v>
      </c>
      <c r="B172" t="s">
        <v>400</v>
      </c>
      <c r="C172" s="3" t="str">
        <f t="shared" si="2"/>
        <v>GREP-CoA Aidan Thwaites &amp; Kira Knight - 906, Halogen House, 217 Chapel St, Salford, M</v>
      </c>
      <c r="D172" t="s">
        <v>401</v>
      </c>
      <c r="E172" s="1">
        <v>45576</v>
      </c>
    </row>
    <row r="173" spans="1:5" x14ac:dyDescent="0.2">
      <c r="A173" t="s">
        <v>4</v>
      </c>
      <c r="B173" t="s">
        <v>175</v>
      </c>
      <c r="C173" s="3" t="str">
        <f t="shared" si="2"/>
        <v>RENEWAL- 4 Bamboo House, 11 Market Street-12/10/2023</v>
      </c>
      <c r="D173" t="s">
        <v>176</v>
      </c>
      <c r="E173" s="1">
        <v>45577</v>
      </c>
    </row>
    <row r="174" spans="1:5" x14ac:dyDescent="0.2">
      <c r="A174" t="s">
        <v>4</v>
      </c>
      <c r="B174" t="s">
        <v>177</v>
      </c>
      <c r="C174" s="3" t="str">
        <f t="shared" si="2"/>
        <v>RENEWAL- Flat 94 Springfield House, Tyssen Street-13/10/2023</v>
      </c>
      <c r="D174" t="s">
        <v>178</v>
      </c>
      <c r="E174" s="1">
        <v>45577</v>
      </c>
    </row>
    <row r="175" spans="1:5" x14ac:dyDescent="0.2">
      <c r="A175" t="s">
        <v>4</v>
      </c>
      <c r="B175" t="s">
        <v>179</v>
      </c>
      <c r="C175" s="3" t="str">
        <f t="shared" si="2"/>
        <v>(LBA 1) RENEWAL- 41, Gilders Yard -13/10/2023</v>
      </c>
      <c r="D175" t="s">
        <v>180</v>
      </c>
      <c r="E175" s="1">
        <v>45577</v>
      </c>
    </row>
    <row r="176" spans="1:5" x14ac:dyDescent="0.2">
      <c r="A176" t="s">
        <v>4</v>
      </c>
      <c r="B176" t="s">
        <v>187</v>
      </c>
      <c r="C176" s="3" t="str">
        <f t="shared" si="2"/>
        <v>RENEWAL- 208 Halogen- 13/10/2023</v>
      </c>
      <c r="D176" t="s">
        <v>188</v>
      </c>
      <c r="E176" s="1">
        <v>45577</v>
      </c>
    </row>
    <row r="177" spans="1:5" x14ac:dyDescent="0.2">
      <c r="A177" t="s">
        <v>4</v>
      </c>
      <c r="B177" t="s">
        <v>191</v>
      </c>
      <c r="C177" s="3" t="str">
        <f t="shared" si="2"/>
        <v>RENEWAL- 51 East Quarter- 13/10/2023</v>
      </c>
      <c r="D177" t="s">
        <v>192</v>
      </c>
      <c r="E177" s="1">
        <v>45577</v>
      </c>
    </row>
    <row r="178" spans="1:5" x14ac:dyDescent="0.2">
      <c r="A178" t="s">
        <v>4</v>
      </c>
      <c r="B178" t="s">
        <v>266</v>
      </c>
      <c r="C178" s="3" t="str">
        <f t="shared" si="2"/>
        <v>COS: OnRefs - Renewal - 1302 Windlass - 13/10/2023</v>
      </c>
      <c r="D178" t="s">
        <v>267</v>
      </c>
      <c r="E178" s="1">
        <v>45577</v>
      </c>
    </row>
    <row r="179" spans="1:5" x14ac:dyDescent="0.2">
      <c r="A179" t="s">
        <v>4</v>
      </c>
      <c r="B179" t="s">
        <v>296</v>
      </c>
      <c r="C179" s="3" t="str">
        <f t="shared" si="2"/>
        <v>GREP-CoA Anoushka McCracken-Jones &amp; Martha Smith - 602, Neon House, 207 Chapel St, Salford, M3 5</v>
      </c>
      <c r="D179" t="s">
        <v>297</v>
      </c>
      <c r="E179" s="1">
        <v>45577</v>
      </c>
    </row>
    <row r="180" spans="1:5" x14ac:dyDescent="0.2">
      <c r="A180" t="s">
        <v>4</v>
      </c>
      <c r="B180" t="s">
        <v>305</v>
      </c>
      <c r="C180" s="3" t="str">
        <f t="shared" si="2"/>
        <v>GREP-CoA Ria Knight - 12 Nelson Apt, Darbyshire Rd, Aldershot, Hant</v>
      </c>
      <c r="D180" t="s">
        <v>306</v>
      </c>
      <c r="E180" s="1">
        <v>45577</v>
      </c>
    </row>
    <row r="181" spans="1:5" x14ac:dyDescent="0.2">
      <c r="A181" t="s">
        <v>4</v>
      </c>
      <c r="B181" t="s">
        <v>323</v>
      </c>
      <c r="C181" s="3" t="str">
        <f t="shared" si="2"/>
        <v>GREP-CoA Nicola Delbuono &amp; Michael Morris - 1503, Neon House, 207 Chapel St, Salford, M3</v>
      </c>
      <c r="D181" t="s">
        <v>324</v>
      </c>
      <c r="E181" s="1">
        <v>45577</v>
      </c>
    </row>
    <row r="182" spans="1:5" x14ac:dyDescent="0.2">
      <c r="A182" t="s">
        <v>4</v>
      </c>
      <c r="B182" t="s">
        <v>344</v>
      </c>
      <c r="C182" s="3" t="str">
        <f t="shared" si="2"/>
        <v>Jasmine Baker - 225 Brook Place - ON QUBE (COMPLETE)</v>
      </c>
      <c r="D182" t="s">
        <v>345</v>
      </c>
      <c r="E182" s="1">
        <v>45577</v>
      </c>
    </row>
    <row r="183" spans="1:5" x14ac:dyDescent="0.2">
      <c r="A183" t="s">
        <v>4</v>
      </c>
      <c r="B183" t="s">
        <v>371</v>
      </c>
      <c r="C183" s="3" t="str">
        <f t="shared" si="2"/>
        <v>Renewal - 913 Torrens Apt - 13/04/2024</v>
      </c>
      <c r="D183" t="s">
        <v>372</v>
      </c>
      <c r="E183" s="1">
        <v>45577</v>
      </c>
    </row>
    <row r="184" spans="1:5" x14ac:dyDescent="0.2">
      <c r="A184" t="s">
        <v>4</v>
      </c>
      <c r="B184" t="s">
        <v>414</v>
      </c>
      <c r="C184" s="3" t="str">
        <f t="shared" si="2"/>
        <v>GREP-CoA Qi Zhang - 1012, 5 Capital Quarter, Tyndall St., Cardiff</v>
      </c>
      <c r="D184" t="s">
        <v>415</v>
      </c>
      <c r="E184" s="1">
        <v>45577</v>
      </c>
    </row>
    <row r="185" spans="1:5" x14ac:dyDescent="0.2">
      <c r="A185" t="s">
        <v>4</v>
      </c>
      <c r="B185" t="s">
        <v>171</v>
      </c>
      <c r="C185" s="3" t="str">
        <f t="shared" si="2"/>
        <v>RENEWAL- 46 Adlay Apartments-14/10/2023</v>
      </c>
      <c r="D185" t="s">
        <v>172</v>
      </c>
      <c r="E185" s="1">
        <v>45578</v>
      </c>
    </row>
    <row r="186" spans="1:5" x14ac:dyDescent="0.2">
      <c r="A186" t="s">
        <v>4</v>
      </c>
      <c r="B186" t="s">
        <v>183</v>
      </c>
      <c r="C186" s="3" t="str">
        <f t="shared" si="2"/>
        <v>RENEWAL-Apt 301, Abbeville-14/10/2023</v>
      </c>
      <c r="D186" t="s">
        <v>184</v>
      </c>
      <c r="E186" s="1">
        <v>45578</v>
      </c>
    </row>
    <row r="187" spans="1:5" x14ac:dyDescent="0.2">
      <c r="A187" t="s">
        <v>4</v>
      </c>
      <c r="B187" t="s">
        <v>185</v>
      </c>
      <c r="C187" s="3" t="str">
        <f t="shared" si="2"/>
        <v>chased 22/08-RENEWAL-207, Solstice Apts, Silbury Boulevard-14/10/2023</v>
      </c>
      <c r="D187" t="s">
        <v>186</v>
      </c>
      <c r="E187" s="1">
        <v>45578</v>
      </c>
    </row>
    <row r="188" spans="1:5" x14ac:dyDescent="0.2">
      <c r="A188" t="s">
        <v>4</v>
      </c>
      <c r="B188" t="s">
        <v>189</v>
      </c>
      <c r="C188" s="3" t="str">
        <f t="shared" si="2"/>
        <v>RENEWAL-96, Gilders Yard, - 14/10/2023</v>
      </c>
      <c r="D188" t="s">
        <v>190</v>
      </c>
      <c r="E188" s="1">
        <v>45578</v>
      </c>
    </row>
    <row r="189" spans="1:5" x14ac:dyDescent="0.2">
      <c r="A189" t="s">
        <v>4</v>
      </c>
      <c r="B189" t="s">
        <v>193</v>
      </c>
      <c r="C189" s="3" t="str">
        <f t="shared" si="2"/>
        <v>COS RENEWAL-010 West, The Forge-14/10/2023</v>
      </c>
      <c r="D189" t="s">
        <v>194</v>
      </c>
      <c r="E189" s="1">
        <v>45578</v>
      </c>
    </row>
    <row r="190" spans="1:5" x14ac:dyDescent="0.2">
      <c r="A190" t="s">
        <v>4</v>
      </c>
      <c r="B190" t="s">
        <v>195</v>
      </c>
      <c r="C190" s="3" t="str">
        <f t="shared" si="2"/>
        <v>RENEWAL-605 South, The Forge, Newcastle-14/10/2023</v>
      </c>
      <c r="D190" t="s">
        <v>196</v>
      </c>
      <c r="E190" s="1">
        <v>45578</v>
      </c>
    </row>
    <row r="191" spans="1:5" x14ac:dyDescent="0.2">
      <c r="A191" t="s">
        <v>4</v>
      </c>
      <c r="B191" t="s">
        <v>197</v>
      </c>
      <c r="C191" s="3" t="str">
        <f t="shared" si="2"/>
        <v>RENEWAL - 601 West, The Forge - 14.10.2023</v>
      </c>
      <c r="D191" t="s">
        <v>198</v>
      </c>
      <c r="E191" s="1">
        <v>45578</v>
      </c>
    </row>
    <row r="192" spans="1:5" x14ac:dyDescent="0.2">
      <c r="A192" t="s">
        <v>4</v>
      </c>
      <c r="B192" t="s">
        <v>199</v>
      </c>
      <c r="C192" s="3" t="str">
        <f t="shared" si="2"/>
        <v>on refs to take GT off-RENEWAL- 26, 110 The Rock-14/10/2023</v>
      </c>
      <c r="D192" t="s">
        <v>200</v>
      </c>
      <c r="E192" s="1">
        <v>45578</v>
      </c>
    </row>
    <row r="193" spans="1:5" x14ac:dyDescent="0.2">
      <c r="A193" t="s">
        <v>4</v>
      </c>
      <c r="B193" t="s">
        <v>262</v>
      </c>
      <c r="C193" s="3" t="str">
        <f t="shared" si="2"/>
        <v>refs RENEWAL - Flat 39 Churston Close - 14.10.2023</v>
      </c>
      <c r="D193" t="s">
        <v>263</v>
      </c>
      <c r="E193" s="1">
        <v>45578</v>
      </c>
    </row>
    <row r="194" spans="1:5" x14ac:dyDescent="0.2">
      <c r="A194" t="s">
        <v>4</v>
      </c>
      <c r="B194" t="s">
        <v>270</v>
      </c>
      <c r="C194" s="3" t="str">
        <f t="shared" si="2"/>
        <v>COS / RENEWAL - 1203 Aster Apts - 14/10/2023</v>
      </c>
      <c r="D194" t="s">
        <v>271</v>
      </c>
      <c r="E194" s="1">
        <v>45578</v>
      </c>
    </row>
    <row r="195" spans="1:5" x14ac:dyDescent="0.2">
      <c r="A195" t="s">
        <v>4</v>
      </c>
      <c r="B195" t="s">
        <v>287</v>
      </c>
      <c r="C195" s="3" t="str">
        <f t="shared" ref="C195:C214" si="3">HYPERLINK("https://graingerplc.lightning.force.com/"&amp;B195,D195)</f>
        <v>GREP-CoA William Jellis &amp; Sarah Jellis - 20 The Gardens, Raised GF, London SE22 9QE</v>
      </c>
      <c r="D195" t="s">
        <v>288</v>
      </c>
      <c r="E195" s="1">
        <v>45578</v>
      </c>
    </row>
    <row r="196" spans="1:5" x14ac:dyDescent="0.2">
      <c r="A196" t="s">
        <v>4</v>
      </c>
      <c r="B196" t="s">
        <v>294</v>
      </c>
      <c r="C196" s="3" t="str">
        <f t="shared" si="3"/>
        <v>GREP-CoA Jamey Baines - Flat 36, Hollies Lane, Block E, Salford, M5</v>
      </c>
      <c r="D196" t="s">
        <v>295</v>
      </c>
      <c r="E196" s="1">
        <v>45578</v>
      </c>
    </row>
    <row r="197" spans="1:5" x14ac:dyDescent="0.2">
      <c r="A197" t="s">
        <v>4</v>
      </c>
      <c r="B197" t="s">
        <v>313</v>
      </c>
      <c r="C197" s="3" t="str">
        <f t="shared" si="3"/>
        <v>GREP-CoA Alison Tracey Pitts &amp; Nicholas Pitts - 21 Cable House, 2 Echo Walk, Newbury</v>
      </c>
      <c r="D197" t="s">
        <v>314</v>
      </c>
      <c r="E197" s="1">
        <v>45578</v>
      </c>
    </row>
    <row r="198" spans="1:5" x14ac:dyDescent="0.2">
      <c r="A198" t="s">
        <v>4</v>
      </c>
      <c r="B198" t="s">
        <v>340</v>
      </c>
      <c r="C198" s="3" t="str">
        <f t="shared" si="3"/>
        <v>GREP-CoA Abhilasha Kakkar - 814, The Headline, Wellington Park Way, Leeds</v>
      </c>
      <c r="D198" t="s">
        <v>341</v>
      </c>
      <c r="E198" s="1">
        <v>45578</v>
      </c>
    </row>
    <row r="199" spans="1:5" x14ac:dyDescent="0.2">
      <c r="A199" t="s">
        <v>4</v>
      </c>
      <c r="B199" t="s">
        <v>350</v>
      </c>
      <c r="C199" s="3" t="str">
        <f t="shared" si="3"/>
        <v>GREP-CoA Mansi Nangia - 2, Kew Bridge Court, London, W4 3AZ</v>
      </c>
      <c r="D199" t="s">
        <v>351</v>
      </c>
      <c r="E199" s="1">
        <v>45578</v>
      </c>
    </row>
    <row r="200" spans="1:5" x14ac:dyDescent="0.2">
      <c r="A200" t="s">
        <v>4</v>
      </c>
      <c r="B200" t="s">
        <v>367</v>
      </c>
      <c r="C200" s="3" t="str">
        <f t="shared" si="3"/>
        <v>Renewal 6 Purl House, 10 Market Street - 14/04/2024</v>
      </c>
      <c r="D200" t="s">
        <v>368</v>
      </c>
      <c r="E200" s="1">
        <v>45578</v>
      </c>
    </row>
    <row r="201" spans="1:5" x14ac:dyDescent="0.2">
      <c r="A201" t="s">
        <v>4</v>
      </c>
      <c r="B201" t="s">
        <v>360</v>
      </c>
      <c r="C201" s="3" t="str">
        <f t="shared" si="3"/>
        <v>COS Mid Term - Flat 55 St Annes House - 14.02.2024</v>
      </c>
      <c r="D201" t="s">
        <v>373</v>
      </c>
      <c r="E201" s="1">
        <v>45578</v>
      </c>
    </row>
    <row r="202" spans="1:5" x14ac:dyDescent="0.2">
      <c r="A202" t="s">
        <v>4</v>
      </c>
      <c r="B202" t="s">
        <v>282</v>
      </c>
      <c r="C202" s="3" t="str">
        <f t="shared" si="3"/>
        <v>MID TERM COS 513 Tayleur 13/03/2024</v>
      </c>
      <c r="D202" t="s">
        <v>378</v>
      </c>
      <c r="E202" s="1">
        <v>45578</v>
      </c>
    </row>
    <row r="203" spans="1:5" x14ac:dyDescent="0.2">
      <c r="A203" t="s">
        <v>4</v>
      </c>
      <c r="B203" t="s">
        <v>25</v>
      </c>
      <c r="C203" s="3" t="str">
        <f t="shared" si="3"/>
        <v>RENEWAL - 404 Windlass Apartments - 14.10.2022</v>
      </c>
      <c r="D203" t="s">
        <v>26</v>
      </c>
      <c r="E203" s="1">
        <v>45579</v>
      </c>
    </row>
    <row r="204" spans="1:5" x14ac:dyDescent="0.2">
      <c r="A204" t="s">
        <v>4</v>
      </c>
      <c r="B204" t="s">
        <v>39</v>
      </c>
      <c r="C204" s="3" t="str">
        <f t="shared" si="3"/>
        <v>GREP-CoA James Gaillet &amp; Tomas Juergensen - 2B Mitre Road, London, SE1 8PY</v>
      </c>
      <c r="D204" t="s">
        <v>40</v>
      </c>
      <c r="E204" s="1">
        <v>45579</v>
      </c>
    </row>
    <row r="205" spans="1:5" x14ac:dyDescent="0.2">
      <c r="A205" t="s">
        <v>4</v>
      </c>
      <c r="B205" t="s">
        <v>173</v>
      </c>
      <c r="C205" s="3" t="str">
        <f t="shared" si="3"/>
        <v>RENEWAL - 601 Brook Place - 15.10.2023</v>
      </c>
      <c r="D205" t="s">
        <v>174</v>
      </c>
      <c r="E205" s="1">
        <v>45579</v>
      </c>
    </row>
    <row r="206" spans="1:5" x14ac:dyDescent="0.2">
      <c r="A206" t="s">
        <v>4</v>
      </c>
      <c r="B206" t="s">
        <v>201</v>
      </c>
      <c r="C206" s="3" t="str">
        <f t="shared" si="3"/>
        <v>RENEWAL-158, Gilders Yard, 15/10/2023</v>
      </c>
      <c r="D206" t="s">
        <v>202</v>
      </c>
      <c r="E206" s="1">
        <v>45579</v>
      </c>
    </row>
    <row r="207" spans="1:5" x14ac:dyDescent="0.2">
      <c r="A207" t="s">
        <v>4</v>
      </c>
      <c r="B207" t="s">
        <v>203</v>
      </c>
      <c r="C207" s="3" t="str">
        <f t="shared" si="3"/>
        <v>C1 10/08-RENEWAL- 67 Heysmoor-15/10/2023</v>
      </c>
      <c r="D207" t="s">
        <v>204</v>
      </c>
      <c r="E207" s="1">
        <v>45579</v>
      </c>
    </row>
    <row r="208" spans="1:5" x14ac:dyDescent="0.2">
      <c r="A208" t="s">
        <v>4</v>
      </c>
      <c r="B208" t="s">
        <v>205</v>
      </c>
      <c r="C208" s="3" t="str">
        <f t="shared" si="3"/>
        <v>C1 10/08-RENEWAL - 302 Solstice Apartments - 15.10.2023</v>
      </c>
      <c r="D208" t="s">
        <v>206</v>
      </c>
      <c r="E208" s="1">
        <v>45579</v>
      </c>
    </row>
    <row r="209" spans="1:5" x14ac:dyDescent="0.2">
      <c r="A209" t="s">
        <v>4</v>
      </c>
      <c r="B209" t="s">
        <v>274</v>
      </c>
      <c r="C209" s="3" t="str">
        <f t="shared" si="3"/>
        <v>(LBA 1) Renewal - 1804 Aster Apt - 15/10/2023</v>
      </c>
      <c r="D209" t="s">
        <v>275</v>
      </c>
      <c r="E209" s="1">
        <v>45579</v>
      </c>
    </row>
    <row r="210" spans="1:5" x14ac:dyDescent="0.2">
      <c r="A210" t="s">
        <v>4</v>
      </c>
      <c r="B210" t="s">
        <v>380</v>
      </c>
      <c r="C210" s="3" t="str">
        <f t="shared" si="3"/>
        <v>GREP-CoA Twinkle Malhan &amp; Aditi Agrawal - 56 Nautilus Apts, 2 Norah Smyth Rd, London</v>
      </c>
      <c r="D210" t="s">
        <v>381</v>
      </c>
      <c r="E210" s="1">
        <v>45579</v>
      </c>
    </row>
    <row r="211" spans="1:5" x14ac:dyDescent="0.2">
      <c r="A211" t="s">
        <v>4</v>
      </c>
      <c r="B211" t="s">
        <v>386</v>
      </c>
      <c r="C211" s="3" t="str">
        <f t="shared" si="3"/>
        <v>GREP-CoA Ahmed Albalawi &amp; Hussah Alwegaisi - 818 The Barnum, 23 Queens Road, Nottingham</v>
      </c>
      <c r="D211" t="s">
        <v>387</v>
      </c>
      <c r="E211" s="1">
        <v>45579</v>
      </c>
    </row>
    <row r="212" spans="1:5" x14ac:dyDescent="0.2">
      <c r="A212" t="s">
        <v>4</v>
      </c>
      <c r="B212" t="s">
        <v>402</v>
      </c>
      <c r="C212" s="3" t="str">
        <f t="shared" si="3"/>
        <v>GREP-CoA Alexandra Doherty - 305, Brook Place Apts, Sheffield,  S11 8BS</v>
      </c>
      <c r="D212" t="s">
        <v>403</v>
      </c>
      <c r="E212" s="1">
        <v>45579</v>
      </c>
    </row>
    <row r="213" spans="1:5" x14ac:dyDescent="0.2">
      <c r="A213" t="s">
        <v>4</v>
      </c>
      <c r="B213" t="s">
        <v>408</v>
      </c>
      <c r="C213" s="3" t="str">
        <f t="shared" si="3"/>
        <v>RENEWAL- 210 Syren- 15/06/2024</v>
      </c>
      <c r="D213" t="s">
        <v>409</v>
      </c>
      <c r="E213" s="1">
        <v>45579</v>
      </c>
    </row>
    <row r="214" spans="1:5" x14ac:dyDescent="0.2">
      <c r="A214" t="s">
        <v>4</v>
      </c>
      <c r="B214" t="s">
        <v>416</v>
      </c>
      <c r="C214" s="3" t="str">
        <f t="shared" si="3"/>
        <v>GREP-CoA Enze Gao - 626, Brook Place Apts, Sheffield,  S11 8DA</v>
      </c>
      <c r="D214" t="s">
        <v>417</v>
      </c>
      <c r="E214" s="1">
        <v>45579</v>
      </c>
    </row>
  </sheetData>
  <autoFilter ref="A1:E214" xr:uid="{5E84EE58-B1D6-CE4B-A9CF-A503249BE9EE}">
    <sortState xmlns:xlrd2="http://schemas.microsoft.com/office/spreadsheetml/2017/richdata2" ref="A2:E214">
      <sortCondition ref="E1:E214"/>
    </sortState>
  </autoFilter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49F479-3E97-4279-8570-D818C7077277}">
  <ds:schemaRefs>
    <ds:schemaRef ds:uri="1ffbd5dc-7a64-4097-8396-87f6c90b212f"/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A6EC124-1B32-4CA6-8CE7-C44B889588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2915C3-026F-49E9-BB7E-762992DA36E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51DA68A4-CF29-4B79-A9A1-FC36684C43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2024-07-16T12:40:35Z</dcterms:created>
  <dcterms:modified xsi:type="dcterms:W3CDTF">2024-07-29T15:00:33Z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