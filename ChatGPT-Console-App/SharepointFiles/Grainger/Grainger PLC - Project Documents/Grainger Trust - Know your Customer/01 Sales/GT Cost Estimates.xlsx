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Trust - Know your Customer/01 Sales/"/>
    </mc:Choice>
  </mc:AlternateContent>
  <xr:revisionPtr revIDLastSave="445" documentId="8_{E911D06C-5027-AF40-9CCC-E1FA5567E744}" xr6:coauthVersionLast="47" xr6:coauthVersionMax="47" xr10:uidLastSave="{B491C250-478C-644E-A483-874DA028FFB4}"/>
  <bookViews>
    <workbookView xWindow="0" yWindow="500" windowWidth="38400" windowHeight="21100" activeTab="5" xr2:uid="{9EAF6B78-77CD-F141-B055-866846438708}"/>
  </bookViews>
  <sheets>
    <sheet name="v1 " sheetId="1" r:id="rId1"/>
    <sheet name="v1" sheetId="3" r:id="rId2"/>
    <sheet name="v2" sheetId="4" r:id="rId3"/>
    <sheet name="v2 1" sheetId="5" r:id="rId4"/>
    <sheet name="Latest cost" sheetId="6" r:id="rId5"/>
    <sheet name="Latest cost 2024-10-28" sheetId="7" r:id="rId6"/>
    <sheet name="2024-10-23" sheetId="8" r:id="rId7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3" i="7"/>
  <c r="D14" i="7"/>
  <c r="C14" i="7"/>
  <c r="D18" i="7"/>
  <c r="D19" i="7"/>
  <c r="D20" i="7"/>
  <c r="D23" i="7"/>
  <c r="C18" i="7"/>
  <c r="C19" i="7"/>
  <c r="C20" i="7"/>
  <c r="C23" i="7"/>
  <c r="D4" i="8"/>
  <c r="C4" i="8"/>
  <c r="D3" i="8"/>
  <c r="C3" i="8"/>
  <c r="J22" i="7"/>
  <c r="D4" i="7"/>
  <c r="F36" i="8"/>
  <c r="F35" i="8"/>
  <c r="F34" i="8"/>
  <c r="F33" i="8"/>
  <c r="H23" i="8"/>
  <c r="H24" i="8"/>
  <c r="H25" i="8"/>
  <c r="C23" i="8"/>
  <c r="C22" i="8"/>
  <c r="I13" i="8"/>
  <c r="H13" i="8"/>
  <c r="C13" i="8"/>
  <c r="B13" i="8"/>
  <c r="I12" i="8"/>
  <c r="H12" i="8"/>
  <c r="C12" i="8"/>
  <c r="B12" i="8"/>
  <c r="I11" i="8"/>
  <c r="H11" i="8"/>
  <c r="C11" i="8"/>
  <c r="B11" i="8"/>
  <c r="I10" i="8"/>
  <c r="H10" i="8"/>
  <c r="C10" i="8"/>
  <c r="B10" i="8"/>
  <c r="I9" i="8"/>
  <c r="I15" i="8"/>
  <c r="H9" i="8"/>
  <c r="H15" i="8"/>
  <c r="C9" i="8"/>
  <c r="B9" i="8"/>
  <c r="I2" i="8"/>
  <c r="I22" i="7"/>
  <c r="I23" i="7"/>
  <c r="I24" i="7"/>
  <c r="D7" i="6"/>
  <c r="C7" i="6"/>
  <c r="D3" i="6"/>
  <c r="C3" i="6"/>
  <c r="J15" i="6"/>
  <c r="I15" i="6"/>
  <c r="I16" i="6"/>
  <c r="I17" i="6"/>
  <c r="K23" i="1"/>
  <c r="C23" i="4"/>
  <c r="C22" i="4"/>
  <c r="F36" i="4"/>
  <c r="F35" i="4"/>
  <c r="F34" i="4"/>
  <c r="F33" i="4"/>
  <c r="H25" i="5"/>
  <c r="H24" i="5"/>
  <c r="H23" i="5"/>
  <c r="I13" i="5"/>
  <c r="H13" i="5"/>
  <c r="C13" i="5"/>
  <c r="D6" i="5"/>
  <c r="B13" i="5"/>
  <c r="I12" i="5"/>
  <c r="H12" i="5"/>
  <c r="C12" i="5"/>
  <c r="B12" i="5"/>
  <c r="I11" i="5"/>
  <c r="H11" i="5"/>
  <c r="C11" i="5"/>
  <c r="D4" i="5"/>
  <c r="B11" i="5"/>
  <c r="I10" i="5"/>
  <c r="H10" i="5"/>
  <c r="C10" i="5"/>
  <c r="D3" i="5"/>
  <c r="B10" i="5"/>
  <c r="C3" i="5"/>
  <c r="I9" i="5"/>
  <c r="I15" i="5"/>
  <c r="H9" i="5"/>
  <c r="H15" i="5"/>
  <c r="C9" i="5"/>
  <c r="C15" i="5"/>
  <c r="B9" i="5"/>
  <c r="C6" i="5"/>
  <c r="D5" i="5"/>
  <c r="C5" i="5"/>
  <c r="C4" i="5"/>
  <c r="D2" i="5"/>
  <c r="C2" i="5"/>
  <c r="C7" i="5"/>
  <c r="H23" i="4"/>
  <c r="H24" i="4"/>
  <c r="H25" i="4"/>
  <c r="I13" i="4"/>
  <c r="H13" i="4"/>
  <c r="C13" i="4"/>
  <c r="D6" i="4"/>
  <c r="B13" i="4"/>
  <c r="C6" i="4"/>
  <c r="I12" i="4"/>
  <c r="H12" i="4"/>
  <c r="C12" i="4"/>
  <c r="D5" i="4"/>
  <c r="B12" i="4"/>
  <c r="I11" i="4"/>
  <c r="H11" i="4"/>
  <c r="C11" i="4"/>
  <c r="B11" i="4"/>
  <c r="C4" i="4"/>
  <c r="I10" i="4"/>
  <c r="H10" i="4"/>
  <c r="C10" i="4"/>
  <c r="D3" i="4"/>
  <c r="B10" i="4"/>
  <c r="C3" i="4"/>
  <c r="I9" i="4"/>
  <c r="I15" i="4"/>
  <c r="H9" i="4"/>
  <c r="H15" i="4"/>
  <c r="C9" i="4"/>
  <c r="C15" i="4"/>
  <c r="B9" i="4"/>
  <c r="C2" i="4"/>
  <c r="C2" i="6"/>
  <c r="C5" i="4"/>
  <c r="D4" i="4"/>
  <c r="H25" i="1"/>
  <c r="H24" i="1"/>
  <c r="H23" i="1"/>
  <c r="D9" i="3"/>
  <c r="C9" i="3"/>
  <c r="D3" i="3"/>
  <c r="C3" i="3"/>
  <c r="B15" i="8"/>
  <c r="C15" i="8"/>
  <c r="C2" i="8"/>
  <c r="D2" i="8"/>
  <c r="J2" i="8"/>
  <c r="C8" i="7"/>
  <c r="C9" i="6"/>
  <c r="C7" i="4"/>
  <c r="D7" i="5"/>
  <c r="I2" i="5"/>
  <c r="B15" i="5"/>
  <c r="B7" i="5"/>
  <c r="J2" i="5"/>
  <c r="D2" i="4"/>
  <c r="I2" i="4"/>
  <c r="J2" i="4"/>
  <c r="B15" i="4"/>
  <c r="B7" i="4"/>
  <c r="D2" i="3"/>
  <c r="D7" i="3"/>
  <c r="D11" i="3"/>
  <c r="C2" i="3"/>
  <c r="C7" i="3"/>
  <c r="C11" i="3"/>
  <c r="J2" i="1"/>
  <c r="I2" i="1"/>
  <c r="I13" i="1"/>
  <c r="H13" i="1"/>
  <c r="I12" i="1"/>
  <c r="H12" i="1"/>
  <c r="I11" i="1"/>
  <c r="H11" i="1"/>
  <c r="I10" i="1"/>
  <c r="H10" i="1"/>
  <c r="I9" i="1"/>
  <c r="I15" i="1"/>
  <c r="H9" i="1"/>
  <c r="H15" i="1"/>
  <c r="D2" i="1"/>
  <c r="C2" i="1"/>
  <c r="C10" i="1"/>
  <c r="D3" i="1"/>
  <c r="C11" i="1"/>
  <c r="D4" i="1"/>
  <c r="C12" i="1"/>
  <c r="D5" i="1"/>
  <c r="C13" i="1"/>
  <c r="D6" i="1"/>
  <c r="C9" i="1"/>
  <c r="B10" i="1"/>
  <c r="C3" i="1"/>
  <c r="B11" i="1"/>
  <c r="C4" i="1"/>
  <c r="B12" i="1"/>
  <c r="C5" i="1"/>
  <c r="B13" i="1"/>
  <c r="C6" i="1"/>
  <c r="B9" i="1"/>
  <c r="D3" i="7"/>
  <c r="D8" i="7"/>
  <c r="D7" i="4"/>
  <c r="D2" i="6"/>
  <c r="D9" i="6"/>
  <c r="C7" i="1"/>
  <c r="B15" i="1"/>
  <c r="D7" i="1"/>
  <c r="C15" i="1"/>
  <c r="B7" i="1"/>
</calcChain>
</file>

<file path=xl/sharedStrings.xml><?xml version="1.0" encoding="utf-8"?>
<sst xmlns="http://schemas.openxmlformats.org/spreadsheetml/2006/main" count="154" uniqueCount="78">
  <si>
    <t>Phase</t>
  </si>
  <si>
    <t>Hours</t>
  </si>
  <si>
    <t>Lower Bound</t>
  </si>
  <si>
    <t>Upper Bound</t>
  </si>
  <si>
    <t>Analysis</t>
  </si>
  <si>
    <t>Build</t>
  </si>
  <si>
    <t>200 - 260</t>
  </si>
  <si>
    <t>Project Management</t>
  </si>
  <si>
    <t>12 - 15.6</t>
  </si>
  <si>
    <t>UAT</t>
  </si>
  <si>
    <t>40 - 52</t>
  </si>
  <si>
    <t>Production</t>
  </si>
  <si>
    <t>5 - 6.5</t>
  </si>
  <si>
    <t>Total</t>
  </si>
  <si>
    <t>140 - 160</t>
  </si>
  <si>
    <t>£/hour</t>
  </si>
  <si>
    <t>£/sprint</t>
  </si>
  <si>
    <t xml:space="preserve"># Sprints </t>
  </si>
  <si>
    <t>3 - 4</t>
  </si>
  <si>
    <r>
      <t>Project Phases</t>
    </r>
    <r>
      <rPr>
        <sz val="9"/>
        <color rgb="FFFFFFFF"/>
        <rFont val="Verdana"/>
        <family val="2"/>
      </rPr>
      <t> </t>
    </r>
  </si>
  <si>
    <t>Sprint 0 </t>
  </si>
  <si>
    <t>6 weeks </t>
  </si>
  <si>
    <t>UAT </t>
  </si>
  <si>
    <t>Production Deployment &amp; Post Go-Live Support </t>
  </si>
  <si>
    <t>2 weeks </t>
  </si>
  <si>
    <t>Data Migration </t>
  </si>
  <si>
    <t>Sprint 1 - 4</t>
  </si>
  <si>
    <t>9-12 weeks</t>
  </si>
  <si>
    <r>
      <t>Sub Total</t>
    </r>
    <r>
      <rPr>
        <sz val="9"/>
        <rFont val="Verdana"/>
        <family val="2"/>
      </rPr>
      <t> </t>
    </r>
  </si>
  <si>
    <t>Duration</t>
  </si>
  <si>
    <t>19-22 weeks</t>
  </si>
  <si>
    <t>140 - 182</t>
  </si>
  <si>
    <t>93 000</t>
  </si>
  <si>
    <t>120 000</t>
  </si>
  <si>
    <t>Project Phases </t>
  </si>
  <si>
    <t>Duration </t>
  </si>
  <si>
    <t>Lower Bound </t>
  </si>
  <si>
    <t>Upper Bound </t>
  </si>
  <si>
    <r>
      <t>Sprint 0 </t>
    </r>
    <r>
      <rPr>
        <b/>
        <sz val="10"/>
        <rFont val="Verdana"/>
        <family val="2"/>
      </rPr>
      <t> </t>
    </r>
  </si>
  <si>
    <t>6 weeks  </t>
  </si>
  <si>
    <r>
      <t>Sprint 1 - 4</t>
    </r>
    <r>
      <rPr>
        <b/>
        <sz val="10"/>
        <rFont val="Verdana"/>
        <family val="2"/>
      </rPr>
      <t> </t>
    </r>
  </si>
  <si>
    <t>9-12 weeks </t>
  </si>
  <si>
    <r>
      <t>UAT </t>
    </r>
    <r>
      <rPr>
        <b/>
        <sz val="10"/>
        <rFont val="Verdana"/>
        <family val="2"/>
      </rPr>
      <t> </t>
    </r>
  </si>
  <si>
    <t>2 weeks  </t>
  </si>
  <si>
    <r>
      <t>Production Deployment &amp; Post Go-Live Support </t>
    </r>
    <r>
      <rPr>
        <b/>
        <sz val="10"/>
        <rFont val="Verdana"/>
        <family val="2"/>
      </rPr>
      <t> </t>
    </r>
  </si>
  <si>
    <t>Sub Total  </t>
  </si>
  <si>
    <r>
      <t>Data Migration </t>
    </r>
    <r>
      <rPr>
        <b/>
        <sz val="10"/>
        <rFont val="Verdana"/>
        <family val="2"/>
      </rPr>
      <t> </t>
    </r>
  </si>
  <si>
    <t>Run in parallel with sprints </t>
  </si>
  <si>
    <t>Total </t>
  </si>
  <si>
    <t>Cost per sprint</t>
  </si>
  <si>
    <t>2 x FTE @ GBP780/day</t>
  </si>
  <si>
    <t>100 - 120</t>
  </si>
  <si>
    <t xml:space="preserve">User guide creation </t>
  </si>
  <si>
    <t>1 week</t>
  </si>
  <si>
    <r>
      <t>20-23 weeks</t>
    </r>
    <r>
      <rPr>
        <sz val="10"/>
        <rFont val="Verdana"/>
        <family val="2"/>
      </rPr>
      <t> </t>
    </r>
  </si>
  <si>
    <t>60-80</t>
  </si>
  <si>
    <t>Lower</t>
  </si>
  <si>
    <t>Upper</t>
  </si>
  <si>
    <t>6-9 weeks </t>
  </si>
  <si>
    <t>3-4 weeks  </t>
  </si>
  <si>
    <t>KYC analysis</t>
  </si>
  <si>
    <t>30-40</t>
  </si>
  <si>
    <t>KYC implementation</t>
  </si>
  <si>
    <t>KYC analysis and solution design for sharing model changes</t>
  </si>
  <si>
    <t>2-3 weeks</t>
  </si>
  <si>
    <t>KYC UAT</t>
  </si>
  <si>
    <t>2 weeks</t>
  </si>
  <si>
    <t>24-32</t>
  </si>
  <si>
    <t>KYC UAT - Open Box led UAT to verify sharing changes</t>
  </si>
  <si>
    <t>7-8 weeks</t>
  </si>
  <si>
    <t>Data Migration  </t>
  </si>
  <si>
    <t>Data Migration - extract, transform &amp; load</t>
  </si>
  <si>
    <t>Sub Total</t>
  </si>
  <si>
    <t>KYC Functionality</t>
  </si>
  <si>
    <t>Grainger Trust Leasing Journey</t>
  </si>
  <si>
    <r>
      <t>13-17 weeks</t>
    </r>
    <r>
      <rPr>
        <sz val="10"/>
        <rFont val="Verdana"/>
        <family val="2"/>
      </rPr>
      <t> </t>
    </r>
  </si>
  <si>
    <t>6-12 weeks</t>
  </si>
  <si>
    <t>2-3 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</si>
</sst>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12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2"/>
      <color theme="1"/>
      <name val="Aptos Narrow"/>
      <scheme val="minor"/>
    </font>
    <font>
      <b/>
      <sz val="10"/>
      <color rgb="FFFFFFFF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justify" vertical="center"/>
    </xf>
    <xf numFmtId="0" fontId="2" fillId="3" borderId="6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  <xf numFmtId="164" fontId="2" fillId="3" borderId="6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justify" vertical="center"/>
    </xf>
    <xf numFmtId="49" fontId="2" fillId="2" borderId="0" xfId="0" applyNumberFormat="1" applyFont="1" applyFill="1" applyAlignment="1">
      <alignment horizontal="justify" vertical="center"/>
    </xf>
    <xf numFmtId="49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9" xfId="0" applyFont="1" applyBorder="1"/>
    <xf numFmtId="164" fontId="7" fillId="0" borderId="9" xfId="0" applyNumberFormat="1" applyFont="1" applyBorder="1"/>
    <xf numFmtId="0" fontId="5" fillId="0" borderId="7" xfId="0" applyFont="1" applyBorder="1"/>
    <xf numFmtId="164" fontId="5" fillId="0" borderId="7" xfId="0" applyNumberFormat="1" applyFont="1" applyBorder="1"/>
    <xf numFmtId="164" fontId="0" fillId="0" borderId="7" xfId="0" applyNumberFormat="1" applyBorder="1"/>
    <xf numFmtId="0" fontId="0" fillId="0" borderId="7" xfId="0" applyBorder="1"/>
    <xf numFmtId="0" fontId="6" fillId="0" borderId="7" xfId="0" applyFont="1" applyBorder="1"/>
    <xf numFmtId="164" fontId="6" fillId="0" borderId="7" xfId="0" applyNumberFormat="1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1" fillId="0" borderId="0" xfId="0" applyFont="1"/>
    <xf numFmtId="0" fontId="10" fillId="0" borderId="10" xfId="0" applyFont="1" applyBorder="1"/>
    <xf numFmtId="0" fontId="11" fillId="0" borderId="10" xfId="0" applyFont="1" applyBorder="1"/>
    <xf numFmtId="164" fontId="9" fillId="0" borderId="0" xfId="0" applyNumberFormat="1" applyFont="1"/>
    <xf numFmtId="164" fontId="10" fillId="0" borderId="10" xfId="0" applyNumberFormat="1" applyFont="1" applyBorder="1"/>
    <xf numFmtId="164" fontId="10" fillId="0" borderId="0" xfId="0" applyNumberFormat="1" applyFont="1"/>
    <xf numFmtId="164" fontId="11" fillId="0" borderId="10" xfId="0" applyNumberFormat="1" applyFont="1" applyBorder="1"/>
    <xf numFmtId="164" fontId="1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232833</xdr:colOff>
      <xdr:row>14</xdr:row>
      <xdr:rowOff>179917</xdr:rowOff>
    </xdr:from>
    <xdr:to>
      <xdr:col>5</xdr:col>
      <xdr:colOff>184150</xdr:colOff>
      <xdr:row>30</xdr:row>
      <xdr:rowOff>138033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4D748-48EC-4C2D-65B7-7085F3168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833" y="2995084"/>
          <a:ext cx="7772400" cy="3175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A2B8-57E8-1A4D-877A-D826225CD4C7}">
  <dimension ref="A1:K25"/>
  <sheetViews>
    <sheetView workbookViewId="0">
      <selection activeCell="H25" sqref="H25"/>
    </sheetView>
  </sheetViews>
  <sheetFormatPr baseColWidth="10" defaultColWidth="11" defaultRowHeight="16" x14ac:dyDescent="0.2"/>
  <cols>
    <col min="1" max="1" width="24.1640625" customWidth="1"/>
    <col min="2" max="2" width="10" bestFit="1" customWidth="1"/>
    <col min="3" max="3" width="13.5" bestFit="1" customWidth="1"/>
    <col min="4" max="4" width="13.33203125" bestFit="1" customWidth="1"/>
  </cols>
  <sheetData>
    <row r="1" spans="1:11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0" t="s">
        <v>15</v>
      </c>
      <c r="H1" s="11" t="s">
        <v>17</v>
      </c>
      <c r="I1" s="3" t="s">
        <v>2</v>
      </c>
      <c r="J1" s="3" t="s">
        <v>3</v>
      </c>
      <c r="K1" t="s">
        <v>16</v>
      </c>
    </row>
    <row r="2" spans="1:11" ht="17" thickBot="1" x14ac:dyDescent="0.25">
      <c r="A2" s="4" t="s">
        <v>4</v>
      </c>
      <c r="B2" s="5" t="s">
        <v>14</v>
      </c>
      <c r="C2" s="8">
        <f>B9*$E2</f>
        <v>21000</v>
      </c>
      <c r="D2" s="8">
        <f>C9*$E2</f>
        <v>24000</v>
      </c>
      <c r="E2">
        <v>150</v>
      </c>
      <c r="H2" s="12" t="s">
        <v>18</v>
      </c>
      <c r="I2" s="8">
        <f>H9*$K2</f>
        <v>105300</v>
      </c>
      <c r="J2" s="8">
        <f>I9*$K2</f>
        <v>140400</v>
      </c>
      <c r="K2">
        <v>35100</v>
      </c>
    </row>
    <row r="3" spans="1:11" ht="17" thickBot="1" x14ac:dyDescent="0.25">
      <c r="A3" s="4" t="s">
        <v>5</v>
      </c>
      <c r="B3" s="5" t="s">
        <v>6</v>
      </c>
      <c r="C3" s="8">
        <f t="shared" ref="C3:D6" si="0">B10*120</f>
        <v>24000</v>
      </c>
      <c r="D3" s="8">
        <f t="shared" si="0"/>
        <v>31200</v>
      </c>
      <c r="H3" s="12"/>
      <c r="I3" s="12"/>
    </row>
    <row r="4" spans="1:11" ht="17" thickBot="1" x14ac:dyDescent="0.25">
      <c r="A4" s="4" t="s">
        <v>7</v>
      </c>
      <c r="B4" s="5" t="s">
        <v>8</v>
      </c>
      <c r="C4" s="8">
        <f t="shared" si="0"/>
        <v>1440</v>
      </c>
      <c r="D4" s="8">
        <f t="shared" si="0"/>
        <v>1872</v>
      </c>
      <c r="H4" s="12"/>
      <c r="I4" s="12"/>
    </row>
    <row r="5" spans="1:11" ht="17" thickBot="1" x14ac:dyDescent="0.25">
      <c r="A5" s="4" t="s">
        <v>9</v>
      </c>
      <c r="B5" s="5" t="s">
        <v>10</v>
      </c>
      <c r="C5" s="8">
        <f t="shared" si="0"/>
        <v>4800</v>
      </c>
      <c r="D5" s="8">
        <f t="shared" si="0"/>
        <v>6240</v>
      </c>
      <c r="H5" s="12"/>
      <c r="I5" s="12"/>
    </row>
    <row r="6" spans="1:11" ht="17" thickBot="1" x14ac:dyDescent="0.25">
      <c r="A6" s="4" t="s">
        <v>11</v>
      </c>
      <c r="B6" s="5" t="s">
        <v>12</v>
      </c>
      <c r="C6" s="8">
        <f t="shared" si="0"/>
        <v>600</v>
      </c>
      <c r="D6" s="8">
        <f t="shared" si="0"/>
        <v>780</v>
      </c>
      <c r="H6" s="12"/>
      <c r="I6" s="12"/>
    </row>
    <row r="7" spans="1:11" ht="17" thickBot="1" x14ac:dyDescent="0.25">
      <c r="A7" s="6" t="s">
        <v>13</v>
      </c>
      <c r="B7" s="7" t="str">
        <f>ROUND(B15,0)&amp;" - "&amp;ROUND(C15,0)</f>
        <v>397 - 494</v>
      </c>
      <c r="C7" s="9">
        <f>SUM(C2:C6)</f>
        <v>51840</v>
      </c>
      <c r="D7" s="9">
        <f>SUM(D2:D6)</f>
        <v>64092</v>
      </c>
      <c r="H7" s="12"/>
      <c r="I7" s="12"/>
    </row>
    <row r="8" spans="1:11" ht="17" thickTop="1" x14ac:dyDescent="0.2"/>
    <row r="9" spans="1:11" x14ac:dyDescent="0.2">
      <c r="B9">
        <f>LEFT(B2,FIND("-",B2)-1)*1</f>
        <v>140</v>
      </c>
      <c r="C9">
        <f>MID(B2,FIND("-",B2)+1,LEN(B2)-FIND("-",B2)+1)*1</f>
        <v>160</v>
      </c>
      <c r="H9">
        <f>LEFT(H2,FIND("-",H2)-1)*1</f>
        <v>3</v>
      </c>
      <c r="I9">
        <f>MID(H2,FIND("-",H2)+1,LEN(H2)-FIND("-",H2)+1)*1</f>
        <v>4</v>
      </c>
    </row>
    <row r="10" spans="1:11" x14ac:dyDescent="0.2">
      <c r="B10">
        <f t="shared" ref="B10:B13" si="1">LEFT(B3,FIND("-",B3)-1)*1</f>
        <v>200</v>
      </c>
      <c r="C10">
        <f t="shared" ref="C10:C13" si="2">MID(B3,FIND("-",B3)+1,LEN(B3)-FIND("-",B3)+1)*1</f>
        <v>260</v>
      </c>
      <c r="H10" t="e">
        <f t="shared" ref="H10:H13" si="3">LEFT(H3,FIND("-",H3)-1)*1</f>
        <v>#VALUE!</v>
      </c>
      <c r="I10" t="e">
        <f t="shared" ref="I10:I13" si="4">MID(H3,FIND("-",H3)+1,LEN(H3)-FIND("-",H3)+1)*1</f>
        <v>#VALUE!</v>
      </c>
    </row>
    <row r="11" spans="1:11" x14ac:dyDescent="0.2">
      <c r="B11">
        <f t="shared" si="1"/>
        <v>12</v>
      </c>
      <c r="C11">
        <f t="shared" si="2"/>
        <v>15.6</v>
      </c>
      <c r="H11" t="e">
        <f t="shared" si="3"/>
        <v>#VALUE!</v>
      </c>
      <c r="I11" t="e">
        <f t="shared" si="4"/>
        <v>#VALUE!</v>
      </c>
    </row>
    <row r="12" spans="1:11" x14ac:dyDescent="0.2">
      <c r="B12">
        <f t="shared" si="1"/>
        <v>40</v>
      </c>
      <c r="C12">
        <f t="shared" si="2"/>
        <v>52</v>
      </c>
      <c r="H12" t="e">
        <f t="shared" si="3"/>
        <v>#VALUE!</v>
      </c>
      <c r="I12" t="e">
        <f t="shared" si="4"/>
        <v>#VALUE!</v>
      </c>
    </row>
    <row r="13" spans="1:11" x14ac:dyDescent="0.2">
      <c r="B13">
        <f t="shared" si="1"/>
        <v>5</v>
      </c>
      <c r="C13">
        <f t="shared" si="2"/>
        <v>6.5</v>
      </c>
      <c r="H13" t="e">
        <f t="shared" si="3"/>
        <v>#VALUE!</v>
      </c>
      <c r="I13" t="e">
        <f t="shared" si="4"/>
        <v>#VALUE!</v>
      </c>
    </row>
    <row r="15" spans="1:11" x14ac:dyDescent="0.2">
      <c r="B15">
        <f>SUM(B9:B13)</f>
        <v>397</v>
      </c>
      <c r="C15">
        <f>SUM(C9:C13)</f>
        <v>494.1</v>
      </c>
      <c r="H15" t="e">
        <f>SUM(H9:H13)</f>
        <v>#VALUE!</v>
      </c>
      <c r="I15" t="e">
        <f>SUM(I9:I13)</f>
        <v>#VALUE!</v>
      </c>
    </row>
    <row r="23" spans="8:11" x14ac:dyDescent="0.2">
      <c r="H23">
        <f>35100/3</f>
        <v>11700</v>
      </c>
      <c r="K23">
        <f>160*2*0.75</f>
        <v>240</v>
      </c>
    </row>
    <row r="24" spans="8:11" x14ac:dyDescent="0.2">
      <c r="H24">
        <f>H23/5</f>
        <v>2340</v>
      </c>
    </row>
    <row r="25" spans="8:11" x14ac:dyDescent="0.2">
      <c r="H25">
        <f>H24/3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2AF7-A06A-6B4D-B835-C3C64D62CE94}">
  <dimension ref="A1:F12"/>
  <sheetViews>
    <sheetView workbookViewId="0">
      <selection activeCell="C5" sqref="C5"/>
    </sheetView>
  </sheetViews>
  <sheetFormatPr baseColWidth="10" defaultColWidth="11" defaultRowHeight="16" x14ac:dyDescent="0.2"/>
  <cols>
    <col min="1" max="1" width="38.33203125" bestFit="1" customWidth="1"/>
    <col min="2" max="2" width="11.6640625" bestFit="1" customWidth="1"/>
    <col min="3" max="3" width="16.83203125" bestFit="1" customWidth="1"/>
    <col min="4" max="4" width="13.5" bestFit="1" customWidth="1"/>
  </cols>
  <sheetData>
    <row r="1" spans="1:6" x14ac:dyDescent="0.2">
      <c r="A1" s="13" t="s">
        <v>19</v>
      </c>
      <c r="B1" s="15" t="s">
        <v>29</v>
      </c>
      <c r="C1" s="15" t="s">
        <v>2</v>
      </c>
      <c r="D1" s="15" t="s">
        <v>3</v>
      </c>
      <c r="E1" s="14"/>
      <c r="F1" s="14"/>
    </row>
    <row r="2" spans="1:6" x14ac:dyDescent="0.2">
      <c r="A2" s="18" t="s">
        <v>20</v>
      </c>
      <c r="B2" s="18" t="s">
        <v>21</v>
      </c>
      <c r="C2" s="19">
        <f>'v1 '!C2</f>
        <v>21000</v>
      </c>
      <c r="D2" s="19">
        <f>'v1 '!D2</f>
        <v>24000</v>
      </c>
    </row>
    <row r="3" spans="1:6" x14ac:dyDescent="0.2">
      <c r="A3" s="18" t="s">
        <v>26</v>
      </c>
      <c r="B3" s="18" t="s">
        <v>27</v>
      </c>
      <c r="C3" s="19">
        <f>'v1 '!K2*3</f>
        <v>105300</v>
      </c>
      <c r="D3" s="20">
        <f>'v1 '!K2*4</f>
        <v>140400</v>
      </c>
    </row>
    <row r="4" spans="1:6" x14ac:dyDescent="0.2">
      <c r="A4" s="18" t="s">
        <v>22</v>
      </c>
      <c r="B4" s="18" t="s">
        <v>24</v>
      </c>
      <c r="C4" s="19">
        <v>3600</v>
      </c>
      <c r="D4" s="19">
        <v>3600</v>
      </c>
    </row>
    <row r="5" spans="1:6" x14ac:dyDescent="0.2">
      <c r="A5" s="18" t="s">
        <v>23</v>
      </c>
      <c r="B5" s="18" t="s">
        <v>24</v>
      </c>
      <c r="C5" s="19">
        <v>3600</v>
      </c>
      <c r="D5" s="19">
        <v>3600</v>
      </c>
    </row>
    <row r="6" spans="1:6" x14ac:dyDescent="0.2">
      <c r="A6" s="21"/>
      <c r="B6" s="21"/>
      <c r="C6" s="21"/>
      <c r="D6" s="21"/>
    </row>
    <row r="7" spans="1:6" x14ac:dyDescent="0.2">
      <c r="A7" s="22" t="s">
        <v>28</v>
      </c>
      <c r="C7" s="23">
        <f>SUM(C2:C5)</f>
        <v>133500</v>
      </c>
      <c r="D7" s="23">
        <f>SUM(D2:D5)</f>
        <v>171600</v>
      </c>
    </row>
    <row r="8" spans="1:6" x14ac:dyDescent="0.2">
      <c r="A8" s="21"/>
      <c r="B8" s="21"/>
      <c r="C8" s="21"/>
      <c r="D8" s="21"/>
    </row>
    <row r="9" spans="1:6" x14ac:dyDescent="0.2">
      <c r="A9" s="18" t="s">
        <v>25</v>
      </c>
      <c r="B9" s="18"/>
      <c r="C9" s="19">
        <f>40*120</f>
        <v>4800</v>
      </c>
      <c r="D9" s="19">
        <f>160*120</f>
        <v>19200</v>
      </c>
    </row>
    <row r="11" spans="1:6" ht="17" thickBot="1" x14ac:dyDescent="0.25">
      <c r="A11" s="16" t="s">
        <v>13</v>
      </c>
      <c r="B11" s="16" t="s">
        <v>30</v>
      </c>
      <c r="C11" s="17">
        <f>C7+C9</f>
        <v>138300</v>
      </c>
      <c r="D11" s="17">
        <f>D7+D9</f>
        <v>190800</v>
      </c>
    </row>
    <row r="12" spans="1:6" ht="17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C43D-3284-CD4F-83CD-DC606D0A4C91}">
  <dimension ref="A1:K40"/>
  <sheetViews>
    <sheetView workbookViewId="0">
      <selection activeCell="B2" sqref="B2"/>
    </sheetView>
  </sheetViews>
  <sheetFormatPr baseColWidth="10" defaultColWidth="11" defaultRowHeight="16" x14ac:dyDescent="0.2"/>
  <cols>
    <col min="1" max="1" width="24.1640625" customWidth="1"/>
    <col min="2" max="2" width="10" bestFit="1" customWidth="1"/>
    <col min="3" max="3" width="13.5" bestFit="1" customWidth="1"/>
    <col min="4" max="4" width="13.33203125" bestFit="1" customWidth="1"/>
  </cols>
  <sheetData>
    <row r="1" spans="1:11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0" t="s">
        <v>15</v>
      </c>
      <c r="H1" s="11" t="s">
        <v>17</v>
      </c>
      <c r="I1" s="3" t="s">
        <v>2</v>
      </c>
      <c r="J1" s="3" t="s">
        <v>3</v>
      </c>
      <c r="K1" t="s">
        <v>16</v>
      </c>
    </row>
    <row r="2" spans="1:11" ht="17" thickBot="1" x14ac:dyDescent="0.25">
      <c r="A2" s="4" t="s">
        <v>4</v>
      </c>
      <c r="B2" s="5" t="s">
        <v>51</v>
      </c>
      <c r="C2" s="8">
        <f>B9*$E2</f>
        <v>15000</v>
      </c>
      <c r="D2" s="8">
        <f>C9*$E2</f>
        <v>18000</v>
      </c>
      <c r="E2">
        <v>150</v>
      </c>
      <c r="H2" s="12" t="s">
        <v>18</v>
      </c>
      <c r="I2" s="8">
        <f>H9*$K2</f>
        <v>56700</v>
      </c>
      <c r="J2" s="8">
        <f>I9*$K2</f>
        <v>75600</v>
      </c>
      <c r="K2">
        <v>18900</v>
      </c>
    </row>
    <row r="3" spans="1:11" ht="17" thickBot="1" x14ac:dyDescent="0.25">
      <c r="A3" s="4" t="s">
        <v>5</v>
      </c>
      <c r="B3" s="5" t="s">
        <v>31</v>
      </c>
      <c r="C3" s="8">
        <f t="shared" ref="C3:D6" si="0">B10*120</f>
        <v>16800</v>
      </c>
      <c r="D3" s="8">
        <f t="shared" si="0"/>
        <v>21840</v>
      </c>
      <c r="H3" s="12"/>
      <c r="I3" s="12"/>
    </row>
    <row r="4" spans="1:11" ht="17" thickBot="1" x14ac:dyDescent="0.25">
      <c r="A4" s="4" t="s">
        <v>7</v>
      </c>
      <c r="B4" s="5" t="s">
        <v>8</v>
      </c>
      <c r="C4" s="8">
        <f t="shared" si="0"/>
        <v>1440</v>
      </c>
      <c r="D4" s="8">
        <f t="shared" si="0"/>
        <v>1872</v>
      </c>
      <c r="H4" s="12"/>
      <c r="I4" s="12"/>
    </row>
    <row r="5" spans="1:11" ht="17" thickBot="1" x14ac:dyDescent="0.25">
      <c r="A5" s="4" t="s">
        <v>9</v>
      </c>
      <c r="B5" s="5" t="s">
        <v>10</v>
      </c>
      <c r="C5" s="8">
        <f t="shared" si="0"/>
        <v>4800</v>
      </c>
      <c r="D5" s="8">
        <f t="shared" si="0"/>
        <v>6240</v>
      </c>
      <c r="H5" s="12"/>
      <c r="I5" s="12"/>
    </row>
    <row r="6" spans="1:11" ht="17" thickBot="1" x14ac:dyDescent="0.25">
      <c r="A6" s="4" t="s">
        <v>11</v>
      </c>
      <c r="B6" s="5" t="s">
        <v>12</v>
      </c>
      <c r="C6" s="8">
        <f t="shared" si="0"/>
        <v>600</v>
      </c>
      <c r="D6" s="8">
        <f t="shared" si="0"/>
        <v>780</v>
      </c>
      <c r="H6" s="12"/>
      <c r="I6" s="12"/>
    </row>
    <row r="7" spans="1:11" ht="17" thickBot="1" x14ac:dyDescent="0.25">
      <c r="A7" s="6" t="s">
        <v>13</v>
      </c>
      <c r="B7" s="7" t="str">
        <f>ROUND(B15,0)&amp;" - "&amp;ROUND(C15,0)</f>
        <v>297 - 376</v>
      </c>
      <c r="C7" s="9">
        <f>SUM(C2:C6)</f>
        <v>38640</v>
      </c>
      <c r="D7" s="9">
        <f>SUM(D2:D6)</f>
        <v>48732</v>
      </c>
      <c r="H7" s="12"/>
      <c r="I7" s="12"/>
    </row>
    <row r="8" spans="1:11" ht="17" thickTop="1" x14ac:dyDescent="0.2"/>
    <row r="9" spans="1:11" x14ac:dyDescent="0.2">
      <c r="B9">
        <f>LEFT(B2,FIND("-",B2)-1)*1</f>
        <v>100</v>
      </c>
      <c r="C9">
        <f>MID(B2,FIND("-",B2)+1,LEN(B2)-FIND("-",B2)+1)*1</f>
        <v>120</v>
      </c>
      <c r="H9">
        <f>LEFT(H2,FIND("-",H2)-1)*1</f>
        <v>3</v>
      </c>
      <c r="I9">
        <f>MID(H2,FIND("-",H2)+1,LEN(H2)-FIND("-",H2)+1)*1</f>
        <v>4</v>
      </c>
    </row>
    <row r="10" spans="1:11" x14ac:dyDescent="0.2">
      <c r="B10">
        <f t="shared" ref="B10:B13" si="1">LEFT(B3,FIND("-",B3)-1)*1</f>
        <v>140</v>
      </c>
      <c r="C10">
        <f t="shared" ref="C10:C13" si="2">MID(B3,FIND("-",B3)+1,LEN(B3)-FIND("-",B3)+1)*1</f>
        <v>182</v>
      </c>
      <c r="H10" t="e">
        <f t="shared" ref="H10:H13" si="3">LEFT(H3,FIND("-",H3)-1)*1</f>
        <v>#VALUE!</v>
      </c>
      <c r="I10" t="e">
        <f t="shared" ref="I10:I13" si="4">MID(H3,FIND("-",H3)+1,LEN(H3)-FIND("-",H3)+1)*1</f>
        <v>#VALUE!</v>
      </c>
    </row>
    <row r="11" spans="1:11" x14ac:dyDescent="0.2">
      <c r="B11">
        <f t="shared" si="1"/>
        <v>12</v>
      </c>
      <c r="C11">
        <f t="shared" si="2"/>
        <v>15.6</v>
      </c>
      <c r="H11" t="e">
        <f t="shared" si="3"/>
        <v>#VALUE!</v>
      </c>
      <c r="I11" t="e">
        <f t="shared" si="4"/>
        <v>#VALUE!</v>
      </c>
    </row>
    <row r="12" spans="1:11" x14ac:dyDescent="0.2">
      <c r="B12">
        <f t="shared" si="1"/>
        <v>40</v>
      </c>
      <c r="C12">
        <f t="shared" si="2"/>
        <v>52</v>
      </c>
      <c r="H12" t="e">
        <f t="shared" si="3"/>
        <v>#VALUE!</v>
      </c>
      <c r="I12" t="e">
        <f t="shared" si="4"/>
        <v>#VALUE!</v>
      </c>
    </row>
    <row r="13" spans="1:11" x14ac:dyDescent="0.2">
      <c r="B13">
        <f t="shared" si="1"/>
        <v>5</v>
      </c>
      <c r="C13">
        <f t="shared" si="2"/>
        <v>6.5</v>
      </c>
      <c r="H13" t="e">
        <f t="shared" si="3"/>
        <v>#VALUE!</v>
      </c>
      <c r="I13" t="e">
        <f t="shared" si="4"/>
        <v>#VALUE!</v>
      </c>
    </row>
    <row r="15" spans="1:11" x14ac:dyDescent="0.2">
      <c r="B15">
        <f>SUM(B9:B13)</f>
        <v>297</v>
      </c>
      <c r="C15">
        <f>SUM(C9:C13)</f>
        <v>376.1</v>
      </c>
      <c r="H15" t="e">
        <f>SUM(H9:H13)</f>
        <v>#VALUE!</v>
      </c>
      <c r="I15" t="e">
        <f>SUM(I9:I13)</f>
        <v>#VALUE!</v>
      </c>
    </row>
    <row r="22" spans="3:8" x14ac:dyDescent="0.2">
      <c r="C22">
        <f>40*2</f>
        <v>80</v>
      </c>
    </row>
    <row r="23" spans="3:8" x14ac:dyDescent="0.2">
      <c r="C23">
        <f>C22*3</f>
        <v>240</v>
      </c>
      <c r="H23">
        <f>35100/3</f>
        <v>11700</v>
      </c>
    </row>
    <row r="24" spans="3:8" x14ac:dyDescent="0.2">
      <c r="H24">
        <f>H23/5</f>
        <v>2340</v>
      </c>
    </row>
    <row r="25" spans="3:8" x14ac:dyDescent="0.2">
      <c r="H25">
        <f>H24/3</f>
        <v>780</v>
      </c>
    </row>
    <row r="33" spans="2:6" x14ac:dyDescent="0.2">
      <c r="F33">
        <f>0.7*140</f>
        <v>98</v>
      </c>
    </row>
    <row r="34" spans="2:6" x14ac:dyDescent="0.2">
      <c r="F34">
        <f>0.7*160</f>
        <v>112</v>
      </c>
    </row>
    <row r="35" spans="2:6" x14ac:dyDescent="0.2">
      <c r="F35">
        <f>0.7*200</f>
        <v>140</v>
      </c>
    </row>
    <row r="36" spans="2:6" x14ac:dyDescent="0.2">
      <c r="F36">
        <f>0.7*260</f>
        <v>182</v>
      </c>
    </row>
    <row r="40" spans="2:6" x14ac:dyDescent="0.2">
      <c r="B40" t="s">
        <v>32</v>
      </c>
      <c r="C40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9E14-261E-664C-9FBE-76FBC5201986}">
  <dimension ref="A1:K25"/>
  <sheetViews>
    <sheetView workbookViewId="0">
      <selection activeCell="F22" sqref="F22"/>
    </sheetView>
  </sheetViews>
  <sheetFormatPr baseColWidth="10" defaultColWidth="11" defaultRowHeight="16" x14ac:dyDescent="0.2"/>
  <cols>
    <col min="1" max="1" width="24.1640625" customWidth="1"/>
    <col min="2" max="2" width="10" bestFit="1" customWidth="1"/>
    <col min="3" max="3" width="13.5" bestFit="1" customWidth="1"/>
    <col min="4" max="4" width="13.33203125" bestFit="1" customWidth="1"/>
  </cols>
  <sheetData>
    <row r="1" spans="1:11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0" t="s">
        <v>15</v>
      </c>
      <c r="H1" s="11" t="s">
        <v>17</v>
      </c>
      <c r="I1" s="3" t="s">
        <v>2</v>
      </c>
      <c r="J1" s="3" t="s">
        <v>3</v>
      </c>
      <c r="K1" t="s">
        <v>16</v>
      </c>
    </row>
    <row r="2" spans="1:11" ht="17" thickBot="1" x14ac:dyDescent="0.25">
      <c r="A2" s="4" t="s">
        <v>4</v>
      </c>
      <c r="B2" s="5" t="s">
        <v>14</v>
      </c>
      <c r="C2" s="8">
        <f>B9*$E2</f>
        <v>21000</v>
      </c>
      <c r="D2" s="8">
        <f>C9*$E2</f>
        <v>24000</v>
      </c>
      <c r="E2">
        <v>150</v>
      </c>
      <c r="H2" s="12" t="s">
        <v>18</v>
      </c>
      <c r="I2" s="8">
        <f>H9*$K2</f>
        <v>105300</v>
      </c>
      <c r="J2" s="8">
        <f>I9*$K2</f>
        <v>140400</v>
      </c>
      <c r="K2">
        <v>35100</v>
      </c>
    </row>
    <row r="3" spans="1:11" ht="17" thickBot="1" x14ac:dyDescent="0.25">
      <c r="A3" s="4" t="s">
        <v>5</v>
      </c>
      <c r="B3" s="5" t="s">
        <v>6</v>
      </c>
      <c r="C3" s="8">
        <f t="shared" ref="C3:D6" si="0">B10*120</f>
        <v>24000</v>
      </c>
      <c r="D3" s="8">
        <f t="shared" si="0"/>
        <v>31200</v>
      </c>
      <c r="H3" s="12"/>
      <c r="I3" s="12"/>
    </row>
    <row r="4" spans="1:11" ht="17" thickBot="1" x14ac:dyDescent="0.25">
      <c r="A4" s="4" t="s">
        <v>7</v>
      </c>
      <c r="B4" s="5" t="s">
        <v>8</v>
      </c>
      <c r="C4" s="8">
        <f t="shared" si="0"/>
        <v>1440</v>
      </c>
      <c r="D4" s="8">
        <f t="shared" si="0"/>
        <v>1872</v>
      </c>
      <c r="H4" s="12"/>
      <c r="I4" s="12"/>
    </row>
    <row r="5" spans="1:11" ht="17" thickBot="1" x14ac:dyDescent="0.25">
      <c r="A5" s="4" t="s">
        <v>9</v>
      </c>
      <c r="B5" s="5" t="s">
        <v>10</v>
      </c>
      <c r="C5" s="8">
        <f t="shared" si="0"/>
        <v>4800</v>
      </c>
      <c r="D5" s="8">
        <f t="shared" si="0"/>
        <v>6240</v>
      </c>
      <c r="H5" s="12"/>
      <c r="I5" s="12"/>
    </row>
    <row r="6" spans="1:11" ht="17" thickBot="1" x14ac:dyDescent="0.25">
      <c r="A6" s="4" t="s">
        <v>11</v>
      </c>
      <c r="B6" s="5" t="s">
        <v>12</v>
      </c>
      <c r="C6" s="8">
        <f t="shared" si="0"/>
        <v>600</v>
      </c>
      <c r="D6" s="8">
        <f t="shared" si="0"/>
        <v>780</v>
      </c>
      <c r="H6" s="12"/>
      <c r="I6" s="12"/>
    </row>
    <row r="7" spans="1:11" ht="17" thickBot="1" x14ac:dyDescent="0.25">
      <c r="A7" s="6" t="s">
        <v>13</v>
      </c>
      <c r="B7" s="7" t="str">
        <f>ROUND(B15,0)&amp;" - "&amp;ROUND(C15,0)</f>
        <v>397 - 494</v>
      </c>
      <c r="C7" s="9">
        <f>SUM(C2:C6)</f>
        <v>51840</v>
      </c>
      <c r="D7" s="9">
        <f>SUM(D2:D6)</f>
        <v>64092</v>
      </c>
      <c r="H7" s="12"/>
      <c r="I7" s="12"/>
    </row>
    <row r="8" spans="1:11" ht="17" thickTop="1" x14ac:dyDescent="0.2"/>
    <row r="9" spans="1:11" x14ac:dyDescent="0.2">
      <c r="B9">
        <f>LEFT(B2,FIND("-",B2)-1)*1</f>
        <v>140</v>
      </c>
      <c r="C9">
        <f>MID(B2,FIND("-",B2)+1,LEN(B2)-FIND("-",B2)+1)*1</f>
        <v>160</v>
      </c>
      <c r="H9">
        <f>LEFT(H2,FIND("-",H2)-1)*1</f>
        <v>3</v>
      </c>
      <c r="I9">
        <f>MID(H2,FIND("-",H2)+1,LEN(H2)-FIND("-",H2)+1)*1</f>
        <v>4</v>
      </c>
    </row>
    <row r="10" spans="1:11" x14ac:dyDescent="0.2">
      <c r="B10">
        <f t="shared" ref="B10:B13" si="1">LEFT(B3,FIND("-",B3)-1)*1</f>
        <v>200</v>
      </c>
      <c r="C10">
        <f t="shared" ref="C10:C13" si="2">MID(B3,FIND("-",B3)+1,LEN(B3)-FIND("-",B3)+1)*1</f>
        <v>260</v>
      </c>
      <c r="H10" t="e">
        <f t="shared" ref="H10:H13" si="3">LEFT(H3,FIND("-",H3)-1)*1</f>
        <v>#VALUE!</v>
      </c>
      <c r="I10" t="e">
        <f t="shared" ref="I10:I13" si="4">MID(H3,FIND("-",H3)+1,LEN(H3)-FIND("-",H3)+1)*1</f>
        <v>#VALUE!</v>
      </c>
    </row>
    <row r="11" spans="1:11" x14ac:dyDescent="0.2">
      <c r="B11">
        <f t="shared" si="1"/>
        <v>12</v>
      </c>
      <c r="C11">
        <f t="shared" si="2"/>
        <v>15.6</v>
      </c>
      <c r="H11" t="e">
        <f t="shared" si="3"/>
        <v>#VALUE!</v>
      </c>
      <c r="I11" t="e">
        <f t="shared" si="4"/>
        <v>#VALUE!</v>
      </c>
    </row>
    <row r="12" spans="1:11" x14ac:dyDescent="0.2">
      <c r="B12">
        <f t="shared" si="1"/>
        <v>40</v>
      </c>
      <c r="C12">
        <f t="shared" si="2"/>
        <v>52</v>
      </c>
      <c r="H12" t="e">
        <f t="shared" si="3"/>
        <v>#VALUE!</v>
      </c>
      <c r="I12" t="e">
        <f t="shared" si="4"/>
        <v>#VALUE!</v>
      </c>
    </row>
    <row r="13" spans="1:11" x14ac:dyDescent="0.2">
      <c r="B13">
        <f t="shared" si="1"/>
        <v>5</v>
      </c>
      <c r="C13">
        <f t="shared" si="2"/>
        <v>6.5</v>
      </c>
      <c r="H13" t="e">
        <f t="shared" si="3"/>
        <v>#VALUE!</v>
      </c>
      <c r="I13" t="e">
        <f t="shared" si="4"/>
        <v>#VALUE!</v>
      </c>
    </row>
    <row r="15" spans="1:11" x14ac:dyDescent="0.2">
      <c r="B15">
        <f>SUM(B9:B13)</f>
        <v>397</v>
      </c>
      <c r="C15">
        <f>SUM(C9:C13)</f>
        <v>494.1</v>
      </c>
      <c r="H15" t="e">
        <f>SUM(H9:H13)</f>
        <v>#VALUE!</v>
      </c>
      <c r="I15" t="e">
        <f>SUM(I9:I13)</f>
        <v>#VALUE!</v>
      </c>
    </row>
    <row r="23" spans="8:8" x14ac:dyDescent="0.2">
      <c r="H23">
        <f>35100/3</f>
        <v>11700</v>
      </c>
    </row>
    <row r="24" spans="8:8" x14ac:dyDescent="0.2">
      <c r="H24">
        <f>H23/5</f>
        <v>2340</v>
      </c>
    </row>
    <row r="25" spans="8:8" x14ac:dyDescent="0.2">
      <c r="H25">
        <f>H24/3</f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D387-F949-4945-B503-025A2061F4D9}">
  <dimension ref="A1:K17"/>
  <sheetViews>
    <sheetView topLeftCell="A10" zoomScale="120" zoomScaleNormal="120" workbookViewId="0">
      <selection activeCell="G6" sqref="G6"/>
    </sheetView>
  </sheetViews>
  <sheetFormatPr baseColWidth="10" defaultColWidth="11" defaultRowHeight="16" x14ac:dyDescent="0.2"/>
  <cols>
    <col min="1" max="1" width="42.6640625" bestFit="1" customWidth="1"/>
    <col min="2" max="2" width="24.5" bestFit="1" customWidth="1"/>
    <col min="4" max="4" width="13.83203125" bestFit="1" customWidth="1"/>
    <col min="10" max="10" width="13" bestFit="1" customWidth="1"/>
    <col min="11" max="11" width="19" bestFit="1" customWidth="1"/>
  </cols>
  <sheetData>
    <row r="1" spans="1:11" x14ac:dyDescent="0.2">
      <c r="A1" s="24" t="s">
        <v>34</v>
      </c>
      <c r="B1" s="24" t="s">
        <v>35</v>
      </c>
      <c r="C1" s="24" t="s">
        <v>36</v>
      </c>
      <c r="D1" s="24" t="s">
        <v>37</v>
      </c>
    </row>
    <row r="2" spans="1:11" x14ac:dyDescent="0.2">
      <c r="A2" s="25" t="s">
        <v>38</v>
      </c>
      <c r="B2" s="25" t="s">
        <v>39</v>
      </c>
      <c r="C2" s="25">
        <f>'v2'!C2</f>
        <v>15000</v>
      </c>
      <c r="D2" s="25">
        <f>'v2'!D2</f>
        <v>18000</v>
      </c>
    </row>
    <row r="3" spans="1:11" x14ac:dyDescent="0.2">
      <c r="A3" s="25" t="s">
        <v>40</v>
      </c>
      <c r="B3" s="25" t="s">
        <v>41</v>
      </c>
      <c r="C3" s="25">
        <f>3*J15</f>
        <v>70200</v>
      </c>
      <c r="D3" s="25">
        <f>4*J15</f>
        <v>93600</v>
      </c>
    </row>
    <row r="4" spans="1:11" x14ac:dyDescent="0.2">
      <c r="A4" s="25" t="s">
        <v>42</v>
      </c>
      <c r="B4" s="25" t="s">
        <v>43</v>
      </c>
      <c r="C4" s="25">
        <v>3600</v>
      </c>
      <c r="D4" s="25">
        <v>3600</v>
      </c>
    </row>
    <row r="5" spans="1:11" x14ac:dyDescent="0.2">
      <c r="A5" s="25" t="s">
        <v>44</v>
      </c>
      <c r="B5" s="25" t="s">
        <v>43</v>
      </c>
      <c r="C5" s="25">
        <v>3600</v>
      </c>
      <c r="D5" s="25">
        <v>3600</v>
      </c>
    </row>
    <row r="6" spans="1:11" x14ac:dyDescent="0.2">
      <c r="A6" s="25" t="s">
        <v>52</v>
      </c>
      <c r="B6" s="25" t="s">
        <v>53</v>
      </c>
      <c r="C6" s="25">
        <v>3150</v>
      </c>
      <c r="D6" s="25">
        <v>3150</v>
      </c>
    </row>
    <row r="7" spans="1:11" x14ac:dyDescent="0.2">
      <c r="A7" s="26" t="s">
        <v>45</v>
      </c>
      <c r="B7" s="26" t="s">
        <v>54</v>
      </c>
      <c r="C7" s="26">
        <f>SUM(C2:C6)</f>
        <v>95550</v>
      </c>
      <c r="D7" s="26">
        <f>SUM(D2:D6)</f>
        <v>121950</v>
      </c>
    </row>
    <row r="8" spans="1:11" x14ac:dyDescent="0.2">
      <c r="A8" s="25" t="s">
        <v>46</v>
      </c>
      <c r="B8" s="25" t="s">
        <v>47</v>
      </c>
      <c r="C8" s="25">
        <v>4800</v>
      </c>
      <c r="D8" s="25">
        <v>19200</v>
      </c>
    </row>
    <row r="9" spans="1:11" x14ac:dyDescent="0.2">
      <c r="A9" s="27" t="s">
        <v>48</v>
      </c>
      <c r="B9" s="26" t="s">
        <v>54</v>
      </c>
      <c r="C9" s="26">
        <f>SUM(C7:C8)</f>
        <v>100350</v>
      </c>
      <c r="D9" s="26">
        <f>SUM(D7:D8)</f>
        <v>141150</v>
      </c>
    </row>
    <row r="14" spans="1:11" x14ac:dyDescent="0.2">
      <c r="J14" t="s">
        <v>49</v>
      </c>
    </row>
    <row r="15" spans="1:11" x14ac:dyDescent="0.2">
      <c r="I15">
        <f>18900/3</f>
        <v>6300</v>
      </c>
      <c r="J15">
        <f>780*5*3*2</f>
        <v>23400</v>
      </c>
      <c r="K15" t="s">
        <v>50</v>
      </c>
    </row>
    <row r="16" spans="1:11" x14ac:dyDescent="0.2">
      <c r="I16">
        <f>I15/5</f>
        <v>1260</v>
      </c>
    </row>
    <row r="17" spans="9:9" x14ac:dyDescent="0.2">
      <c r="I17">
        <f>I16/2</f>
        <v>630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21E5-80B5-414E-A58B-FF352CA8727F}">
  <dimension ref="A1:K24"/>
  <sheetViews>
    <sheetView tabSelected="1" zoomScale="120" zoomScaleNormal="120" workbookViewId="0">
      <selection activeCell="A32" sqref="A32"/>
    </sheetView>
  </sheetViews>
  <sheetFormatPr baseColWidth="10" defaultColWidth="11" defaultRowHeight="16" x14ac:dyDescent="0.2"/>
  <cols>
    <col min="1" max="1" width="52.83203125" bestFit="1" customWidth="1"/>
    <col min="2" max="2" width="27.6640625" bestFit="1" customWidth="1"/>
    <col min="3" max="3" width="13.5" bestFit="1" customWidth="1"/>
    <col min="4" max="4" width="14" bestFit="1" customWidth="1"/>
    <col min="10" max="10" width="13" bestFit="1" customWidth="1"/>
    <col min="11" max="11" width="19" bestFit="1" customWidth="1"/>
  </cols>
  <sheetData>
    <row r="1" spans="1:4" x14ac:dyDescent="0.2">
      <c r="A1" s="24" t="s">
        <v>34</v>
      </c>
      <c r="B1" s="28" t="s">
        <v>29</v>
      </c>
      <c r="C1" s="28" t="s">
        <v>56</v>
      </c>
      <c r="D1" s="28" t="s">
        <v>57</v>
      </c>
    </row>
    <row r="2" spans="1:4" x14ac:dyDescent="0.2">
      <c r="A2" s="26" t="s">
        <v>74</v>
      </c>
      <c r="B2" s="24"/>
      <c r="C2" s="28"/>
      <c r="D2" s="28"/>
    </row>
    <row r="3" spans="1:4" x14ac:dyDescent="0.2">
      <c r="A3" s="25" t="s">
        <v>38</v>
      </c>
      <c r="B3" s="25" t="s">
        <v>59</v>
      </c>
      <c r="C3" s="32">
        <f>'2024-10-23'!C2</f>
        <v>9000</v>
      </c>
      <c r="D3" s="32">
        <f>'2024-10-23'!D2</f>
        <v>12000</v>
      </c>
    </row>
    <row r="4" spans="1:4" x14ac:dyDescent="0.2">
      <c r="A4" s="25" t="s">
        <v>77</v>
      </c>
      <c r="B4" s="25" t="s">
        <v>58</v>
      </c>
      <c r="C4" s="32">
        <f>2*J22</f>
        <v>46800</v>
      </c>
      <c r="D4" s="32">
        <f>3*J22</f>
        <v>70200</v>
      </c>
    </row>
    <row r="5" spans="1:4" x14ac:dyDescent="0.2">
      <c r="A5" s="25" t="s">
        <v>42</v>
      </c>
      <c r="B5" s="25" t="s">
        <v>43</v>
      </c>
      <c r="C5" s="32">
        <v>3600</v>
      </c>
      <c r="D5" s="32">
        <v>3600</v>
      </c>
    </row>
    <row r="6" spans="1:4" x14ac:dyDescent="0.2">
      <c r="A6" s="25" t="s">
        <v>44</v>
      </c>
      <c r="B6" s="25" t="s">
        <v>43</v>
      </c>
      <c r="C6" s="32">
        <v>3600</v>
      </c>
      <c r="D6" s="32">
        <v>3600</v>
      </c>
    </row>
    <row r="7" spans="1:4" x14ac:dyDescent="0.2">
      <c r="A7" s="25"/>
      <c r="B7" s="25"/>
      <c r="C7" s="32"/>
      <c r="D7" s="32"/>
    </row>
    <row r="8" spans="1:4" ht="17" thickBot="1" x14ac:dyDescent="0.25">
      <c r="A8" s="30" t="s">
        <v>45</v>
      </c>
      <c r="B8" s="30" t="s">
        <v>75</v>
      </c>
      <c r="C8" s="33">
        <f>SUM(C3:C7)</f>
        <v>63000</v>
      </c>
      <c r="D8" s="33">
        <f>SUM(D3:D7)</f>
        <v>89400</v>
      </c>
    </row>
    <row r="9" spans="1:4" x14ac:dyDescent="0.2">
      <c r="A9" s="26"/>
      <c r="B9" s="26"/>
      <c r="C9" s="34"/>
      <c r="D9" s="34"/>
    </row>
    <row r="10" spans="1:4" x14ac:dyDescent="0.2">
      <c r="A10" s="26"/>
      <c r="B10" s="26"/>
      <c r="C10" s="34"/>
      <c r="D10" s="34"/>
    </row>
    <row r="11" spans="1:4" x14ac:dyDescent="0.2">
      <c r="A11" s="26" t="s">
        <v>70</v>
      </c>
      <c r="B11" s="26"/>
      <c r="C11" s="34"/>
      <c r="D11" s="34"/>
    </row>
    <row r="12" spans="1:4" x14ac:dyDescent="0.2">
      <c r="A12" s="25" t="s">
        <v>71</v>
      </c>
      <c r="B12" s="25" t="s">
        <v>76</v>
      </c>
      <c r="C12" s="32">
        <v>4800</v>
      </c>
      <c r="D12" s="32">
        <v>19200</v>
      </c>
    </row>
    <row r="13" spans="1:4" x14ac:dyDescent="0.2">
      <c r="A13" s="27"/>
      <c r="B13" s="26"/>
      <c r="C13" s="34"/>
      <c r="D13" s="34"/>
    </row>
    <row r="14" spans="1:4" ht="17" thickBot="1" x14ac:dyDescent="0.25">
      <c r="A14" s="30" t="s">
        <v>72</v>
      </c>
      <c r="B14" s="30" t="s">
        <v>47</v>
      </c>
      <c r="C14" s="35">
        <f>C12</f>
        <v>4800</v>
      </c>
      <c r="D14" s="35">
        <f>D12</f>
        <v>19200</v>
      </c>
    </row>
    <row r="15" spans="1:4" x14ac:dyDescent="0.2">
      <c r="A15" s="26"/>
      <c r="B15" s="29"/>
      <c r="C15" s="36"/>
      <c r="D15" s="36"/>
    </row>
    <row r="16" spans="1:4" x14ac:dyDescent="0.2">
      <c r="A16" s="29"/>
      <c r="B16" s="29"/>
      <c r="C16" s="37"/>
      <c r="D16" s="37"/>
    </row>
    <row r="17" spans="1:11" x14ac:dyDescent="0.2">
      <c r="A17" s="28" t="s">
        <v>73</v>
      </c>
      <c r="B17" s="29"/>
      <c r="C17" s="37"/>
      <c r="D17" s="37"/>
    </row>
    <row r="18" spans="1:11" x14ac:dyDescent="0.2">
      <c r="A18" s="29" t="s">
        <v>63</v>
      </c>
      <c r="B18" s="29" t="s">
        <v>64</v>
      </c>
      <c r="C18" s="37">
        <f>'2024-10-23'!C3</f>
        <v>4500</v>
      </c>
      <c r="D18" s="37">
        <f>'2024-10-23'!D3</f>
        <v>6000</v>
      </c>
    </row>
    <row r="19" spans="1:11" x14ac:dyDescent="0.2">
      <c r="A19" s="29" t="s">
        <v>62</v>
      </c>
      <c r="B19" s="29" t="s">
        <v>53</v>
      </c>
      <c r="C19" s="37">
        <f>5*780</f>
        <v>3900</v>
      </c>
      <c r="D19" s="37">
        <f>5*780</f>
        <v>3900</v>
      </c>
    </row>
    <row r="20" spans="1:11" x14ac:dyDescent="0.2">
      <c r="A20" s="29" t="s">
        <v>68</v>
      </c>
      <c r="B20" s="29" t="s">
        <v>66</v>
      </c>
      <c r="C20" s="37">
        <f>'2024-10-23'!C4</f>
        <v>3600</v>
      </c>
      <c r="D20" s="37">
        <f>'2024-10-23'!D4</f>
        <v>4800</v>
      </c>
      <c r="J20" t="s">
        <v>49</v>
      </c>
    </row>
    <row r="21" spans="1:11" x14ac:dyDescent="0.2">
      <c r="A21" s="25" t="s">
        <v>44</v>
      </c>
      <c r="B21" s="25" t="s">
        <v>43</v>
      </c>
      <c r="C21" s="32">
        <v>3600</v>
      </c>
      <c r="D21" s="32">
        <v>3600</v>
      </c>
    </row>
    <row r="22" spans="1:11" x14ac:dyDescent="0.2">
      <c r="A22" s="29"/>
      <c r="B22" s="29"/>
      <c r="C22" s="37"/>
      <c r="D22" s="37"/>
      <c r="I22">
        <f>18900/3</f>
        <v>6300</v>
      </c>
      <c r="J22">
        <f>780*5*3*2</f>
        <v>23400</v>
      </c>
      <c r="K22" t="s">
        <v>50</v>
      </c>
    </row>
    <row r="23" spans="1:11" ht="17" thickBot="1" x14ac:dyDescent="0.25">
      <c r="A23" s="30" t="s">
        <v>45</v>
      </c>
      <c r="B23" s="31" t="s">
        <v>69</v>
      </c>
      <c r="C23" s="35">
        <f>SUM(C18:C21)</f>
        <v>15600</v>
      </c>
      <c r="D23" s="35">
        <f>SUM(D18:D21)</f>
        <v>18300</v>
      </c>
      <c r="I23">
        <f>I22/5</f>
        <v>1260</v>
      </c>
    </row>
    <row r="24" spans="1:11" x14ac:dyDescent="0.2">
      <c r="I24">
        <f>I23/2</f>
        <v>630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6964-8059-9C4D-9143-2684EFC29D67}">
  <dimension ref="A1:K40"/>
  <sheetViews>
    <sheetView workbookViewId="0">
      <selection activeCell="D31" sqref="D31"/>
    </sheetView>
  </sheetViews>
  <sheetFormatPr baseColWidth="10" defaultColWidth="11" defaultRowHeight="16" x14ac:dyDescent="0.2"/>
  <cols>
    <col min="1" max="1" width="24.1640625" customWidth="1"/>
    <col min="2" max="2" width="10" bestFit="1" customWidth="1"/>
    <col min="3" max="3" width="13.5" bestFit="1" customWidth="1"/>
    <col min="4" max="4" width="13.33203125" bestFit="1" customWidth="1"/>
  </cols>
  <sheetData>
    <row r="1" spans="1:11" ht="29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10" t="s">
        <v>15</v>
      </c>
      <c r="H1" s="11" t="s">
        <v>17</v>
      </c>
      <c r="I1" s="3" t="s">
        <v>2</v>
      </c>
      <c r="J1" s="3" t="s">
        <v>3</v>
      </c>
      <c r="K1" t="s">
        <v>16</v>
      </c>
    </row>
    <row r="2" spans="1:11" ht="17" thickBot="1" x14ac:dyDescent="0.25">
      <c r="A2" s="4" t="s">
        <v>4</v>
      </c>
      <c r="B2" s="5" t="s">
        <v>55</v>
      </c>
      <c r="C2" s="8">
        <f t="shared" ref="C2:D4" si="0">B9*$E2</f>
        <v>9000</v>
      </c>
      <c r="D2" s="8">
        <f t="shared" si="0"/>
        <v>12000</v>
      </c>
      <c r="E2">
        <v>150</v>
      </c>
      <c r="H2" s="12" t="s">
        <v>18</v>
      </c>
      <c r="I2" s="8">
        <f>H9*$K2</f>
        <v>56700</v>
      </c>
      <c r="J2" s="8">
        <f>I9*$K2</f>
        <v>75600</v>
      </c>
      <c r="K2">
        <v>18900</v>
      </c>
    </row>
    <row r="3" spans="1:11" ht="17" thickBot="1" x14ac:dyDescent="0.25">
      <c r="A3" s="4" t="s">
        <v>60</v>
      </c>
      <c r="B3" s="5" t="s">
        <v>61</v>
      </c>
      <c r="C3" s="8">
        <f t="shared" si="0"/>
        <v>4500</v>
      </c>
      <c r="D3" s="8">
        <f t="shared" si="0"/>
        <v>6000</v>
      </c>
      <c r="E3">
        <v>150</v>
      </c>
      <c r="H3" s="12"/>
      <c r="I3" s="12"/>
    </row>
    <row r="4" spans="1:11" ht="17" thickBot="1" x14ac:dyDescent="0.25">
      <c r="A4" s="4" t="s">
        <v>65</v>
      </c>
      <c r="B4" s="5" t="s">
        <v>67</v>
      </c>
      <c r="C4" s="8">
        <f t="shared" si="0"/>
        <v>3600</v>
      </c>
      <c r="D4" s="8">
        <f t="shared" si="0"/>
        <v>4800</v>
      </c>
      <c r="E4">
        <v>150</v>
      </c>
      <c r="H4" s="12"/>
      <c r="I4" s="12"/>
    </row>
    <row r="5" spans="1:11" ht="17" thickBot="1" x14ac:dyDescent="0.25">
      <c r="A5" s="4"/>
      <c r="B5" s="5"/>
      <c r="C5" s="8"/>
      <c r="D5" s="8"/>
      <c r="H5" s="12"/>
      <c r="I5" s="12"/>
    </row>
    <row r="6" spans="1:11" ht="17" thickBot="1" x14ac:dyDescent="0.25">
      <c r="A6" s="4"/>
      <c r="B6" s="5"/>
      <c r="C6" s="8"/>
      <c r="D6" s="8"/>
      <c r="H6" s="12"/>
      <c r="I6" s="12"/>
    </row>
    <row r="7" spans="1:11" ht="17" thickBot="1" x14ac:dyDescent="0.25">
      <c r="A7" s="6"/>
      <c r="B7" s="7"/>
      <c r="C7" s="9"/>
      <c r="D7" s="9"/>
      <c r="H7" s="12"/>
      <c r="I7" s="12"/>
    </row>
    <row r="8" spans="1:11" ht="17" thickTop="1" x14ac:dyDescent="0.2"/>
    <row r="9" spans="1:11" x14ac:dyDescent="0.2">
      <c r="B9">
        <f>LEFT(B2,FIND("-",B2)-1)*1</f>
        <v>60</v>
      </c>
      <c r="C9">
        <f>MID(B2,FIND("-",B2)+1,LEN(B2)-FIND("-",B2)+1)*1</f>
        <v>80</v>
      </c>
      <c r="H9">
        <f>LEFT(H2,FIND("-",H2)-1)*1</f>
        <v>3</v>
      </c>
      <c r="I9">
        <f>MID(H2,FIND("-",H2)+1,LEN(H2)-FIND("-",H2)+1)*1</f>
        <v>4</v>
      </c>
    </row>
    <row r="10" spans="1:11" x14ac:dyDescent="0.2">
      <c r="B10">
        <f t="shared" ref="B10:B13" si="1">LEFT(B3,FIND("-",B3)-1)*1</f>
        <v>30</v>
      </c>
      <c r="C10">
        <f t="shared" ref="C10:C13" si="2">MID(B3,FIND("-",B3)+1,LEN(B3)-FIND("-",B3)+1)*1</f>
        <v>40</v>
      </c>
      <c r="H10" t="e">
        <f t="shared" ref="H10:H13" si="3">LEFT(H3,FIND("-",H3)-1)*1</f>
        <v>#VALUE!</v>
      </c>
      <c r="I10" t="e">
        <f t="shared" ref="I10:I13" si="4">MID(H3,FIND("-",H3)+1,LEN(H3)-FIND("-",H3)+1)*1</f>
        <v>#VALUE!</v>
      </c>
    </row>
    <row r="11" spans="1:11" x14ac:dyDescent="0.2">
      <c r="B11">
        <f t="shared" si="1"/>
        <v>24</v>
      </c>
      <c r="C11">
        <f t="shared" si="2"/>
        <v>32</v>
      </c>
      <c r="H11" t="e">
        <f t="shared" si="3"/>
        <v>#VALUE!</v>
      </c>
      <c r="I11" t="e">
        <f t="shared" si="4"/>
        <v>#VALUE!</v>
      </c>
    </row>
    <row r="12" spans="1:11" x14ac:dyDescent="0.2">
      <c r="B12" t="e">
        <f t="shared" si="1"/>
        <v>#VALUE!</v>
      </c>
      <c r="C12" t="e">
        <f t="shared" si="2"/>
        <v>#VALUE!</v>
      </c>
      <c r="H12" t="e">
        <f t="shared" si="3"/>
        <v>#VALUE!</v>
      </c>
      <c r="I12" t="e">
        <f t="shared" si="4"/>
        <v>#VALUE!</v>
      </c>
    </row>
    <row r="13" spans="1:11" x14ac:dyDescent="0.2">
      <c r="B13" t="e">
        <f t="shared" si="1"/>
        <v>#VALUE!</v>
      </c>
      <c r="C13" t="e">
        <f t="shared" si="2"/>
        <v>#VALUE!</v>
      </c>
      <c r="H13" t="e">
        <f t="shared" si="3"/>
        <v>#VALUE!</v>
      </c>
      <c r="I13" t="e">
        <f t="shared" si="4"/>
        <v>#VALUE!</v>
      </c>
    </row>
    <row r="15" spans="1:11" x14ac:dyDescent="0.2">
      <c r="B15" t="e">
        <f>SUM(B9:B13)</f>
        <v>#VALUE!</v>
      </c>
      <c r="C15" t="e">
        <f>SUM(C9:C13)</f>
        <v>#VALUE!</v>
      </c>
      <c r="H15" t="e">
        <f>SUM(H9:H13)</f>
        <v>#VALUE!</v>
      </c>
      <c r="I15" t="e">
        <f>SUM(I9:I13)</f>
        <v>#VALUE!</v>
      </c>
    </row>
    <row r="22" spans="3:8" x14ac:dyDescent="0.2">
      <c r="C22">
        <f>40*2</f>
        <v>80</v>
      </c>
    </row>
    <row r="23" spans="3:8" x14ac:dyDescent="0.2">
      <c r="C23">
        <f>C22*3</f>
        <v>240</v>
      </c>
      <c r="H23">
        <f>35100/3</f>
        <v>11700</v>
      </c>
    </row>
    <row r="24" spans="3:8" x14ac:dyDescent="0.2">
      <c r="H24">
        <f>H23/5</f>
        <v>2340</v>
      </c>
    </row>
    <row r="25" spans="3:8" x14ac:dyDescent="0.2">
      <c r="H25">
        <f>H24/3</f>
        <v>780</v>
      </c>
    </row>
    <row r="33" spans="2:6" x14ac:dyDescent="0.2">
      <c r="F33">
        <f>0.7*140</f>
        <v>98</v>
      </c>
    </row>
    <row r="34" spans="2:6" x14ac:dyDescent="0.2">
      <c r="F34">
        <f>0.7*160</f>
        <v>112</v>
      </c>
    </row>
    <row r="35" spans="2:6" x14ac:dyDescent="0.2">
      <c r="F35">
        <f>0.7*200</f>
        <v>140</v>
      </c>
    </row>
    <row r="36" spans="2:6" x14ac:dyDescent="0.2">
      <c r="F36">
        <f>0.7*260</f>
        <v>182</v>
      </c>
    </row>
    <row r="40" spans="2:6" x14ac:dyDescent="0.2">
      <c r="B40" t="s">
        <v>32</v>
      </c>
      <c r="C40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13A8E226-97F1-4F13-B265-5FF33B790A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3BD7AA-2820-4504-B6DF-A86021CC2FB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138198A-42A1-4FFC-82D3-639BF68C8D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284B3C-4CFD-4B43-9A59-20BF79A817E8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ffbd5dc-7a64-4097-8396-87f6c90b212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v1 </vt:lpstr>
      <vt:lpstr>v1</vt:lpstr>
      <vt:lpstr>v2</vt:lpstr>
      <vt:lpstr>v2 1</vt:lpstr>
      <vt:lpstr>Latest cost</vt:lpstr>
      <vt:lpstr>Latest cost 2024-10-28</vt:lpstr>
      <vt:lpstr>2024-10-23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Sam Duncan</cp:lastModifiedBy>
  <cp:revision/>
  <dcterms:created xsi:type="dcterms:W3CDTF">2024-03-22T20:08:59Z</dcterms:created>
  <dcterms:modified xsi:type="dcterms:W3CDTF">2024-10-29T06:55:31Z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Client_x0020_Project">
    <vt:lpwstr/>
  </property>
  <property fmtid="{D5CDD505-2E9C-101B-9397-08002B2CF9AE}" pid="15" name="MediaServiceImageTags">
    <vt:lpwstr/>
  </property>
  <property fmtid="{D5CDD505-2E9C-101B-9397-08002B2CF9AE}" pid="16" name="Project_x0020_Document_x0020_Type">
    <vt:lpwstr>4;#Generic Project Document|258c2ed6-b93b-4ffe-8901-a23f2dc98ec9</vt:lpwstr>
  </property>
  <property fmtid="{D5CDD505-2E9C-101B-9397-08002B2CF9AE}" pid="17" name="lcf76f155ced4ddcb4097134ff3c332f">
    <vt:lpwstr/>
  </property>
</Properties>
</file>